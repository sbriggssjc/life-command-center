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10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tables/table3.xml" ContentType="application/vnd.openxmlformats-officedocument.spreadsheetml.table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60" yWindow="2775" windowWidth="21600" windowHeight="11295" tabRatio="600" firstSheet="0" activeTab="0" autoFilterDateGrouping="1"/>
  </bookViews>
  <sheets>
    <sheet xmlns:r="http://schemas.openxmlformats.org/officeDocument/2006/relationships" name="Sales Comps" sheetId="1" state="visible" r:id="rId1"/>
    <sheet xmlns:r="http://schemas.openxmlformats.org/officeDocument/2006/relationships" name="Available Comps" sheetId="2" state="visible" r:id="rId2"/>
    <sheet xmlns:r="http://schemas.openxmlformats.org/officeDocument/2006/relationships" name="Core Cap Chart" sheetId="3" state="visible" r:id="rId3"/>
    <sheet xmlns:r="http://schemas.openxmlformats.org/officeDocument/2006/relationships" name="Available Coverage" sheetId="4" state="visible" r:id="rId4"/>
    <sheet xmlns:r="http://schemas.openxmlformats.org/officeDocument/2006/relationships" name="Charts" sheetId="5" state="visible" r:id="rId5"/>
    <sheet xmlns:r="http://schemas.openxmlformats.org/officeDocument/2006/relationships" name="Market Size" sheetId="6" state="visible" r:id="rId6"/>
    <sheet xmlns:r="http://schemas.openxmlformats.org/officeDocument/2006/relationships" name="Sheet1" sheetId="7" state="visible" r:id="rId7"/>
    <sheet xmlns:r="http://schemas.openxmlformats.org/officeDocument/2006/relationships" name="Rent Survey" sheetId="8" state="visible" r:id="rId8"/>
    <sheet xmlns:r="http://schemas.openxmlformats.org/officeDocument/2006/relationships" name="Top Buyers" sheetId="9" state="visible" r:id="rId9"/>
    <sheet xmlns:r="http://schemas.openxmlformats.org/officeDocument/2006/relationships" name="Top Sellers" sheetId="10" state="visible" r:id="rId10"/>
    <sheet xmlns:r="http://schemas.openxmlformats.org/officeDocument/2006/relationships" name="Competition" sheetId="11" state="visible" r:id="rId11"/>
    <sheet xmlns:r="http://schemas.openxmlformats.org/officeDocument/2006/relationships" name="Off Market Comps" sheetId="12" state="visible" r:id="rId12"/>
    <sheet xmlns:r="http://schemas.openxmlformats.org/officeDocument/2006/relationships" name="Sheet2" sheetId="13" state="visible" r:id="rId13"/>
  </sheets>
  <definedNames>
    <definedName name="_xlchart.v5.0" hidden="1">'Rent Survey'!$B$38</definedName>
    <definedName name="_xlchart.v5.1" hidden="1">'Rent Survey'!$B$39:$B$89</definedName>
    <definedName name="_xlchart.v5.2" hidden="1">'Rent Survey'!$H$38</definedName>
    <definedName name="_xlchart.v5.3" hidden="1">'Rent Survey'!$H$39:$H$89</definedName>
  </definedNames>
  <calcPr calcId="191028" fullCalcOnLoad="1"/>
  <pivotCaches>
    <pivotCache xmlns:r="http://schemas.openxmlformats.org/officeDocument/2006/relationships" cacheId="0" r:id="rId14"/>
    <pivotCache xmlns:r="http://schemas.openxmlformats.org/officeDocument/2006/relationships" cacheId="1" r:id="rId15"/>
  </pivotCaches>
</workbook>
</file>

<file path=xl/styles.xml><?xml version="1.0" encoding="utf-8"?>
<styleSheet xmlns="http://schemas.openxmlformats.org/spreadsheetml/2006/main">
  <numFmts count="8">
    <numFmt numFmtId="164" formatCode="#,##0.0_);[Red]\(#,##0.0\)"/>
    <numFmt numFmtId="165" formatCode="&quot;$&quot;#,##0_);[Red]\(&quot;$&quot;#,##0\)"/>
    <numFmt numFmtId="166" formatCode="&quot;$&quot;#,##0.00_);[Red]\(&quot;$&quot;#,##0.00\)"/>
    <numFmt numFmtId="167" formatCode="[$-409]mmm\-yy;@"/>
    <numFmt numFmtId="168" formatCode="#,##0.0_)&quot;Years&quot;;[Red]\(#,##0.0\)&quot;Years&quot;"/>
    <numFmt numFmtId="169" formatCode="0.0%"/>
    <numFmt numFmtId="170" formatCode="&quot;$&quot;#,##0"/>
    <numFmt numFmtId="171" formatCode="_(&quot;$&quot;* #,##0.00_);_(&quot;$&quot;* \(#,##0.00\);_(&quot;$&quot;* &quot;-&quot;??_);_(@_)"/>
  </numFmts>
  <fonts count="19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Tahoma"/>
      <family val="2"/>
      <b val="1"/>
      <color indexed="81"/>
      <sz val="9"/>
    </font>
    <font>
      <name val="Calibri"/>
      <family val="2"/>
      <sz val="11"/>
      <scheme val="minor"/>
    </font>
    <font>
      <name val="Tahoma"/>
      <family val="2"/>
      <color indexed="81"/>
      <sz val="9"/>
    </font>
    <font>
      <name val="Arial"/>
      <family val="2"/>
      <sz val="10"/>
    </font>
    <font>
      <name val="Aptos"/>
      <family val="2"/>
      <sz val="10"/>
    </font>
    <font>
      <name val="Aptos"/>
      <family val="2"/>
      <b val="1"/>
      <sz val="10"/>
    </font>
    <font>
      <name val="Aptos"/>
      <family val="2"/>
      <color theme="1"/>
      <sz val="10"/>
    </font>
    <font>
      <name val="Arial"/>
      <family val="2"/>
      <sz val="10"/>
    </font>
    <font>
      <name val="Calibri"/>
      <family val="2"/>
      <b val="1"/>
      <color theme="0"/>
      <sz val="8"/>
      <scheme val="minor"/>
    </font>
    <font>
      <name val="Calibri"/>
      <family val="2"/>
      <color theme="0"/>
      <sz val="8"/>
      <scheme val="minor"/>
    </font>
    <font>
      <name val="Calibri"/>
      <family val="2"/>
      <b val="1"/>
      <color rgb="FF191919"/>
      <sz val="8"/>
      <scheme val="minor"/>
    </font>
    <font>
      <name val="Calibri"/>
      <family val="2"/>
      <color rgb="FF191919"/>
      <sz val="8"/>
      <scheme val="minor"/>
    </font>
    <font>
      <name val="Jost"/>
      <color theme="1"/>
      <sz val="8"/>
    </font>
    <font>
      <name val="Aptos"/>
      <family val="2"/>
      <color rgb="FF003DA5"/>
      <sz val="10"/>
    </font>
  </fonts>
  <fills count="25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rgb="FFFFFF00"/>
        <bgColor indexed="64"/>
      </patternFill>
    </fill>
    <fill>
      <patternFill patternType="solid">
        <fgColor rgb="FF003DA5"/>
        <bgColor indexed="64"/>
      </patternFill>
    </fill>
    <fill>
      <patternFill patternType="solid">
        <fgColor rgb="FF5FA3A8"/>
        <bgColor indexed="64"/>
      </patternFill>
    </fill>
    <fill>
      <patternFill patternType="solid">
        <fgColor rgb="FF265AB2"/>
        <bgColor indexed="64"/>
      </patternFill>
    </fill>
    <fill>
      <patternFill patternType="solid">
        <fgColor rgb="FF8FC49E"/>
        <bgColor indexed="64"/>
      </patternFill>
    </fill>
    <fill>
      <patternFill patternType="solid">
        <fgColor rgb="FFE0E8F4"/>
        <bgColor indexed="64"/>
      </patternFill>
    </fill>
    <fill>
      <patternFill patternType="solid">
        <fgColor rgb="FF9B88A5"/>
        <bgColor indexed="64"/>
      </patternFill>
    </fill>
    <fill>
      <patternFill patternType="solid">
        <fgColor rgb="FF62B5E5"/>
        <bgColor indexed="64"/>
      </patternFill>
    </fill>
    <fill>
      <patternFill patternType="solid">
        <fgColor rgb="FFB6E8DA"/>
        <bgColor indexed="64"/>
      </patternFill>
    </fill>
    <fill>
      <patternFill patternType="solid">
        <fgColor rgb="FF191919"/>
        <bgColor indexed="64"/>
      </patternFill>
    </fill>
    <fill>
      <patternFill patternType="solid">
        <fgColor rgb="FF99B2DD"/>
        <bgColor indexed="64"/>
      </patternFill>
    </fill>
    <fill>
      <patternFill patternType="solid">
        <fgColor rgb="FF6A748C"/>
        <bgColor indexed="64"/>
      </patternFill>
    </fill>
    <fill>
      <patternFill patternType="solid">
        <fgColor rgb="FFD4C8CB"/>
        <bgColor indexed="64"/>
      </patternFill>
    </fill>
    <fill>
      <patternFill patternType="solid">
        <fgColor rgb="FF9EA9B7"/>
        <bgColor indexed="64"/>
      </patternFill>
    </fill>
    <fill>
      <patternFill patternType="solid">
        <fgColor rgb="FFD8DFD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</borders>
  <cellStyleXfs count="1530">
    <xf numFmtId="0" fontId="0" fillId="0" borderId="0"/>
    <xf numFmtId="0" fontId="4" fillId="6" borderId="0"/>
    <xf numFmtId="0" fontId="3" fillId="2" borderId="0"/>
    <xf numFmtId="0" fontId="3" fillId="2" borderId="0"/>
    <xf numFmtId="0" fontId="4" fillId="7" borderId="0"/>
    <xf numFmtId="0" fontId="3" fillId="3" borderId="0"/>
    <xf numFmtId="0" fontId="3" fillId="3" borderId="0"/>
    <xf numFmtId="0" fontId="4" fillId="8" borderId="0"/>
    <xf numFmtId="0" fontId="3" fillId="4" borderId="0"/>
    <xf numFmtId="0" fontId="3" fillId="4" borderId="0"/>
    <xf numFmtId="0" fontId="4" fillId="9" borderId="0"/>
    <xf numFmtId="0" fontId="3" fillId="5" borderId="0"/>
    <xf numFmtId="0" fontId="3" fillId="5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2" borderId="0"/>
    <xf numFmtId="0" fontId="3" fillId="3" borderId="0"/>
    <xf numFmtId="0" fontId="3" fillId="3" borderId="0"/>
    <xf numFmtId="0" fontId="3" fillId="4" borderId="0"/>
    <xf numFmtId="0" fontId="3" fillId="4" borderId="0"/>
    <xf numFmtId="0" fontId="3" fillId="5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2" borderId="0"/>
    <xf numFmtId="0" fontId="3" fillId="5" borderId="0"/>
    <xf numFmtId="0" fontId="3" fillId="3" borderId="0"/>
    <xf numFmtId="0" fontId="3" fillId="4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2" borderId="0"/>
    <xf numFmtId="0" fontId="3" fillId="5" borderId="0"/>
    <xf numFmtId="0" fontId="3" fillId="3" borderId="0"/>
    <xf numFmtId="0" fontId="3" fillId="4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2" borderId="0"/>
    <xf numFmtId="0" fontId="3" fillId="3" borderId="0"/>
    <xf numFmtId="0" fontId="3" fillId="3" borderId="0"/>
    <xf numFmtId="0" fontId="3" fillId="4" borderId="0"/>
    <xf numFmtId="0" fontId="3" fillId="4" borderId="0"/>
    <xf numFmtId="0" fontId="3" fillId="5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2" borderId="0"/>
    <xf numFmtId="0" fontId="3" fillId="3" borderId="0"/>
    <xf numFmtId="0" fontId="3" fillId="4" borderId="0"/>
    <xf numFmtId="0" fontId="3" fillId="2" borderId="0"/>
    <xf numFmtId="0" fontId="3" fillId="5" borderId="0"/>
    <xf numFmtId="0" fontId="3" fillId="3" borderId="0"/>
    <xf numFmtId="0" fontId="3" fillId="4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2" borderId="0"/>
    <xf numFmtId="0" fontId="3" fillId="5" borderId="0"/>
    <xf numFmtId="0" fontId="3" fillId="3" borderId="0"/>
    <xf numFmtId="0" fontId="3" fillId="4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2" borderId="0"/>
    <xf numFmtId="0" fontId="3" fillId="2" borderId="0"/>
    <xf numFmtId="0" fontId="3" fillId="3" borderId="0"/>
    <xf numFmtId="0" fontId="3" fillId="3" borderId="0"/>
    <xf numFmtId="0" fontId="3" fillId="4" borderId="0"/>
    <xf numFmtId="0" fontId="3" fillId="4" borderId="0"/>
    <xf numFmtId="0" fontId="3" fillId="5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2" borderId="0"/>
    <xf numFmtId="0" fontId="3" fillId="5" borderId="0"/>
    <xf numFmtId="0" fontId="3" fillId="3" borderId="0"/>
    <xf numFmtId="0" fontId="3" fillId="4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2" borderId="0"/>
    <xf numFmtId="0" fontId="3" fillId="5" borderId="0"/>
    <xf numFmtId="0" fontId="3" fillId="3" borderId="0"/>
    <xf numFmtId="0" fontId="3" fillId="4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2" borderId="0"/>
    <xf numFmtId="0" fontId="3" fillId="5" borderId="0"/>
    <xf numFmtId="0" fontId="3" fillId="3" borderId="0"/>
    <xf numFmtId="0" fontId="3" fillId="4" borderId="0"/>
    <xf numFmtId="0" fontId="3" fillId="2" borderId="0"/>
    <xf numFmtId="0" fontId="3" fillId="2" borderId="0"/>
    <xf numFmtId="0" fontId="3" fillId="3" borderId="0"/>
    <xf numFmtId="0" fontId="3" fillId="3" borderId="0"/>
    <xf numFmtId="0" fontId="3" fillId="4" borderId="0"/>
    <xf numFmtId="0" fontId="3" fillId="4" borderId="0"/>
    <xf numFmtId="0" fontId="3" fillId="5" borderId="0"/>
    <xf numFmtId="0" fontId="3" fillId="5" borderId="0"/>
    <xf numFmtId="0" fontId="3" fillId="2" borderId="0"/>
    <xf numFmtId="0" fontId="3" fillId="5" borderId="0"/>
    <xf numFmtId="0" fontId="3" fillId="3" borderId="0"/>
    <xf numFmtId="0" fontId="3" fillId="4" borderId="0"/>
    <xf numFmtId="0" fontId="3" fillId="2" borderId="0"/>
    <xf numFmtId="0" fontId="3" fillId="2" borderId="0"/>
    <xf numFmtId="0" fontId="3" fillId="3" borderId="0"/>
    <xf numFmtId="0" fontId="3" fillId="3" borderId="0"/>
    <xf numFmtId="0" fontId="3" fillId="4" borderId="0"/>
    <xf numFmtId="0" fontId="3" fillId="4" borderId="0"/>
    <xf numFmtId="0" fontId="3" fillId="5" borderId="0"/>
    <xf numFmtId="0" fontId="3" fillId="5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2" borderId="0"/>
    <xf numFmtId="0" fontId="3" fillId="5" borderId="0"/>
    <xf numFmtId="0" fontId="3" fillId="3" borderId="0"/>
    <xf numFmtId="0" fontId="3" fillId="4" borderId="0"/>
    <xf numFmtId="0" fontId="3" fillId="2" borderId="0"/>
    <xf numFmtId="0" fontId="3" fillId="3" borderId="0"/>
    <xf numFmtId="0" fontId="3" fillId="4" borderId="0"/>
    <xf numFmtId="0" fontId="3" fillId="5" borderId="0"/>
    <xf numFmtId="0" fontId="4" fillId="8" borderId="0"/>
    <xf numFmtId="0" fontId="3" fillId="2" borderId="0"/>
    <xf numFmtId="0" fontId="3" fillId="5" borderId="0"/>
    <xf numFmtId="0" fontId="3" fillId="3" borderId="0"/>
    <xf numFmtId="0" fontId="3" fillId="4" borderId="0"/>
    <xf numFmtId="0" fontId="3" fillId="2" borderId="0"/>
    <xf numFmtId="0" fontId="3" fillId="5" borderId="0"/>
    <xf numFmtId="0" fontId="3" fillId="3" borderId="0"/>
    <xf numFmtId="0" fontId="3" fillId="4" borderId="0"/>
    <xf numFmtId="0" fontId="3" fillId="2" borderId="0"/>
    <xf numFmtId="0" fontId="3" fillId="3" borderId="0"/>
    <xf numFmtId="0" fontId="3" fillId="4" borderId="0"/>
    <xf numFmtId="0" fontId="3" fillId="5" borderId="0"/>
    <xf numFmtId="0" fontId="4" fillId="9" borderId="0"/>
    <xf numFmtId="0" fontId="4" fillId="7" borderId="0"/>
    <xf numFmtId="0" fontId="4" fillId="6" borderId="0"/>
    <xf numFmtId="0" fontId="3" fillId="2" borderId="0"/>
    <xf numFmtId="0" fontId="3" fillId="3" borderId="0"/>
    <xf numFmtId="0" fontId="3" fillId="4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2" borderId="0"/>
    <xf numFmtId="0" fontId="3" fillId="3" borderId="0"/>
    <xf numFmtId="0" fontId="3" fillId="3" borderId="0"/>
    <xf numFmtId="0" fontId="3" fillId="4" borderId="0"/>
    <xf numFmtId="0" fontId="3" fillId="4" borderId="0"/>
    <xf numFmtId="0" fontId="3" fillId="5" borderId="0"/>
    <xf numFmtId="0" fontId="3" fillId="5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5" borderId="0"/>
    <xf numFmtId="0" fontId="3" fillId="5" borderId="0"/>
    <xf numFmtId="0" fontId="3" fillId="5" borderId="0"/>
    <xf numFmtId="0" fontId="3" fillId="5" borderId="0"/>
    <xf numFmtId="9" fontId="12" fillId="0" borderId="0"/>
    <xf numFmtId="44" fontId="12" fillId="0" borderId="0"/>
  </cellStyleXfs>
  <cellXfs count="82">
    <xf numFmtId="0" fontId="0" fillId="0" borderId="0" pivotButton="0" quotePrefix="0" xfId="0"/>
    <xf numFmtId="10" fontId="6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0" borderId="0" applyAlignment="1" pivotButton="0" quotePrefix="0" xfId="0">
      <alignment vertical="center"/>
    </xf>
    <xf numFmtId="38" fontId="9" fillId="0" borderId="0" applyAlignment="1" pivotButton="0" quotePrefix="0" xfId="0">
      <alignment vertical="center"/>
    </xf>
    <xf numFmtId="38" fontId="1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38" fontId="9" fillId="0" borderId="0" applyAlignment="1" pivotButton="0" quotePrefix="0" xfId="0">
      <alignment horizontal="center" vertical="center"/>
    </xf>
    <xf numFmtId="165" fontId="9" fillId="0" borderId="0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167" fontId="9" fillId="0" borderId="0" applyAlignment="1" pivotButton="0" quotePrefix="0" xfId="0">
      <alignment vertical="center"/>
    </xf>
    <xf numFmtId="167" fontId="9" fillId="0" borderId="0" applyAlignment="1" pivotButton="0" quotePrefix="0" xfId="0">
      <alignment horizontal="center" vertical="center"/>
    </xf>
    <xf numFmtId="168" fontId="9" fillId="0" borderId="0" applyAlignment="1" pivotButton="0" quotePrefix="0" xfId="0">
      <alignment vertical="center"/>
    </xf>
    <xf numFmtId="165" fontId="9" fillId="0" borderId="0" applyAlignment="1" pivotButton="0" quotePrefix="0" xfId="0">
      <alignment horizontal="center" vertical="center"/>
    </xf>
    <xf numFmtId="10" fontId="9" fillId="0" borderId="0" applyAlignment="1" pivotButton="0" quotePrefix="0" xfId="0">
      <alignment horizontal="center" vertical="center"/>
    </xf>
    <xf numFmtId="169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164" fontId="9" fillId="0" borderId="0" applyAlignment="1" pivotButton="0" quotePrefix="0" xfId="0">
      <alignment vertical="center"/>
    </xf>
    <xf numFmtId="166" fontId="9" fillId="0" borderId="0" applyAlignment="1" pivotButton="0" quotePrefix="0" xfId="0">
      <alignment horizontal="center" vertical="center"/>
    </xf>
    <xf numFmtId="38" fontId="0" fillId="0" borderId="0" pivotButton="0" quotePrefix="0" xfId="0"/>
    <xf numFmtId="165" fontId="0" fillId="0" borderId="0" pivotButton="0" quotePrefix="0" xfId="0"/>
    <xf numFmtId="167" fontId="9" fillId="0" borderId="0" pivotButton="0" quotePrefix="0" xfId="0"/>
    <xf numFmtId="38" fontId="9" fillId="0" borderId="0" pivotButton="0" quotePrefix="0" xfId="0"/>
    <xf numFmtId="165" fontId="9" fillId="0" borderId="0" pivotButton="0" quotePrefix="0" xfId="0"/>
    <xf numFmtId="9" fontId="9" fillId="0" borderId="0" applyAlignment="1" pivotButton="0" quotePrefix="0" xfId="1528">
      <alignment horizontal="center"/>
    </xf>
    <xf numFmtId="9" fontId="9" fillId="0" borderId="0" pivotButton="0" quotePrefix="0" xfId="1528"/>
    <xf numFmtId="169" fontId="9" fillId="0" borderId="0" pivotButton="0" quotePrefix="0" xfId="1528"/>
    <xf numFmtId="10" fontId="9" fillId="0" borderId="0" pivotButton="0" quotePrefix="0" xfId="1528"/>
    <xf numFmtId="166" fontId="9" fillId="0" borderId="0" pivotButton="0" quotePrefix="0" xfId="0"/>
    <xf numFmtId="164" fontId="9" fillId="0" borderId="0" pivotButton="0" quotePrefix="0" xfId="0"/>
    <xf numFmtId="1" fontId="6" fillId="0" borderId="0" applyAlignment="1" pivotButton="0" quotePrefix="0" xfId="0">
      <alignment horizontal="center" vertical="center"/>
    </xf>
    <xf numFmtId="166" fontId="0" fillId="0" borderId="0" pivotButton="0" quotePrefix="0" xfId="0"/>
    <xf numFmtId="10" fontId="0" fillId="0" borderId="0" pivotButton="0" quotePrefix="0" xfId="0"/>
    <xf numFmtId="165" fontId="11" fillId="0" borderId="0" applyAlignment="1" pivotButton="0" quotePrefix="0" xfId="0">
      <alignment vertical="center"/>
    </xf>
    <xf numFmtId="165" fontId="9" fillId="0" borderId="1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10" fontId="9" fillId="0" borderId="0" pivotButton="0" quotePrefix="0" xfId="0"/>
    <xf numFmtId="10" fontId="9" fillId="0" borderId="0" applyAlignment="1" pivotButton="0" quotePrefix="0" xfId="1528">
      <alignment horizontal="center" vertical="center"/>
    </xf>
    <xf numFmtId="0" fontId="9" fillId="10" borderId="0" pivotButton="0" quotePrefix="0" xfId="0"/>
    <xf numFmtId="167" fontId="9" fillId="10" borderId="0" pivotButton="0" quotePrefix="0" xfId="0"/>
    <xf numFmtId="38" fontId="9" fillId="10" borderId="0" pivotButton="0" quotePrefix="0" xfId="0"/>
    <xf numFmtId="165" fontId="9" fillId="10" borderId="0" pivotButton="0" quotePrefix="0" xfId="0"/>
    <xf numFmtId="10" fontId="9" fillId="10" borderId="0" pivotButton="0" quotePrefix="0" xfId="1528"/>
    <xf numFmtId="9" fontId="9" fillId="10" borderId="0" pivotButton="0" quotePrefix="0" xfId="1528"/>
    <xf numFmtId="164" fontId="9" fillId="10" borderId="0" pivotButton="0" quotePrefix="0" xfId="0"/>
    <xf numFmtId="170" fontId="9" fillId="0" borderId="0" pivotButton="0" quotePrefix="0" xfId="0"/>
    <xf numFmtId="2" fontId="9" fillId="0" borderId="0" pivotButton="0" quotePrefix="0" xfId="0"/>
    <xf numFmtId="1" fontId="9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171" fontId="9" fillId="0" borderId="0" pivotButton="0" quotePrefix="0" xfId="1529"/>
    <xf numFmtId="14" fontId="0" fillId="0" borderId="0" pivotButton="0" quotePrefix="0" xfId="0"/>
    <xf numFmtId="10" fontId="9" fillId="0" borderId="0" pivotButton="0" quotePrefix="0" xfId="1528"/>
    <xf numFmtId="9" fontId="9" fillId="0" borderId="0" pivotButton="0" quotePrefix="0" xfId="1528"/>
    <xf numFmtId="0" fontId="9" fillId="0" borderId="0" pivotButton="0" quotePrefix="0" xfId="0"/>
    <xf numFmtId="0" fontId="13" fillId="11" borderId="0" applyAlignment="1" pivotButton="0" quotePrefix="0" xfId="0">
      <alignment horizontal="center" vertical="center" wrapText="1"/>
    </xf>
    <xf numFmtId="0" fontId="13" fillId="12" borderId="0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center" vertical="center" wrapText="1"/>
    </xf>
    <xf numFmtId="0" fontId="13" fillId="14" borderId="0" applyAlignment="1" pivotButton="0" quotePrefix="0" xfId="0">
      <alignment horizontal="center" vertical="center" wrapText="1"/>
    </xf>
    <xf numFmtId="0" fontId="15" fillId="15" borderId="0" applyAlignment="1" pivotButton="0" quotePrefix="0" xfId="0">
      <alignment horizontal="center" vertical="center" wrapText="1"/>
    </xf>
    <xf numFmtId="0" fontId="13" fillId="16" borderId="0" applyAlignment="1" pivotButton="0" quotePrefix="0" xfId="0">
      <alignment horizontal="center" vertical="center" wrapText="1"/>
    </xf>
    <xf numFmtId="0" fontId="13" fillId="17" borderId="0" applyAlignment="1" pivotButton="0" quotePrefix="0" xfId="0">
      <alignment horizontal="center" vertical="center" wrapText="1"/>
    </xf>
    <xf numFmtId="0" fontId="13" fillId="18" borderId="0" applyAlignment="1" pivotButton="0" quotePrefix="0" xfId="0">
      <alignment horizontal="center" vertical="center" wrapText="1"/>
    </xf>
    <xf numFmtId="0" fontId="13" fillId="19" borderId="0" applyAlignment="1" pivotButton="0" quotePrefix="0" xfId="0">
      <alignment horizontal="center" vertical="center" wrapText="1"/>
    </xf>
    <xf numFmtId="0" fontId="13" fillId="20" borderId="0" applyAlignment="1" pivotButton="0" quotePrefix="0" xfId="0">
      <alignment horizontal="center" vertical="center" wrapText="1"/>
    </xf>
    <xf numFmtId="0" fontId="13" fillId="21" borderId="0" applyAlignment="1" pivotButton="0" quotePrefix="0" xfId="0">
      <alignment horizontal="center" vertical="center" wrapText="1"/>
    </xf>
    <xf numFmtId="0" fontId="13" fillId="22" borderId="0" applyAlignment="1" pivotButton="0" quotePrefix="0" xfId="0">
      <alignment horizontal="center" vertical="center" wrapText="1"/>
    </xf>
    <xf numFmtId="0" fontId="13" fillId="23" borderId="0" applyAlignment="1" pivotButton="0" quotePrefix="0" xfId="0">
      <alignment horizontal="center" vertical="center" wrapText="1"/>
    </xf>
    <xf numFmtId="0" fontId="15" fillId="24" borderId="0" applyAlignment="1" pivotButton="0" quotePrefix="0" xfId="0">
      <alignment horizontal="center" vertical="center" wrapText="1"/>
    </xf>
    <xf numFmtId="167" fontId="9" fillId="0" borderId="0" applyAlignment="1" pivotButton="0" quotePrefix="0" xfId="0">
      <alignment horizontal="center" vertical="center"/>
    </xf>
    <xf numFmtId="165" fontId="9" fillId="0" borderId="0" pivotButton="0" quotePrefix="0" xfId="0"/>
    <xf numFmtId="169" fontId="9" fillId="0" borderId="0" pivotButton="0" quotePrefix="0" xfId="1528"/>
    <xf numFmtId="166" fontId="9" fillId="0" borderId="0" pivotButton="0" quotePrefix="0" xfId="0"/>
    <xf numFmtId="164" fontId="9" fillId="0" borderId="0" pivotButton="0" quotePrefix="0" xfId="0"/>
    <xf numFmtId="167" fontId="9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530">
    <cellStyle name="Normal" xfId="0" builtinId="0"/>
    <cellStyle name="20% - Accent1 2" xfId="1"/>
    <cellStyle name="20% - Accent1 3" xfId="2"/>
    <cellStyle name="20% - Accent1 3 2" xfId="3"/>
    <cellStyle name="20% - Accent2 2" xfId="4"/>
    <cellStyle name="20% - Accent2 3" xfId="5"/>
    <cellStyle name="20% - Accent2 3 2" xfId="6"/>
    <cellStyle name="20% - Accent3 2" xfId="7"/>
    <cellStyle name="20% - Accent3 3" xfId="8"/>
    <cellStyle name="20% - Accent3 3 2" xfId="9"/>
    <cellStyle name="20% - Accent4 2" xfId="10"/>
    <cellStyle name="20% - Accent4 3" xfId="11"/>
    <cellStyle name="20% - Accent4 3 2" xfId="12"/>
    <cellStyle name="20% - Accent1 3 3" xfId="13"/>
    <cellStyle name="20% - Accent1 3 2 2" xfId="14"/>
    <cellStyle name="20% - Accent1 4" xfId="15"/>
    <cellStyle name="20% - Accent1 4 2" xfId="16"/>
    <cellStyle name="20% - Accent1 5" xfId="17"/>
    <cellStyle name="20% - Accent2 3 3" xfId="18"/>
    <cellStyle name="20% - Accent2 3 2 2" xfId="19"/>
    <cellStyle name="20% - Accent2 4" xfId="20"/>
    <cellStyle name="20% - Accent2 4 2" xfId="21"/>
    <cellStyle name="20% - Accent2 5" xfId="22"/>
    <cellStyle name="20% - Accent3 3 3" xfId="23"/>
    <cellStyle name="20% - Accent3 3 2 2" xfId="24"/>
    <cellStyle name="20% - Accent3 4" xfId="25"/>
    <cellStyle name="20% - Accent3 4 2" xfId="26"/>
    <cellStyle name="20% - Accent3 5" xfId="27"/>
    <cellStyle name="20% - Accent4 3 3" xfId="28"/>
    <cellStyle name="20% - Accent4 3 2 2" xfId="29"/>
    <cellStyle name="20% - Accent4 4" xfId="30"/>
    <cellStyle name="20% - Accent4 4 2" xfId="31"/>
    <cellStyle name="20% - Accent1" xfId="32" builtinId="30"/>
    <cellStyle name="20% - Accent2" xfId="33" builtinId="34"/>
    <cellStyle name="20% - Accent3" xfId="34" builtinId="38"/>
    <cellStyle name="20% - Accent4" xfId="35" builtinId="42"/>
    <cellStyle name="20% - Accent1 3 16" xfId="36"/>
    <cellStyle name="20% - Accent1 3 2 14" xfId="37"/>
    <cellStyle name="20% - Accent2 3 16" xfId="38"/>
    <cellStyle name="20% - Accent2 3 2 14" xfId="39"/>
    <cellStyle name="20% - Accent3 3 16" xfId="40"/>
    <cellStyle name="20% - Accent3 3 2 14" xfId="41"/>
    <cellStyle name="20% - Accent4 3 16" xfId="42"/>
    <cellStyle name="20% - Accent4 3 2 14" xfId="43"/>
    <cellStyle name="20% - Accent1 3 3 12" xfId="44"/>
    <cellStyle name="20% - Accent2 3 3 12" xfId="45"/>
    <cellStyle name="20% - Accent3 3 3 12" xfId="46"/>
    <cellStyle name="20% - Accent4 3 3 12" xfId="47"/>
    <cellStyle name="20% - Accent1 4 15" xfId="48"/>
    <cellStyle name="20% - Accent2 4 15" xfId="49"/>
    <cellStyle name="20% - Accent3 4 15" xfId="50"/>
    <cellStyle name="20% - Accent4 4 15" xfId="51"/>
    <cellStyle name="20% - Accent1 5 14" xfId="52"/>
    <cellStyle name="20% - Accent2 5 14" xfId="53"/>
    <cellStyle name="20% - Accent3 5 14" xfId="54"/>
    <cellStyle name="20% - Accent1 3 4" xfId="55"/>
    <cellStyle name="20% - Accent4 3 4" xfId="56"/>
    <cellStyle name="20% - Accent2 3 4" xfId="57"/>
    <cellStyle name="20% - Accent3 3 4" xfId="58"/>
    <cellStyle name="20% - Accent1 3 2 2 11" xfId="59"/>
    <cellStyle name="20% - Accent2 3 2 2 11" xfId="60"/>
    <cellStyle name="20% - Accent3 3 2 2 11" xfId="61"/>
    <cellStyle name="20% - Accent4 3 2 2 11" xfId="62"/>
    <cellStyle name="20% - Accent1 4 2 12" xfId="63"/>
    <cellStyle name="20% - Accent2 4 2 12" xfId="64"/>
    <cellStyle name="20% - Accent3 4 2 12" xfId="65"/>
    <cellStyle name="20% - Accent4 4 2 12" xfId="66"/>
    <cellStyle name="20% - Accent1 3 5" xfId="67"/>
    <cellStyle name="20% - Accent2 3 5" xfId="68"/>
    <cellStyle name="20% - Accent3 3 5" xfId="69"/>
    <cellStyle name="20% - Accent4 3 5" xfId="70"/>
    <cellStyle name="20% - Accent1 4 3" xfId="71"/>
    <cellStyle name="20% - Accent2 4 3" xfId="72"/>
    <cellStyle name="20% - Accent3 4 3" xfId="73"/>
    <cellStyle name="20% - Accent4 4 3" xfId="74"/>
    <cellStyle name="20% - Accent1 5 2" xfId="75"/>
    <cellStyle name="20% - Accent2 5 2" xfId="76"/>
    <cellStyle name="20% - Accent3 5 2" xfId="77"/>
    <cellStyle name="20% - Accent1 3 6" xfId="78"/>
    <cellStyle name="20% - Accent4 3 6" xfId="79"/>
    <cellStyle name="20% - Accent2 3 6" xfId="80"/>
    <cellStyle name="20% - Accent3 3 6" xfId="81"/>
    <cellStyle name="20% - Accent1 3 7" xfId="82"/>
    <cellStyle name="20% - Accent2 3 7" xfId="83"/>
    <cellStyle name="20% - Accent3 3 7" xfId="84"/>
    <cellStyle name="20% - Accent4 3 7" xfId="85"/>
    <cellStyle name="20% - Accent1 4 4" xfId="86"/>
    <cellStyle name="20% - Accent2 4 4" xfId="87"/>
    <cellStyle name="20% - Accent3 4 4" xfId="88"/>
    <cellStyle name="20% - Accent4 4 4" xfId="89"/>
    <cellStyle name="20% - Accent1 3 8" xfId="90"/>
    <cellStyle name="20% - Accent2 3 8" xfId="91"/>
    <cellStyle name="20% - Accent3 3 8" xfId="92"/>
    <cellStyle name="20% - Accent4 3 8" xfId="93"/>
    <cellStyle name="20% - Accent1 4 5" xfId="94"/>
    <cellStyle name="20% - Accent2 4 5" xfId="95"/>
    <cellStyle name="20% - Accent3 4 5" xfId="96"/>
    <cellStyle name="20% - Accent4 4 5" xfId="97"/>
    <cellStyle name="20% - Accent1 3 10" xfId="98"/>
    <cellStyle name="20% - Accent1 3 2 3" xfId="99"/>
    <cellStyle name="20% - Accent2 3 10" xfId="100"/>
    <cellStyle name="20% - Accent2 3 2 3" xfId="101"/>
    <cellStyle name="20% - Accent3 3 10" xfId="102"/>
    <cellStyle name="20% - Accent3 3 2 3" xfId="103"/>
    <cellStyle name="20% - Accent4 3 10" xfId="104"/>
    <cellStyle name="20% - Accent4 3 2 3" xfId="105"/>
    <cellStyle name="20% - Accent1 3 3 2" xfId="106"/>
    <cellStyle name="20% - Accent2 3 3 2" xfId="107"/>
    <cellStyle name="20% - Accent3 3 3 2" xfId="108"/>
    <cellStyle name="20% - Accent4 3 3 2" xfId="109"/>
    <cellStyle name="20% - Accent1 4 7" xfId="110"/>
    <cellStyle name="20% - Accent2 4 7" xfId="111"/>
    <cellStyle name="20% - Accent3 4 7" xfId="112"/>
    <cellStyle name="20% - Accent1 5 4" xfId="113"/>
    <cellStyle name="20% - Accent2 5 4" xfId="114"/>
    <cellStyle name="20% - Accent3 5 4" xfId="115"/>
    <cellStyle name="20% - Accent1 3 4 2" xfId="116"/>
    <cellStyle name="20% - Accent4 3 4 2" xfId="117"/>
    <cellStyle name="20% - Accent2 3 4 2" xfId="118"/>
    <cellStyle name="20% - Accent3 3 4 2" xfId="119"/>
    <cellStyle name="20% - Accent1 3 2 2 2" xfId="120"/>
    <cellStyle name="20% - Accent2 3 2 2 2" xfId="121"/>
    <cellStyle name="20% - Accent3 3 2 2 2" xfId="122"/>
    <cellStyle name="20% - Accent4 3 2 2 2" xfId="123"/>
    <cellStyle name="20% - Accent1 4 2 2" xfId="124"/>
    <cellStyle name="20% - Accent2 4 2 2" xfId="125"/>
    <cellStyle name="20% - Accent3 4 2 2" xfId="126"/>
    <cellStyle name="20% - Accent4 4 2 2" xfId="127"/>
    <cellStyle name="20% - Accent1 3 5 2" xfId="128"/>
    <cellStyle name="20% - Accent2 3 5 2" xfId="129"/>
    <cellStyle name="20% - Accent3 3 5 2" xfId="130"/>
    <cellStyle name="20% - Accent4 3 5 2" xfId="131"/>
    <cellStyle name="20% - Accent1 4 3 2" xfId="132"/>
    <cellStyle name="20% - Accent2 4 3 2" xfId="133"/>
    <cellStyle name="20% - Accent3 4 3 2" xfId="134"/>
    <cellStyle name="20% - Accent4 4 3 2" xfId="135"/>
    <cellStyle name="20% - Accent1 5 2 2" xfId="136"/>
    <cellStyle name="20% - Accent2 5 2 2" xfId="137"/>
    <cellStyle name="20% - Accent3 5 2 2" xfId="138"/>
    <cellStyle name="20% - Accent1 3 6 2" xfId="139"/>
    <cellStyle name="20% - Accent4 3 6 2" xfId="140"/>
    <cellStyle name="20% - Accent2 3 6 2" xfId="141"/>
    <cellStyle name="20% - Accent3 3 6 2" xfId="142"/>
    <cellStyle name="20% - Accent1 3 7 2" xfId="143"/>
    <cellStyle name="20% - Accent2 3 7 2" xfId="144"/>
    <cellStyle name="20% - Accent3 3 7 2" xfId="145"/>
    <cellStyle name="20% - Accent4 3 7 2" xfId="146"/>
    <cellStyle name="20% - Accent1 4 4 2" xfId="147"/>
    <cellStyle name="20% - Accent2 4 4 2" xfId="148"/>
    <cellStyle name="20% - Accent3 4 4 2" xfId="149"/>
    <cellStyle name="20% - Accent4 4 4 2" xfId="150"/>
    <cellStyle name="20% - Accent1 3 8 2" xfId="151"/>
    <cellStyle name="20% - Accent2 3 8 2" xfId="152"/>
    <cellStyle name="20% - Accent3 3 8 2" xfId="153"/>
    <cellStyle name="20% - Accent4 3 8 2" xfId="154"/>
    <cellStyle name="20% - Accent1 4 5 2" xfId="155"/>
    <cellStyle name="20% - Accent2 4 5 2" xfId="156"/>
    <cellStyle name="20% - Accent3 4 5 2" xfId="157"/>
    <cellStyle name="20% - Accent4 4 5 2" xfId="158"/>
    <cellStyle name="20% - Accent1 6" xfId="159"/>
    <cellStyle name="20% - Accent2 6" xfId="160"/>
    <cellStyle name="20% - Accent3 6" xfId="161"/>
    <cellStyle name="20% - Accent1 3 9" xfId="162"/>
    <cellStyle name="20% - Accent2 3 9" xfId="163"/>
    <cellStyle name="20% - Accent3 3 9" xfId="164"/>
    <cellStyle name="20% - Accent4 3 9" xfId="165"/>
    <cellStyle name="20% - Accent1 4 6" xfId="166"/>
    <cellStyle name="20% - Accent2 4 6" xfId="167"/>
    <cellStyle name="20% - Accent3 4 6" xfId="168"/>
    <cellStyle name="20% - Accent4 4 6" xfId="169"/>
    <cellStyle name="20% - Accent1 5 3" xfId="170"/>
    <cellStyle name="20% - Accent2 5 3" xfId="171"/>
    <cellStyle name="20% - Accent3 5 3" xfId="172"/>
    <cellStyle name="20% - Accent1 3 14" xfId="173"/>
    <cellStyle name="20% - Accent1 3 2 12" xfId="174"/>
    <cellStyle name="20% - Accent2 3 14" xfId="175"/>
    <cellStyle name="20% - Accent2 3 2 12" xfId="176"/>
    <cellStyle name="20% - Accent3 3 14" xfId="177"/>
    <cellStyle name="20% - Accent3 3 2 12" xfId="178"/>
    <cellStyle name="20% - Accent4 3 14" xfId="179"/>
    <cellStyle name="20% - Accent4 3 2 12" xfId="180"/>
    <cellStyle name="20% - Accent1 3 3 10" xfId="181"/>
    <cellStyle name="20% - Accent2 3 3 10" xfId="182"/>
    <cellStyle name="20% - Accent3 3 3 10" xfId="183"/>
    <cellStyle name="20% - Accent4 3 3 10" xfId="184"/>
    <cellStyle name="20% - Accent1 4 13" xfId="185"/>
    <cellStyle name="20% - Accent2 4 13" xfId="186"/>
    <cellStyle name="20% - Accent3 4 13" xfId="187"/>
    <cellStyle name="20% - Accent4 4 13" xfId="188"/>
    <cellStyle name="20% - Accent1 5 12" xfId="189"/>
    <cellStyle name="20% - Accent2 5 12" xfId="190"/>
    <cellStyle name="20% - Accent3 5 12" xfId="191"/>
    <cellStyle name="20% - Accent1 3 4 7" xfId="192"/>
    <cellStyle name="20% - Accent4 3 4 7" xfId="193"/>
    <cellStyle name="20% - Accent2 3 4 7" xfId="194"/>
    <cellStyle name="20% - Accent3 3 4 7" xfId="195"/>
    <cellStyle name="20% - Accent1 3 2 2 9" xfId="196"/>
    <cellStyle name="20% - Accent2 3 2 2 9" xfId="197"/>
    <cellStyle name="20% - Accent3 3 2 2 9" xfId="198"/>
    <cellStyle name="20% - Accent4 3 2 2 9" xfId="199"/>
    <cellStyle name="20% - Accent1 4 2 10" xfId="200"/>
    <cellStyle name="20% - Accent2 4 2 10" xfId="201"/>
    <cellStyle name="20% - Accent3 4 2 10" xfId="202"/>
    <cellStyle name="20% - Accent4 4 2 10" xfId="203"/>
    <cellStyle name="20% - Accent1 3 5 7" xfId="204"/>
    <cellStyle name="20% - Accent2 3 5 7" xfId="205"/>
    <cellStyle name="20% - Accent3 3 5 7" xfId="206"/>
    <cellStyle name="20% - Accent4 3 5 7" xfId="207"/>
    <cellStyle name="20% - Accent1 4 3 7" xfId="208"/>
    <cellStyle name="20% - Accent2 4 3 7" xfId="209"/>
    <cellStyle name="20% - Accent3 4 3 7" xfId="210"/>
    <cellStyle name="20% - Accent4 4 3 7" xfId="211"/>
    <cellStyle name="20% - Accent1 5 2 9" xfId="212"/>
    <cellStyle name="20% - Accent2 5 2 9" xfId="213"/>
    <cellStyle name="20% - Accent3 5 2 9" xfId="214"/>
    <cellStyle name="20% - Accent1 3 6 6" xfId="215"/>
    <cellStyle name="20% - Accent4 3 6 6" xfId="216"/>
    <cellStyle name="20% - Accent2 3 6 6" xfId="217"/>
    <cellStyle name="20% - Accent3 3 6 6" xfId="218"/>
    <cellStyle name="20% - Accent1 3 7 5" xfId="219"/>
    <cellStyle name="20% - Accent2 3 7 5" xfId="220"/>
    <cellStyle name="20% - Accent3 3 7 5" xfId="221"/>
    <cellStyle name="20% - Accent4 3 7 5" xfId="222"/>
    <cellStyle name="20% - Accent1 4 4 6" xfId="223"/>
    <cellStyle name="20% - Accent2 4 4 6" xfId="224"/>
    <cellStyle name="20% - Accent3 4 4 6" xfId="225"/>
    <cellStyle name="20% - Accent4 4 4 6" xfId="226"/>
    <cellStyle name="20% - Accent1 3 8 5" xfId="227"/>
    <cellStyle name="20% - Accent2 3 8 5" xfId="228"/>
    <cellStyle name="20% - Accent3 3 8 5" xfId="229"/>
    <cellStyle name="20% - Accent4 3 8 5" xfId="230"/>
    <cellStyle name="20% - Accent1 4 5 6" xfId="231"/>
    <cellStyle name="20% - Accent2 4 5 6" xfId="232"/>
    <cellStyle name="20% - Accent3 4 5 6" xfId="233"/>
    <cellStyle name="20% - Accent4 4 5 6" xfId="234"/>
    <cellStyle name="20% - Accent1 8" xfId="235"/>
    <cellStyle name="20% - Accent2 8" xfId="236"/>
    <cellStyle name="20% - Accent3 8" xfId="237"/>
    <cellStyle name="20% - Accent1 3 13" xfId="238"/>
    <cellStyle name="20% - Accent4 3 13" xfId="239"/>
    <cellStyle name="20% - Accent2 3 13" xfId="240"/>
    <cellStyle name="20% - Accent3 3 13" xfId="241"/>
    <cellStyle name="20% - Accent1 3 3 9" xfId="242"/>
    <cellStyle name="20% - Accent1 3 2 11" xfId="243"/>
    <cellStyle name="20% - Accent2 3 3 9" xfId="244"/>
    <cellStyle name="20% - Accent2 3 2 11" xfId="245"/>
    <cellStyle name="20% - Accent3 3 3 9" xfId="246"/>
    <cellStyle name="20% - Accent3 3 2 11" xfId="247"/>
    <cellStyle name="20% - Accent4 3 3 9" xfId="248"/>
    <cellStyle name="20% - Accent4 3 2 11" xfId="249"/>
    <cellStyle name="20% - Accent1 3 4 6" xfId="250"/>
    <cellStyle name="20% - Accent4 3 4 6" xfId="251"/>
    <cellStyle name="20% - Accent2 3 4 6" xfId="252"/>
    <cellStyle name="20% - Accent3 3 4 6" xfId="253"/>
    <cellStyle name="20% - Accent1 3 3 2 5" xfId="254"/>
    <cellStyle name="20% - Accent1 3 2 2 8" xfId="255"/>
    <cellStyle name="20% - Accent2 3 3 2 5" xfId="256"/>
    <cellStyle name="20% - Accent2 3 2 2 8" xfId="257"/>
    <cellStyle name="20% - Accent3 3 3 2 5" xfId="258"/>
    <cellStyle name="20% - Accent3 3 2 2 8" xfId="259"/>
    <cellStyle name="20% - Accent4 3 3 2 5" xfId="260"/>
    <cellStyle name="20% - Accent4 3 2 2 8" xfId="261"/>
    <cellStyle name="20% - Accent1 3 10 2" xfId="262"/>
    <cellStyle name="20% - Accent1 3 2 2 2 5" xfId="263"/>
    <cellStyle name="20% - Accent1 3 2 2 2 2" xfId="264"/>
    <cellStyle name="20% - Accent1 3 2 2 2 2 2" xfId="265"/>
    <cellStyle name="20% - Accent1 3 2 2 2 2 2 2" xfId="266"/>
    <cellStyle name="20% - Accent1 3 2 2 2 2 3" xfId="267"/>
    <cellStyle name="20% - Accent1 3 2 2 2 3" xfId="268"/>
    <cellStyle name="20% - Accent1 3 2 2 2 3 2" xfId="269"/>
    <cellStyle name="20% - Accent1 3 2 2 2 4" xfId="270"/>
    <cellStyle name="20% - Accent1 3 2 2 3" xfId="271"/>
    <cellStyle name="20% - Accent1 3 2 2 3 2" xfId="272"/>
    <cellStyle name="20% - Accent1 3 2 2 3 2 2" xfId="273"/>
    <cellStyle name="20% - Accent1 3 2 2 3 2 2 2" xfId="274"/>
    <cellStyle name="20% - Accent1 3 2 2 3 2 3" xfId="275"/>
    <cellStyle name="20% - Accent1 3 2 2 3 3" xfId="276"/>
    <cellStyle name="20% - Accent1 3 2 2 3 3 2" xfId="277"/>
    <cellStyle name="20% - Accent1 3 2 2 3 4" xfId="278"/>
    <cellStyle name="20% - Accent1 3 2 2 4" xfId="279"/>
    <cellStyle name="20% - Accent1 3 2 2 4 2" xfId="280"/>
    <cellStyle name="20% - Accent1 3 2 2 4 2 2" xfId="281"/>
    <cellStyle name="20% - Accent1 3 2 2 4 2 2 2" xfId="282"/>
    <cellStyle name="20% - Accent1 3 2 2 4 2 3" xfId="283"/>
    <cellStyle name="20% - Accent1 3 2 2 4 3" xfId="284"/>
    <cellStyle name="20% - Accent1 3 2 2 4 3 2" xfId="285"/>
    <cellStyle name="20% - Accent1 3 2 2 4 4" xfId="286"/>
    <cellStyle name="20% - Accent1 3 2 2 5" xfId="287"/>
    <cellStyle name="20% - Accent1 3 2 2 5 2" xfId="288"/>
    <cellStyle name="20% - Accent1 3 2 2 5 2 2" xfId="289"/>
    <cellStyle name="20% - Accent1 3 2 2 5 3" xfId="290"/>
    <cellStyle name="20% - Accent1 3 2 2 6" xfId="291"/>
    <cellStyle name="20% - Accent1 3 2 2 6 2" xfId="292"/>
    <cellStyle name="20% - Accent1 3 2 2 7" xfId="293"/>
    <cellStyle name="20% - Accent1 3 2 3 5" xfId="294"/>
    <cellStyle name="20% - Accent1 3 2 3 2" xfId="295"/>
    <cellStyle name="20% - Accent1 3 2 3 2 2" xfId="296"/>
    <cellStyle name="20% - Accent1 3 2 3 2 2 2" xfId="297"/>
    <cellStyle name="20% - Accent1 3 2 3 2 3" xfId="298"/>
    <cellStyle name="20% - Accent1 3 2 3 3" xfId="299"/>
    <cellStyle name="20% - Accent1 3 2 3 3 2" xfId="300"/>
    <cellStyle name="20% - Accent1 3 2 3 4" xfId="301"/>
    <cellStyle name="20% - Accent1 3 2 4" xfId="302"/>
    <cellStyle name="20% - Accent1 3 2 4 2" xfId="303"/>
    <cellStyle name="20% - Accent1 3 2 4 2 2" xfId="304"/>
    <cellStyle name="20% - Accent1 3 2 4 2 2 2" xfId="305"/>
    <cellStyle name="20% - Accent1 3 2 4 2 3" xfId="306"/>
    <cellStyle name="20% - Accent1 3 2 4 3" xfId="307"/>
    <cellStyle name="20% - Accent1 3 2 4 3 2" xfId="308"/>
    <cellStyle name="20% - Accent1 3 2 4 4" xfId="309"/>
    <cellStyle name="20% - Accent1 3 2 5" xfId="310"/>
    <cellStyle name="20% - Accent1 3 2 5 2" xfId="311"/>
    <cellStyle name="20% - Accent1 3 2 5 2 2" xfId="312"/>
    <cellStyle name="20% - Accent1 3 2 5 2 2 2" xfId="313"/>
    <cellStyle name="20% - Accent1 3 2 5 2 3" xfId="314"/>
    <cellStyle name="20% - Accent1 3 2 5 3" xfId="315"/>
    <cellStyle name="20% - Accent1 3 2 5 3 2" xfId="316"/>
    <cellStyle name="20% - Accent1 3 2 5 4" xfId="317"/>
    <cellStyle name="20% - Accent1 3 2 6" xfId="318"/>
    <cellStyle name="20% - Accent1 3 2 6 2" xfId="319"/>
    <cellStyle name="20% - Accent1 3 2 6 2 2" xfId="320"/>
    <cellStyle name="20% - Accent1 3 2 6 3" xfId="321"/>
    <cellStyle name="20% - Accent1 3 2 7" xfId="322"/>
    <cellStyle name="20% - Accent1 3 2 7 2" xfId="323"/>
    <cellStyle name="20% - Accent1 3 2 7 2 2" xfId="324"/>
    <cellStyle name="20% - Accent1 3 2 7 3" xfId="325"/>
    <cellStyle name="20% - Accent1 3 2 8" xfId="326"/>
    <cellStyle name="20% - Accent1 3 2 8 2" xfId="327"/>
    <cellStyle name="20% - Accent1 3 2 9" xfId="328"/>
    <cellStyle name="20% - Accent1 3 3 2 2" xfId="329"/>
    <cellStyle name="20% - Accent1 3 3 2 2 2" xfId="330"/>
    <cellStyle name="20% - Accent1 3 3 2 2 2 2" xfId="331"/>
    <cellStyle name="20% - Accent1 3 3 2 2 3" xfId="332"/>
    <cellStyle name="20% - Accent1 3 3 2 3" xfId="333"/>
    <cellStyle name="20% - Accent1 3 3 2 3 2" xfId="334"/>
    <cellStyle name="20% - Accent1 3 3 2 4" xfId="335"/>
    <cellStyle name="20% - Accent1 3 3 3" xfId="336"/>
    <cellStyle name="20% - Accent1 3 3 3 2" xfId="337"/>
    <cellStyle name="20% - Accent1 3 3 3 2 2" xfId="338"/>
    <cellStyle name="20% - Accent1 3 3 3 2 2 2" xfId="339"/>
    <cellStyle name="20% - Accent1 3 3 3 2 3" xfId="340"/>
    <cellStyle name="20% - Accent1 3 3 3 3" xfId="341"/>
    <cellStyle name="20% - Accent1 3 3 3 3 2" xfId="342"/>
    <cellStyle name="20% - Accent1 3 3 3 4" xfId="343"/>
    <cellStyle name="20% - Accent1 3 3 4" xfId="344"/>
    <cellStyle name="20% - Accent1 3 3 4 2" xfId="345"/>
    <cellStyle name="20% - Accent1 3 3 4 2 2" xfId="346"/>
    <cellStyle name="20% - Accent1 3 3 4 2 2 2" xfId="347"/>
    <cellStyle name="20% - Accent1 3 3 4 2 3" xfId="348"/>
    <cellStyle name="20% - Accent1 3 3 4 3" xfId="349"/>
    <cellStyle name="20% - Accent1 3 3 4 3 2" xfId="350"/>
    <cellStyle name="20% - Accent1 3 3 4 4" xfId="351"/>
    <cellStyle name="20% - Accent1 3 3 5" xfId="352"/>
    <cellStyle name="20% - Accent1 3 3 5 2" xfId="353"/>
    <cellStyle name="20% - Accent1 3 3 5 2 2" xfId="354"/>
    <cellStyle name="20% - Accent1 3 3 5 3" xfId="355"/>
    <cellStyle name="20% - Accent1 3 3 6" xfId="356"/>
    <cellStyle name="20% - Accent1 3 3 6 2" xfId="357"/>
    <cellStyle name="20% - Accent1 3 3 7" xfId="358"/>
    <cellStyle name="20% - Accent1 3 4 2 4" xfId="359"/>
    <cellStyle name="20% - Accent1 3 4 2 2" xfId="360"/>
    <cellStyle name="20% - Accent1 3 4 2 2 2" xfId="361"/>
    <cellStyle name="20% - Accent1 3 4 2 3" xfId="362"/>
    <cellStyle name="20% - Accent1 3 4 3" xfId="363"/>
    <cellStyle name="20% - Accent1 3 4 3 2" xfId="364"/>
    <cellStyle name="20% - Accent1 3 4 4" xfId="365"/>
    <cellStyle name="20% - Accent1 3 5 6" xfId="366"/>
    <cellStyle name="20% - Accent1 3 5 2 4" xfId="367"/>
    <cellStyle name="20% - Accent1 3 5 2 2" xfId="368"/>
    <cellStyle name="20% - Accent1 3 5 2 2 2" xfId="369"/>
    <cellStyle name="20% - Accent1 3 5 2 3" xfId="370"/>
    <cellStyle name="20% - Accent1 3 5 3" xfId="371"/>
    <cellStyle name="20% - Accent1 3 5 3 2" xfId="372"/>
    <cellStyle name="20% - Accent1 3 5 4" xfId="373"/>
    <cellStyle name="20% - Accent1 3 6 5" xfId="374"/>
    <cellStyle name="20% - Accent1 3 6 2 4" xfId="375"/>
    <cellStyle name="20% - Accent1 3 6 2 2" xfId="376"/>
    <cellStyle name="20% - Accent1 3 6 2 2 2" xfId="377"/>
    <cellStyle name="20% - Accent1 3 6 2 3" xfId="378"/>
    <cellStyle name="20% - Accent1 3 6 3" xfId="379"/>
    <cellStyle name="20% - Accent1 3 6 3 2" xfId="380"/>
    <cellStyle name="20% - Accent1 3 6 4" xfId="381"/>
    <cellStyle name="20% - Accent1 3 7 4" xfId="382"/>
    <cellStyle name="20% - Accent1 3 7 2 3" xfId="383"/>
    <cellStyle name="20% - Accent1 3 7 2 2" xfId="384"/>
    <cellStyle name="20% - Accent1 3 7 3" xfId="385"/>
    <cellStyle name="20% - Accent1 3 8 4" xfId="386"/>
    <cellStyle name="20% - Accent1 3 8 2 3" xfId="387"/>
    <cellStyle name="20% - Accent1 3 8 2 2" xfId="388"/>
    <cellStyle name="20% - Accent1 3 8 3" xfId="389"/>
    <cellStyle name="20% - Accent1 3 9 3" xfId="390"/>
    <cellStyle name="20% - Accent1 3 9 2" xfId="391"/>
    <cellStyle name="20% - Accent1 4 12" xfId="392"/>
    <cellStyle name="20% - Accent1 4 2 9" xfId="393"/>
    <cellStyle name="20% - Accent1 4 2 2 5" xfId="394"/>
    <cellStyle name="20% - Accent1 4 2 2 2" xfId="395"/>
    <cellStyle name="20% - Accent1 4 2 2 2 2" xfId="396"/>
    <cellStyle name="20% - Accent1 4 2 2 2 2 2" xfId="397"/>
    <cellStyle name="20% - Accent1 4 2 2 2 3" xfId="398"/>
    <cellStyle name="20% - Accent1 4 2 2 3" xfId="399"/>
    <cellStyle name="20% - Accent1 4 2 2 3 2" xfId="400"/>
    <cellStyle name="20% - Accent1 4 2 2 4" xfId="401"/>
    <cellStyle name="20% - Accent1 4 2 3" xfId="402"/>
    <cellStyle name="20% - Accent1 4 2 3 2" xfId="403"/>
    <cellStyle name="20% - Accent1 4 2 3 2 2" xfId="404"/>
    <cellStyle name="20% - Accent1 4 2 3 2 2 2" xfId="405"/>
    <cellStyle name="20% - Accent1 4 2 3 2 3" xfId="406"/>
    <cellStyle name="20% - Accent1 4 2 3 3" xfId="407"/>
    <cellStyle name="20% - Accent1 4 2 3 3 2" xfId="408"/>
    <cellStyle name="20% - Accent1 4 2 3 4" xfId="409"/>
    <cellStyle name="20% - Accent1 4 2 4" xfId="410"/>
    <cellStyle name="20% - Accent1 4 2 4 2" xfId="411"/>
    <cellStyle name="20% - Accent1 4 2 4 2 2" xfId="412"/>
    <cellStyle name="20% - Accent1 4 2 4 2 2 2" xfId="413"/>
    <cellStyle name="20% - Accent1 4 2 4 2 3" xfId="414"/>
    <cellStyle name="20% - Accent1 4 2 4 3" xfId="415"/>
    <cellStyle name="20% - Accent1 4 2 4 3 2" xfId="416"/>
    <cellStyle name="20% - Accent1 4 2 4 4" xfId="417"/>
    <cellStyle name="20% - Accent1 4 2 5" xfId="418"/>
    <cellStyle name="20% - Accent1 4 2 5 2" xfId="419"/>
    <cellStyle name="20% - Accent1 4 2 5 2 2" xfId="420"/>
    <cellStyle name="20% - Accent1 4 2 5 3" xfId="421"/>
    <cellStyle name="20% - Accent1 4 2 6" xfId="422"/>
    <cellStyle name="20% - Accent1 4 2 6 2" xfId="423"/>
    <cellStyle name="20% - Accent1 4 2 7" xfId="424"/>
    <cellStyle name="20% - Accent1 4 3 6" xfId="425"/>
    <cellStyle name="20% - Accent1 4 3 2 4" xfId="426"/>
    <cellStyle name="20% - Accent1 4 3 2 2" xfId="427"/>
    <cellStyle name="20% - Accent1 4 3 2 2 2" xfId="428"/>
    <cellStyle name="20% - Accent1 4 3 2 3" xfId="429"/>
    <cellStyle name="20% - Accent1 4 3 3" xfId="430"/>
    <cellStyle name="20% - Accent1 4 3 3 2" xfId="431"/>
    <cellStyle name="20% - Accent1 4 3 4" xfId="432"/>
    <cellStyle name="20% - Accent1 4 4 5" xfId="433"/>
    <cellStyle name="20% - Accent1 4 4 2 4" xfId="434"/>
    <cellStyle name="20% - Accent1 4 4 2 2" xfId="435"/>
    <cellStyle name="20% - Accent1 4 4 2 2 2" xfId="436"/>
    <cellStyle name="20% - Accent1 4 4 2 3" xfId="437"/>
    <cellStyle name="20% - Accent1 4 4 3" xfId="438"/>
    <cellStyle name="20% - Accent1 4 4 3 2" xfId="439"/>
    <cellStyle name="20% - Accent1 4 4 4" xfId="440"/>
    <cellStyle name="20% - Accent1 4 5 5" xfId="441"/>
    <cellStyle name="20% - Accent1 4 5 2 4" xfId="442"/>
    <cellStyle name="20% - Accent1 4 5 2 2" xfId="443"/>
    <cellStyle name="20% - Accent1 4 5 2 2 2" xfId="444"/>
    <cellStyle name="20% - Accent1 4 5 2 3" xfId="445"/>
    <cellStyle name="20% - Accent1 4 5 3" xfId="446"/>
    <cellStyle name="20% - Accent1 4 5 3 2" xfId="447"/>
    <cellStyle name="20% - Accent1 4 5 4" xfId="448"/>
    <cellStyle name="20% - Accent1 4 6 4" xfId="449"/>
    <cellStyle name="20% - Accent1 4 6 2" xfId="450"/>
    <cellStyle name="20% - Accent1 4 6 2 2" xfId="451"/>
    <cellStyle name="20% - Accent1 4 6 3" xfId="452"/>
    <cellStyle name="20% - Accent1 4 7 4" xfId="453"/>
    <cellStyle name="20% - Accent1 4 7 2" xfId="454"/>
    <cellStyle name="20% - Accent1 4 7 2 2" xfId="455"/>
    <cellStyle name="20% - Accent1 4 7 3" xfId="456"/>
    <cellStyle name="20% - Accent1 4 8" xfId="457"/>
    <cellStyle name="20% - Accent1 4 8 2" xfId="458"/>
    <cellStyle name="20% - Accent1 4 9" xfId="459"/>
    <cellStyle name="20% - Accent1 5 11" xfId="460"/>
    <cellStyle name="20% - Accent1 5 2 8" xfId="461"/>
    <cellStyle name="20% - Accent1 5 2 2 5" xfId="462"/>
    <cellStyle name="20% - Accent1 5 2 2 2" xfId="463"/>
    <cellStyle name="20% - Accent1 5 2 2 2 2" xfId="464"/>
    <cellStyle name="20% - Accent1 5 2 2 2 2 2" xfId="465"/>
    <cellStyle name="20% - Accent1 5 2 2 2 3" xfId="466"/>
    <cellStyle name="20% - Accent1 5 2 2 3" xfId="467"/>
    <cellStyle name="20% - Accent1 5 2 2 3 2" xfId="468"/>
    <cellStyle name="20% - Accent1 5 2 2 4" xfId="469"/>
    <cellStyle name="20% - Accent1 5 2 3" xfId="470"/>
    <cellStyle name="20% - Accent1 5 2 3 2" xfId="471"/>
    <cellStyle name="20% - Accent1 5 2 3 2 2" xfId="472"/>
    <cellStyle name="20% - Accent1 5 2 3 2 2 2" xfId="473"/>
    <cellStyle name="20% - Accent1 5 2 3 2 3" xfId="474"/>
    <cellStyle name="20% - Accent1 5 2 3 3" xfId="475"/>
    <cellStyle name="20% - Accent1 5 2 3 3 2" xfId="476"/>
    <cellStyle name="20% - Accent1 5 2 3 4" xfId="477"/>
    <cellStyle name="20% - Accent1 5 2 4" xfId="478"/>
    <cellStyle name="20% - Accent1 5 2 4 2" xfId="479"/>
    <cellStyle name="20% - Accent1 5 2 4 2 2" xfId="480"/>
    <cellStyle name="20% - Accent1 5 2 4 2 2 2" xfId="481"/>
    <cellStyle name="20% - Accent1 5 2 4 2 3" xfId="482"/>
    <cellStyle name="20% - Accent1 5 2 4 3" xfId="483"/>
    <cellStyle name="20% - Accent1 5 2 4 3 2" xfId="484"/>
    <cellStyle name="20% - Accent1 5 2 4 4" xfId="485"/>
    <cellStyle name="20% - Accent1 5 2 5" xfId="486"/>
    <cellStyle name="20% - Accent1 5 2 5 2" xfId="487"/>
    <cellStyle name="20% - Accent1 5 2 5 2 2" xfId="488"/>
    <cellStyle name="20% - Accent1 5 2 5 3" xfId="489"/>
    <cellStyle name="20% - Accent1 5 2 6" xfId="490"/>
    <cellStyle name="20% - Accent1 5 2 6 2" xfId="491"/>
    <cellStyle name="20% - Accent1 5 2 7" xfId="492"/>
    <cellStyle name="20% - Accent1 5 3 5" xfId="493"/>
    <cellStyle name="20% - Accent1 5 3 2" xfId="494"/>
    <cellStyle name="20% - Accent1 5 3 2 2" xfId="495"/>
    <cellStyle name="20% - Accent1 5 3 2 2 2" xfId="496"/>
    <cellStyle name="20% - Accent1 5 3 2 3" xfId="497"/>
    <cellStyle name="20% - Accent1 5 3 3" xfId="498"/>
    <cellStyle name="20% - Accent1 5 3 3 2" xfId="499"/>
    <cellStyle name="20% - Accent1 5 3 4" xfId="500"/>
    <cellStyle name="20% - Accent1 5 4 5" xfId="501"/>
    <cellStyle name="20% - Accent1 5 4 2" xfId="502"/>
    <cellStyle name="20% - Accent1 5 4 2 2" xfId="503"/>
    <cellStyle name="20% - Accent1 5 4 2 2 2" xfId="504"/>
    <cellStyle name="20% - Accent1 5 4 2 3" xfId="505"/>
    <cellStyle name="20% - Accent1 5 4 3" xfId="506"/>
    <cellStyle name="20% - Accent1 5 4 3 2" xfId="507"/>
    <cellStyle name="20% - Accent1 5 4 4" xfId="508"/>
    <cellStyle name="20% - Accent1 5 5" xfId="509"/>
    <cellStyle name="20% - Accent1 5 5 2" xfId="510"/>
    <cellStyle name="20% - Accent1 5 5 2 2" xfId="511"/>
    <cellStyle name="20% - Accent1 5 5 2 2 2" xfId="512"/>
    <cellStyle name="20% - Accent1 5 5 2 3" xfId="513"/>
    <cellStyle name="20% - Accent1 5 5 3" xfId="514"/>
    <cellStyle name="20% - Accent1 5 5 3 2" xfId="515"/>
    <cellStyle name="20% - Accent1 5 5 4" xfId="516"/>
    <cellStyle name="20% - Accent1 5 6" xfId="517"/>
    <cellStyle name="20% - Accent1 5 6 2" xfId="518"/>
    <cellStyle name="20% - Accent1 5 6 2 2" xfId="519"/>
    <cellStyle name="20% - Accent1 5 6 3" xfId="520"/>
    <cellStyle name="20% - Accent1 5 7" xfId="521"/>
    <cellStyle name="20% - Accent1 5 7 2" xfId="522"/>
    <cellStyle name="20% - Accent1 5 7 2 2" xfId="523"/>
    <cellStyle name="20% - Accent1 5 7 3" xfId="524"/>
    <cellStyle name="20% - Accent1 5 8" xfId="525"/>
    <cellStyle name="20% - Accent1 5 8 2" xfId="526"/>
    <cellStyle name="20% - Accent1 5 9" xfId="527"/>
    <cellStyle name="20% - Accent1 6 10" xfId="528"/>
    <cellStyle name="20% - Accent1 6 2" xfId="529"/>
    <cellStyle name="20% - Accent1 6 2 2" xfId="530"/>
    <cellStyle name="20% - Accent1 6 2 2 2" xfId="531"/>
    <cellStyle name="20% - Accent1 6 2 2 2 2" xfId="532"/>
    <cellStyle name="20% - Accent1 6 2 2 2 2 2" xfId="533"/>
    <cellStyle name="20% - Accent1 6 2 2 2 3" xfId="534"/>
    <cellStyle name="20% - Accent1 6 2 2 3" xfId="535"/>
    <cellStyle name="20% - Accent1 6 2 2 3 2" xfId="536"/>
    <cellStyle name="20% - Accent1 6 2 2 4" xfId="537"/>
    <cellStyle name="20% - Accent1 6 2 3" xfId="538"/>
    <cellStyle name="20% - Accent1 6 2 3 2" xfId="539"/>
    <cellStyle name="20% - Accent1 6 2 3 2 2" xfId="540"/>
    <cellStyle name="20% - Accent1 6 2 3 2 2 2" xfId="541"/>
    <cellStyle name="20% - Accent1 6 2 3 2 3" xfId="542"/>
    <cellStyle name="20% - Accent1 6 2 3 3" xfId="543"/>
    <cellStyle name="20% - Accent1 6 2 3 3 2" xfId="544"/>
    <cellStyle name="20% - Accent1 6 2 3 4" xfId="545"/>
    <cellStyle name="20% - Accent1 6 2 4" xfId="546"/>
    <cellStyle name="20% - Accent1 6 2 4 2" xfId="547"/>
    <cellStyle name="20% - Accent1 6 2 4 2 2" xfId="548"/>
    <cellStyle name="20% - Accent1 6 2 4 2 2 2" xfId="549"/>
    <cellStyle name="20% - Accent1 6 2 4 2 3" xfId="550"/>
    <cellStyle name="20% - Accent1 6 2 4 3" xfId="551"/>
    <cellStyle name="20% - Accent1 6 2 4 3 2" xfId="552"/>
    <cellStyle name="20% - Accent1 6 2 4 4" xfId="553"/>
    <cellStyle name="20% - Accent1 6 2 5" xfId="554"/>
    <cellStyle name="20% - Accent1 6 2 5 2" xfId="555"/>
    <cellStyle name="20% - Accent1 6 2 5 2 2" xfId="556"/>
    <cellStyle name="20% - Accent1 6 2 5 3" xfId="557"/>
    <cellStyle name="20% - Accent1 6 2 6" xfId="558"/>
    <cellStyle name="20% - Accent1 6 2 6 2" xfId="559"/>
    <cellStyle name="20% - Accent1 6 2 7" xfId="560"/>
    <cellStyle name="20% - Accent1 6 3" xfId="561"/>
    <cellStyle name="20% - Accent1 6 3 2" xfId="562"/>
    <cellStyle name="20% - Accent1 6 3 2 2" xfId="563"/>
    <cellStyle name="20% - Accent1 6 3 2 2 2" xfId="564"/>
    <cellStyle name="20% - Accent1 6 3 2 3" xfId="565"/>
    <cellStyle name="20% - Accent1 6 3 3" xfId="566"/>
    <cellStyle name="20% - Accent1 6 3 3 2" xfId="567"/>
    <cellStyle name="20% - Accent1 6 3 4" xfId="568"/>
    <cellStyle name="20% - Accent1 6 4" xfId="569"/>
    <cellStyle name="20% - Accent1 6 4 2" xfId="570"/>
    <cellStyle name="20% - Accent1 6 4 2 2" xfId="571"/>
    <cellStyle name="20% - Accent1 6 4 2 2 2" xfId="572"/>
    <cellStyle name="20% - Accent1 6 4 2 3" xfId="573"/>
    <cellStyle name="20% - Accent1 6 4 3" xfId="574"/>
    <cellStyle name="20% - Accent1 6 4 3 2" xfId="575"/>
    <cellStyle name="20% - Accent1 6 4 4" xfId="576"/>
    <cellStyle name="20% - Accent1 6 5" xfId="577"/>
    <cellStyle name="20% - Accent1 6 5 2" xfId="578"/>
    <cellStyle name="20% - Accent1 6 5 2 2" xfId="579"/>
    <cellStyle name="20% - Accent1 6 5 2 2 2" xfId="580"/>
    <cellStyle name="20% - Accent1 6 5 2 3" xfId="581"/>
    <cellStyle name="20% - Accent1 6 5 3" xfId="582"/>
    <cellStyle name="20% - Accent1 6 5 3 2" xfId="583"/>
    <cellStyle name="20% - Accent1 6 5 4" xfId="584"/>
    <cellStyle name="20% - Accent1 6 6" xfId="585"/>
    <cellStyle name="20% - Accent1 6 6 2" xfId="586"/>
    <cellStyle name="20% - Accent1 6 6 2 2" xfId="587"/>
    <cellStyle name="20% - Accent1 6 6 3" xfId="588"/>
    <cellStyle name="20% - Accent1 6 7" xfId="589"/>
    <cellStyle name="20% - Accent1 6 7 2" xfId="590"/>
    <cellStyle name="20% - Accent1 6 7 2 2" xfId="591"/>
    <cellStyle name="20% - Accent1 6 7 3" xfId="592"/>
    <cellStyle name="20% - Accent1 6 8" xfId="593"/>
    <cellStyle name="20% - Accent1 6 8 2" xfId="594"/>
    <cellStyle name="20% - Accent1 6 9" xfId="595"/>
    <cellStyle name="20% - Accent2 3 10 2" xfId="596"/>
    <cellStyle name="20% - Accent2 3 2 2 2 5" xfId="597"/>
    <cellStyle name="20% - Accent2 3 2 2 2 2" xfId="598"/>
    <cellStyle name="20% - Accent2 3 2 2 2 2 2" xfId="599"/>
    <cellStyle name="20% - Accent2 3 2 2 2 2 2 2" xfId="600"/>
    <cellStyle name="20% - Accent2 3 2 2 2 2 3" xfId="601"/>
    <cellStyle name="20% - Accent2 3 2 2 2 3" xfId="602"/>
    <cellStyle name="20% - Accent2 3 2 2 2 3 2" xfId="603"/>
    <cellStyle name="20% - Accent2 3 2 2 2 4" xfId="604"/>
    <cellStyle name="20% - Accent2 3 2 2 3" xfId="605"/>
    <cellStyle name="20% - Accent2 3 2 2 3 2" xfId="606"/>
    <cellStyle name="20% - Accent2 3 2 2 3 2 2" xfId="607"/>
    <cellStyle name="20% - Accent2 3 2 2 3 2 2 2" xfId="608"/>
    <cellStyle name="20% - Accent2 3 2 2 3 2 3" xfId="609"/>
    <cellStyle name="20% - Accent2 3 2 2 3 3" xfId="610"/>
    <cellStyle name="20% - Accent2 3 2 2 3 3 2" xfId="611"/>
    <cellStyle name="20% - Accent2 3 2 2 3 4" xfId="612"/>
    <cellStyle name="20% - Accent2 3 2 2 4" xfId="613"/>
    <cellStyle name="20% - Accent2 3 2 2 4 2" xfId="614"/>
    <cellStyle name="20% - Accent2 3 2 2 4 2 2" xfId="615"/>
    <cellStyle name="20% - Accent2 3 2 2 4 2 2 2" xfId="616"/>
    <cellStyle name="20% - Accent2 3 2 2 4 2 3" xfId="617"/>
    <cellStyle name="20% - Accent2 3 2 2 4 3" xfId="618"/>
    <cellStyle name="20% - Accent2 3 2 2 4 3 2" xfId="619"/>
    <cellStyle name="20% - Accent2 3 2 2 4 4" xfId="620"/>
    <cellStyle name="20% - Accent2 3 2 2 5" xfId="621"/>
    <cellStyle name="20% - Accent2 3 2 2 5 2" xfId="622"/>
    <cellStyle name="20% - Accent2 3 2 2 5 2 2" xfId="623"/>
    <cellStyle name="20% - Accent2 3 2 2 5 3" xfId="624"/>
    <cellStyle name="20% - Accent2 3 2 2 6" xfId="625"/>
    <cellStyle name="20% - Accent2 3 2 2 6 2" xfId="626"/>
    <cellStyle name="20% - Accent2 3 2 2 7" xfId="627"/>
    <cellStyle name="20% - Accent2 3 2 3 5" xfId="628"/>
    <cellStyle name="20% - Accent2 3 2 3 2" xfId="629"/>
    <cellStyle name="20% - Accent2 3 2 3 2 2" xfId="630"/>
    <cellStyle name="20% - Accent2 3 2 3 2 2 2" xfId="631"/>
    <cellStyle name="20% - Accent2 3 2 3 2 3" xfId="632"/>
    <cellStyle name="20% - Accent2 3 2 3 3" xfId="633"/>
    <cellStyle name="20% - Accent2 3 2 3 3 2" xfId="634"/>
    <cellStyle name="20% - Accent2 3 2 3 4" xfId="635"/>
    <cellStyle name="20% - Accent2 3 2 4" xfId="636"/>
    <cellStyle name="20% - Accent2 3 2 4 2" xfId="637"/>
    <cellStyle name="20% - Accent2 3 2 4 2 2" xfId="638"/>
    <cellStyle name="20% - Accent2 3 2 4 2 2 2" xfId="639"/>
    <cellStyle name="20% - Accent2 3 2 4 2 3" xfId="640"/>
    <cellStyle name="20% - Accent2 3 2 4 3" xfId="641"/>
    <cellStyle name="20% - Accent2 3 2 4 3 2" xfId="642"/>
    <cellStyle name="20% - Accent2 3 2 4 4" xfId="643"/>
    <cellStyle name="20% - Accent2 3 2 5" xfId="644"/>
    <cellStyle name="20% - Accent2 3 2 5 2" xfId="645"/>
    <cellStyle name="20% - Accent2 3 2 5 2 2" xfId="646"/>
    <cellStyle name="20% - Accent2 3 2 5 2 2 2" xfId="647"/>
    <cellStyle name="20% - Accent2 3 2 5 2 3" xfId="648"/>
    <cellStyle name="20% - Accent2 3 2 5 3" xfId="649"/>
    <cellStyle name="20% - Accent2 3 2 5 3 2" xfId="650"/>
    <cellStyle name="20% - Accent2 3 2 5 4" xfId="651"/>
    <cellStyle name="20% - Accent2 3 2 6" xfId="652"/>
    <cellStyle name="20% - Accent2 3 2 6 2" xfId="653"/>
    <cellStyle name="20% - Accent2 3 2 6 2 2" xfId="654"/>
    <cellStyle name="20% - Accent2 3 2 6 3" xfId="655"/>
    <cellStyle name="20% - Accent2 3 2 7" xfId="656"/>
    <cellStyle name="20% - Accent2 3 2 7 2" xfId="657"/>
    <cellStyle name="20% - Accent2 3 2 7 2 2" xfId="658"/>
    <cellStyle name="20% - Accent2 3 2 7 3" xfId="659"/>
    <cellStyle name="20% - Accent2 3 2 8" xfId="660"/>
    <cellStyle name="20% - Accent2 3 2 8 2" xfId="661"/>
    <cellStyle name="20% - Accent2 3 2 9" xfId="662"/>
    <cellStyle name="20% - Accent2 3 3 2 2" xfId="663"/>
    <cellStyle name="20% - Accent2 3 3 2 2 2" xfId="664"/>
    <cellStyle name="20% - Accent2 3 3 2 2 2 2" xfId="665"/>
    <cellStyle name="20% - Accent2 3 3 2 2 3" xfId="666"/>
    <cellStyle name="20% - Accent2 3 3 2 3" xfId="667"/>
    <cellStyle name="20% - Accent2 3 3 2 3 2" xfId="668"/>
    <cellStyle name="20% - Accent2 3 3 2 4" xfId="669"/>
    <cellStyle name="20% - Accent2 3 3 3" xfId="670"/>
    <cellStyle name="20% - Accent2 3 3 3 2" xfId="671"/>
    <cellStyle name="20% - Accent2 3 3 3 2 2" xfId="672"/>
    <cellStyle name="20% - Accent2 3 3 3 2 2 2" xfId="673"/>
    <cellStyle name="20% - Accent2 3 3 3 2 3" xfId="674"/>
    <cellStyle name="20% - Accent2 3 3 3 3" xfId="675"/>
    <cellStyle name="20% - Accent2 3 3 3 3 2" xfId="676"/>
    <cellStyle name="20% - Accent2 3 3 3 4" xfId="677"/>
    <cellStyle name="20% - Accent2 3 3 4" xfId="678"/>
    <cellStyle name="20% - Accent2 3 3 4 2" xfId="679"/>
    <cellStyle name="20% - Accent2 3 3 4 2 2" xfId="680"/>
    <cellStyle name="20% - Accent2 3 3 4 2 2 2" xfId="681"/>
    <cellStyle name="20% - Accent2 3 3 4 2 3" xfId="682"/>
    <cellStyle name="20% - Accent2 3 3 4 3" xfId="683"/>
    <cellStyle name="20% - Accent2 3 3 4 3 2" xfId="684"/>
    <cellStyle name="20% - Accent2 3 3 4 4" xfId="685"/>
    <cellStyle name="20% - Accent2 3 3 5" xfId="686"/>
    <cellStyle name="20% - Accent2 3 3 5 2" xfId="687"/>
    <cellStyle name="20% - Accent2 3 3 5 2 2" xfId="688"/>
    <cellStyle name="20% - Accent2 3 3 5 3" xfId="689"/>
    <cellStyle name="20% - Accent2 3 3 6" xfId="690"/>
    <cellStyle name="20% - Accent2 3 3 6 2" xfId="691"/>
    <cellStyle name="20% - Accent2 3 3 7" xfId="692"/>
    <cellStyle name="20% - Accent2 3 4 2 4" xfId="693"/>
    <cellStyle name="20% - Accent2 3 4 2 2" xfId="694"/>
    <cellStyle name="20% - Accent2 3 4 2 2 2" xfId="695"/>
    <cellStyle name="20% - Accent2 3 4 2 3" xfId="696"/>
    <cellStyle name="20% - Accent2 3 4 3" xfId="697"/>
    <cellStyle name="20% - Accent2 3 4 3 2" xfId="698"/>
    <cellStyle name="20% - Accent2 3 4 4" xfId="699"/>
    <cellStyle name="20% - Accent2 3 5 6" xfId="700"/>
    <cellStyle name="20% - Accent2 3 5 2 4" xfId="701"/>
    <cellStyle name="20% - Accent2 3 5 2 2" xfId="702"/>
    <cellStyle name="20% - Accent2 3 5 2 2 2" xfId="703"/>
    <cellStyle name="20% - Accent2 3 5 2 3" xfId="704"/>
    <cellStyle name="20% - Accent2 3 5 3" xfId="705"/>
    <cellStyle name="20% - Accent2 3 5 3 2" xfId="706"/>
    <cellStyle name="20% - Accent2 3 5 4" xfId="707"/>
    <cellStyle name="20% - Accent2 3 6 5" xfId="708"/>
    <cellStyle name="20% - Accent2 3 6 2 4" xfId="709"/>
    <cellStyle name="20% - Accent2 3 6 2 2" xfId="710"/>
    <cellStyle name="20% - Accent2 3 6 2 2 2" xfId="711"/>
    <cellStyle name="20% - Accent2 3 6 2 3" xfId="712"/>
    <cellStyle name="20% - Accent2 3 6 3" xfId="713"/>
    <cellStyle name="20% - Accent2 3 6 3 2" xfId="714"/>
    <cellStyle name="20% - Accent2 3 6 4" xfId="715"/>
    <cellStyle name="20% - Accent2 3 7 4" xfId="716"/>
    <cellStyle name="20% - Accent2 3 7 2 3" xfId="717"/>
    <cellStyle name="20% - Accent2 3 7 2 2" xfId="718"/>
    <cellStyle name="20% - Accent2 3 7 3" xfId="719"/>
    <cellStyle name="20% - Accent2 3 8 4" xfId="720"/>
    <cellStyle name="20% - Accent2 3 8 2 3" xfId="721"/>
    <cellStyle name="20% - Accent2 3 8 2 2" xfId="722"/>
    <cellStyle name="20% - Accent2 3 8 3" xfId="723"/>
    <cellStyle name="20% - Accent2 3 9 3" xfId="724"/>
    <cellStyle name="20% - Accent2 3 9 2" xfId="725"/>
    <cellStyle name="20% - Accent2 4 12" xfId="726"/>
    <cellStyle name="20% - Accent2 4 2 9" xfId="727"/>
    <cellStyle name="20% - Accent2 4 2 2 5" xfId="728"/>
    <cellStyle name="20% - Accent2 4 2 2 2" xfId="729"/>
    <cellStyle name="20% - Accent2 4 2 2 2 2" xfId="730"/>
    <cellStyle name="20% - Accent2 4 2 2 2 2 2" xfId="731"/>
    <cellStyle name="20% - Accent2 4 2 2 2 3" xfId="732"/>
    <cellStyle name="20% - Accent2 4 2 2 3" xfId="733"/>
    <cellStyle name="20% - Accent2 4 2 2 3 2" xfId="734"/>
    <cellStyle name="20% - Accent2 4 2 2 4" xfId="735"/>
    <cellStyle name="20% - Accent2 4 2 3" xfId="736"/>
    <cellStyle name="20% - Accent2 4 2 3 2" xfId="737"/>
    <cellStyle name="20% - Accent2 4 2 3 2 2" xfId="738"/>
    <cellStyle name="20% - Accent2 4 2 3 2 2 2" xfId="739"/>
    <cellStyle name="20% - Accent2 4 2 3 2 3" xfId="740"/>
    <cellStyle name="20% - Accent2 4 2 3 3" xfId="741"/>
    <cellStyle name="20% - Accent2 4 2 3 3 2" xfId="742"/>
    <cellStyle name="20% - Accent2 4 2 3 4" xfId="743"/>
    <cellStyle name="20% - Accent2 4 2 4" xfId="744"/>
    <cellStyle name="20% - Accent2 4 2 4 2" xfId="745"/>
    <cellStyle name="20% - Accent2 4 2 4 2 2" xfId="746"/>
    <cellStyle name="20% - Accent2 4 2 4 2 2 2" xfId="747"/>
    <cellStyle name="20% - Accent2 4 2 4 2 3" xfId="748"/>
    <cellStyle name="20% - Accent2 4 2 4 3" xfId="749"/>
    <cellStyle name="20% - Accent2 4 2 4 3 2" xfId="750"/>
    <cellStyle name="20% - Accent2 4 2 4 4" xfId="751"/>
    <cellStyle name="20% - Accent2 4 2 5" xfId="752"/>
    <cellStyle name="20% - Accent2 4 2 5 2" xfId="753"/>
    <cellStyle name="20% - Accent2 4 2 5 2 2" xfId="754"/>
    <cellStyle name="20% - Accent2 4 2 5 3" xfId="755"/>
    <cellStyle name="20% - Accent2 4 2 6" xfId="756"/>
    <cellStyle name="20% - Accent2 4 2 6 2" xfId="757"/>
    <cellStyle name="20% - Accent2 4 2 7" xfId="758"/>
    <cellStyle name="20% - Accent2 4 3 6" xfId="759"/>
    <cellStyle name="20% - Accent2 4 3 2 4" xfId="760"/>
    <cellStyle name="20% - Accent2 4 3 2 2" xfId="761"/>
    <cellStyle name="20% - Accent2 4 3 2 2 2" xfId="762"/>
    <cellStyle name="20% - Accent2 4 3 2 3" xfId="763"/>
    <cellStyle name="20% - Accent2 4 3 3" xfId="764"/>
    <cellStyle name="20% - Accent2 4 3 3 2" xfId="765"/>
    <cellStyle name="20% - Accent2 4 3 4" xfId="766"/>
    <cellStyle name="20% - Accent2 4 4 5" xfId="767"/>
    <cellStyle name="20% - Accent2 4 4 2 4" xfId="768"/>
    <cellStyle name="20% - Accent2 4 4 2 2" xfId="769"/>
    <cellStyle name="20% - Accent2 4 4 2 2 2" xfId="770"/>
    <cellStyle name="20% - Accent2 4 4 2 3" xfId="771"/>
    <cellStyle name="20% - Accent2 4 4 3" xfId="772"/>
    <cellStyle name="20% - Accent2 4 4 3 2" xfId="773"/>
    <cellStyle name="20% - Accent2 4 4 4" xfId="774"/>
    <cellStyle name="20% - Accent2 4 5 5" xfId="775"/>
    <cellStyle name="20% - Accent2 4 5 2 4" xfId="776"/>
    <cellStyle name="20% - Accent2 4 5 2 2" xfId="777"/>
    <cellStyle name="20% - Accent2 4 5 2 2 2" xfId="778"/>
    <cellStyle name="20% - Accent2 4 5 2 3" xfId="779"/>
    <cellStyle name="20% - Accent2 4 5 3" xfId="780"/>
    <cellStyle name="20% - Accent2 4 5 3 2" xfId="781"/>
    <cellStyle name="20% - Accent2 4 5 4" xfId="782"/>
    <cellStyle name="20% - Accent2 4 6 4" xfId="783"/>
    <cellStyle name="20% - Accent2 4 6 2" xfId="784"/>
    <cellStyle name="20% - Accent2 4 6 2 2" xfId="785"/>
    <cellStyle name="20% - Accent2 4 6 3" xfId="786"/>
    <cellStyle name="20% - Accent2 4 7 4" xfId="787"/>
    <cellStyle name="20% - Accent2 4 7 2" xfId="788"/>
    <cellStyle name="20% - Accent2 4 7 2 2" xfId="789"/>
    <cellStyle name="20% - Accent2 4 7 3" xfId="790"/>
    <cellStyle name="20% - Accent2 4 8" xfId="791"/>
    <cellStyle name="20% - Accent2 4 8 2" xfId="792"/>
    <cellStyle name="20% - Accent2 4 9" xfId="793"/>
    <cellStyle name="20% - Accent2 5 11" xfId="794"/>
    <cellStyle name="20% - Accent2 5 2 8" xfId="795"/>
    <cellStyle name="20% - Accent2 5 2 2 5" xfId="796"/>
    <cellStyle name="20% - Accent2 5 2 2 2" xfId="797"/>
    <cellStyle name="20% - Accent2 5 2 2 2 2" xfId="798"/>
    <cellStyle name="20% - Accent2 5 2 2 2 2 2" xfId="799"/>
    <cellStyle name="20% - Accent2 5 2 2 2 3" xfId="800"/>
    <cellStyle name="20% - Accent2 5 2 2 3" xfId="801"/>
    <cellStyle name="20% - Accent2 5 2 2 3 2" xfId="802"/>
    <cellStyle name="20% - Accent2 5 2 2 4" xfId="803"/>
    <cellStyle name="20% - Accent2 5 2 3" xfId="804"/>
    <cellStyle name="20% - Accent2 5 2 3 2" xfId="805"/>
    <cellStyle name="20% - Accent2 5 2 3 2 2" xfId="806"/>
    <cellStyle name="20% - Accent2 5 2 3 2 2 2" xfId="807"/>
    <cellStyle name="20% - Accent2 5 2 3 2 3" xfId="808"/>
    <cellStyle name="20% - Accent2 5 2 3 3" xfId="809"/>
    <cellStyle name="20% - Accent2 5 2 3 3 2" xfId="810"/>
    <cellStyle name="20% - Accent2 5 2 3 4" xfId="811"/>
    <cellStyle name="20% - Accent2 5 2 4" xfId="812"/>
    <cellStyle name="20% - Accent2 5 2 4 2" xfId="813"/>
    <cellStyle name="20% - Accent2 5 2 4 2 2" xfId="814"/>
    <cellStyle name="20% - Accent2 5 2 4 2 2 2" xfId="815"/>
    <cellStyle name="20% - Accent2 5 2 4 2 3" xfId="816"/>
    <cellStyle name="20% - Accent2 5 2 4 3" xfId="817"/>
    <cellStyle name="20% - Accent2 5 2 4 3 2" xfId="818"/>
    <cellStyle name="20% - Accent2 5 2 4 4" xfId="819"/>
    <cellStyle name="20% - Accent2 5 2 5" xfId="820"/>
    <cellStyle name="20% - Accent2 5 2 5 2" xfId="821"/>
    <cellStyle name="20% - Accent2 5 2 5 2 2" xfId="822"/>
    <cellStyle name="20% - Accent2 5 2 5 3" xfId="823"/>
    <cellStyle name="20% - Accent2 5 2 6" xfId="824"/>
    <cellStyle name="20% - Accent2 5 2 6 2" xfId="825"/>
    <cellStyle name="20% - Accent2 5 2 7" xfId="826"/>
    <cellStyle name="20% - Accent2 5 3 5" xfId="827"/>
    <cellStyle name="20% - Accent2 5 3 2" xfId="828"/>
    <cellStyle name="20% - Accent2 5 3 2 2" xfId="829"/>
    <cellStyle name="20% - Accent2 5 3 2 2 2" xfId="830"/>
    <cellStyle name="20% - Accent2 5 3 2 3" xfId="831"/>
    <cellStyle name="20% - Accent2 5 3 3" xfId="832"/>
    <cellStyle name="20% - Accent2 5 3 3 2" xfId="833"/>
    <cellStyle name="20% - Accent2 5 3 4" xfId="834"/>
    <cellStyle name="20% - Accent2 5 4 5" xfId="835"/>
    <cellStyle name="20% - Accent2 5 4 2" xfId="836"/>
    <cellStyle name="20% - Accent2 5 4 2 2" xfId="837"/>
    <cellStyle name="20% - Accent2 5 4 2 2 2" xfId="838"/>
    <cellStyle name="20% - Accent2 5 4 2 3" xfId="839"/>
    <cellStyle name="20% - Accent2 5 4 3" xfId="840"/>
    <cellStyle name="20% - Accent2 5 4 3 2" xfId="841"/>
    <cellStyle name="20% - Accent2 5 4 4" xfId="842"/>
    <cellStyle name="20% - Accent2 5 5" xfId="843"/>
    <cellStyle name="20% - Accent2 5 5 2" xfId="844"/>
    <cellStyle name="20% - Accent2 5 5 2 2" xfId="845"/>
    <cellStyle name="20% - Accent2 5 5 2 2 2" xfId="846"/>
    <cellStyle name="20% - Accent2 5 5 2 3" xfId="847"/>
    <cellStyle name="20% - Accent2 5 5 3" xfId="848"/>
    <cellStyle name="20% - Accent2 5 5 3 2" xfId="849"/>
    <cellStyle name="20% - Accent2 5 5 4" xfId="850"/>
    <cellStyle name="20% - Accent2 5 6" xfId="851"/>
    <cellStyle name="20% - Accent2 5 6 2" xfId="852"/>
    <cellStyle name="20% - Accent2 5 6 2 2" xfId="853"/>
    <cellStyle name="20% - Accent2 5 6 3" xfId="854"/>
    <cellStyle name="20% - Accent2 5 7" xfId="855"/>
    <cellStyle name="20% - Accent2 5 7 2" xfId="856"/>
    <cellStyle name="20% - Accent2 5 7 2 2" xfId="857"/>
    <cellStyle name="20% - Accent2 5 7 3" xfId="858"/>
    <cellStyle name="20% - Accent2 5 8" xfId="859"/>
    <cellStyle name="20% - Accent2 5 8 2" xfId="860"/>
    <cellStyle name="20% - Accent2 5 9" xfId="861"/>
    <cellStyle name="20% - Accent2 6 10" xfId="862"/>
    <cellStyle name="20% - Accent2 6 2" xfId="863"/>
    <cellStyle name="20% - Accent2 6 2 2" xfId="864"/>
    <cellStyle name="20% - Accent2 6 2 2 2" xfId="865"/>
    <cellStyle name="20% - Accent2 6 2 2 2 2" xfId="866"/>
    <cellStyle name="20% - Accent2 6 2 2 2 2 2" xfId="867"/>
    <cellStyle name="20% - Accent2 6 2 2 2 3" xfId="868"/>
    <cellStyle name="20% - Accent2 6 2 2 3" xfId="869"/>
    <cellStyle name="20% - Accent2 6 2 2 3 2" xfId="870"/>
    <cellStyle name="20% - Accent2 6 2 2 4" xfId="871"/>
    <cellStyle name="20% - Accent2 6 2 3" xfId="872"/>
    <cellStyle name="20% - Accent2 6 2 3 2" xfId="873"/>
    <cellStyle name="20% - Accent2 6 2 3 2 2" xfId="874"/>
    <cellStyle name="20% - Accent2 6 2 3 2 2 2" xfId="875"/>
    <cellStyle name="20% - Accent2 6 2 3 2 3" xfId="876"/>
    <cellStyle name="20% - Accent2 6 2 3 3" xfId="877"/>
    <cellStyle name="20% - Accent2 6 2 3 3 2" xfId="878"/>
    <cellStyle name="20% - Accent2 6 2 3 4" xfId="879"/>
    <cellStyle name="20% - Accent2 6 2 4" xfId="880"/>
    <cellStyle name="20% - Accent2 6 2 4 2" xfId="881"/>
    <cellStyle name="20% - Accent2 6 2 4 2 2" xfId="882"/>
    <cellStyle name="20% - Accent2 6 2 4 2 2 2" xfId="883"/>
    <cellStyle name="20% - Accent2 6 2 4 2 3" xfId="884"/>
    <cellStyle name="20% - Accent2 6 2 4 3" xfId="885"/>
    <cellStyle name="20% - Accent2 6 2 4 3 2" xfId="886"/>
    <cellStyle name="20% - Accent2 6 2 4 4" xfId="887"/>
    <cellStyle name="20% - Accent2 6 2 5" xfId="888"/>
    <cellStyle name="20% - Accent2 6 2 5 2" xfId="889"/>
    <cellStyle name="20% - Accent2 6 2 5 2 2" xfId="890"/>
    <cellStyle name="20% - Accent2 6 2 5 3" xfId="891"/>
    <cellStyle name="20% - Accent2 6 2 6" xfId="892"/>
    <cellStyle name="20% - Accent2 6 2 6 2" xfId="893"/>
    <cellStyle name="20% - Accent2 6 2 7" xfId="894"/>
    <cellStyle name="20% - Accent2 6 3" xfId="895"/>
    <cellStyle name="20% - Accent2 6 3 2" xfId="896"/>
    <cellStyle name="20% - Accent2 6 3 2 2" xfId="897"/>
    <cellStyle name="20% - Accent2 6 3 2 2 2" xfId="898"/>
    <cellStyle name="20% - Accent2 6 3 2 3" xfId="899"/>
    <cellStyle name="20% - Accent2 6 3 3" xfId="900"/>
    <cellStyle name="20% - Accent2 6 3 3 2" xfId="901"/>
    <cellStyle name="20% - Accent2 6 3 4" xfId="902"/>
    <cellStyle name="20% - Accent2 6 4" xfId="903"/>
    <cellStyle name="20% - Accent2 6 4 2" xfId="904"/>
    <cellStyle name="20% - Accent2 6 4 2 2" xfId="905"/>
    <cellStyle name="20% - Accent2 6 4 2 2 2" xfId="906"/>
    <cellStyle name="20% - Accent2 6 4 2 3" xfId="907"/>
    <cellStyle name="20% - Accent2 6 4 3" xfId="908"/>
    <cellStyle name="20% - Accent2 6 4 3 2" xfId="909"/>
    <cellStyle name="20% - Accent2 6 4 4" xfId="910"/>
    <cellStyle name="20% - Accent2 6 5" xfId="911"/>
    <cellStyle name="20% - Accent2 6 5 2" xfId="912"/>
    <cellStyle name="20% - Accent2 6 5 2 2" xfId="913"/>
    <cellStyle name="20% - Accent2 6 5 2 2 2" xfId="914"/>
    <cellStyle name="20% - Accent2 6 5 2 3" xfId="915"/>
    <cellStyle name="20% - Accent2 6 5 3" xfId="916"/>
    <cellStyle name="20% - Accent2 6 5 3 2" xfId="917"/>
    <cellStyle name="20% - Accent2 6 5 4" xfId="918"/>
    <cellStyle name="20% - Accent2 6 6" xfId="919"/>
    <cellStyle name="20% - Accent2 6 6 2" xfId="920"/>
    <cellStyle name="20% - Accent2 6 6 2 2" xfId="921"/>
    <cellStyle name="20% - Accent2 6 6 3" xfId="922"/>
    <cellStyle name="20% - Accent2 6 7" xfId="923"/>
    <cellStyle name="20% - Accent2 6 7 2" xfId="924"/>
    <cellStyle name="20% - Accent2 6 7 2 2" xfId="925"/>
    <cellStyle name="20% - Accent2 6 7 3" xfId="926"/>
    <cellStyle name="20% - Accent2 6 8" xfId="927"/>
    <cellStyle name="20% - Accent2 6 8 2" xfId="928"/>
    <cellStyle name="20% - Accent2 6 9" xfId="929"/>
    <cellStyle name="20% - Accent3 3 10 2" xfId="930"/>
    <cellStyle name="20% - Accent3 3 2 2 2 5" xfId="931"/>
    <cellStyle name="20% - Accent3 3 2 2 2 2" xfId="932"/>
    <cellStyle name="20% - Accent3 3 2 2 2 2 2" xfId="933"/>
    <cellStyle name="20% - Accent3 3 2 2 2 2 2 2" xfId="934"/>
    <cellStyle name="20% - Accent3 3 2 2 2 2 3" xfId="935"/>
    <cellStyle name="20% - Accent3 3 2 2 2 3" xfId="936"/>
    <cellStyle name="20% - Accent3 3 2 2 2 3 2" xfId="937"/>
    <cellStyle name="20% - Accent3 3 2 2 2 4" xfId="938"/>
    <cellStyle name="20% - Accent3 3 2 2 3" xfId="939"/>
    <cellStyle name="20% - Accent3 3 2 2 3 2" xfId="940"/>
    <cellStyle name="20% - Accent3 3 2 2 3 2 2" xfId="941"/>
    <cellStyle name="20% - Accent3 3 2 2 3 2 2 2" xfId="942"/>
    <cellStyle name="20% - Accent3 3 2 2 3 2 3" xfId="943"/>
    <cellStyle name="20% - Accent3 3 2 2 3 3" xfId="944"/>
    <cellStyle name="20% - Accent3 3 2 2 3 3 2" xfId="945"/>
    <cellStyle name="20% - Accent3 3 2 2 3 4" xfId="946"/>
    <cellStyle name="20% - Accent3 3 2 2 4" xfId="947"/>
    <cellStyle name="20% - Accent3 3 2 2 4 2" xfId="948"/>
    <cellStyle name="20% - Accent3 3 2 2 4 2 2" xfId="949"/>
    <cellStyle name="20% - Accent3 3 2 2 4 2 2 2" xfId="950"/>
    <cellStyle name="20% - Accent3 3 2 2 4 2 3" xfId="951"/>
    <cellStyle name="20% - Accent3 3 2 2 4 3" xfId="952"/>
    <cellStyle name="20% - Accent3 3 2 2 4 3 2" xfId="953"/>
    <cellStyle name="20% - Accent3 3 2 2 4 4" xfId="954"/>
    <cellStyle name="20% - Accent3 3 2 2 5" xfId="955"/>
    <cellStyle name="20% - Accent3 3 2 2 5 2" xfId="956"/>
    <cellStyle name="20% - Accent3 3 2 2 5 2 2" xfId="957"/>
    <cellStyle name="20% - Accent3 3 2 2 5 3" xfId="958"/>
    <cellStyle name="20% - Accent3 3 2 2 6" xfId="959"/>
    <cellStyle name="20% - Accent3 3 2 2 6 2" xfId="960"/>
    <cellStyle name="20% - Accent3 3 2 2 7" xfId="961"/>
    <cellStyle name="20% - Accent3 3 2 3 5" xfId="962"/>
    <cellStyle name="20% - Accent3 3 2 3 2" xfId="963"/>
    <cellStyle name="20% - Accent3 3 2 3 2 2" xfId="964"/>
    <cellStyle name="20% - Accent3 3 2 3 2 2 2" xfId="965"/>
    <cellStyle name="20% - Accent3 3 2 3 2 3" xfId="966"/>
    <cellStyle name="20% - Accent3 3 2 3 3" xfId="967"/>
    <cellStyle name="20% - Accent3 3 2 3 3 2" xfId="968"/>
    <cellStyle name="20% - Accent3 3 2 3 4" xfId="969"/>
    <cellStyle name="20% - Accent3 3 2 4" xfId="970"/>
    <cellStyle name="20% - Accent3 3 2 4 2" xfId="971"/>
    <cellStyle name="20% - Accent3 3 2 4 2 2" xfId="972"/>
    <cellStyle name="20% - Accent3 3 2 4 2 2 2" xfId="973"/>
    <cellStyle name="20% - Accent3 3 2 4 2 3" xfId="974"/>
    <cellStyle name="20% - Accent3 3 2 4 3" xfId="975"/>
    <cellStyle name="20% - Accent3 3 2 4 3 2" xfId="976"/>
    <cellStyle name="20% - Accent3 3 2 4 4" xfId="977"/>
    <cellStyle name="20% - Accent3 3 2 5" xfId="978"/>
    <cellStyle name="20% - Accent3 3 2 5 2" xfId="979"/>
    <cellStyle name="20% - Accent3 3 2 5 2 2" xfId="980"/>
    <cellStyle name="20% - Accent3 3 2 5 2 2 2" xfId="981"/>
    <cellStyle name="20% - Accent3 3 2 5 2 3" xfId="982"/>
    <cellStyle name="20% - Accent3 3 2 5 3" xfId="983"/>
    <cellStyle name="20% - Accent3 3 2 5 3 2" xfId="984"/>
    <cellStyle name="20% - Accent3 3 2 5 4" xfId="985"/>
    <cellStyle name="20% - Accent3 3 2 6" xfId="986"/>
    <cellStyle name="20% - Accent3 3 2 6 2" xfId="987"/>
    <cellStyle name="20% - Accent3 3 2 6 2 2" xfId="988"/>
    <cellStyle name="20% - Accent3 3 2 6 3" xfId="989"/>
    <cellStyle name="20% - Accent3 3 2 7" xfId="990"/>
    <cellStyle name="20% - Accent3 3 2 7 2" xfId="991"/>
    <cellStyle name="20% - Accent3 3 2 7 2 2" xfId="992"/>
    <cellStyle name="20% - Accent3 3 2 7 3" xfId="993"/>
    <cellStyle name="20% - Accent3 3 2 8" xfId="994"/>
    <cellStyle name="20% - Accent3 3 2 8 2" xfId="995"/>
    <cellStyle name="20% - Accent3 3 2 9" xfId="996"/>
    <cellStyle name="20% - Accent3 3 3 2 2" xfId="997"/>
    <cellStyle name="20% - Accent3 3 3 2 2 2" xfId="998"/>
    <cellStyle name="20% - Accent3 3 3 2 2 2 2" xfId="999"/>
    <cellStyle name="20% - Accent3 3 3 2 2 3" xfId="1000"/>
    <cellStyle name="20% - Accent3 3 3 2 3" xfId="1001"/>
    <cellStyle name="20% - Accent3 3 3 2 3 2" xfId="1002"/>
    <cellStyle name="20% - Accent3 3 3 2 4" xfId="1003"/>
    <cellStyle name="20% - Accent3 3 3 3" xfId="1004"/>
    <cellStyle name="20% - Accent3 3 3 3 2" xfId="1005"/>
    <cellStyle name="20% - Accent3 3 3 3 2 2" xfId="1006"/>
    <cellStyle name="20% - Accent3 3 3 3 2 2 2" xfId="1007"/>
    <cellStyle name="20% - Accent3 3 3 3 2 3" xfId="1008"/>
    <cellStyle name="20% - Accent3 3 3 3 3" xfId="1009"/>
    <cellStyle name="20% - Accent3 3 3 3 3 2" xfId="1010"/>
    <cellStyle name="20% - Accent3 3 3 3 4" xfId="1011"/>
    <cellStyle name="20% - Accent3 3 3 4" xfId="1012"/>
    <cellStyle name="20% - Accent3 3 3 4 2" xfId="1013"/>
    <cellStyle name="20% - Accent3 3 3 4 2 2" xfId="1014"/>
    <cellStyle name="20% - Accent3 3 3 4 2 2 2" xfId="1015"/>
    <cellStyle name="20% - Accent3 3 3 4 2 3" xfId="1016"/>
    <cellStyle name="20% - Accent3 3 3 4 3" xfId="1017"/>
    <cellStyle name="20% - Accent3 3 3 4 3 2" xfId="1018"/>
    <cellStyle name="20% - Accent3 3 3 4 4" xfId="1019"/>
    <cellStyle name="20% - Accent3 3 3 5" xfId="1020"/>
    <cellStyle name="20% - Accent3 3 3 5 2" xfId="1021"/>
    <cellStyle name="20% - Accent3 3 3 5 2 2" xfId="1022"/>
    <cellStyle name="20% - Accent3 3 3 5 3" xfId="1023"/>
    <cellStyle name="20% - Accent3 3 3 6" xfId="1024"/>
    <cellStyle name="20% - Accent3 3 3 6 2" xfId="1025"/>
    <cellStyle name="20% - Accent3 3 3 7" xfId="1026"/>
    <cellStyle name="20% - Accent3 3 4 2 4" xfId="1027"/>
    <cellStyle name="20% - Accent3 3 4 2 2" xfId="1028"/>
    <cellStyle name="20% - Accent3 3 4 2 2 2" xfId="1029"/>
    <cellStyle name="20% - Accent3 3 4 2 3" xfId="1030"/>
    <cellStyle name="20% - Accent3 3 4 3" xfId="1031"/>
    <cellStyle name="20% - Accent3 3 4 3 2" xfId="1032"/>
    <cellStyle name="20% - Accent3 3 4 4" xfId="1033"/>
    <cellStyle name="20% - Accent3 3 5 6" xfId="1034"/>
    <cellStyle name="20% - Accent3 3 5 2 4" xfId="1035"/>
    <cellStyle name="20% - Accent3 3 5 2 2" xfId="1036"/>
    <cellStyle name="20% - Accent3 3 5 2 2 2" xfId="1037"/>
    <cellStyle name="20% - Accent3 3 5 2 3" xfId="1038"/>
    <cellStyle name="20% - Accent3 3 5 3" xfId="1039"/>
    <cellStyle name="20% - Accent3 3 5 3 2" xfId="1040"/>
    <cellStyle name="20% - Accent3 3 5 4" xfId="1041"/>
    <cellStyle name="20% - Accent3 3 6 5" xfId="1042"/>
    <cellStyle name="20% - Accent3 3 6 2 4" xfId="1043"/>
    <cellStyle name="20% - Accent3 3 6 2 2" xfId="1044"/>
    <cellStyle name="20% - Accent3 3 6 2 2 2" xfId="1045"/>
    <cellStyle name="20% - Accent3 3 6 2 3" xfId="1046"/>
    <cellStyle name="20% - Accent3 3 6 3" xfId="1047"/>
    <cellStyle name="20% - Accent3 3 6 3 2" xfId="1048"/>
    <cellStyle name="20% - Accent3 3 6 4" xfId="1049"/>
    <cellStyle name="20% - Accent3 3 7 4" xfId="1050"/>
    <cellStyle name="20% - Accent3 3 7 2 3" xfId="1051"/>
    <cellStyle name="20% - Accent3 3 7 2 2" xfId="1052"/>
    <cellStyle name="20% - Accent3 3 7 3" xfId="1053"/>
    <cellStyle name="20% - Accent3 3 8 4" xfId="1054"/>
    <cellStyle name="20% - Accent3 3 8 2 3" xfId="1055"/>
    <cellStyle name="20% - Accent3 3 8 2 2" xfId="1056"/>
    <cellStyle name="20% - Accent3 3 8 3" xfId="1057"/>
    <cellStyle name="20% - Accent3 3 9 3" xfId="1058"/>
    <cellStyle name="20% - Accent3 3 9 2" xfId="1059"/>
    <cellStyle name="20% - Accent3 4 12" xfId="1060"/>
    <cellStyle name="20% - Accent3 4 2 9" xfId="1061"/>
    <cellStyle name="20% - Accent3 4 2 2 5" xfId="1062"/>
    <cellStyle name="20% - Accent3 4 2 2 2" xfId="1063"/>
    <cellStyle name="20% - Accent3 4 2 2 2 2" xfId="1064"/>
    <cellStyle name="20% - Accent3 4 2 2 2 2 2" xfId="1065"/>
    <cellStyle name="20% - Accent3 4 2 2 2 3" xfId="1066"/>
    <cellStyle name="20% - Accent3 4 2 2 3" xfId="1067"/>
    <cellStyle name="20% - Accent3 4 2 2 3 2" xfId="1068"/>
    <cellStyle name="20% - Accent3 4 2 2 4" xfId="1069"/>
    <cellStyle name="20% - Accent3 4 2 3" xfId="1070"/>
    <cellStyle name="20% - Accent3 4 2 3 2" xfId="1071"/>
    <cellStyle name="20% - Accent3 4 2 3 2 2" xfId="1072"/>
    <cellStyle name="20% - Accent3 4 2 3 2 2 2" xfId="1073"/>
    <cellStyle name="20% - Accent3 4 2 3 2 3" xfId="1074"/>
    <cellStyle name="20% - Accent3 4 2 3 3" xfId="1075"/>
    <cellStyle name="20% - Accent3 4 2 3 3 2" xfId="1076"/>
    <cellStyle name="20% - Accent3 4 2 3 4" xfId="1077"/>
    <cellStyle name="20% - Accent3 4 2 4" xfId="1078"/>
    <cellStyle name="20% - Accent3 4 2 4 2" xfId="1079"/>
    <cellStyle name="20% - Accent3 4 2 4 2 2" xfId="1080"/>
    <cellStyle name="20% - Accent3 4 2 4 2 2 2" xfId="1081"/>
    <cellStyle name="20% - Accent3 4 2 4 2 3" xfId="1082"/>
    <cellStyle name="20% - Accent3 4 2 4 3" xfId="1083"/>
    <cellStyle name="20% - Accent3 4 2 4 3 2" xfId="1084"/>
    <cellStyle name="20% - Accent3 4 2 4 4" xfId="1085"/>
    <cellStyle name="20% - Accent3 4 2 5" xfId="1086"/>
    <cellStyle name="20% - Accent3 4 2 5 2" xfId="1087"/>
    <cellStyle name="20% - Accent3 4 2 5 2 2" xfId="1088"/>
    <cellStyle name="20% - Accent3 4 2 5 3" xfId="1089"/>
    <cellStyle name="20% - Accent3 4 2 6" xfId="1090"/>
    <cellStyle name="20% - Accent3 4 2 6 2" xfId="1091"/>
    <cellStyle name="20% - Accent3 4 2 7" xfId="1092"/>
    <cellStyle name="20% - Accent3 4 3 6" xfId="1093"/>
    <cellStyle name="20% - Accent3 4 3 2 4" xfId="1094"/>
    <cellStyle name="20% - Accent3 4 3 2 2" xfId="1095"/>
    <cellStyle name="20% - Accent3 4 3 2 2 2" xfId="1096"/>
    <cellStyle name="20% - Accent3 4 3 2 3" xfId="1097"/>
    <cellStyle name="20% - Accent3 4 3 3" xfId="1098"/>
    <cellStyle name="20% - Accent3 4 3 3 2" xfId="1099"/>
    <cellStyle name="20% - Accent3 4 3 4" xfId="1100"/>
    <cellStyle name="20% - Accent3 4 4 5" xfId="1101"/>
    <cellStyle name="20% - Accent3 4 4 2 4" xfId="1102"/>
    <cellStyle name="20% - Accent3 4 4 2 2" xfId="1103"/>
    <cellStyle name="20% - Accent3 4 4 2 2 2" xfId="1104"/>
    <cellStyle name="20% - Accent3 4 4 2 3" xfId="1105"/>
    <cellStyle name="20% - Accent3 4 4 3" xfId="1106"/>
    <cellStyle name="20% - Accent3 4 4 3 2" xfId="1107"/>
    <cellStyle name="20% - Accent3 4 4 4" xfId="1108"/>
    <cellStyle name="20% - Accent3 4 5 5" xfId="1109"/>
    <cellStyle name="20% - Accent3 4 5 2 4" xfId="1110"/>
    <cellStyle name="20% - Accent3 4 5 2 2" xfId="1111"/>
    <cellStyle name="20% - Accent3 4 5 2 2 2" xfId="1112"/>
    <cellStyle name="20% - Accent3 4 5 2 3" xfId="1113"/>
    <cellStyle name="20% - Accent3 4 5 3" xfId="1114"/>
    <cellStyle name="20% - Accent3 4 5 3 2" xfId="1115"/>
    <cellStyle name="20% - Accent3 4 5 4" xfId="1116"/>
    <cellStyle name="20% - Accent3 4 6 4" xfId="1117"/>
    <cellStyle name="20% - Accent3 4 6 2" xfId="1118"/>
    <cellStyle name="20% - Accent3 4 6 2 2" xfId="1119"/>
    <cellStyle name="20% - Accent3 4 6 3" xfId="1120"/>
    <cellStyle name="20% - Accent3 4 7 4" xfId="1121"/>
    <cellStyle name="20% - Accent3 4 7 2" xfId="1122"/>
    <cellStyle name="20% - Accent3 4 7 2 2" xfId="1123"/>
    <cellStyle name="20% - Accent3 4 7 3" xfId="1124"/>
    <cellStyle name="20% - Accent3 4 8" xfId="1125"/>
    <cellStyle name="20% - Accent3 4 8 2" xfId="1126"/>
    <cellStyle name="20% - Accent3 4 9" xfId="1127"/>
    <cellStyle name="20% - Accent3 5 11" xfId="1128"/>
    <cellStyle name="20% - Accent3 5 2 8" xfId="1129"/>
    <cellStyle name="20% - Accent3 5 2 2 5" xfId="1130"/>
    <cellStyle name="20% - Accent3 5 2 2 2" xfId="1131"/>
    <cellStyle name="20% - Accent3 5 2 2 2 2" xfId="1132"/>
    <cellStyle name="20% - Accent3 5 2 2 2 2 2" xfId="1133"/>
    <cellStyle name="20% - Accent3 5 2 2 2 3" xfId="1134"/>
    <cellStyle name="20% - Accent3 5 2 2 3" xfId="1135"/>
    <cellStyle name="20% - Accent3 5 2 2 3 2" xfId="1136"/>
    <cellStyle name="20% - Accent3 5 2 2 4" xfId="1137"/>
    <cellStyle name="20% - Accent3 5 2 3" xfId="1138"/>
    <cellStyle name="20% - Accent3 5 2 3 2" xfId="1139"/>
    <cellStyle name="20% - Accent3 5 2 3 2 2" xfId="1140"/>
    <cellStyle name="20% - Accent3 5 2 3 2 2 2" xfId="1141"/>
    <cellStyle name="20% - Accent3 5 2 3 2 3" xfId="1142"/>
    <cellStyle name="20% - Accent3 5 2 3 3" xfId="1143"/>
    <cellStyle name="20% - Accent3 5 2 3 3 2" xfId="1144"/>
    <cellStyle name="20% - Accent3 5 2 3 4" xfId="1145"/>
    <cellStyle name="20% - Accent3 5 2 4" xfId="1146"/>
    <cellStyle name="20% - Accent3 5 2 4 2" xfId="1147"/>
    <cellStyle name="20% - Accent3 5 2 4 2 2" xfId="1148"/>
    <cellStyle name="20% - Accent3 5 2 4 2 2 2" xfId="1149"/>
    <cellStyle name="20% - Accent3 5 2 4 2 3" xfId="1150"/>
    <cellStyle name="20% - Accent3 5 2 4 3" xfId="1151"/>
    <cellStyle name="20% - Accent3 5 2 4 3 2" xfId="1152"/>
    <cellStyle name="20% - Accent3 5 2 4 4" xfId="1153"/>
    <cellStyle name="20% - Accent3 5 2 5" xfId="1154"/>
    <cellStyle name="20% - Accent3 5 2 5 2" xfId="1155"/>
    <cellStyle name="20% - Accent3 5 2 5 2 2" xfId="1156"/>
    <cellStyle name="20% - Accent3 5 2 5 3" xfId="1157"/>
    <cellStyle name="20% - Accent3 5 2 6" xfId="1158"/>
    <cellStyle name="20% - Accent3 5 2 6 2" xfId="1159"/>
    <cellStyle name="20% - Accent3 5 2 7" xfId="1160"/>
    <cellStyle name="20% - Accent3 5 3 5" xfId="1161"/>
    <cellStyle name="20% - Accent3 5 3 2" xfId="1162"/>
    <cellStyle name="20% - Accent3 5 3 2 2" xfId="1163"/>
    <cellStyle name="20% - Accent3 5 3 2 2 2" xfId="1164"/>
    <cellStyle name="20% - Accent3 5 3 2 3" xfId="1165"/>
    <cellStyle name="20% - Accent3 5 3 3" xfId="1166"/>
    <cellStyle name="20% - Accent3 5 3 3 2" xfId="1167"/>
    <cellStyle name="20% - Accent3 5 3 4" xfId="1168"/>
    <cellStyle name="20% - Accent3 5 4 5" xfId="1169"/>
    <cellStyle name="20% - Accent3 5 4 2" xfId="1170"/>
    <cellStyle name="20% - Accent3 5 4 2 2" xfId="1171"/>
    <cellStyle name="20% - Accent3 5 4 2 2 2" xfId="1172"/>
    <cellStyle name="20% - Accent3 5 4 2 3" xfId="1173"/>
    <cellStyle name="20% - Accent3 5 4 3" xfId="1174"/>
    <cellStyle name="20% - Accent3 5 4 3 2" xfId="1175"/>
    <cellStyle name="20% - Accent3 5 4 4" xfId="1176"/>
    <cellStyle name="20% - Accent3 5 5" xfId="1177"/>
    <cellStyle name="20% - Accent3 5 5 2" xfId="1178"/>
    <cellStyle name="20% - Accent3 5 5 2 2" xfId="1179"/>
    <cellStyle name="20% - Accent3 5 5 2 2 2" xfId="1180"/>
    <cellStyle name="20% - Accent3 5 5 2 3" xfId="1181"/>
    <cellStyle name="20% - Accent3 5 5 3" xfId="1182"/>
    <cellStyle name="20% - Accent3 5 5 3 2" xfId="1183"/>
    <cellStyle name="20% - Accent3 5 5 4" xfId="1184"/>
    <cellStyle name="20% - Accent3 5 6" xfId="1185"/>
    <cellStyle name="20% - Accent3 5 6 2" xfId="1186"/>
    <cellStyle name="20% - Accent3 5 6 2 2" xfId="1187"/>
    <cellStyle name="20% - Accent3 5 6 3" xfId="1188"/>
    <cellStyle name="20% - Accent3 5 7" xfId="1189"/>
    <cellStyle name="20% - Accent3 5 7 2" xfId="1190"/>
    <cellStyle name="20% - Accent3 5 7 2 2" xfId="1191"/>
    <cellStyle name="20% - Accent3 5 7 3" xfId="1192"/>
    <cellStyle name="20% - Accent3 5 8" xfId="1193"/>
    <cellStyle name="20% - Accent3 5 8 2" xfId="1194"/>
    <cellStyle name="20% - Accent3 5 9" xfId="1195"/>
    <cellStyle name="20% - Accent3 6 10" xfId="1196"/>
    <cellStyle name="20% - Accent3 6 2" xfId="1197"/>
    <cellStyle name="20% - Accent3 6 2 2" xfId="1198"/>
    <cellStyle name="20% - Accent3 6 2 2 2" xfId="1199"/>
    <cellStyle name="20% - Accent3 6 2 2 2 2" xfId="1200"/>
    <cellStyle name="20% - Accent3 6 2 2 2 2 2" xfId="1201"/>
    <cellStyle name="20% - Accent3 6 2 2 2 3" xfId="1202"/>
    <cellStyle name="20% - Accent3 6 2 2 3" xfId="1203"/>
    <cellStyle name="20% - Accent3 6 2 2 3 2" xfId="1204"/>
    <cellStyle name="20% - Accent3 6 2 2 4" xfId="1205"/>
    <cellStyle name="20% - Accent3 6 2 3" xfId="1206"/>
    <cellStyle name="20% - Accent3 6 2 3 2" xfId="1207"/>
    <cellStyle name="20% - Accent3 6 2 3 2 2" xfId="1208"/>
    <cellStyle name="20% - Accent3 6 2 3 2 2 2" xfId="1209"/>
    <cellStyle name="20% - Accent3 6 2 3 2 3" xfId="1210"/>
    <cellStyle name="20% - Accent3 6 2 3 3" xfId="1211"/>
    <cellStyle name="20% - Accent3 6 2 3 3 2" xfId="1212"/>
    <cellStyle name="20% - Accent3 6 2 3 4" xfId="1213"/>
    <cellStyle name="20% - Accent3 6 2 4" xfId="1214"/>
    <cellStyle name="20% - Accent3 6 2 4 2" xfId="1215"/>
    <cellStyle name="20% - Accent3 6 2 4 2 2" xfId="1216"/>
    <cellStyle name="20% - Accent3 6 2 4 2 2 2" xfId="1217"/>
    <cellStyle name="20% - Accent3 6 2 4 2 3" xfId="1218"/>
    <cellStyle name="20% - Accent3 6 2 4 3" xfId="1219"/>
    <cellStyle name="20% - Accent3 6 2 4 3 2" xfId="1220"/>
    <cellStyle name="20% - Accent3 6 2 4 4" xfId="1221"/>
    <cellStyle name="20% - Accent3 6 2 5" xfId="1222"/>
    <cellStyle name="20% - Accent3 6 2 5 2" xfId="1223"/>
    <cellStyle name="20% - Accent3 6 2 5 2 2" xfId="1224"/>
    <cellStyle name="20% - Accent3 6 2 5 3" xfId="1225"/>
    <cellStyle name="20% - Accent3 6 2 6" xfId="1226"/>
    <cellStyle name="20% - Accent3 6 2 6 2" xfId="1227"/>
    <cellStyle name="20% - Accent3 6 2 7" xfId="1228"/>
    <cellStyle name="20% - Accent3 6 3" xfId="1229"/>
    <cellStyle name="20% - Accent3 6 3 2" xfId="1230"/>
    <cellStyle name="20% - Accent3 6 3 2 2" xfId="1231"/>
    <cellStyle name="20% - Accent3 6 3 2 2 2" xfId="1232"/>
    <cellStyle name="20% - Accent3 6 3 2 3" xfId="1233"/>
    <cellStyle name="20% - Accent3 6 3 3" xfId="1234"/>
    <cellStyle name="20% - Accent3 6 3 3 2" xfId="1235"/>
    <cellStyle name="20% - Accent3 6 3 4" xfId="1236"/>
    <cellStyle name="20% - Accent3 6 4" xfId="1237"/>
    <cellStyle name="20% - Accent3 6 4 2" xfId="1238"/>
    <cellStyle name="20% - Accent3 6 4 2 2" xfId="1239"/>
    <cellStyle name="20% - Accent3 6 4 2 2 2" xfId="1240"/>
    <cellStyle name="20% - Accent3 6 4 2 3" xfId="1241"/>
    <cellStyle name="20% - Accent3 6 4 3" xfId="1242"/>
    <cellStyle name="20% - Accent3 6 4 3 2" xfId="1243"/>
    <cellStyle name="20% - Accent3 6 4 4" xfId="1244"/>
    <cellStyle name="20% - Accent3 6 5" xfId="1245"/>
    <cellStyle name="20% - Accent3 6 5 2" xfId="1246"/>
    <cellStyle name="20% - Accent3 6 5 2 2" xfId="1247"/>
    <cellStyle name="20% - Accent3 6 5 2 2 2" xfId="1248"/>
    <cellStyle name="20% - Accent3 6 5 2 3" xfId="1249"/>
    <cellStyle name="20% - Accent3 6 5 3" xfId="1250"/>
    <cellStyle name="20% - Accent3 6 5 3 2" xfId="1251"/>
    <cellStyle name="20% - Accent3 6 5 4" xfId="1252"/>
    <cellStyle name="20% - Accent3 6 6" xfId="1253"/>
    <cellStyle name="20% - Accent3 6 6 2" xfId="1254"/>
    <cellStyle name="20% - Accent3 6 6 2 2" xfId="1255"/>
    <cellStyle name="20% - Accent3 6 6 3" xfId="1256"/>
    <cellStyle name="20% - Accent3 6 7" xfId="1257"/>
    <cellStyle name="20% - Accent3 6 7 2" xfId="1258"/>
    <cellStyle name="20% - Accent3 6 7 2 2" xfId="1259"/>
    <cellStyle name="20% - Accent3 6 7 3" xfId="1260"/>
    <cellStyle name="20% - Accent3 6 8" xfId="1261"/>
    <cellStyle name="20% - Accent3 6 8 2" xfId="1262"/>
    <cellStyle name="20% - Accent3 6 9" xfId="1263"/>
    <cellStyle name="20% - Accent4 3 10 2" xfId="1264"/>
    <cellStyle name="20% - Accent4 3 2 2 2 5" xfId="1265"/>
    <cellStyle name="20% - Accent4 3 2 2 2 2" xfId="1266"/>
    <cellStyle name="20% - Accent4 3 2 2 2 2 2" xfId="1267"/>
    <cellStyle name="20% - Accent4 3 2 2 2 2 2 2" xfId="1268"/>
    <cellStyle name="20% - Accent4 3 2 2 2 2 3" xfId="1269"/>
    <cellStyle name="20% - Accent4 3 2 2 2 3" xfId="1270"/>
    <cellStyle name="20% - Accent4 3 2 2 2 3 2" xfId="1271"/>
    <cellStyle name="20% - Accent4 3 2 2 2 4" xfId="1272"/>
    <cellStyle name="20% - Accent4 3 2 2 3" xfId="1273"/>
    <cellStyle name="20% - Accent4 3 2 2 3 2" xfId="1274"/>
    <cellStyle name="20% - Accent4 3 2 2 3 2 2" xfId="1275"/>
    <cellStyle name="20% - Accent4 3 2 2 3 2 2 2" xfId="1276"/>
    <cellStyle name="20% - Accent4 3 2 2 3 2 3" xfId="1277"/>
    <cellStyle name="20% - Accent4 3 2 2 3 3" xfId="1278"/>
    <cellStyle name="20% - Accent4 3 2 2 3 3 2" xfId="1279"/>
    <cellStyle name="20% - Accent4 3 2 2 3 4" xfId="1280"/>
    <cellStyle name="20% - Accent4 3 2 2 4" xfId="1281"/>
    <cellStyle name="20% - Accent4 3 2 2 4 2" xfId="1282"/>
    <cellStyle name="20% - Accent4 3 2 2 4 2 2" xfId="1283"/>
    <cellStyle name="20% - Accent4 3 2 2 4 2 2 2" xfId="1284"/>
    <cellStyle name="20% - Accent4 3 2 2 4 2 3" xfId="1285"/>
    <cellStyle name="20% - Accent4 3 2 2 4 3" xfId="1286"/>
    <cellStyle name="20% - Accent4 3 2 2 4 3 2" xfId="1287"/>
    <cellStyle name="20% - Accent4 3 2 2 4 4" xfId="1288"/>
    <cellStyle name="20% - Accent4 3 2 2 5" xfId="1289"/>
    <cellStyle name="20% - Accent4 3 2 2 5 2" xfId="1290"/>
    <cellStyle name="20% - Accent4 3 2 2 5 2 2" xfId="1291"/>
    <cellStyle name="20% - Accent4 3 2 2 5 3" xfId="1292"/>
    <cellStyle name="20% - Accent4 3 2 2 6" xfId="1293"/>
    <cellStyle name="20% - Accent4 3 2 2 6 2" xfId="1294"/>
    <cellStyle name="20% - Accent4 3 2 2 7" xfId="1295"/>
    <cellStyle name="20% - Accent4 3 2 3 5" xfId="1296"/>
    <cellStyle name="20% - Accent4 3 2 3 2" xfId="1297"/>
    <cellStyle name="20% - Accent4 3 2 3 2 2" xfId="1298"/>
    <cellStyle name="20% - Accent4 3 2 3 2 2 2" xfId="1299"/>
    <cellStyle name="20% - Accent4 3 2 3 2 3" xfId="1300"/>
    <cellStyle name="20% - Accent4 3 2 3 3" xfId="1301"/>
    <cellStyle name="20% - Accent4 3 2 3 3 2" xfId="1302"/>
    <cellStyle name="20% - Accent4 3 2 3 4" xfId="1303"/>
    <cellStyle name="20% - Accent4 3 2 4" xfId="1304"/>
    <cellStyle name="20% - Accent4 3 2 4 2" xfId="1305"/>
    <cellStyle name="20% - Accent4 3 2 4 2 2" xfId="1306"/>
    <cellStyle name="20% - Accent4 3 2 4 2 2 2" xfId="1307"/>
    <cellStyle name="20% - Accent4 3 2 4 2 3" xfId="1308"/>
    <cellStyle name="20% - Accent4 3 2 4 3" xfId="1309"/>
    <cellStyle name="20% - Accent4 3 2 4 3 2" xfId="1310"/>
    <cellStyle name="20% - Accent4 3 2 4 4" xfId="1311"/>
    <cellStyle name="20% - Accent4 3 2 5" xfId="1312"/>
    <cellStyle name="20% - Accent4 3 2 5 2" xfId="1313"/>
    <cellStyle name="20% - Accent4 3 2 5 2 2" xfId="1314"/>
    <cellStyle name="20% - Accent4 3 2 5 2 2 2" xfId="1315"/>
    <cellStyle name="20% - Accent4 3 2 5 2 3" xfId="1316"/>
    <cellStyle name="20% - Accent4 3 2 5 3" xfId="1317"/>
    <cellStyle name="20% - Accent4 3 2 5 3 2" xfId="1318"/>
    <cellStyle name="20% - Accent4 3 2 5 4" xfId="1319"/>
    <cellStyle name="20% - Accent4 3 2 6" xfId="1320"/>
    <cellStyle name="20% - Accent4 3 2 6 2" xfId="1321"/>
    <cellStyle name="20% - Accent4 3 2 6 2 2" xfId="1322"/>
    <cellStyle name="20% - Accent4 3 2 6 3" xfId="1323"/>
    <cellStyle name="20% - Accent4 3 2 7" xfId="1324"/>
    <cellStyle name="20% - Accent4 3 2 7 2" xfId="1325"/>
    <cellStyle name="20% - Accent4 3 2 7 2 2" xfId="1326"/>
    <cellStyle name="20% - Accent4 3 2 7 3" xfId="1327"/>
    <cellStyle name="20% - Accent4 3 2 8" xfId="1328"/>
    <cellStyle name="20% - Accent4 3 2 8 2" xfId="1329"/>
    <cellStyle name="20% - Accent4 3 2 9" xfId="1330"/>
    <cellStyle name="20% - Accent4 3 3 2 2" xfId="1331"/>
    <cellStyle name="20% - Accent4 3 3 2 2 2" xfId="1332"/>
    <cellStyle name="20% - Accent4 3 3 2 2 2 2" xfId="1333"/>
    <cellStyle name="20% - Accent4 3 3 2 2 3" xfId="1334"/>
    <cellStyle name="20% - Accent4 3 3 2 3" xfId="1335"/>
    <cellStyle name="20% - Accent4 3 3 2 3 2" xfId="1336"/>
    <cellStyle name="20% - Accent4 3 3 2 4" xfId="1337"/>
    <cellStyle name="20% - Accent4 3 3 3" xfId="1338"/>
    <cellStyle name="20% - Accent4 3 3 3 2" xfId="1339"/>
    <cellStyle name="20% - Accent4 3 3 3 2 2" xfId="1340"/>
    <cellStyle name="20% - Accent4 3 3 3 2 2 2" xfId="1341"/>
    <cellStyle name="20% - Accent4 3 3 3 2 3" xfId="1342"/>
    <cellStyle name="20% - Accent4 3 3 3 3" xfId="1343"/>
    <cellStyle name="20% - Accent4 3 3 3 3 2" xfId="1344"/>
    <cellStyle name="20% - Accent4 3 3 3 4" xfId="1345"/>
    <cellStyle name="20% - Accent4 3 3 4" xfId="1346"/>
    <cellStyle name="20% - Accent4 3 3 4 2" xfId="1347"/>
    <cellStyle name="20% - Accent4 3 3 4 2 2" xfId="1348"/>
    <cellStyle name="20% - Accent4 3 3 4 2 2 2" xfId="1349"/>
    <cellStyle name="20% - Accent4 3 3 4 2 3" xfId="1350"/>
    <cellStyle name="20% - Accent4 3 3 4 3" xfId="1351"/>
    <cellStyle name="20% - Accent4 3 3 4 3 2" xfId="1352"/>
    <cellStyle name="20% - Accent4 3 3 4 4" xfId="1353"/>
    <cellStyle name="20% - Accent4 3 3 5" xfId="1354"/>
    <cellStyle name="20% - Accent4 3 3 5 2" xfId="1355"/>
    <cellStyle name="20% - Accent4 3 3 5 2 2" xfId="1356"/>
    <cellStyle name="20% - Accent4 3 3 5 3" xfId="1357"/>
    <cellStyle name="20% - Accent4 3 3 6" xfId="1358"/>
    <cellStyle name="20% - Accent4 3 3 6 2" xfId="1359"/>
    <cellStyle name="20% - Accent4 3 3 7" xfId="1360"/>
    <cellStyle name="20% - Accent4 3 4 2 4" xfId="1361"/>
    <cellStyle name="20% - Accent4 3 4 2 2" xfId="1362"/>
    <cellStyle name="20% - Accent4 3 4 2 2 2" xfId="1363"/>
    <cellStyle name="20% - Accent4 3 4 2 3" xfId="1364"/>
    <cellStyle name="20% - Accent4 3 4 3" xfId="1365"/>
    <cellStyle name="20% - Accent4 3 4 3 2" xfId="1366"/>
    <cellStyle name="20% - Accent4 3 4 4" xfId="1367"/>
    <cellStyle name="20% - Accent4 3 5 6" xfId="1368"/>
    <cellStyle name="20% - Accent4 3 5 2 4" xfId="1369"/>
    <cellStyle name="20% - Accent4 3 5 2 2" xfId="1370"/>
    <cellStyle name="20% - Accent4 3 5 2 2 2" xfId="1371"/>
    <cellStyle name="20% - Accent4 3 5 2 3" xfId="1372"/>
    <cellStyle name="20% - Accent4 3 5 3" xfId="1373"/>
    <cellStyle name="20% - Accent4 3 5 3 2" xfId="1374"/>
    <cellStyle name="20% - Accent4 3 5 4" xfId="1375"/>
    <cellStyle name="20% - Accent4 3 6 5" xfId="1376"/>
    <cellStyle name="20% - Accent4 3 6 2 4" xfId="1377"/>
    <cellStyle name="20% - Accent4 3 6 2 2" xfId="1378"/>
    <cellStyle name="20% - Accent4 3 6 2 2 2" xfId="1379"/>
    <cellStyle name="20% - Accent4 3 6 2 3" xfId="1380"/>
    <cellStyle name="20% - Accent4 3 6 3" xfId="1381"/>
    <cellStyle name="20% - Accent4 3 6 3 2" xfId="1382"/>
    <cellStyle name="20% - Accent4 3 6 4" xfId="1383"/>
    <cellStyle name="20% - Accent4 3 7 4" xfId="1384"/>
    <cellStyle name="20% - Accent4 3 7 2 3" xfId="1385"/>
    <cellStyle name="20% - Accent4 3 7 2 2" xfId="1386"/>
    <cellStyle name="20% - Accent4 3 7 3" xfId="1387"/>
    <cellStyle name="20% - Accent4 3 8 4" xfId="1388"/>
    <cellStyle name="20% - Accent4 3 8 2 3" xfId="1389"/>
    <cellStyle name="20% - Accent4 3 8 2 2" xfId="1390"/>
    <cellStyle name="20% - Accent4 3 8 3" xfId="1391"/>
    <cellStyle name="20% - Accent4 3 9 3" xfId="1392"/>
    <cellStyle name="20% - Accent4 3 9 2" xfId="1393"/>
    <cellStyle name="20% - Accent4 4 12" xfId="1394"/>
    <cellStyle name="20% - Accent4 4 2 9" xfId="1395"/>
    <cellStyle name="20% - Accent4 4 2 2 5" xfId="1396"/>
    <cellStyle name="20% - Accent4 4 2 2 2" xfId="1397"/>
    <cellStyle name="20% - Accent4 4 2 2 2 2" xfId="1398"/>
    <cellStyle name="20% - Accent4 4 2 2 2 2 2" xfId="1399"/>
    <cellStyle name="20% - Accent4 4 2 2 2 3" xfId="1400"/>
    <cellStyle name="20% - Accent4 4 2 2 3" xfId="1401"/>
    <cellStyle name="20% - Accent4 4 2 2 3 2" xfId="1402"/>
    <cellStyle name="20% - Accent4 4 2 2 4" xfId="1403"/>
    <cellStyle name="20% - Accent4 4 2 3" xfId="1404"/>
    <cellStyle name="20% - Accent4 4 2 3 2" xfId="1405"/>
    <cellStyle name="20% - Accent4 4 2 3 2 2" xfId="1406"/>
    <cellStyle name="20% - Accent4 4 2 3 2 2 2" xfId="1407"/>
    <cellStyle name="20% - Accent4 4 2 3 2 3" xfId="1408"/>
    <cellStyle name="20% - Accent4 4 2 3 3" xfId="1409"/>
    <cellStyle name="20% - Accent4 4 2 3 3 2" xfId="1410"/>
    <cellStyle name="20% - Accent4 4 2 3 4" xfId="1411"/>
    <cellStyle name="20% - Accent4 4 2 4" xfId="1412"/>
    <cellStyle name="20% - Accent4 4 2 4 2" xfId="1413"/>
    <cellStyle name="20% - Accent4 4 2 4 2 2" xfId="1414"/>
    <cellStyle name="20% - Accent4 4 2 4 2 2 2" xfId="1415"/>
    <cellStyle name="20% - Accent4 4 2 4 2 3" xfId="1416"/>
    <cellStyle name="20% - Accent4 4 2 4 3" xfId="1417"/>
    <cellStyle name="20% - Accent4 4 2 4 3 2" xfId="1418"/>
    <cellStyle name="20% - Accent4 4 2 4 4" xfId="1419"/>
    <cellStyle name="20% - Accent4 4 2 5" xfId="1420"/>
    <cellStyle name="20% - Accent4 4 2 5 2" xfId="1421"/>
    <cellStyle name="20% - Accent4 4 2 5 2 2" xfId="1422"/>
    <cellStyle name="20% - Accent4 4 2 5 3" xfId="1423"/>
    <cellStyle name="20% - Accent4 4 2 6" xfId="1424"/>
    <cellStyle name="20% - Accent4 4 2 6 2" xfId="1425"/>
    <cellStyle name="20% - Accent4 4 2 7" xfId="1426"/>
    <cellStyle name="20% - Accent4 4 3 6" xfId="1427"/>
    <cellStyle name="20% - Accent4 4 3 2 4" xfId="1428"/>
    <cellStyle name="20% - Accent4 4 3 2 2" xfId="1429"/>
    <cellStyle name="20% - Accent4 4 3 2 2 2" xfId="1430"/>
    <cellStyle name="20% - Accent4 4 3 2 3" xfId="1431"/>
    <cellStyle name="20% - Accent4 4 3 3" xfId="1432"/>
    <cellStyle name="20% - Accent4 4 3 3 2" xfId="1433"/>
    <cellStyle name="20% - Accent4 4 3 4" xfId="1434"/>
    <cellStyle name="20% - Accent4 4 4 5" xfId="1435"/>
    <cellStyle name="20% - Accent4 4 4 2 4" xfId="1436"/>
    <cellStyle name="20% - Accent4 4 4 2 2" xfId="1437"/>
    <cellStyle name="20% - Accent4 4 4 2 2 2" xfId="1438"/>
    <cellStyle name="20% - Accent4 4 4 2 3" xfId="1439"/>
    <cellStyle name="20% - Accent4 4 4 3" xfId="1440"/>
    <cellStyle name="20% - Accent4 4 4 3 2" xfId="1441"/>
    <cellStyle name="20% - Accent4 4 4 4" xfId="1442"/>
    <cellStyle name="20% - Accent4 4 5 5" xfId="1443"/>
    <cellStyle name="20% - Accent4 4 5 2 4" xfId="1444"/>
    <cellStyle name="20% - Accent4 4 5 2 2" xfId="1445"/>
    <cellStyle name="20% - Accent4 4 5 2 2 2" xfId="1446"/>
    <cellStyle name="20% - Accent4 4 5 2 3" xfId="1447"/>
    <cellStyle name="20% - Accent4 4 5 3" xfId="1448"/>
    <cellStyle name="20% - Accent4 4 5 3 2" xfId="1449"/>
    <cellStyle name="20% - Accent4 4 5 4" xfId="1450"/>
    <cellStyle name="20% - Accent4 4 6 4" xfId="1451"/>
    <cellStyle name="20% - Accent4 4 6 2" xfId="1452"/>
    <cellStyle name="20% - Accent4 4 6 2 2" xfId="1453"/>
    <cellStyle name="20% - Accent4 4 6 3" xfId="1454"/>
    <cellStyle name="20% - Accent1 3 11" xfId="1455"/>
    <cellStyle name="20% - Accent2 3 11" xfId="1456"/>
    <cellStyle name="20% - Accent3 3 11" xfId="1457"/>
    <cellStyle name="20% - Accent4 3 11" xfId="1458"/>
    <cellStyle name="20% - Accent1 4 10" xfId="1459"/>
    <cellStyle name="20% - Accent2 4 10" xfId="1460"/>
    <cellStyle name="20% - Accent3 4 10" xfId="1461"/>
    <cellStyle name="20% - Accent4 4 10" xfId="1462"/>
    <cellStyle name="20% - Accent1 7" xfId="1463"/>
    <cellStyle name="20% - Accent2 7" xfId="1464"/>
    <cellStyle name="20% - Accent3 7" xfId="1465"/>
    <cellStyle name="20% - Accent1 3 12" xfId="1466"/>
    <cellStyle name="20% - Accent4 3 12" xfId="1467"/>
    <cellStyle name="20% - Accent2 3 12" xfId="1468"/>
    <cellStyle name="20% - Accent3 3 12" xfId="1469"/>
    <cellStyle name="20% - Accent1 3 4 5" xfId="1470"/>
    <cellStyle name="20% - Accent2 3 4 5" xfId="1471"/>
    <cellStyle name="20% - Accent3 3 4 5" xfId="1472"/>
    <cellStyle name="20% - Accent4 3 4 5" xfId="1473"/>
    <cellStyle name="20% - Accent3 4 2 8" xfId="1474"/>
    <cellStyle name="20% - Accent1 3 3 8" xfId="1475"/>
    <cellStyle name="20% - Accent4 3 3 8" xfId="1476"/>
    <cellStyle name="20% - Accent2 3 3 8" xfId="1477"/>
    <cellStyle name="20% - Accent3 3 3 8" xfId="1478"/>
    <cellStyle name="20% - Accent1 3 2 10" xfId="1479"/>
    <cellStyle name="20% - Accent4 3 2 10" xfId="1480"/>
    <cellStyle name="20% - Accent2 3 2 10" xfId="1481"/>
    <cellStyle name="20% - Accent3 3 2 10" xfId="1482"/>
    <cellStyle name="20% - Accent1 4 11" xfId="1483"/>
    <cellStyle name="20% - Accent2 4 11" xfId="1484"/>
    <cellStyle name="20% - Accent3 4 11" xfId="1485"/>
    <cellStyle name="20% - Accent4 4 11" xfId="1486"/>
    <cellStyle name="20% - Accent4 4 2 8" xfId="1487"/>
    <cellStyle name="20% - Accent2 4 2 8" xfId="1488"/>
    <cellStyle name="20% - Accent1 4 2 8" xfId="1489"/>
    <cellStyle name="20% - Accent1 5 10" xfId="1490"/>
    <cellStyle name="20% - Accent2 5 10" xfId="1491"/>
    <cellStyle name="20% - Accent3 5 10" xfId="1492"/>
    <cellStyle name="20% - Accent1 3 5 5" xfId="1493"/>
    <cellStyle name="20% - Accent2 3 5 5" xfId="1494"/>
    <cellStyle name="20% - Accent3 3 5 5" xfId="1495"/>
    <cellStyle name="20% - Accent4 3 5 5" xfId="1496"/>
    <cellStyle name="20% - Accent1 4 3 5" xfId="1497"/>
    <cellStyle name="20% - Accent2 4 3 5" xfId="1498"/>
    <cellStyle name="20% - Accent3 4 3 5" xfId="1499"/>
    <cellStyle name="20% - Accent4 4 3 5" xfId="1500"/>
    <cellStyle name="20% - Accent1 3 15" xfId="1501"/>
    <cellStyle name="20% - Accent1 3 2 13" xfId="1502"/>
    <cellStyle name="20% - Accent2 3 15" xfId="1503"/>
    <cellStyle name="20% - Accent2 3 2 13" xfId="1504"/>
    <cellStyle name="20% - Accent3 3 15" xfId="1505"/>
    <cellStyle name="20% - Accent3 3 2 13" xfId="1506"/>
    <cellStyle name="20% - Accent4 3 15" xfId="1507"/>
    <cellStyle name="20% - Accent4 3 2 13" xfId="1508"/>
    <cellStyle name="20% - Accent1 3 3 11" xfId="1509"/>
    <cellStyle name="20% - Accent1 3 2 2 10" xfId="1510"/>
    <cellStyle name="20% - Accent1 4 14" xfId="1511"/>
    <cellStyle name="20% - Accent1 4 2 11" xfId="1512"/>
    <cellStyle name="20% - Accent1 5 13" xfId="1513"/>
    <cellStyle name="20% - Accent2 3 3 11" xfId="1514"/>
    <cellStyle name="20% - Accent2 3 2 2 10" xfId="1515"/>
    <cellStyle name="20% - Accent2 4 14" xfId="1516"/>
    <cellStyle name="20% - Accent2 4 2 11" xfId="1517"/>
    <cellStyle name="20% - Accent2 5 13" xfId="1518"/>
    <cellStyle name="20% - Accent3 3 3 11" xfId="1519"/>
    <cellStyle name="20% - Accent3 3 2 2 10" xfId="1520"/>
    <cellStyle name="20% - Accent3 4 14" xfId="1521"/>
    <cellStyle name="20% - Accent3 4 2 11" xfId="1522"/>
    <cellStyle name="20% - Accent3 5 13" xfId="1523"/>
    <cellStyle name="20% - Accent4 3 3 11" xfId="1524"/>
    <cellStyle name="20% - Accent4 3 2 2 10" xfId="1525"/>
    <cellStyle name="20% - Accent4 4 14" xfId="1526"/>
    <cellStyle name="20% - Accent4 4 2 11" xfId="1527"/>
    <cellStyle name="Percent" xfId="1528" builtinId="5"/>
    <cellStyle name="Currency" xfId="1529" builtinId="4"/>
  </cellStyles>
  <dxfs count="2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6" formatCode="#,##0_);[Red]\(#,##0\)"/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64" formatCode="[$-409]mmm\-yy;@"/>
      <alignment horizontal="center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64" formatCode="[$-409]mmm\-yy;@"/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6" formatCode="#,##0_);[Red]\(#,##0\)"/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6" formatCode="#,##0_);[Red]\(#,##0\)"/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4" formatCode="0.00%"/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0" formatCode="&quot;$&quot;#,##0_);[Red]\(&quot;$&quot;#,##0\)"/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4" formatCode="0.00%"/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0" formatCode="&quot;$&quot;#,##0_);[Red]\(&quot;$&quot;#,##0\)"/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66" formatCode="#,##0.0_)&quot;Years&quot;;[Red]\(#,##0.0\)&quot;Years&quot;"/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64" formatCode="[$-409]mmm\-yy;@"/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2" formatCode="&quot;$&quot;#,##0.00_);[Red]\(&quot;$&quot;#,##0.00\)"/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0" formatCode="&quot;$&quot;#,##0_);[Red]\(&quot;$&quot;#,##0\)"/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6" formatCode="#,##0_);[Red]\(#,##0\)"/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" formatCode="0"/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65" formatCode="#,##0.0_);[Red]\(#,##0.0\)"/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6" formatCode="#,##0_);[Red]\(#,##0\)"/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64" formatCode="[$-409]mmm\-yy;@"/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4" formatCode="0.00%"/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4" formatCode="0.00%"/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0" formatCode="&quot;$&quot;#,##0_);[Red]\(&quot;$&quot;#,##0\)"/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67" formatCode="0.0%"/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4" formatCode="0.00%"/>
      <alignment horizontal="center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4" formatCode="0.00%"/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0" formatCode="&quot;$&quot;#,##0_);[Red]\(&quot;$&quot;#,##0\)"/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64" formatCode="[$-409]mmm\-yy;@"/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4" formatCode="0.00%"/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0" formatCode="&quot;$&quot;#,##0_);[Red]\(&quot;$&quot;#,##0\)"/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0" formatCode="&quot;$&quot;#,##0_);[Red]\(&quot;$&quot;#,##0\)"/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66" formatCode="#,##0.0_)&quot;Years&quot;;[Red]\(#,##0.0\)&quot;Years&quot;"/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64" formatCode="[$-409]mmm\-yy;@"/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2" formatCode="&quot;$&quot;#,##0.00_);[Red]\(&quot;$&quot;#,##0.00\)"/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0" formatCode="&quot;$&quot;#,##0_);[Red]\(&quot;$&quot;#,##0\)"/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0" formatCode="&quot;$&quot;#,##0_);[Red]\(&quot;$&quot;#,##0\)"/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6" formatCode="#,##0_);[Red]\(#,##0\)"/>
      <alignment horizontal="center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6" formatCode="#,##0_);[Red]\(#,##0\)"/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" formatCode="0"/>
      <alignment horizontal="center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" formatCode="0"/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65" formatCode="#,##0.0_);[Red]\(#,##0.0\)"/>
      <alignment horizontal="center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numFmt numFmtId="165" formatCode="#,##0.0_);[Red]\(#,##0.0\)"/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center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general" vertical="center"/>
    </dxf>
    <dxf>
      <font>
        <name val="Aptos"/>
        <family val="2"/>
        <strike val="0"/>
        <outline val="0"/>
        <shadow val="0"/>
        <color auto="1"/>
        <sz val="10"/>
        <vertAlign val="baseline"/>
      </font>
      <alignment horizontal="general" vertical="center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pivotCacheDefinition" Target="/xl/pivotCache/pivotCacheDefinition1.xml" Id="rId14"/><Relationship Type="http://schemas.openxmlformats.org/officeDocument/2006/relationships/pivotCacheDefinition" Target="/xl/pivotCache/pivotCacheDefinition2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74157847524969"/>
          <y val="0.01233480214243535"/>
          <w val="0.9218847899498008"/>
          <h val="0.8943888413099107"/>
        </manualLayout>
      </layout>
      <scatterChart>
        <scatterStyle val="lineMarker"/>
        <varyColors val="0"/>
        <ser>
          <idx val="0"/>
          <order val="0"/>
          <tx>
            <strRef>
              <f>'Available Comps'!$M$160</f>
              <strCache>
                <ptCount val="1"/>
                <pt idx="0">
                  <v>Last Cap</v>
                </pt>
              </strCache>
            </strRef>
          </tx>
          <spPr>
            <a:ln xmlns:a="http://schemas.openxmlformats.org/drawingml/2006/main" w="25400" cap="flat" cmpd="dbl" algn="ctr">
              <a:noFill/>
              <a:prstDash val="solid"/>
              <a:round/>
            </a:ln>
          </spPr>
          <marker>
            <symbol val="circle"/>
            <size val="6"/>
            <spPr>
              <a:noFill xmlns:a="http://schemas.openxmlformats.org/drawingml/2006/main"/>
              <a:ln xmlns:a="http://schemas.openxmlformats.org/drawingml/2006/main" w="34925" cap="flat" cmpd="dbl" algn="ctr">
                <a:solidFill>
                  <a:schemeClr val="accent1">
                    <a:alpha val="70000"/>
                    <a:lumMod val="75000"/>
                  </a:schemeClr>
                </a:solidFill>
                <a:prstDash val="solid"/>
                <a:round/>
              </a:ln>
            </spPr>
          </marker>
          <dPt>
            <idx val="5"/>
            <marker>
              <symbol val="circle"/>
              <size val="6"/>
              <spPr>
                <a:noFill xmlns:a="http://schemas.openxmlformats.org/drawingml/2006/main"/>
                <a:ln xmlns:a="http://schemas.openxmlformats.org/drawingml/2006/main" w="34925" cap="flat" cmpd="dbl" algn="ctr">
                  <a:solidFill>
                    <a:schemeClr val="accent1">
                      <a:alpha val="70000"/>
                      <a:lumMod val="75000"/>
                    </a:schemeClr>
                  </a:solidFill>
                  <a:prstDash val="solid"/>
                  <a:round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12"/>
            <marker>
              <symbol val="circle"/>
              <size val="6"/>
              <spPr>
                <a:noFill xmlns:a="http://schemas.openxmlformats.org/drawingml/2006/main"/>
                <a:ln xmlns:a="http://schemas.openxmlformats.org/drawingml/2006/main" w="34925" cap="flat" cmpd="dbl" algn="ctr">
                  <a:solidFill>
                    <a:schemeClr val="accent1">
                      <a:alpha val="70000"/>
                      <a:lumMod val="75000"/>
                    </a:schemeClr>
                  </a:solidFill>
                  <a:prstDash val="solid"/>
                  <a:round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13"/>
            <marker>
              <symbol val="circle"/>
              <size val="6"/>
              <spPr>
                <a:noFill xmlns:a="http://schemas.openxmlformats.org/drawingml/2006/main"/>
                <a:ln xmlns:a="http://schemas.openxmlformats.org/drawingml/2006/main" w="34925" cap="flat" cmpd="dbl" algn="ctr">
                  <a:solidFill>
                    <a:schemeClr val="accent1">
                      <a:alpha val="70000"/>
                      <a:lumMod val="75000"/>
                    </a:schemeClr>
                  </a:solidFill>
                  <a:prstDash val="solid"/>
                  <a:round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26"/>
            <marker>
              <symbol val="circle"/>
              <size val="6"/>
              <spPr>
                <a:noFill xmlns:a="http://schemas.openxmlformats.org/drawingml/2006/main"/>
                <a:ln xmlns:a="http://schemas.openxmlformats.org/drawingml/2006/main" w="34925" cap="flat" cmpd="dbl" algn="ctr">
                  <a:solidFill>
                    <a:schemeClr val="accent1">
                      <a:alpha val="70000"/>
                      <a:lumMod val="75000"/>
                    </a:schemeClr>
                  </a:solidFill>
                  <a:prstDash val="solid"/>
                  <a:round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27"/>
            <marker>
              <symbol val="circle"/>
              <size val="6"/>
              <spPr>
                <a:noFill xmlns:a="http://schemas.openxmlformats.org/drawingml/2006/main"/>
                <a:ln xmlns:a="http://schemas.openxmlformats.org/drawingml/2006/main" w="34925" cap="flat" cmpd="dbl" algn="ctr">
                  <a:solidFill>
                    <a:schemeClr val="accent1">
                      <a:alpha val="70000"/>
                      <a:lumMod val="75000"/>
                    </a:schemeClr>
                  </a:solidFill>
                  <a:prstDash val="solid"/>
                  <a:round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39"/>
            <marker>
              <symbol val="circle"/>
              <size val="6"/>
              <spPr>
                <a:noFill xmlns:a="http://schemas.openxmlformats.org/drawingml/2006/main"/>
                <a:ln xmlns:a="http://schemas.openxmlformats.org/drawingml/2006/main" w="34925" cap="flat" cmpd="dbl" algn="ctr">
                  <a:solidFill>
                    <a:schemeClr val="accent1">
                      <a:alpha val="70000"/>
                      <a:lumMod val="75000"/>
                    </a:schemeClr>
                  </a:solidFill>
                  <a:prstDash val="solid"/>
                  <a:round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49"/>
            <marker>
              <symbol val="circle"/>
              <size val="6"/>
              <spPr>
                <a:noFill xmlns:a="http://schemas.openxmlformats.org/drawingml/2006/main"/>
                <a:ln xmlns:a="http://schemas.openxmlformats.org/drawingml/2006/main" w="34925" cap="flat" cmpd="dbl" algn="ctr">
                  <a:solidFill>
                    <a:schemeClr val="accent1">
                      <a:alpha val="70000"/>
                      <a:lumMod val="75000"/>
                    </a:schemeClr>
                  </a:solidFill>
                  <a:prstDash val="solid"/>
                  <a:round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50"/>
            <marker>
              <symbol val="circle"/>
              <size val="6"/>
              <spPr>
                <a:noFill xmlns:a="http://schemas.openxmlformats.org/drawingml/2006/main"/>
                <a:ln xmlns:a="http://schemas.openxmlformats.org/drawingml/2006/main" w="34925" cap="flat" cmpd="dbl" algn="ctr">
                  <a:solidFill>
                    <a:schemeClr val="accent1">
                      <a:alpha val="70000"/>
                      <a:lumMod val="75000"/>
                    </a:schemeClr>
                  </a:solidFill>
                  <a:prstDash val="solid"/>
                  <a:round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51"/>
            <marker>
              <symbol val="circle"/>
              <size val="6"/>
              <spPr>
                <a:noFill xmlns:a="http://schemas.openxmlformats.org/drawingml/2006/main"/>
                <a:ln xmlns:a="http://schemas.openxmlformats.org/drawingml/2006/main" w="34925" cap="flat" cmpd="dbl" algn="ctr">
                  <a:solidFill>
                    <a:schemeClr val="accent1">
                      <a:alpha val="70000"/>
                      <a:lumMod val="75000"/>
                    </a:schemeClr>
                  </a:solidFill>
                  <a:prstDash val="solid"/>
                  <a:round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52"/>
            <marker>
              <symbol val="circle"/>
              <size val="6"/>
              <spPr>
                <a:noFill xmlns:a="http://schemas.openxmlformats.org/drawingml/2006/main"/>
                <a:ln xmlns:a="http://schemas.openxmlformats.org/drawingml/2006/main" w="34925" cap="flat" cmpd="dbl" algn="ctr">
                  <a:solidFill>
                    <a:schemeClr val="accent1">
                      <a:alpha val="70000"/>
                      <a:lumMod val="75000"/>
                    </a:schemeClr>
                  </a:solidFill>
                  <a:prstDash val="solid"/>
                  <a:round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61"/>
            <marker>
              <symbol val="circle"/>
              <size val="6"/>
              <spPr>
                <a:noFill xmlns:a="http://schemas.openxmlformats.org/drawingml/2006/main"/>
                <a:ln xmlns:a="http://schemas.openxmlformats.org/drawingml/2006/main" w="34925" cap="flat" cmpd="dbl" algn="ctr">
                  <a:solidFill>
                    <a:schemeClr val="accent1">
                      <a:alpha val="70000"/>
                      <a:lumMod val="75000"/>
                    </a:schemeClr>
                  </a:solidFill>
                  <a:prstDash val="solid"/>
                  <a:round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100"/>
            <marker>
              <symbol val="circle"/>
              <size val="6"/>
              <spPr>
                <a:noFill xmlns:a="http://schemas.openxmlformats.org/drawingml/2006/main"/>
                <a:ln xmlns:a="http://schemas.openxmlformats.org/drawingml/2006/main" w="34925" cap="flat" cmpd="dbl" algn="ctr">
                  <a:solidFill>
                    <a:schemeClr val="accent1">
                      <a:alpha val="70000"/>
                      <a:lumMod val="75000"/>
                    </a:schemeClr>
                  </a:solidFill>
                  <a:prstDash val="solid"/>
                  <a:round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109"/>
            <marker>
              <symbol val="circle"/>
              <size val="6"/>
              <spPr>
                <a:noFill xmlns:a="http://schemas.openxmlformats.org/drawingml/2006/main"/>
                <a:ln xmlns:a="http://schemas.openxmlformats.org/drawingml/2006/main" w="34925" cap="flat" cmpd="dbl" algn="ctr">
                  <a:solidFill>
                    <a:schemeClr val="accent1">
                      <a:alpha val="70000"/>
                      <a:lumMod val="75000"/>
                    </a:schemeClr>
                  </a:solidFill>
                  <a:prstDash val="solid"/>
                  <a:round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113"/>
            <marker>
              <symbol val="circle"/>
              <size val="6"/>
              <spPr>
                <a:noFill xmlns:a="http://schemas.openxmlformats.org/drawingml/2006/main"/>
                <a:ln xmlns:a="http://schemas.openxmlformats.org/drawingml/2006/main" w="34925" cap="flat" cmpd="dbl" algn="ctr">
                  <a:solidFill>
                    <a:schemeClr val="accent1">
                      <a:alpha val="70000"/>
                      <a:lumMod val="75000"/>
                    </a:schemeClr>
                  </a:solidFill>
                  <a:prstDash val="solid"/>
                  <a:round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116"/>
            <marker>
              <symbol val="circle"/>
              <size val="6"/>
              <spPr>
                <a:noFill xmlns:a="http://schemas.openxmlformats.org/drawingml/2006/main"/>
                <a:ln xmlns:a="http://schemas.openxmlformats.org/drawingml/2006/main" w="34925" cap="flat" cmpd="dbl" algn="ctr">
                  <a:solidFill>
                    <a:schemeClr val="accent1">
                      <a:alpha val="70000"/>
                      <a:lumMod val="75000"/>
                    </a:schemeClr>
                  </a:solidFill>
                  <a:prstDash val="solid"/>
                  <a:round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133"/>
            <marker>
              <symbol val="circle"/>
              <size val="6"/>
              <spPr>
                <a:noFill xmlns:a="http://schemas.openxmlformats.org/drawingml/2006/main"/>
                <a:ln xmlns:a="http://schemas.openxmlformats.org/drawingml/2006/main" w="34925" cap="flat" cmpd="dbl" algn="ctr">
                  <a:solidFill>
                    <a:schemeClr val="accent1">
                      <a:alpha val="70000"/>
                      <a:lumMod val="75000"/>
                    </a:schemeClr>
                  </a:solidFill>
                  <a:prstDash val="solid"/>
                  <a:round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159"/>
            <marker>
              <symbol val="circle"/>
              <size val="6"/>
              <spPr>
                <a:noFill xmlns:a="http://schemas.openxmlformats.org/drawingml/2006/main"/>
                <a:ln xmlns:a="http://schemas.openxmlformats.org/drawingml/2006/main" w="34925" cap="flat" cmpd="dbl" algn="ctr">
                  <a:solidFill>
                    <a:schemeClr val="accent1">
                      <a:alpha val="70000"/>
                      <a:lumMod val="75000"/>
                    </a:schemeClr>
                  </a:solidFill>
                  <a:prstDash val="solid"/>
                  <a:round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160"/>
            <marker>
              <symbol val="circle"/>
              <size val="6"/>
              <spPr>
                <a:noFill xmlns:a="http://schemas.openxmlformats.org/drawingml/2006/main"/>
                <a:ln xmlns:a="http://schemas.openxmlformats.org/drawingml/2006/main" w="34925" cap="flat" cmpd="dbl" algn="ctr">
                  <a:solidFill>
                    <a:schemeClr val="accent1">
                      <a:alpha val="70000"/>
                      <a:lumMod val="75000"/>
                    </a:schemeClr>
                  </a:solidFill>
                  <a:prstDash val="solid"/>
                  <a:round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161"/>
            <marker>
              <symbol val="circle"/>
              <size val="6"/>
              <spPr>
                <a:noFill xmlns:a="http://schemas.openxmlformats.org/drawingml/2006/main"/>
                <a:ln xmlns:a="http://schemas.openxmlformats.org/drawingml/2006/main" w="34925" cap="flat" cmpd="dbl" algn="ctr">
                  <a:solidFill>
                    <a:schemeClr val="accent1">
                      <a:alpha val="70000"/>
                      <a:lumMod val="75000"/>
                    </a:schemeClr>
                  </a:solidFill>
                  <a:prstDash val="solid"/>
                  <a:round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Pt>
            <idx val="162"/>
            <marker>
              <symbol val="circle"/>
              <size val="6"/>
              <spPr>
                <a:noFill xmlns:a="http://schemas.openxmlformats.org/drawingml/2006/main"/>
                <a:ln xmlns:a="http://schemas.openxmlformats.org/drawingml/2006/main" w="34925" cap="flat" cmpd="dbl" algn="ctr">
                  <a:solidFill>
                    <a:schemeClr val="accent1">
                      <a:alpha val="70000"/>
                      <a:lumMod val="75000"/>
                    </a:schemeClr>
                  </a:solidFill>
                  <a:prstDash val="solid"/>
                  <a:round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trendline>
            <spPr>
              <a:ln xmlns:a="http://schemas.openxmlformats.org/drawingml/2006/main" w="38100" cap="rnd" cmpd="sng" algn="ctr">
                <a:solidFill>
                  <a:schemeClr val="accent1">
                    <a:alpha val="25000"/>
                    <a:lumMod val="75000"/>
                  </a:schemeClr>
                </a:solidFill>
                <a:prstDash val="solid"/>
                <a:round/>
              </a:ln>
            </spPr>
            <trendlineType val="linear"/>
            <dispRSqr val="0"/>
            <dispEq val="0"/>
          </trendline>
          <xVal>
            <strRef>
              <f>'Available Comps'!$L$161:$L$327</f>
              <strCache>
                <ptCount val="149"/>
                <pt idx="0">
                  <v xml:space="preserve">2.8 </v>
                </pt>
                <pt idx="2">
                  <v xml:space="preserve">8.1 </v>
                </pt>
                <pt idx="4">
                  <v xml:space="preserve">4.2 </v>
                </pt>
                <pt idx="5">
                  <v xml:space="preserve">6.2 </v>
                </pt>
                <pt idx="7">
                  <v xml:space="preserve">10.8 </v>
                </pt>
                <pt idx="10">
                  <v xml:space="preserve">6.8 </v>
                </pt>
                <pt idx="12">
                  <v xml:space="preserve">10.8 </v>
                </pt>
                <pt idx="14">
                  <v xml:space="preserve">5.2 </v>
                </pt>
                <pt idx="15">
                  <v xml:space="preserve">7.7 </v>
                </pt>
                <pt idx="17">
                  <v xml:space="preserve">10.8 </v>
                </pt>
                <pt idx="19">
                  <v xml:space="preserve">7.6 </v>
                </pt>
                <pt idx="20">
                  <v xml:space="preserve">6.7 </v>
                </pt>
                <pt idx="21">
                  <v xml:space="preserve">11.8 </v>
                </pt>
                <pt idx="22">
                  <v>(1.9)</v>
                </pt>
                <pt idx="23">
                  <v xml:space="preserve">7.0 </v>
                </pt>
                <pt idx="24">
                  <v xml:space="preserve">8.7 </v>
                </pt>
                <pt idx="25">
                  <v xml:space="preserve">11.7 </v>
                </pt>
                <pt idx="26">
                  <v xml:space="preserve">5.2 </v>
                </pt>
                <pt idx="27">
                  <v xml:space="preserve">11.7 </v>
                </pt>
                <pt idx="28">
                  <v xml:space="preserve">1.7 </v>
                </pt>
                <pt idx="29">
                  <v xml:space="preserve">11.8 </v>
                </pt>
                <pt idx="30">
                  <v xml:space="preserve">11.0 </v>
                </pt>
                <pt idx="31">
                  <v xml:space="preserve">10.8 </v>
                </pt>
                <pt idx="34">
                  <v xml:space="preserve">6.8 </v>
                </pt>
                <pt idx="40">
                  <v xml:space="preserve">0.2 </v>
                </pt>
                <pt idx="41">
                  <v xml:space="preserve">12.5 </v>
                </pt>
                <pt idx="42">
                  <v xml:space="preserve">6.8 </v>
                </pt>
                <pt idx="43">
                  <v xml:space="preserve">4.3 </v>
                </pt>
                <pt idx="45">
                  <v xml:space="preserve">3.3 </v>
                </pt>
                <pt idx="47">
                  <v xml:space="preserve">12.3 </v>
                </pt>
                <pt idx="50">
                  <v xml:space="preserve">6.2 </v>
                </pt>
                <pt idx="51">
                  <v xml:space="preserve">4.8 </v>
                </pt>
                <pt idx="52">
                  <v xml:space="preserve">12.1 </v>
                </pt>
                <pt idx="53">
                  <v xml:space="preserve">3.3 </v>
                </pt>
                <pt idx="56">
                  <v xml:space="preserve">7.8 </v>
                </pt>
                <pt idx="57">
                  <v xml:space="preserve">2.7 </v>
                </pt>
                <pt idx="58">
                  <v xml:space="preserve">0.7 </v>
                </pt>
                <pt idx="59">
                  <v xml:space="preserve">11.8 </v>
                </pt>
                <pt idx="60">
                  <v xml:space="preserve">5.2 </v>
                </pt>
                <pt idx="62">
                  <v xml:space="preserve">9.8 </v>
                </pt>
                <pt idx="65">
                  <v xml:space="preserve">7.3 </v>
                </pt>
                <pt idx="69">
                  <v xml:space="preserve">4.1 </v>
                </pt>
                <pt idx="71">
                  <v xml:space="preserve">2.3 </v>
                </pt>
                <pt idx="73">
                  <v> </v>
                </pt>
                <pt idx="74">
                  <v xml:space="preserve">2.3 </v>
                </pt>
                <pt idx="75">
                  <v xml:space="preserve">6.4 </v>
                </pt>
                <pt idx="76">
                  <v xml:space="preserve">5.2 </v>
                </pt>
                <pt idx="77">
                  <v xml:space="preserve">6.5 </v>
                </pt>
                <pt idx="81">
                  <v xml:space="preserve">8.7 </v>
                </pt>
                <pt idx="82">
                  <v xml:space="preserve">7.7 </v>
                </pt>
                <pt idx="83">
                  <v xml:space="preserve">8.5 </v>
                </pt>
                <pt idx="84">
                  <v xml:space="preserve">5.7 </v>
                </pt>
                <pt idx="85">
                  <v xml:space="preserve">4.7 </v>
                </pt>
                <pt idx="86">
                  <v xml:space="preserve">8.4 </v>
                </pt>
                <pt idx="89">
                  <v xml:space="preserve">3.9 </v>
                </pt>
                <pt idx="90">
                  <v xml:space="preserve">5.9 </v>
                </pt>
                <pt idx="91">
                  <v xml:space="preserve">5.6 </v>
                </pt>
                <pt idx="92">
                  <v xml:space="preserve">6.8 </v>
                </pt>
                <pt idx="93">
                  <v xml:space="preserve">1.6 </v>
                </pt>
                <pt idx="94">
                  <v xml:space="preserve">4.4 </v>
                </pt>
                <pt idx="101">
                  <v xml:space="preserve">3.5 </v>
                </pt>
                <pt idx="102">
                  <v> </v>
                </pt>
                <pt idx="104">
                  <v>(0.2)</v>
                </pt>
                <pt idx="105">
                  <v xml:space="preserve">8.5 </v>
                </pt>
                <pt idx="108">
                  <v xml:space="preserve">5.8 </v>
                </pt>
                <pt idx="109">
                  <v xml:space="preserve">4.3 </v>
                </pt>
                <pt idx="112">
                  <v xml:space="preserve">7.3 </v>
                </pt>
                <pt idx="113">
                  <v xml:space="preserve">5.4 </v>
                </pt>
                <pt idx="114">
                  <v xml:space="preserve">6.7 </v>
                </pt>
                <pt idx="117">
                  <v xml:space="preserve">1.6 </v>
                </pt>
                <pt idx="118">
                  <v xml:space="preserve">0.2 </v>
                </pt>
                <pt idx="119">
                  <v xml:space="preserve">14.3 </v>
                </pt>
                <pt idx="120">
                  <v xml:space="preserve">3.0 </v>
                </pt>
                <pt idx="125">
                  <v>(0.0)</v>
                </pt>
                <pt idx="126">
                  <v xml:space="preserve">2.7 </v>
                </pt>
                <pt idx="127">
                  <v xml:space="preserve">2.3 </v>
                </pt>
                <pt idx="128">
                  <v xml:space="preserve">3.7 </v>
                </pt>
                <pt idx="130">
                  <v xml:space="preserve">7.5 </v>
                </pt>
                <pt idx="131">
                  <v xml:space="preserve">3.5 </v>
                </pt>
                <pt idx="132">
                  <v xml:space="preserve">5.7 </v>
                </pt>
                <pt idx="133">
                  <v xml:space="preserve">8.0 </v>
                </pt>
                <pt idx="134">
                  <v xml:space="preserve">7.0 </v>
                </pt>
                <pt idx="135">
                  <v xml:space="preserve">5.3 </v>
                </pt>
                <pt idx="136">
                  <v xml:space="preserve">1.9 </v>
                </pt>
                <pt idx="137">
                  <v xml:space="preserve">0.7 </v>
                </pt>
                <pt idx="138">
                  <v xml:space="preserve">3.3 </v>
                </pt>
                <pt idx="139">
                  <v xml:space="preserve">1.5 </v>
                </pt>
                <pt idx="141">
                  <v xml:space="preserve">3.1 </v>
                </pt>
                <pt idx="143">
                  <v xml:space="preserve">5.7 </v>
                </pt>
                <pt idx="144">
                  <v xml:space="preserve">0.4 </v>
                </pt>
                <pt idx="147">
                  <v>(0.7)</v>
                </pt>
                <pt idx="148">
                  <v xml:space="preserve">4.8 </v>
                </pt>
              </strCache>
            </strRef>
          </xVal>
          <yVal>
            <numRef>
              <f>'Available Comps'!$M$161:$M$327</f>
              <numCache>
                <formatCode>0.00%</formatCode>
                <ptCount val="167"/>
                <pt idx="0">
                  <v>0.0358</v>
                </pt>
                <pt idx="2">
                  <v>0.0499978813559322</v>
                </pt>
                <pt idx="4">
                  <v>0.05076923076923077</v>
                </pt>
                <pt idx="5">
                  <v>0.0510030658491069</v>
                </pt>
                <pt idx="7">
                  <v>0.05110000332443176</v>
                </pt>
                <pt idx="10">
                  <v>0.05240000028720591</v>
                </pt>
                <pt idx="12">
                  <v>0.05240000564642816</v>
                </pt>
                <pt idx="14">
                  <v>0.0525</v>
                </pt>
                <pt idx="15">
                  <v>0.05250011309658448</v>
                </pt>
                <pt idx="17">
                  <v>0.05250655823714585</v>
                </pt>
                <pt idx="19">
                  <v>0.05365047619047619</v>
                </pt>
                <pt idx="20">
                  <v>0.05400000190107382</v>
                </pt>
                <pt idx="21">
                  <v>0.0549997928504731</v>
                </pt>
                <pt idx="22">
                  <v>0.05499986365172629</v>
                </pt>
                <pt idx="23">
                  <v>0.05499997162170599</v>
                </pt>
                <pt idx="24">
                  <v>0.055</v>
                </pt>
                <pt idx="25">
                  <v>0.05500287304722572</v>
                </pt>
                <pt idx="26">
                  <v>0.0552743972445465</v>
                </pt>
                <pt idx="27">
                  <v>0.0565000343242878</v>
                </pt>
                <pt idx="28">
                  <v>0.05651097222222222</v>
                </pt>
                <pt idx="29">
                  <v>0.05749988147603308</v>
                </pt>
                <pt idx="30">
                  <v>0.05749992742030367</v>
                </pt>
                <pt idx="31">
                  <v>0.05849999558064626</v>
                </pt>
                <pt idx="34">
                  <v>0.05990434782608696</v>
                </pt>
                <pt idx="40">
                  <v>0.06000001366649516</v>
                </pt>
                <pt idx="41">
                  <v>0.06000001525757068</v>
                </pt>
                <pt idx="42">
                  <v>0.06001482579688659</v>
                </pt>
                <pt idx="43">
                  <v>0.06033016949152542</v>
                </pt>
                <pt idx="45">
                  <v>0.060987</v>
                </pt>
                <pt idx="47">
                  <v>0.06100711136604531</v>
                </pt>
                <pt idx="50">
                  <v>0.06200013278889885</v>
                </pt>
                <pt idx="51">
                  <v>0.06225657082661244</v>
                </pt>
                <pt idx="52">
                  <v>0.06228190498862424</v>
                </pt>
                <pt idx="53">
                  <v>0.0624</v>
                </pt>
                <pt idx="56">
                  <v>0.0625</v>
                </pt>
                <pt idx="57">
                  <v>0.06253676470588235</v>
                </pt>
                <pt idx="58">
                  <v>0.06272288755821689</v>
                </pt>
                <pt idx="59">
                  <v>0.06299774193548387</v>
                </pt>
                <pt idx="60">
                  <v>0.06320679245283019</v>
                </pt>
                <pt idx="62">
                  <v>0.06350001096403067</v>
                </pt>
                <pt idx="65">
                  <v>0.06371819960861057</v>
                </pt>
                <pt idx="69">
                  <v>0.06492444444444445</v>
                </pt>
                <pt idx="71">
                  <v>0.06499107142857143</v>
                </pt>
                <pt idx="73">
                  <v>0.06500001038027084</v>
                </pt>
                <pt idx="74">
                  <v>0.06520259442960702</v>
                </pt>
                <pt idx="75">
                  <v>0.06536814159292036</v>
                </pt>
                <pt idx="76">
                  <v>0.06547618216120278</v>
                </pt>
                <pt idx="77">
                  <v>0.06619545454545454</v>
                </pt>
                <pt idx="81">
                  <v>0.06750000727353556</v>
                </pt>
                <pt idx="82">
                  <v>0.06750255102040817</v>
                </pt>
                <pt idx="83">
                  <v>0.06750308219178082</v>
                </pt>
                <pt idx="84">
                  <v>0.06750397543455612</v>
                </pt>
                <pt idx="85">
                  <v>0.06750728548300054</v>
                </pt>
                <pt idx="86">
                  <v>0.0676293023255814</v>
                </pt>
                <pt idx="89">
                  <v>0.068</v>
                </pt>
                <pt idx="90">
                  <v>0.06845050055617352</v>
                </pt>
                <pt idx="91">
                  <v>0.06849998141420661</v>
                </pt>
                <pt idx="92">
                  <v>0.06900000685589443</v>
                </pt>
                <pt idx="93">
                  <v>0.069575</v>
                </pt>
                <pt idx="94">
                  <v>0.06995693938390195</v>
                </pt>
                <pt idx="101">
                  <v>0.07000000000000001</v>
                </pt>
                <pt idx="102">
                  <v>0.07000000000000001</v>
                </pt>
                <pt idx="104">
                  <v>0.07000000464455887</v>
                </pt>
                <pt idx="105">
                  <v>0.07000001785532543</v>
                </pt>
                <pt idx="108">
                  <v>0.07007407407407408</v>
                </pt>
                <pt idx="109">
                  <v>0.07021538461538461</v>
                </pt>
                <pt idx="112">
                  <v>0.0711</v>
                </pt>
                <pt idx="113">
                  <v>0.07200019433513093</v>
                </pt>
                <pt idx="114">
                  <v>0.07249535772801748</v>
                </pt>
                <pt idx="117">
                  <v>0.07250003764970187</v>
                </pt>
                <pt idx="118">
                  <v>0.07250007367893667</v>
                </pt>
                <pt idx="119">
                  <v>0.07250008048048152</v>
                </pt>
                <pt idx="120">
                  <v>0.07250008581923037</v>
                </pt>
                <pt idx="125">
                  <v>0.07494951094919415</v>
                </pt>
                <pt idx="126">
                  <v>0.07500547195622435</v>
                </pt>
                <pt idx="127">
                  <v>0.07502109704641351</v>
                </pt>
                <pt idx="128">
                  <v>0.07600000586524454</v>
                </pt>
                <pt idx="130">
                  <v>0.07749972138638136</v>
                </pt>
                <pt idx="131">
                  <v>0.0780136186770428</v>
                </pt>
                <pt idx="132">
                  <v>0.07999757593123208</v>
                </pt>
                <pt idx="133">
                  <v>0.08</v>
                </pt>
                <pt idx="134">
                  <v>0.08000002588390293</v>
                </pt>
                <pt idx="135">
                  <v>0.08005519287833827</v>
                </pt>
                <pt idx="136">
                  <v>0.08320516129032259</v>
                </pt>
                <pt idx="137">
                  <v>0.08746736292428199</v>
                </pt>
                <pt idx="138">
                  <v>0.08899001512859304</v>
                </pt>
                <pt idx="139">
                  <v>0.08905555555555555</v>
                </pt>
                <pt idx="141">
                  <v>0.09000004731081925</v>
                </pt>
                <pt idx="143">
                  <v>0.09016362328767125</v>
                </pt>
                <pt idx="144">
                  <v>0.09032268907563025</v>
                </pt>
                <pt idx="147">
                  <v>0.09999885412757571</v>
                </pt>
                <pt idx="148">
                  <v>0.1049977116704806</v>
                </pt>
              </numCache>
            </numRef>
          </yVal>
          <smooth val="0"/>
        </ser>
        <ser>
          <idx val="1"/>
          <order val="1"/>
          <tx>
            <strRef>
              <f>'Available Comps'!$L$330</f>
              <strCache>
                <ptCount val="1"/>
                <pt idx="0">
                  <v>DDP</v>
                </pt>
              </strCache>
            </strRef>
          </tx>
          <spPr>
            <a:ln xmlns:a="http://schemas.openxmlformats.org/drawingml/2006/main" w="25400" cap="flat" cmpd="dbl" algn="ctr">
              <a:noFill/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C00000"/>
              </a:solidFill>
              <a:ln xmlns:a="http://schemas.openxmlformats.org/drawingml/2006/main" w="34925" cap="flat" cmpd="dbl" algn="ctr">
                <a:solidFill>
                  <a:schemeClr val="accent3">
                    <a:alpha val="70000"/>
                    <a:lumMod val="75000"/>
                  </a:schemeClr>
                </a:solidFill>
                <a:prstDash val="solid"/>
                <a:round/>
              </a:ln>
            </spPr>
          </marker>
          <dPt>
            <idx val="0"/>
            <marker>
              <symbol val="circle"/>
              <size val="6"/>
              <spPr>
                <a:noFill xmlns:a="http://schemas.openxmlformats.org/drawingml/2006/main"/>
                <a:ln xmlns:a="http://schemas.openxmlformats.org/drawingml/2006/main" w="34925" cap="flat" cmpd="dbl" algn="ctr">
                  <a:solidFill>
                    <a:schemeClr val="accent3">
                      <a:alpha val="70000"/>
                      <a:lumMod val="75000"/>
                    </a:schemeClr>
                  </a:solidFill>
                  <a:prstDash val="solid"/>
                  <a:round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xVal>
            <numRef>
              <f>'Available Comps'!$L$332:$L$340</f>
              <numCache>
                <formatCode>#,##0.0_);[Red]\(#,##0.0\)</formatCode>
                <ptCount val="9"/>
                <pt idx="0">
                  <v>9.800000000000001</v>
                </pt>
                <pt idx="1">
                  <v>10.8</v>
                </pt>
                <pt idx="2">
                  <v>3.075724320459157</v>
                </pt>
                <pt idx="3">
                  <v>4.494902402650938</v>
                </pt>
                <pt idx="4">
                  <v>5.045587334157787</v>
                </pt>
              </numCache>
            </numRef>
          </xVal>
          <yVal>
            <numRef>
              <f>'Available Comps'!$M$332:$M$340</f>
              <numCache>
                <formatCode>0.00%</formatCode>
                <ptCount val="9"/>
                <pt idx="0">
                  <v>0.05110000008710227</v>
                </pt>
                <pt idx="1">
                  <v>0.05110000958818631</v>
                </pt>
                <pt idx="2">
                  <v>0.05947152177239522</v>
                </pt>
                <pt idx="3">
                  <v>0.068</v>
                </pt>
                <pt idx="4">
                  <v>0.06997210976158344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303991008"/>
        <axId val="303985728"/>
      </scatterChart>
      <valAx>
        <axId val="30399100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LEASE TERM REMAINING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#,##0.0_);[Red]\(#,##0.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03985728"/>
        <crosses val="autoZero"/>
        <crossBetween val="midCat"/>
      </valAx>
      <valAx>
        <axId val="303985728"/>
        <scaling>
          <orientation val="minMax"/>
          <min val="0.05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LAST ASKING CAP RATE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03991008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Core Dialysis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'Core Cap Chart'!$C$2</f>
              <strCache>
                <ptCount val="1"/>
                <pt idx="0">
                  <v>Date</v>
                </pt>
              </strCache>
            </strRef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bg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1"/>
                </a:solidFill>
                <a:prstDash val="sysDot"/>
              </a:ln>
            </spPr>
            <trendlineType val="poly"/>
            <order val="3"/>
            <forward val="720"/>
            <dispRSqr val="0"/>
            <dispEq val="0"/>
          </trendline>
          <xVal>
            <numRef>
              <f>'Core Cap Chart'!$C$3:$C$630</f>
              <numCache>
                <formatCode>m/d/yyyy</formatCode>
                <ptCount val="628"/>
                <pt idx="0">
                  <v>45289</v>
                </pt>
                <pt idx="1">
                  <v>45672</v>
                </pt>
                <pt idx="2">
                  <v>45663</v>
                </pt>
                <pt idx="3">
                  <v>45993</v>
                </pt>
                <pt idx="4">
                  <v>45955</v>
                </pt>
                <pt idx="5">
                  <v>45925</v>
                </pt>
                <pt idx="6">
                  <v>45917</v>
                </pt>
                <pt idx="7">
                  <v>45915</v>
                </pt>
                <pt idx="8">
                  <v>45905</v>
                </pt>
                <pt idx="9">
                  <v>45902</v>
                </pt>
                <pt idx="10">
                  <v>45863</v>
                </pt>
                <pt idx="11">
                  <v>45841</v>
                </pt>
                <pt idx="12">
                  <v>45833</v>
                </pt>
                <pt idx="13">
                  <v>45824</v>
                </pt>
                <pt idx="14">
                  <v>45817</v>
                </pt>
                <pt idx="15">
                  <v>45807</v>
                </pt>
                <pt idx="16">
                  <v>45789</v>
                </pt>
                <pt idx="17">
                  <v>45765</v>
                </pt>
                <pt idx="18">
                  <v>45743</v>
                </pt>
                <pt idx="19">
                  <v>45659</v>
                </pt>
                <pt idx="20">
                  <v>45391</v>
                </pt>
                <pt idx="21">
                  <v>45663</v>
                </pt>
                <pt idx="22">
                  <v>45659</v>
                </pt>
                <pt idx="23">
                  <v>45629</v>
                </pt>
                <pt idx="24">
                  <v>45663</v>
                </pt>
                <pt idx="25">
                  <v>45659</v>
                </pt>
                <pt idx="26">
                  <v>45534</v>
                </pt>
                <pt idx="27">
                  <v>45520</v>
                </pt>
                <pt idx="28">
                  <v>45488</v>
                </pt>
                <pt idx="29">
                  <v>45464</v>
                </pt>
                <pt idx="30">
                  <v>45435</v>
                </pt>
                <pt idx="31">
                  <v>45391</v>
                </pt>
                <pt idx="32">
                  <v>45379</v>
                </pt>
                <pt idx="33">
                  <v>45355</v>
                </pt>
                <pt idx="34">
                  <v>45315</v>
                </pt>
                <pt idx="35">
                  <v>45293</v>
                </pt>
                <pt idx="36">
                  <v>45315</v>
                </pt>
                <pt idx="37">
                  <v>45288</v>
                </pt>
                <pt idx="38">
                  <v>45271</v>
                </pt>
                <pt idx="39">
                  <v>45267</v>
                </pt>
                <pt idx="40">
                  <v>45251</v>
                </pt>
                <pt idx="41">
                  <v>45146</v>
                </pt>
                <pt idx="42">
                  <v>45142</v>
                </pt>
                <pt idx="43">
                  <v>45139</v>
                </pt>
                <pt idx="44">
                  <v>45133</v>
                </pt>
                <pt idx="45">
                  <v>45119</v>
                </pt>
                <pt idx="46">
                  <v>45112</v>
                </pt>
                <pt idx="47">
                  <v>45091</v>
                </pt>
                <pt idx="48">
                  <v>45089</v>
                </pt>
                <pt idx="49">
                  <v>45065</v>
                </pt>
                <pt idx="50">
                  <v>44987</v>
                </pt>
                <pt idx="51">
                  <v>44979</v>
                </pt>
                <pt idx="52">
                  <v>44932</v>
                </pt>
                <pt idx="53">
                  <v>44894</v>
                </pt>
                <pt idx="54">
                  <v>44894</v>
                </pt>
                <pt idx="55">
                  <v>44862</v>
                </pt>
                <pt idx="56">
                  <v>44858</v>
                </pt>
                <pt idx="57">
                  <v>44837</v>
                </pt>
                <pt idx="58">
                  <v>44834</v>
                </pt>
                <pt idx="59">
                  <v>44797</v>
                </pt>
                <pt idx="60">
                  <v>44797</v>
                </pt>
                <pt idx="61">
                  <v>44796</v>
                </pt>
                <pt idx="62">
                  <v>44789</v>
                </pt>
                <pt idx="63">
                  <v>44771</v>
                </pt>
                <pt idx="64">
                  <v>44771</v>
                </pt>
                <pt idx="65">
                  <v>44757</v>
                </pt>
                <pt idx="66">
                  <v>44749</v>
                </pt>
                <pt idx="67">
                  <v>44736</v>
                </pt>
                <pt idx="68">
                  <v>44715</v>
                </pt>
                <pt idx="69">
                  <v>44712</v>
                </pt>
                <pt idx="70">
                  <v>44708</v>
                </pt>
                <pt idx="71">
                  <v>44705</v>
                </pt>
                <pt idx="72">
                  <v>44691</v>
                </pt>
                <pt idx="73">
                  <v>44680</v>
                </pt>
                <pt idx="74">
                  <v>44677</v>
                </pt>
                <pt idx="75">
                  <v>44671</v>
                </pt>
                <pt idx="76">
                  <v>44669</v>
                </pt>
                <pt idx="77">
                  <v>44638</v>
                </pt>
                <pt idx="78">
                  <v>44607</v>
                </pt>
                <pt idx="79">
                  <v>44607</v>
                </pt>
                <pt idx="80">
                  <v>44594</v>
                </pt>
                <pt idx="81">
                  <v>44582</v>
                </pt>
                <pt idx="82">
                  <v>44575</v>
                </pt>
                <pt idx="83">
                  <v>44572</v>
                </pt>
                <pt idx="84">
                  <v>44564</v>
                </pt>
                <pt idx="85">
                  <v>44551</v>
                </pt>
                <pt idx="86">
                  <v>44540</v>
                </pt>
                <pt idx="87">
                  <v>44533</v>
                </pt>
                <pt idx="88">
                  <v>44533</v>
                </pt>
                <pt idx="89">
                  <v>44533</v>
                </pt>
                <pt idx="90">
                  <v>44518</v>
                </pt>
                <pt idx="91">
                  <v>44502</v>
                </pt>
                <pt idx="92">
                  <v>44494</v>
                </pt>
                <pt idx="93">
                  <v>44491</v>
                </pt>
                <pt idx="94">
                  <v>44469</v>
                </pt>
                <pt idx="95">
                  <v>44466</v>
                </pt>
                <pt idx="96">
                  <v>44461</v>
                </pt>
                <pt idx="97">
                  <v>44461</v>
                </pt>
                <pt idx="98">
                  <v>44461</v>
                </pt>
                <pt idx="99">
                  <v>44454</v>
                </pt>
                <pt idx="100">
                  <v>44453</v>
                </pt>
                <pt idx="101">
                  <v>44438</v>
                </pt>
                <pt idx="102">
                  <v>44431</v>
                </pt>
                <pt idx="103">
                  <v>44427</v>
                </pt>
                <pt idx="104">
                  <v>44421</v>
                </pt>
                <pt idx="105">
                  <v>44420</v>
                </pt>
                <pt idx="106">
                  <v>44418</v>
                </pt>
                <pt idx="107">
                  <v>44412</v>
                </pt>
                <pt idx="108">
                  <v>44406</v>
                </pt>
                <pt idx="109">
                  <v>44396</v>
                </pt>
                <pt idx="110">
                  <v>44386</v>
                </pt>
                <pt idx="111">
                  <v>44382</v>
                </pt>
                <pt idx="112">
                  <v>44377</v>
                </pt>
                <pt idx="113">
                  <v>44377</v>
                </pt>
                <pt idx="114">
                  <v>44361</v>
                </pt>
                <pt idx="115">
                  <v>44355</v>
                </pt>
                <pt idx="116">
                  <v>44355</v>
                </pt>
                <pt idx="117">
                  <v>44351</v>
                </pt>
                <pt idx="118">
                  <v>44350</v>
                </pt>
                <pt idx="119">
                  <v>44344</v>
                </pt>
                <pt idx="120">
                  <v>44337</v>
                </pt>
                <pt idx="121">
                  <v>44337</v>
                </pt>
                <pt idx="122">
                  <v>44337</v>
                </pt>
                <pt idx="123">
                  <v>44320</v>
                </pt>
                <pt idx="124">
                  <v>44320</v>
                </pt>
                <pt idx="125">
                  <v>44315</v>
                </pt>
                <pt idx="126">
                  <v>44306</v>
                </pt>
                <pt idx="127">
                  <v>44306</v>
                </pt>
                <pt idx="128">
                  <v>44286</v>
                </pt>
                <pt idx="129">
                  <v>44284</v>
                </pt>
                <pt idx="130">
                  <v>44284</v>
                </pt>
                <pt idx="131">
                  <v>44281</v>
                </pt>
                <pt idx="132">
                  <v>44279</v>
                </pt>
                <pt idx="133">
                  <v>44273</v>
                </pt>
                <pt idx="134">
                  <v>44257</v>
                </pt>
                <pt idx="135">
                  <v>44253</v>
                </pt>
                <pt idx="136">
                  <v>44236</v>
                </pt>
                <pt idx="137">
                  <v>44235</v>
                </pt>
                <pt idx="138">
                  <v>44225</v>
                </pt>
                <pt idx="139">
                  <v>44225</v>
                </pt>
                <pt idx="140">
                  <v>44224</v>
                </pt>
                <pt idx="141">
                  <v>44210</v>
                </pt>
                <pt idx="142">
                  <v>44209</v>
                </pt>
                <pt idx="143">
                  <v>44203</v>
                </pt>
                <pt idx="144">
                  <v>44203</v>
                </pt>
                <pt idx="145">
                  <v>44194</v>
                </pt>
                <pt idx="146">
                  <v>44193</v>
                </pt>
                <pt idx="147">
                  <v>44187</v>
                </pt>
                <pt idx="148">
                  <v>44182</v>
                </pt>
                <pt idx="149">
                  <v>44173</v>
                </pt>
                <pt idx="150">
                  <v>44159</v>
                </pt>
                <pt idx="151">
                  <v>44148</v>
                </pt>
                <pt idx="152">
                  <v>44134</v>
                </pt>
                <pt idx="153">
                  <v>44124</v>
                </pt>
                <pt idx="154">
                  <v>44124</v>
                </pt>
                <pt idx="155">
                  <v>44118</v>
                </pt>
                <pt idx="156">
                  <v>44117</v>
                </pt>
                <pt idx="157">
                  <v>44103</v>
                </pt>
                <pt idx="158">
                  <v>44103</v>
                </pt>
                <pt idx="159">
                  <v>44103</v>
                </pt>
                <pt idx="160">
                  <v>44099</v>
                </pt>
                <pt idx="161">
                  <v>44095</v>
                </pt>
                <pt idx="162">
                  <v>44089</v>
                </pt>
                <pt idx="163">
                  <v>44085</v>
                </pt>
                <pt idx="164">
                  <v>44082</v>
                </pt>
                <pt idx="165">
                  <v>44070</v>
                </pt>
                <pt idx="166">
                  <v>44068</v>
                </pt>
                <pt idx="167">
                  <v>44063</v>
                </pt>
                <pt idx="168">
                  <v>44063</v>
                </pt>
                <pt idx="169">
                  <v>44057</v>
                </pt>
                <pt idx="170">
                  <v>44047</v>
                </pt>
                <pt idx="171">
                  <v>44046</v>
                </pt>
                <pt idx="172">
                  <v>44043</v>
                </pt>
                <pt idx="173">
                  <v>44042</v>
                </pt>
                <pt idx="174">
                  <v>44039</v>
                </pt>
                <pt idx="175">
                  <v>44037</v>
                </pt>
                <pt idx="176">
                  <v>44022</v>
                </pt>
                <pt idx="177">
                  <v>44012</v>
                </pt>
                <pt idx="178">
                  <v>44011</v>
                </pt>
                <pt idx="179">
                  <v>44008</v>
                </pt>
                <pt idx="180">
                  <v>44007</v>
                </pt>
                <pt idx="181">
                  <v>44004</v>
                </pt>
                <pt idx="182">
                  <v>44004</v>
                </pt>
                <pt idx="183">
                  <v>44001</v>
                </pt>
                <pt idx="184">
                  <v>44001</v>
                </pt>
                <pt idx="185">
                  <v>43997</v>
                </pt>
                <pt idx="186">
                  <v>43988</v>
                </pt>
                <pt idx="187">
                  <v>43973</v>
                </pt>
                <pt idx="188">
                  <v>43958</v>
                </pt>
                <pt idx="189">
                  <v>43938</v>
                </pt>
                <pt idx="190">
                  <v>43938</v>
                </pt>
                <pt idx="191">
                  <v>43921</v>
                </pt>
                <pt idx="192">
                  <v>43921</v>
                </pt>
                <pt idx="193">
                  <v>43916</v>
                </pt>
                <pt idx="194">
                  <v>43906</v>
                </pt>
                <pt idx="195">
                  <v>43906</v>
                </pt>
                <pt idx="196">
                  <v>43906</v>
                </pt>
                <pt idx="197">
                  <v>43906</v>
                </pt>
                <pt idx="198">
                  <v>43903</v>
                </pt>
                <pt idx="199">
                  <v>43889</v>
                </pt>
                <pt idx="200">
                  <v>43886</v>
                </pt>
                <pt idx="201">
                  <v>43880</v>
                </pt>
                <pt idx="202">
                  <v>43879</v>
                </pt>
                <pt idx="203">
                  <v>43860</v>
                </pt>
                <pt idx="204">
                  <v>43859</v>
                </pt>
                <pt idx="205">
                  <v>43853</v>
                </pt>
                <pt idx="206">
                  <v>43847</v>
                </pt>
                <pt idx="207">
                  <v>43846</v>
                </pt>
                <pt idx="208">
                  <v>43846</v>
                </pt>
                <pt idx="209">
                  <v>43843</v>
                </pt>
                <pt idx="210">
                  <v>43843</v>
                </pt>
                <pt idx="211">
                  <v>43838</v>
                </pt>
                <pt idx="212">
                  <v>43837</v>
                </pt>
                <pt idx="213">
                  <v>43829</v>
                </pt>
                <pt idx="214">
                  <v>43822</v>
                </pt>
                <pt idx="215">
                  <v>43822</v>
                </pt>
                <pt idx="216">
                  <v>43815</v>
                </pt>
                <pt idx="217">
                  <v>43810</v>
                </pt>
                <pt idx="218">
                  <v>43805</v>
                </pt>
                <pt idx="219">
                  <v>43805</v>
                </pt>
                <pt idx="220">
                  <v>43800</v>
                </pt>
                <pt idx="221">
                  <v>43794</v>
                </pt>
                <pt idx="222">
                  <v>43787</v>
                </pt>
                <pt idx="223">
                  <v>43787</v>
                </pt>
                <pt idx="224">
                  <v>43787</v>
                </pt>
                <pt idx="225">
                  <v>43787</v>
                </pt>
                <pt idx="226">
                  <v>43774</v>
                </pt>
                <pt idx="227">
                  <v>43766</v>
                </pt>
                <pt idx="228">
                  <v>43761</v>
                </pt>
                <pt idx="229">
                  <v>43760</v>
                </pt>
                <pt idx="230">
                  <v>43760</v>
                </pt>
                <pt idx="231">
                  <v>43738</v>
                </pt>
                <pt idx="232">
                  <v>43738</v>
                </pt>
                <pt idx="233">
                  <v>43733</v>
                </pt>
                <pt idx="234">
                  <v>43719</v>
                </pt>
                <pt idx="235">
                  <v>43719</v>
                </pt>
                <pt idx="236">
                  <v>43718</v>
                </pt>
                <pt idx="237">
                  <v>43709</v>
                </pt>
                <pt idx="238">
                  <v>43704</v>
                </pt>
                <pt idx="239">
                  <v>43700</v>
                </pt>
                <pt idx="240">
                  <v>43691</v>
                </pt>
                <pt idx="241">
                  <v>43675</v>
                </pt>
                <pt idx="242">
                  <v>43675</v>
                </pt>
                <pt idx="243">
                  <v>43672</v>
                </pt>
                <pt idx="244">
                  <v>43672</v>
                </pt>
                <pt idx="245">
                  <v>43671</v>
                </pt>
                <pt idx="246">
                  <v>43657</v>
                </pt>
                <pt idx="247">
                  <v>43656</v>
                </pt>
                <pt idx="248">
                  <v>43656</v>
                </pt>
                <pt idx="249">
                  <v>43648</v>
                </pt>
                <pt idx="250">
                  <v>43642</v>
                </pt>
                <pt idx="251">
                  <v>43641</v>
                </pt>
                <pt idx="252">
                  <v>43641</v>
                </pt>
                <pt idx="253">
                  <v>43630</v>
                </pt>
                <pt idx="254">
                  <v>43627</v>
                </pt>
                <pt idx="255">
                  <v>43627</v>
                </pt>
                <pt idx="256">
                  <v>43619</v>
                </pt>
                <pt idx="257">
                  <v>43616</v>
                </pt>
                <pt idx="258">
                  <v>43615</v>
                </pt>
                <pt idx="259">
                  <v>43606</v>
                </pt>
                <pt idx="260">
                  <v>43599</v>
                </pt>
                <pt idx="261">
                  <v>43594</v>
                </pt>
                <pt idx="262">
                  <v>43581</v>
                </pt>
                <pt idx="263">
                  <v>43580</v>
                </pt>
                <pt idx="264">
                  <v>43579</v>
                </pt>
                <pt idx="265">
                  <v>43570</v>
                </pt>
                <pt idx="266">
                  <v>43567</v>
                </pt>
                <pt idx="267">
                  <v>43565</v>
                </pt>
                <pt idx="268">
                  <v>43565</v>
                </pt>
                <pt idx="269">
                  <v>43565</v>
                </pt>
                <pt idx="270">
                  <v>43563</v>
                </pt>
                <pt idx="271">
                  <v>43559</v>
                </pt>
                <pt idx="272">
                  <v>43553</v>
                </pt>
                <pt idx="273">
                  <v>43546</v>
                </pt>
                <pt idx="274">
                  <v>43543</v>
                </pt>
                <pt idx="275">
                  <v>43542</v>
                </pt>
                <pt idx="276">
                  <v>43539</v>
                </pt>
                <pt idx="277">
                  <v>43532</v>
                </pt>
                <pt idx="278">
                  <v>43532</v>
                </pt>
                <pt idx="279">
                  <v>43531</v>
                </pt>
                <pt idx="280">
                  <v>43500</v>
                </pt>
                <pt idx="281">
                  <v>43497</v>
                </pt>
                <pt idx="282">
                  <v>43497</v>
                </pt>
                <pt idx="283">
                  <v>43496</v>
                </pt>
                <pt idx="284">
                  <v>43495</v>
                </pt>
                <pt idx="285">
                  <v>43494</v>
                </pt>
                <pt idx="286">
                  <v>43493</v>
                </pt>
                <pt idx="287">
                  <v>43490</v>
                </pt>
                <pt idx="288">
                  <v>43479</v>
                </pt>
                <pt idx="289">
                  <v>43463</v>
                </pt>
                <pt idx="290">
                  <v>43463</v>
                </pt>
                <pt idx="291">
                  <v>43461</v>
                </pt>
                <pt idx="292">
                  <v>43455</v>
                </pt>
                <pt idx="293">
                  <v>43455</v>
                </pt>
                <pt idx="294">
                  <v>43453</v>
                </pt>
                <pt idx="295">
                  <v>43444</v>
                </pt>
                <pt idx="296">
                  <v>43441</v>
                </pt>
                <pt idx="297">
                  <v>43439</v>
                </pt>
                <pt idx="298">
                  <v>43438</v>
                </pt>
                <pt idx="299">
                  <v>43434</v>
                </pt>
                <pt idx="300">
                  <v>43433</v>
                </pt>
                <pt idx="301">
                  <v>43419</v>
                </pt>
                <pt idx="302">
                  <v>43417</v>
                </pt>
                <pt idx="303">
                  <v>43410</v>
                </pt>
                <pt idx="304">
                  <v>43409</v>
                </pt>
                <pt idx="305">
                  <v>43403</v>
                </pt>
                <pt idx="306">
                  <v>43400</v>
                </pt>
                <pt idx="307">
                  <v>43399</v>
                </pt>
                <pt idx="308">
                  <v>43388</v>
                </pt>
                <pt idx="309">
                  <v>43384</v>
                </pt>
                <pt idx="310">
                  <v>43384</v>
                </pt>
                <pt idx="311">
                  <v>43378</v>
                </pt>
                <pt idx="312">
                  <v>43378</v>
                </pt>
                <pt idx="313">
                  <v>43371</v>
                </pt>
                <pt idx="314">
                  <v>43370</v>
                </pt>
                <pt idx="315">
                  <v>43369</v>
                </pt>
                <pt idx="316">
                  <v>43368</v>
                </pt>
                <pt idx="317">
                  <v>43362</v>
                </pt>
                <pt idx="318">
                  <v>43349</v>
                </pt>
                <pt idx="319">
                  <v>43343</v>
                </pt>
                <pt idx="320">
                  <v>43333</v>
                </pt>
                <pt idx="321">
                  <v>43329</v>
                </pt>
                <pt idx="322">
                  <v>43322</v>
                </pt>
                <pt idx="323">
                  <v>43318</v>
                </pt>
                <pt idx="324">
                  <v>43314</v>
                </pt>
                <pt idx="325">
                  <v>43313</v>
                </pt>
                <pt idx="326">
                  <v>43313</v>
                </pt>
                <pt idx="327">
                  <v>43312</v>
                </pt>
                <pt idx="328">
                  <v>43312</v>
                </pt>
                <pt idx="329">
                  <v>43305</v>
                </pt>
                <pt idx="330">
                  <v>43305</v>
                </pt>
                <pt idx="331">
                  <v>43305</v>
                </pt>
                <pt idx="332">
                  <v>43301</v>
                </pt>
                <pt idx="333">
                  <v>43298</v>
                </pt>
                <pt idx="334">
                  <v>43286</v>
                </pt>
                <pt idx="335">
                  <v>43279</v>
                </pt>
                <pt idx="336">
                  <v>43269</v>
                </pt>
                <pt idx="337">
                  <v>43266</v>
                </pt>
                <pt idx="338">
                  <v>43266</v>
                </pt>
                <pt idx="339">
                  <v>43266</v>
                </pt>
                <pt idx="340">
                  <v>43259</v>
                </pt>
                <pt idx="341">
                  <v>43259</v>
                </pt>
                <pt idx="342">
                  <v>43259</v>
                </pt>
                <pt idx="343">
                  <v>43258</v>
                </pt>
                <pt idx="344">
                  <v>43238</v>
                </pt>
                <pt idx="345">
                  <v>43238</v>
                </pt>
                <pt idx="346">
                  <v>43231</v>
                </pt>
                <pt idx="347">
                  <v>43230</v>
                </pt>
                <pt idx="348">
                  <v>43229</v>
                </pt>
                <pt idx="349">
                  <v>43228</v>
                </pt>
                <pt idx="350">
                  <v>43228</v>
                </pt>
                <pt idx="351">
                  <v>43228</v>
                </pt>
                <pt idx="352">
                  <v>43224</v>
                </pt>
                <pt idx="353">
                  <v>43222</v>
                </pt>
                <pt idx="354">
                  <v>43221</v>
                </pt>
                <pt idx="355">
                  <v>43220</v>
                </pt>
                <pt idx="356">
                  <v>43220</v>
                </pt>
                <pt idx="357">
                  <v>43202</v>
                </pt>
                <pt idx="358">
                  <v>43202</v>
                </pt>
                <pt idx="359">
                  <v>43200</v>
                </pt>
                <pt idx="360">
                  <v>43193</v>
                </pt>
                <pt idx="361">
                  <v>43189</v>
                </pt>
                <pt idx="362">
                  <v>43182</v>
                </pt>
                <pt idx="363">
                  <v>43181</v>
                </pt>
                <pt idx="364">
                  <v>43181</v>
                </pt>
                <pt idx="365">
                  <v>43181</v>
                </pt>
                <pt idx="366">
                  <v>43179</v>
                </pt>
                <pt idx="367">
                  <v>43179</v>
                </pt>
                <pt idx="368">
                  <v>43167</v>
                </pt>
                <pt idx="369">
                  <v>43166</v>
                </pt>
                <pt idx="370">
                  <v>43157</v>
                </pt>
                <pt idx="371">
                  <v>43151</v>
                </pt>
                <pt idx="372">
                  <v>43137</v>
                </pt>
                <pt idx="373">
                  <v>43133</v>
                </pt>
                <pt idx="374">
                  <v>43133</v>
                </pt>
                <pt idx="375">
                  <v>43133</v>
                </pt>
                <pt idx="376">
                  <v>43133</v>
                </pt>
                <pt idx="377">
                  <v>43123</v>
                </pt>
                <pt idx="378">
                  <v>43109</v>
                </pt>
                <pt idx="379">
                  <v>43104</v>
                </pt>
                <pt idx="380">
                  <v>43097</v>
                </pt>
                <pt idx="381">
                  <v>43097</v>
                </pt>
                <pt idx="382">
                  <v>43096</v>
                </pt>
                <pt idx="383">
                  <v>43091</v>
                </pt>
                <pt idx="384">
                  <v>43090</v>
                </pt>
                <pt idx="385">
                  <v>43088</v>
                </pt>
                <pt idx="386">
                  <v>43084</v>
                </pt>
                <pt idx="387">
                  <v>43084</v>
                </pt>
                <pt idx="388">
                  <v>43080</v>
                </pt>
                <pt idx="389">
                  <v>43077</v>
                </pt>
                <pt idx="390">
                  <v>43067</v>
                </pt>
                <pt idx="391">
                  <v>43061</v>
                </pt>
                <pt idx="392">
                  <v>43045</v>
                </pt>
                <pt idx="393">
                  <v>43045</v>
                </pt>
                <pt idx="394">
                  <v>43039</v>
                </pt>
                <pt idx="395">
                  <v>43039</v>
                </pt>
                <pt idx="396">
                  <v>43031</v>
                </pt>
                <pt idx="397">
                  <v>43028</v>
                </pt>
                <pt idx="398">
                  <v>43026</v>
                </pt>
                <pt idx="399">
                  <v>43025</v>
                </pt>
                <pt idx="400">
                  <v>43014</v>
                </pt>
                <pt idx="401">
                  <v>43014</v>
                </pt>
                <pt idx="402">
                  <v>43011</v>
                </pt>
                <pt idx="403">
                  <v>43010</v>
                </pt>
                <pt idx="404">
                  <v>43007</v>
                </pt>
                <pt idx="405">
                  <v>43007</v>
                </pt>
                <pt idx="406">
                  <v>43007</v>
                </pt>
                <pt idx="407">
                  <v>43007</v>
                </pt>
                <pt idx="408">
                  <v>43007</v>
                </pt>
                <pt idx="409">
                  <v>42996</v>
                </pt>
                <pt idx="410">
                  <v>42979</v>
                </pt>
                <pt idx="411">
                  <v>42978</v>
                </pt>
                <pt idx="412">
                  <v>42977</v>
                </pt>
                <pt idx="413">
                  <v>42971</v>
                </pt>
                <pt idx="414">
                  <v>42971</v>
                </pt>
                <pt idx="415">
                  <v>42957</v>
                </pt>
                <pt idx="416">
                  <v>42950</v>
                </pt>
                <pt idx="417">
                  <v>42948</v>
                </pt>
                <pt idx="418">
                  <v>42944</v>
                </pt>
                <pt idx="419">
                  <v>42936</v>
                </pt>
                <pt idx="420">
                  <v>42936</v>
                </pt>
                <pt idx="421">
                  <v>42933</v>
                </pt>
                <pt idx="422">
                  <v>42930</v>
                </pt>
                <pt idx="423">
                  <v>42923</v>
                </pt>
                <pt idx="424">
                  <v>42922</v>
                </pt>
                <pt idx="425">
                  <v>42921</v>
                </pt>
                <pt idx="426">
                  <v>42915</v>
                </pt>
                <pt idx="427">
                  <v>42914</v>
                </pt>
                <pt idx="428">
                  <v>42908</v>
                </pt>
                <pt idx="429">
                  <v>42908</v>
                </pt>
                <pt idx="430">
                  <v>42901</v>
                </pt>
                <pt idx="431">
                  <v>42886</v>
                </pt>
                <pt idx="432">
                  <v>42872</v>
                </pt>
                <pt idx="433">
                  <v>42870</v>
                </pt>
                <pt idx="434">
                  <v>42866</v>
                </pt>
                <pt idx="435">
                  <v>42865</v>
                </pt>
                <pt idx="436">
                  <v>42864</v>
                </pt>
                <pt idx="437">
                  <v>42864</v>
                </pt>
                <pt idx="438">
                  <v>42856</v>
                </pt>
                <pt idx="439">
                  <v>42836</v>
                </pt>
                <pt idx="440">
                  <v>42835</v>
                </pt>
                <pt idx="441">
                  <v>42835</v>
                </pt>
                <pt idx="442">
                  <v>42835</v>
                </pt>
                <pt idx="443">
                  <v>42832</v>
                </pt>
                <pt idx="444">
                  <v>42829</v>
                </pt>
                <pt idx="445">
                  <v>42822</v>
                </pt>
                <pt idx="446">
                  <v>42815</v>
                </pt>
                <pt idx="447">
                  <v>42811</v>
                </pt>
                <pt idx="448">
                  <v>42811</v>
                </pt>
                <pt idx="449">
                  <v>42796</v>
                </pt>
                <pt idx="450">
                  <v>42794</v>
                </pt>
                <pt idx="451">
                  <v>42794</v>
                </pt>
                <pt idx="452">
                  <v>42773</v>
                </pt>
                <pt idx="453">
                  <v>42768</v>
                </pt>
                <pt idx="454">
                  <v>42766</v>
                </pt>
                <pt idx="455">
                  <v>42759</v>
                </pt>
                <pt idx="456">
                  <v>42754</v>
                </pt>
                <pt idx="457">
                  <v>42753</v>
                </pt>
                <pt idx="458">
                  <v>42746</v>
                </pt>
                <pt idx="459">
                  <v>42734</v>
                </pt>
                <pt idx="460">
                  <v>42732</v>
                </pt>
                <pt idx="461">
                  <v>42720</v>
                </pt>
                <pt idx="462">
                  <v>42704</v>
                </pt>
                <pt idx="463">
                  <v>42692</v>
                </pt>
                <pt idx="464">
                  <v>42692</v>
                </pt>
                <pt idx="465">
                  <v>42692</v>
                </pt>
                <pt idx="466">
                  <v>42692</v>
                </pt>
                <pt idx="467">
                  <v>42691</v>
                </pt>
                <pt idx="468">
                  <v>42688</v>
                </pt>
                <pt idx="469">
                  <v>42682</v>
                </pt>
                <pt idx="470">
                  <v>42677</v>
                </pt>
                <pt idx="471">
                  <v>42677</v>
                </pt>
                <pt idx="472">
                  <v>42677</v>
                </pt>
                <pt idx="473">
                  <v>42677</v>
                </pt>
                <pt idx="474">
                  <v>42677</v>
                </pt>
                <pt idx="475">
                  <v>42674</v>
                </pt>
                <pt idx="476">
                  <v>42673</v>
                </pt>
                <pt idx="477">
                  <v>42670</v>
                </pt>
                <pt idx="478">
                  <v>42662</v>
                </pt>
                <pt idx="479">
                  <v>42661</v>
                </pt>
                <pt idx="480">
                  <v>42661</v>
                </pt>
                <pt idx="481">
                  <v>42649</v>
                </pt>
                <pt idx="482">
                  <v>42647</v>
                </pt>
                <pt idx="483">
                  <v>42646</v>
                </pt>
                <pt idx="484">
                  <v>42642</v>
                </pt>
                <pt idx="485">
                  <v>42634</v>
                </pt>
                <pt idx="486">
                  <v>42626</v>
                </pt>
                <pt idx="487">
                  <v>42608</v>
                </pt>
                <pt idx="488">
                  <v>42608</v>
                </pt>
                <pt idx="489">
                  <v>42601</v>
                </pt>
                <pt idx="490">
                  <v>42597</v>
                </pt>
                <pt idx="491">
                  <v>42594</v>
                </pt>
                <pt idx="492">
                  <v>42579</v>
                </pt>
                <pt idx="493">
                  <v>42579</v>
                </pt>
                <pt idx="494">
                  <v>42572</v>
                </pt>
                <pt idx="495">
                  <v>42557</v>
                </pt>
                <pt idx="496">
                  <v>42550</v>
                </pt>
                <pt idx="497">
                  <v>42542</v>
                </pt>
                <pt idx="498">
                  <v>42529</v>
                </pt>
                <pt idx="499">
                  <v>42502</v>
                </pt>
                <pt idx="500">
                  <v>42499</v>
                </pt>
                <pt idx="501">
                  <v>42476</v>
                </pt>
                <pt idx="502">
                  <v>42467</v>
                </pt>
                <pt idx="503">
                  <v>42447</v>
                </pt>
                <pt idx="504">
                  <v>42446</v>
                </pt>
                <pt idx="505">
                  <v>42444</v>
                </pt>
                <pt idx="506">
                  <v>42438</v>
                </pt>
                <pt idx="507">
                  <v>42416</v>
                </pt>
                <pt idx="508">
                  <v>42403</v>
                </pt>
                <pt idx="509">
                  <v>42388</v>
                </pt>
                <pt idx="510">
                  <v>42377</v>
                </pt>
                <pt idx="511">
                  <v>42369</v>
                </pt>
                <pt idx="512">
                  <v>42369</v>
                </pt>
                <pt idx="513">
                  <v>42360</v>
                </pt>
                <pt idx="514">
                  <v>42356</v>
                </pt>
                <pt idx="515">
                  <v>42353</v>
                </pt>
                <pt idx="516">
                  <v>42339</v>
                </pt>
                <pt idx="517">
                  <v>42339</v>
                </pt>
                <pt idx="518">
                  <v>42331</v>
                </pt>
                <pt idx="519">
                  <v>42331</v>
                </pt>
                <pt idx="520">
                  <v>42331</v>
                </pt>
                <pt idx="521">
                  <v>42327</v>
                </pt>
                <pt idx="522">
                  <v>42291</v>
                </pt>
                <pt idx="523">
                  <v>42290</v>
                </pt>
                <pt idx="524">
                  <v>42283</v>
                </pt>
                <pt idx="525">
                  <v>42264</v>
                </pt>
                <pt idx="526">
                  <v>42262</v>
                </pt>
                <pt idx="527">
                  <v>42244</v>
                </pt>
                <pt idx="528">
                  <v>42236</v>
                </pt>
                <pt idx="529">
                  <v>42228</v>
                </pt>
                <pt idx="530">
                  <v>42206</v>
                </pt>
                <pt idx="531">
                  <v>42202</v>
                </pt>
                <pt idx="532">
                  <v>42202</v>
                </pt>
                <pt idx="533">
                  <v>42194</v>
                </pt>
                <pt idx="534">
                  <v>42186</v>
                </pt>
                <pt idx="535">
                  <v>42164</v>
                </pt>
                <pt idx="536">
                  <v>42159</v>
                </pt>
                <pt idx="537">
                  <v>42125</v>
                </pt>
                <pt idx="538">
                  <v>42123</v>
                </pt>
                <pt idx="539">
                  <v>42122</v>
                </pt>
                <pt idx="540">
                  <v>42116</v>
                </pt>
                <pt idx="541">
                  <v>42114</v>
                </pt>
                <pt idx="542">
                  <v>42110</v>
                </pt>
                <pt idx="543">
                  <v>42107</v>
                </pt>
                <pt idx="544">
                  <v>42094</v>
                </pt>
                <pt idx="545">
                  <v>42086</v>
                </pt>
                <pt idx="546">
                  <v>42076</v>
                </pt>
                <pt idx="547">
                  <v>42039</v>
                </pt>
                <pt idx="548">
                  <v>42017</v>
                </pt>
                <pt idx="549">
                  <v>42005</v>
                </pt>
                <pt idx="550">
                  <v>42003</v>
                </pt>
                <pt idx="551">
                  <v>42003</v>
                </pt>
                <pt idx="552">
                  <v>41995</v>
                </pt>
                <pt idx="553">
                  <v>41995</v>
                </pt>
                <pt idx="554">
                  <v>41992</v>
                </pt>
                <pt idx="555">
                  <v>41977</v>
                </pt>
                <pt idx="556">
                  <v>41947</v>
                </pt>
                <pt idx="557">
                  <v>41940</v>
                </pt>
                <pt idx="558">
                  <v>41934</v>
                </pt>
                <pt idx="559">
                  <v>41876</v>
                </pt>
                <pt idx="560">
                  <v>41858</v>
                </pt>
                <pt idx="561">
                  <v>41856</v>
                </pt>
                <pt idx="562">
                  <v>41841</v>
                </pt>
                <pt idx="563">
                  <v>41831</v>
                </pt>
                <pt idx="564">
                  <v>41820</v>
                </pt>
                <pt idx="565">
                  <v>41799</v>
                </pt>
                <pt idx="566">
                  <v>41778</v>
                </pt>
                <pt idx="567">
                  <v>41771</v>
                </pt>
                <pt idx="568">
                  <v>41766</v>
                </pt>
                <pt idx="569">
                  <v>41754</v>
                </pt>
                <pt idx="570">
                  <v>41730</v>
                </pt>
                <pt idx="571">
                  <v>41684</v>
                </pt>
                <pt idx="572">
                  <v>41653</v>
                </pt>
                <pt idx="573">
                  <v>41646</v>
                </pt>
                <pt idx="574">
                  <v>41639</v>
                </pt>
                <pt idx="575">
                  <v>41603</v>
                </pt>
                <pt idx="576">
                  <v>41600</v>
                </pt>
                <pt idx="577">
                  <v>41600</v>
                </pt>
                <pt idx="578">
                  <v>41597</v>
                </pt>
                <pt idx="579">
                  <v>41554</v>
                </pt>
                <pt idx="580">
                  <v>41547</v>
                </pt>
                <pt idx="581">
                  <v>41529</v>
                </pt>
                <pt idx="582">
                  <v>41502</v>
                </pt>
                <pt idx="583">
                  <v>41495</v>
                </pt>
                <pt idx="584">
                  <v>41458</v>
                </pt>
                <pt idx="585">
                  <v>41435</v>
                </pt>
                <pt idx="586">
                  <v>41430</v>
                </pt>
                <pt idx="587">
                  <v>41411</v>
                </pt>
                <pt idx="588">
                  <v>41410</v>
                </pt>
                <pt idx="589">
                  <v>41360</v>
                </pt>
                <pt idx="590">
                  <v>41275</v>
                </pt>
                <pt idx="591">
                  <v>41268</v>
                </pt>
                <pt idx="592">
                  <v>41177</v>
                </pt>
                <pt idx="593">
                  <v>41130</v>
                </pt>
                <pt idx="594">
                  <v>41130</v>
                </pt>
                <pt idx="595">
                  <v>41123</v>
                </pt>
                <pt idx="596">
                  <v>41108</v>
                </pt>
                <pt idx="597">
                  <v>41101</v>
                </pt>
                <pt idx="598">
                  <v>41059</v>
                </pt>
                <pt idx="599">
                  <v>41040</v>
                </pt>
                <pt idx="600">
                  <v>41009</v>
                </pt>
                <pt idx="601">
                  <v>40968</v>
                </pt>
                <pt idx="602">
                  <v>40898</v>
                </pt>
                <pt idx="603">
                  <v>40892</v>
                </pt>
                <pt idx="604">
                  <v>40809</v>
                </pt>
                <pt idx="605">
                  <v>40725</v>
                </pt>
                <pt idx="606">
                  <v>40602</v>
                </pt>
                <pt idx="607">
                  <v>40414</v>
                </pt>
                <pt idx="608">
                  <v>40401</v>
                </pt>
                <pt idx="609">
                  <v>40382</v>
                </pt>
                <pt idx="610">
                  <v>40375</v>
                </pt>
                <pt idx="611">
                  <v>40318</v>
                </pt>
                <pt idx="612">
                  <v>40291</v>
                </pt>
                <pt idx="613">
                  <v>40269</v>
                </pt>
                <pt idx="614">
                  <v>40268</v>
                </pt>
                <pt idx="615">
                  <v>40207</v>
                </pt>
                <pt idx="616">
                  <v>40197</v>
                </pt>
                <pt idx="617">
                  <v>40025</v>
                </pt>
                <pt idx="618">
                  <v>39944</v>
                </pt>
                <pt idx="619">
                  <v>39939</v>
                </pt>
                <pt idx="620">
                  <v>39895</v>
                </pt>
                <pt idx="621">
                  <v>39783</v>
                </pt>
                <pt idx="622">
                  <v>39743</v>
                </pt>
                <pt idx="623">
                  <v>39727</v>
                </pt>
                <pt idx="624">
                  <v>39627</v>
                </pt>
                <pt idx="625">
                  <v>39625</v>
                </pt>
                <pt idx="626">
                  <v>39622</v>
                </pt>
                <pt idx="627">
                  <v>39507</v>
                </pt>
              </numCache>
            </numRef>
          </xVal>
          <yVal>
            <numRef>
              <f>'Core Cap Chart'!$B$3:$B$630</f>
              <numCache>
                <formatCode>0.00%</formatCode>
                <ptCount val="628"/>
                <pt idx="0">
                  <v>0.05540005333333334</v>
                </pt>
                <pt idx="1">
                  <v>0.07425736137667303</v>
                </pt>
                <pt idx="2">
                  <v>0.06278888888888889</v>
                </pt>
                <pt idx="3">
                  <v>0.06099999923491306</v>
                </pt>
                <pt idx="4">
                  <v>0.06984325767690254</v>
                </pt>
                <pt idx="5">
                  <v>0.07316000723196529</v>
                </pt>
                <pt idx="6">
                  <v>0.06712283687943263</v>
                </pt>
                <pt idx="7">
                  <v>0.06512939130434782</v>
                </pt>
                <pt idx="8">
                  <v>0.06741538461538461</v>
                </pt>
                <pt idx="9">
                  <v>0.06457490677903953</v>
                </pt>
                <pt idx="10">
                  <v>0.06500001789899952</v>
                </pt>
                <pt idx="11">
                  <v>0.06000023777254678</v>
                </pt>
                <pt idx="12">
                  <v>0.06736916666666666</v>
                </pt>
                <pt idx="13">
                  <v>0.06007896551724138</v>
                </pt>
                <pt idx="14">
                  <v>0.08400857142857143</v>
                </pt>
                <pt idx="15">
                  <v>0.0615</v>
                </pt>
                <pt idx="16">
                  <v>0.07235897435897436</v>
                </pt>
                <pt idx="17">
                  <v>0.07482721951219512</v>
                </pt>
                <pt idx="18">
                  <v>0.0707125495195683</v>
                </pt>
                <pt idx="19">
                  <v>0.06721892857142857</v>
                </pt>
                <pt idx="20">
                  <v>0.06</v>
                </pt>
                <pt idx="21">
                  <v>0.06278888888888889</v>
                </pt>
                <pt idx="22">
                  <v>0.06721892857142857</v>
                </pt>
                <pt idx="23">
                  <v>0.08050357333333333</v>
                </pt>
                <pt idx="24">
                  <v>0.06278888888888889</v>
                </pt>
                <pt idx="25">
                  <v>0.06721892857142857</v>
                </pt>
                <pt idx="26">
                  <v>0.0619292</v>
                </pt>
                <pt idx="27">
                  <v>0.0625</v>
                </pt>
                <pt idx="28">
                  <v>0.05957478260869565</v>
                </pt>
                <pt idx="29">
                  <v>0.06175715467328371</v>
                </pt>
                <pt idx="30">
                  <v>0.06750019811825871</v>
                </pt>
                <pt idx="31">
                  <v>0.06</v>
                </pt>
                <pt idx="32">
                  <v>0.06154018867924528</v>
                </pt>
                <pt idx="33">
                  <v>0.05337081967213115</v>
                </pt>
                <pt idx="34">
                  <v>0.06896143939393939</v>
                </pt>
                <pt idx="35">
                  <v>0.07061338028169015</v>
                </pt>
                <pt idx="36">
                  <v>0.06900000000000001</v>
                </pt>
                <pt idx="37">
                  <v>0.0706</v>
                </pt>
                <pt idx="38">
                  <v>0.06312328767123287</v>
                </pt>
                <pt idx="39">
                  <v>0.05875000761479411</v>
                </pt>
                <pt idx="40">
                  <v>0.055</v>
                </pt>
                <pt idx="41">
                  <v>0.05727333333333334</v>
                </pt>
                <pt idx="42">
                  <v>0.05922</v>
                </pt>
                <pt idx="43">
                  <v>0.05300608202467292</v>
                </pt>
                <pt idx="44">
                  <v>0.06330283328109382</v>
                </pt>
                <pt idx="45">
                  <v>0.05700003163188916</v>
                </pt>
                <pt idx="46">
                  <v>0.05871387755102041</v>
                </pt>
                <pt idx="47">
                  <v>0.05700000474153337</v>
                </pt>
                <pt idx="48">
                  <v>0.05750390458611387</v>
                </pt>
                <pt idx="49">
                  <v>0.06822572868726715</v>
                </pt>
                <pt idx="50">
                  <v>0.05504222222222222</v>
                </pt>
                <pt idx="51">
                  <v>0.05478515283842795</v>
                </pt>
                <pt idx="52">
                  <v>0.05688315789473684</v>
                </pt>
                <pt idx="53">
                  <v>0.0597837972166998</v>
                </pt>
                <pt idx="54">
                  <v>0.0525</v>
                </pt>
                <pt idx="55">
                  <v>0.05742295358938757</v>
                </pt>
                <pt idx="56">
                  <v>0.05329785407725322</v>
                </pt>
                <pt idx="57">
                  <v>0.06436618867924528</v>
                </pt>
                <pt idx="58">
                  <v>0.04464102541883305</v>
                </pt>
                <pt idx="59">
                  <v>0.05365877533644475</v>
                </pt>
                <pt idx="60">
                  <v>0.05584566588845549</v>
                </pt>
                <pt idx="61">
                  <v>0.05511150103079435</v>
                </pt>
                <pt idx="62">
                  <v>0.04768876519594956</v>
                </pt>
                <pt idx="63">
                  <v>0.05</v>
                </pt>
                <pt idx="64">
                  <v>0.05</v>
                </pt>
                <pt idx="65">
                  <v>0.05249999980058041</v>
                </pt>
                <pt idx="66">
                  <v>0.0502858606557377</v>
                </pt>
                <pt idx="67">
                  <v>0.0515</v>
                </pt>
                <pt idx="68">
                  <v>0.04599860305179454</v>
                </pt>
                <pt idx="69">
                  <v>0.04902244444444444</v>
                </pt>
                <pt idx="70">
                  <v>0.04682179245283019</v>
                </pt>
                <pt idx="71">
                  <v>0.0536403314917127</v>
                </pt>
                <pt idx="72">
                  <v>0.05144654651851897</v>
                </pt>
                <pt idx="73">
                  <v>0.05500383720930233</v>
                </pt>
                <pt idx="74">
                  <v>0.05250312246577262</v>
                </pt>
                <pt idx="75">
                  <v>0.05237582788450094</v>
                </pt>
                <pt idx="76">
                  <v>0.04481971830985915</v>
                </pt>
                <pt idx="77">
                  <v>0.05002288602527211</v>
                </pt>
                <pt idx="78">
                  <v>0.05200964608804942</v>
                </pt>
                <pt idx="79">
                  <v>0.05298913957060746</v>
                </pt>
                <pt idx="80">
                  <v>0.04527439024390244</v>
                </pt>
                <pt idx="81">
                  <v>0.0608295652173913</v>
                </pt>
                <pt idx="82">
                  <v>0.0525</v>
                </pt>
                <pt idx="83">
                  <v>0.06509850581073602</v>
                </pt>
                <pt idx="84">
                  <v>0.04605833333333333</v>
                </pt>
                <pt idx="85">
                  <v>0.0461</v>
                </pt>
                <pt idx="86">
                  <v>0.07058586206896551</v>
                </pt>
                <pt idx="87">
                  <v>0.06572795284515982</v>
                </pt>
                <pt idx="88">
                  <v>0.05249985709876191</v>
                </pt>
                <pt idx="89">
                  <v>0.05249995109915136</v>
                </pt>
                <pt idx="90">
                  <v>0.0449999979142527</v>
                </pt>
                <pt idx="91">
                  <v>0.05280143229166667</v>
                </pt>
                <pt idx="92">
                  <v>0.05000000000000001</v>
                </pt>
                <pt idx="93">
                  <v>0.05401688888888889</v>
                </pt>
                <pt idx="94">
                  <v>0.0475</v>
                </pt>
                <pt idx="95">
                  <v>0.04879798913043478</v>
                </pt>
                <pt idx="96">
                  <v>0.05153695364238411</v>
                </pt>
                <pt idx="97">
                  <v>0.05153695364238411</v>
                </pt>
                <pt idx="98">
                  <v>0.0515</v>
                </pt>
                <pt idx="99">
                  <v>0.05449717493770453</v>
                </pt>
                <pt idx="100">
                  <v>0.0504</v>
                </pt>
                <pt idx="101">
                  <v>0.05046875</v>
                </pt>
                <pt idx="102">
                  <v>0.05749980976362266</v>
                </pt>
                <pt idx="103">
                  <v>0.05349994844056134</v>
                </pt>
                <pt idx="104">
                  <v>0.05150000419251959</v>
                </pt>
                <pt idx="105">
                  <v>0.05309636363636364</v>
                </pt>
                <pt idx="106">
                  <v>0.05349994844056134</v>
                </pt>
                <pt idx="107">
                  <v>0.05499980457685305</v>
                </pt>
                <pt idx="108">
                  <v>0.04999988084343781</v>
                </pt>
                <pt idx="109">
                  <v>0.0534294337516227</v>
                </pt>
                <pt idx="110">
                  <v>0.05850503887129283</v>
                </pt>
                <pt idx="111">
                  <v>0.04723330912708178</v>
                </pt>
                <pt idx="112">
                  <v>0.06850000000000001</v>
                </pt>
                <pt idx="113">
                  <v>0.05250000456521779</v>
                </pt>
                <pt idx="114">
                  <v>0.06256807817589577</v>
                </pt>
                <pt idx="115">
                  <v>0.05740733333333333</v>
                </pt>
                <pt idx="116">
                  <v>0.04740043583734221</v>
                </pt>
                <pt idx="117">
                  <v>0.05350000533516668</v>
                </pt>
                <pt idx="118">
                  <v>0.05726891041162228</v>
                </pt>
                <pt idx="119">
                  <v>0.05332090322580645</v>
                </pt>
                <pt idx="120">
                  <v>0.05249991368073958</v>
                </pt>
                <pt idx="121">
                  <v>0.05249995803226479</v>
                </pt>
                <pt idx="122">
                  <v>0.05000008810484712</v>
                </pt>
                <pt idx="123">
                  <v>0.05649999999999999</v>
                </pt>
                <pt idx="124">
                  <v>0.05249987590518171</v>
                </pt>
                <pt idx="125">
                  <v>0.05303571428571428</v>
                </pt>
                <pt idx="126">
                  <v>0.0543090338332752</v>
                </pt>
                <pt idx="127">
                  <v>0.05293875</v>
                </pt>
                <pt idx="128">
                  <v>0.05006210526315789</v>
                </pt>
                <pt idx="129">
                  <v>0.05945671727231178</v>
                </pt>
                <pt idx="130">
                  <v>0.05732617358031349</v>
                </pt>
                <pt idx="131">
                  <v>0.04999993098984033</v>
                </pt>
                <pt idx="132">
                  <v>0.06249756604140975</v>
                </pt>
                <pt idx="133">
                  <v>0.05398151547751398</v>
                </pt>
                <pt idx="134">
                  <v>0.05965308641975309</v>
                </pt>
                <pt idx="135">
                  <v>0.05865567010309278</v>
                </pt>
                <pt idx="136">
                  <v>0.05137041602465332</v>
                </pt>
                <pt idx="137">
                  <v>0.05256137931034483</v>
                </pt>
                <pt idx="138">
                  <v>0.05699987282207809</v>
                </pt>
                <pt idx="139">
                  <v>0.06500000284167926</v>
                </pt>
                <pt idx="140">
                  <v>0.06430872461708595</v>
                </pt>
                <pt idx="141">
                  <v>0.05849999803035615</v>
                </pt>
                <pt idx="142">
                  <v>0.06001080351114112</v>
                </pt>
                <pt idx="143">
                  <v>0.0615225</v>
                </pt>
                <pt idx="144">
                  <v>0.06148451612903226</v>
                </pt>
                <pt idx="145">
                  <v>0.06250137931034483</v>
                </pt>
                <pt idx="146">
                  <v>0.05606058823529412</v>
                </pt>
                <pt idx="147">
                  <v>0.05399989028872351</v>
                </pt>
                <pt idx="148">
                  <v>0.05700000988950018</v>
                </pt>
                <pt idx="149">
                  <v>0.04946693877551021</v>
                </pt>
                <pt idx="150">
                  <v>0.05950000315415623</v>
                </pt>
                <pt idx="151">
                  <v>0.05124854766085236</v>
                </pt>
                <pt idx="152">
                  <v>0.06102970297029703</v>
                </pt>
                <pt idx="153">
                  <v>0.05949999944658371</v>
                </pt>
                <pt idx="154">
                  <v>0.05949140771486005</v>
                </pt>
                <pt idx="155">
                  <v>0.05881074925643734</v>
                </pt>
                <pt idx="156">
                  <v>0.05517352024138943</v>
                </pt>
                <pt idx="157">
                  <v>0.05700000543539073</v>
                </pt>
                <pt idx="158">
                  <v>0.06102878504672897</v>
                </pt>
                <pt idx="159">
                  <v>0.05699981800812422</v>
                </pt>
                <pt idx="160">
                  <v>0.05550001125391073</v>
                </pt>
                <pt idx="161">
                  <v>0.0524491595904281</v>
                </pt>
                <pt idx="162">
                  <v>0.06073721771506282</v>
                </pt>
                <pt idx="163">
                  <v>0.0658808378973553</v>
                </pt>
                <pt idx="164">
                  <v>0.04699914772727273</v>
                </pt>
                <pt idx="165">
                  <v>0.05750442345179187</v>
                </pt>
                <pt idx="166">
                  <v>0.05400642421525047</v>
                </pt>
                <pt idx="167">
                  <v>0.065</v>
                </pt>
                <pt idx="168">
                  <v>0.0591525017135024</v>
                </pt>
                <pt idx="169">
                  <v>0.05649973553768276</v>
                </pt>
                <pt idx="170">
                  <v>0.05416470588235294</v>
                </pt>
                <pt idx="171">
                  <v>0.04658648789822942</v>
                </pt>
                <pt idx="172">
                  <v>0.06196666666666667</v>
                </pt>
                <pt idx="173">
                  <v>0.06507470355731225</v>
                </pt>
                <pt idx="174">
                  <v>0.06</v>
                </pt>
                <pt idx="175">
                  <v>0.06</v>
                </pt>
                <pt idx="176">
                  <v>0.05850004746491424</v>
                </pt>
                <pt idx="177">
                  <v>0.05800074818298418</v>
                </pt>
                <pt idx="178">
                  <v>0.07143823529411765</v>
                </pt>
                <pt idx="179">
                  <v>0.06593970149253732</v>
                </pt>
                <pt idx="180">
                  <v>0.059205772005772</v>
                </pt>
                <pt idx="181">
                  <v>0.0519</v>
                </pt>
                <pt idx="182">
                  <v>0.06079999763305556</v>
                </pt>
                <pt idx="183">
                  <v>0.05939993292463871</v>
                </pt>
                <pt idx="184">
                  <v>0.06703474504888017</v>
                </pt>
                <pt idx="185">
                  <v>0.0502997941156937</v>
                </pt>
                <pt idx="186">
                  <v>0.06150010515247108</v>
                </pt>
                <pt idx="187">
                  <v>0.05599861159319681</v>
                </pt>
                <pt idx="188">
                  <v>0.0601</v>
                </pt>
                <pt idx="189">
                  <v>0.06</v>
                </pt>
                <pt idx="190">
                  <v>0.06</v>
                </pt>
                <pt idx="191">
                  <v>0.05999983810132902</v>
                </pt>
                <pt idx="192">
                  <v>0.06</v>
                </pt>
                <pt idx="193">
                  <v>0.07217391304347825</v>
                </pt>
                <pt idx="194">
                  <v>0.06530503613628542</v>
                </pt>
                <pt idx="195">
                  <v>0.06</v>
                </pt>
                <pt idx="196">
                  <v>0.05283098591549296</v>
                </pt>
                <pt idx="197">
                  <v>0.06</v>
                </pt>
                <pt idx="198">
                  <v>0.06845714285714286</v>
                </pt>
                <pt idx="199">
                  <v>0.06595324675324675</v>
                </pt>
                <pt idx="200">
                  <v>0.0476568826619965</v>
                </pt>
                <pt idx="201">
                  <v>0.05249296084469864</v>
                </pt>
                <pt idx="202">
                  <v>0.06934874783543157</v>
                </pt>
                <pt idx="203">
                  <v>0.06200900900900901</v>
                </pt>
                <pt idx="204">
                  <v>0.05999977840939688</v>
                </pt>
                <pt idx="205">
                  <v>0.05745169712793734</v>
                </pt>
                <pt idx="206">
                  <v>0.06255900621118013</v>
                </pt>
                <pt idx="207">
                  <v>0.0615</v>
                </pt>
                <pt idx="208">
                  <v>0.05443317073170732</v>
                </pt>
                <pt idx="209">
                  <v>0.06081167913364548</v>
                </pt>
                <pt idx="210">
                  <v>0.0608</v>
                </pt>
                <pt idx="211">
                  <v>0.06094117647058823</v>
                </pt>
                <pt idx="212">
                  <v>0.056716</v>
                </pt>
                <pt idx="213">
                  <v>0.05981864077669903</v>
                </pt>
                <pt idx="214">
                  <v>0.05800011632856187</v>
                </pt>
                <pt idx="215">
                  <v>0.05800009532910708</v>
                </pt>
                <pt idx="216">
                  <v>0.05275054054054054</v>
                </pt>
                <pt idx="217">
                  <v>0.05920001403820636</v>
                </pt>
                <pt idx="218">
                  <v>0.05128265306122449</v>
                </pt>
                <pt idx="219">
                  <v>0.05119999326133795</v>
                </pt>
                <pt idx="220">
                  <v>0.06249393090569561</v>
                </pt>
                <pt idx="221">
                  <v>0.06562679045092838</v>
                </pt>
                <pt idx="222">
                  <v>0.06669940366634763</v>
                </pt>
                <pt idx="223">
                  <v>0.06670024716611267</v>
                </pt>
                <pt idx="224">
                  <v>0.06670086417017505</v>
                </pt>
                <pt idx="225">
                  <v>0.05149919914575547</v>
                </pt>
                <pt idx="226">
                  <v>0.06379656480035691</v>
                </pt>
                <pt idx="227">
                  <v>0.0615</v>
                </pt>
                <pt idx="228">
                  <v>0.05989990810207527</v>
                </pt>
                <pt idx="229">
                  <v>0.05688186416184971</v>
                </pt>
                <pt idx="230">
                  <v>0.05749586048969526</v>
                </pt>
                <pt idx="231">
                  <v>0.07100004871002284</v>
                </pt>
                <pt idx="232">
                  <v>0.06080109630354159</v>
                </pt>
                <pt idx="233">
                  <v>0.055</v>
                </pt>
                <pt idx="234">
                  <v>0.05920385964912281</v>
                </pt>
                <pt idx="235">
                  <v>0.05750000405243527</v>
                </pt>
                <pt idx="236">
                  <v>0.055</v>
                </pt>
                <pt idx="237">
                  <v>0.05958354259223488</v>
                </pt>
                <pt idx="238">
                  <v>0.06100000000000001</v>
                </pt>
                <pt idx="239">
                  <v>0.05377052631578948</v>
                </pt>
                <pt idx="240">
                  <v>0.05303639240506329</v>
                </pt>
                <pt idx="241">
                  <v>0.06350000489299031</v>
                </pt>
                <pt idx="242">
                  <v>0.06349999768586015</v>
                </pt>
                <pt idx="243">
                  <v>0.06411243243243243</v>
                </pt>
                <pt idx="244">
                  <v>0.06494310344827586</v>
                </pt>
                <pt idx="245">
                  <v>0.07435202343197411</v>
                </pt>
                <pt idx="246">
                  <v>0.06151111111111111</v>
                </pt>
                <pt idx="247">
                  <v>0.0615</v>
                </pt>
                <pt idx="248">
                  <v>0.05850000458679666</v>
                </pt>
                <pt idx="249">
                  <v>0.07164589492836025</v>
                </pt>
                <pt idx="250">
                  <v>0.06000563725490196</v>
                </pt>
                <pt idx="251">
                  <v>0.06551097922848664</v>
                </pt>
                <pt idx="252">
                  <v>0.05727457627118644</v>
                </pt>
                <pt idx="253">
                  <v>0.08484945355191256</v>
                </pt>
                <pt idx="254">
                  <v>0.05457446808510638</v>
                </pt>
                <pt idx="255">
                  <v>0.05696436363636364</v>
                </pt>
                <pt idx="256">
                  <v>0.0564</v>
                </pt>
                <pt idx="257">
                  <v>0.08447010309278351</v>
                </pt>
                <pt idx="258">
                  <v>0.0589</v>
                </pt>
                <pt idx="259">
                  <v>0.07116571428571429</v>
                </pt>
                <pt idx="260">
                  <v>0.05277410071942446</v>
                </pt>
                <pt idx="261">
                  <v>0.05020328571428571</v>
                </pt>
                <pt idx="262">
                  <v>0.06148546786803632</v>
                </pt>
                <pt idx="263">
                  <v>0.06250014002746779</v>
                </pt>
                <pt idx="264">
                  <v>0.04980484961711495</v>
                </pt>
                <pt idx="265">
                  <v>0.05799987677967054</v>
                </pt>
                <pt idx="266">
                  <v>0.0592</v>
                </pt>
                <pt idx="267">
                  <v>0.05909330628803246</v>
                </pt>
                <pt idx="268">
                  <v>0.05449971651835236</v>
                </pt>
                <pt idx="269">
                  <v>0.08193205326876514</v>
                </pt>
                <pt idx="270">
                  <v>0.05</v>
                </pt>
                <pt idx="271">
                  <v>0.0659993961352657</v>
                </pt>
                <pt idx="272">
                  <v>0.05350000606433231</v>
                </pt>
                <pt idx="273">
                  <v>0.06279999999999999</v>
                </pt>
                <pt idx="274">
                  <v>0.0615</v>
                </pt>
                <pt idx="275">
                  <v>0.06761134428099914</v>
                </pt>
                <pt idx="276">
                  <v>0.05407329997677708</v>
                </pt>
                <pt idx="277">
                  <v>0.05807136465324385</v>
                </pt>
                <pt idx="278">
                  <v>0.06099998928659432</v>
                </pt>
                <pt idx="279">
                  <v>0.06216802105263158</v>
                </pt>
                <pt idx="280">
                  <v>0.05499304084720121</v>
                </pt>
                <pt idx="281">
                  <v>0.06150000123649575</v>
                </pt>
                <pt idx="282">
                  <v>0.0576959492063492</v>
                </pt>
                <pt idx="283">
                  <v>0.05392156862745098</v>
                </pt>
                <pt idx="284">
                  <v>0.05273406666666667</v>
                </pt>
                <pt idx="285">
                  <v>0.05750000531209502</v>
                </pt>
                <pt idx="286">
                  <v>0.0559</v>
                </pt>
                <pt idx="287">
                  <v>0.06501268882175226</v>
                </pt>
                <pt idx="288">
                  <v>0.0673233483791547</v>
                </pt>
                <pt idx="289">
                  <v>0.065</v>
                </pt>
                <pt idx="290">
                  <v>0.06096373729940549</v>
                </pt>
                <pt idx="291">
                  <v>0.06416666666666666</v>
                </pt>
                <pt idx="292">
                  <v>0.062</v>
                </pt>
                <pt idx="293">
                  <v>0.05753807956055044</v>
                </pt>
                <pt idx="294">
                  <v>0.0529271948608137</v>
                </pt>
                <pt idx="295">
                  <v>0.05300553571428571</v>
                </pt>
                <pt idx="296">
                  <v>0.06748637071651091</v>
                </pt>
                <pt idx="297">
                  <v>0.06383443037974683</v>
                </pt>
                <pt idx="298">
                  <v>0.07026138909634055</v>
                </pt>
                <pt idx="299">
                  <v>0.06758538461538462</v>
                </pt>
                <pt idx="300">
                  <v>0.05836666666666666</v>
                </pt>
                <pt idx="301">
                  <v>0.05022727272727272</v>
                </pt>
                <pt idx="302">
                  <v>0.05170503290563894</v>
                </pt>
                <pt idx="303">
                  <v>0.06134875</v>
                </pt>
                <pt idx="304">
                  <v>0.05757009345794393</v>
                </pt>
                <pt idx="305">
                  <v>0.05150000330615673</v>
                </pt>
                <pt idx="306">
                  <v>0.06031211154572431</v>
                </pt>
                <pt idx="307">
                  <v>0.05575788971734069</v>
                </pt>
                <pt idx="308">
                  <v>0.0823</v>
                </pt>
                <pt idx="309">
                  <v>0.065</v>
                </pt>
                <pt idx="310">
                  <v>0.0625</v>
                </pt>
                <pt idx="311">
                  <v>0.05391554404145078</v>
                </pt>
                <pt idx="312">
                  <v>0.06120000888936165</v>
                </pt>
                <pt idx="313">
                  <v>0.06003937007874015</v>
                </pt>
                <pt idx="314">
                  <v>0.05600227650374706</v>
                </pt>
                <pt idx="315">
                  <v>0.065</v>
                </pt>
                <pt idx="316">
                  <v>0.05649976637436129</v>
                </pt>
                <pt idx="317">
                  <v>0.06419939501512462</v>
                </pt>
                <pt idx="318">
                  <v>0.0510343949044586</v>
                </pt>
                <pt idx="319">
                  <v>0.06251458058322333</v>
                </pt>
                <pt idx="320">
                  <v>0.05349999664975912</v>
                </pt>
                <pt idx="321">
                  <v>0.06179999960598043</v>
                </pt>
                <pt idx="322">
                  <v>0.06499860629952614</v>
                </pt>
                <pt idx="323">
                  <v>0.06505376344086021</v>
                </pt>
                <pt idx="324">
                  <v>0.05897428571428572</v>
                </pt>
                <pt idx="325">
                  <v>0.06674664483583385</v>
                </pt>
                <pt idx="326">
                  <v>0.07177712628072824</v>
                </pt>
                <pt idx="327">
                  <v>0.06674407180815434</v>
                </pt>
                <pt idx="328">
                  <v>0.06449998953144934</v>
                </pt>
                <pt idx="329">
                  <v>0.0600375234521576</v>
                </pt>
                <pt idx="330">
                  <v>0.06</v>
                </pt>
                <pt idx="331">
                  <v>0.061</v>
                </pt>
                <pt idx="332">
                  <v>0.06950000019594466</v>
                </pt>
                <pt idx="333">
                  <v>0.0572312</v>
                </pt>
                <pt idx="334">
                  <v>0.05213533108345132</v>
                </pt>
                <pt idx="335">
                  <v>0.05660550422681387</v>
                </pt>
                <pt idx="336">
                  <v>0.05597918717479961</v>
                </pt>
                <pt idx="337">
                  <v>0.05457407407407407</v>
                </pt>
                <pt idx="338">
                  <v>0.059</v>
                </pt>
                <pt idx="339">
                  <v>0.05990713558071469</v>
                </pt>
                <pt idx="340">
                  <v>0.05349242902208202</v>
                </pt>
                <pt idx="341">
                  <v>0.061</v>
                </pt>
                <pt idx="342">
                  <v>0.06099991196549047</v>
                </pt>
                <pt idx="343">
                  <v>0.0580000580131269</v>
                </pt>
                <pt idx="344">
                  <v>0.05999333333333334</v>
                </pt>
                <pt idx="345">
                  <v>0.05395014755737665</v>
                </pt>
                <pt idx="346">
                  <v>0.06133064516129032</v>
                </pt>
                <pt idx="347">
                  <v>0.06122739203835069</v>
                </pt>
                <pt idx="348">
                  <v>0.05950000130797262</v>
                </pt>
                <pt idx="349">
                  <v>0.07099999999999999</v>
                </pt>
                <pt idx="350">
                  <v>0.05054883081155433</v>
                </pt>
                <pt idx="351">
                  <v>0.0722064</v>
                </pt>
                <pt idx="352">
                  <v>0.06749983181216783</v>
                </pt>
                <pt idx="353">
                  <v>0.05600001092549902</v>
                </pt>
                <pt idx="354">
                  <v>0.05924018785164984</v>
                </pt>
                <pt idx="355">
                  <v>0.06000038217534204</v>
                </pt>
                <pt idx="356">
                  <v>0.05750532936676583</v>
                </pt>
                <pt idx="357">
                  <v>0.0595</v>
                </pt>
                <pt idx="358">
                  <v>0.06626141826987154</v>
                </pt>
                <pt idx="359">
                  <v>0.05900000411156221</v>
                </pt>
                <pt idx="360">
                  <v>0.06000687963052054</v>
                </pt>
                <pt idx="361">
                  <v>0.061</v>
                </pt>
                <pt idx="362">
                  <v>0.0712</v>
                </pt>
                <pt idx="363">
                  <v>0.058851145846099</v>
                </pt>
                <pt idx="364">
                  <v>0.07176046672923815</v>
                </pt>
                <pt idx="365">
                  <v>0.07763378728565916</v>
                </pt>
                <pt idx="366">
                  <v>0.06073315537337021</v>
                </pt>
                <pt idx="367">
                  <v>0.06100000112385774</v>
                </pt>
                <pt idx="368">
                  <v>0.05672743322379577</v>
                </pt>
                <pt idx="369">
                  <v>0.05675675675675676</v>
                </pt>
                <pt idx="370">
                  <v>0.05363525423728813</v>
                </pt>
                <pt idx="371">
                  <v>0.05646262626262626</v>
                </pt>
                <pt idx="372">
                  <v>0.0575</v>
                </pt>
                <pt idx="373">
                  <v>0.05650002769622777</v>
                </pt>
                <pt idx="374">
                  <v>0.07036166666666667</v>
                </pt>
                <pt idx="375">
                  <v>0.06999808362369338</v>
                </pt>
                <pt idx="376">
                  <v>0.05749561975768872</v>
                </pt>
                <pt idx="377">
                  <v>0.05630302254098361</v>
                </pt>
                <pt idx="378">
                  <v>0.05584440227703985</v>
                </pt>
                <pt idx="379">
                  <v>0.0677</v>
                </pt>
                <pt idx="380">
                  <v>0.06177430339402668</v>
                </pt>
                <pt idx="381">
                  <v>0.061</v>
                </pt>
                <pt idx="382">
                  <v>0.07958933544996716</v>
                </pt>
                <pt idx="383">
                  <v>0.06795508629441624</v>
                </pt>
                <pt idx="384">
                  <v>0.0575</v>
                </pt>
                <pt idx="385">
                  <v>0.05800000204966124</v>
                </pt>
                <pt idx="386">
                  <v>0.06099433726845187</v>
                </pt>
                <pt idx="387">
                  <v>0.05721446701185039</v>
                </pt>
                <pt idx="388">
                  <v>0.05</v>
                </pt>
                <pt idx="389">
                  <v>0.07199999999999999</v>
                </pt>
                <pt idx="390">
                  <v>0.06600000669235517</v>
                </pt>
                <pt idx="391">
                  <v>0.05849991472350926</v>
                </pt>
                <pt idx="392">
                  <v>0.06497050118078117</v>
                </pt>
                <pt idx="393">
                  <v>0.05652135936463776</v>
                </pt>
                <pt idx="394">
                  <v>0.0624520202020202</v>
                </pt>
                <pt idx="395">
                  <v>0.05499999828125005</v>
                </pt>
                <pt idx="396">
                  <v>0.06099265284702178</v>
                </pt>
                <pt idx="397">
                  <v>0.05102873130782715</v>
                </pt>
                <pt idx="398">
                  <v>0.06540816326530612</v>
                </pt>
                <pt idx="399">
                  <v>0.09</v>
                </pt>
                <pt idx="400">
                  <v>0.06000001058798803</v>
                </pt>
                <pt idx="401">
                  <v>0.05495890410958904</v>
                </pt>
                <pt idx="402">
                  <v>0.06000001273784746</v>
                </pt>
                <pt idx="403">
                  <v>0.03971104294478529</v>
                </pt>
                <pt idx="404">
                  <v>0.0624</v>
                </pt>
                <pt idx="405">
                  <v>0.05250000352818811</v>
                </pt>
                <pt idx="406">
                  <v>0.05249999940759711</v>
                </pt>
                <pt idx="407">
                  <v>0.050625</v>
                </pt>
                <pt idx="408">
                  <v>0.05903021784961349</v>
                </pt>
                <pt idx="409">
                  <v>0.05549278846153846</v>
                </pt>
                <pt idx="410">
                  <v>0.06375955170657158</v>
                </pt>
                <pt idx="411">
                  <v>0.05746772058823529</v>
                </pt>
                <pt idx="412">
                  <v>0.05901177613208693</v>
                </pt>
                <pt idx="413">
                  <v>0.05871666666666667</v>
                </pt>
                <pt idx="414">
                  <v>0.05650000059394909</v>
                </pt>
                <pt idx="415">
                  <v>0.05678810166438686</v>
                </pt>
                <pt idx="416">
                  <v>0.06204379562043796</v>
                </pt>
                <pt idx="417">
                  <v>0.05517595612407969</v>
                </pt>
                <pt idx="418">
                  <v>0.05198431372549019</v>
                </pt>
                <pt idx="419">
                  <v>0.0575023009868421</v>
                </pt>
                <pt idx="420">
                  <v>0.05819996880361878</v>
                </pt>
                <pt idx="421">
                  <v>0.0625</v>
                </pt>
                <pt idx="422">
                  <v>0.0554</v>
                </pt>
                <pt idx="423">
                  <v>0.06490134994807892</v>
                </pt>
                <pt idx="424">
                  <v>0.0709</v>
                </pt>
                <pt idx="425">
                  <v>0.07576690912835392</v>
                </pt>
                <pt idx="426">
                  <v>0.05691643192286816</v>
                </pt>
                <pt idx="427">
                  <v>0.05574099946265448</v>
                </pt>
                <pt idx="428">
                  <v>0.06215591397849463</v>
                </pt>
                <pt idx="429">
                  <v>0.05616193548387097</v>
                </pt>
                <pt idx="430">
                  <v>0.0620158940397351</v>
                </pt>
                <pt idx="431">
                  <v>0.06315</v>
                </pt>
                <pt idx="432">
                  <v>0.05450001470112611</v>
                </pt>
                <pt idx="433">
                  <v>0.05076271186440678</v>
                </pt>
                <pt idx="434">
                  <v>0.056</v>
                </pt>
                <pt idx="435">
                  <v>0.06483725</v>
                </pt>
                <pt idx="436">
                  <v>0.05736483126110124</v>
                </pt>
                <pt idx="437">
                  <v>0.05995520378605524</v>
                </pt>
                <pt idx="438">
                  <v>0.06801001432544534</v>
                </pt>
                <pt idx="439">
                  <v>0.06278543897216274</v>
                </pt>
                <pt idx="440">
                  <v>0.06340608753406775</v>
                </pt>
                <pt idx="441">
                  <v>0.06188964327979712</v>
                </pt>
                <pt idx="442">
                  <v>0.06008300091491309</v>
                </pt>
                <pt idx="443">
                  <v>0.05471825046728972</v>
                </pt>
                <pt idx="444">
                  <v>0.05400001094918484</v>
                </pt>
                <pt idx="445">
                  <v>0.0641</v>
                </pt>
                <pt idx="446">
                  <v>0.06598779204378026</v>
                </pt>
                <pt idx="447">
                  <v>0.0638</v>
                </pt>
                <pt idx="448">
                  <v>0.0575</v>
                </pt>
                <pt idx="449">
                  <v>0.0625</v>
                </pt>
                <pt idx="450">
                  <v>0.05300000513290472</v>
                </pt>
                <pt idx="451">
                  <v>0.05826517126835018</v>
                </pt>
                <pt idx="452">
                  <v>0.08755806668158425</v>
                </pt>
                <pt idx="453">
                  <v>0.06149999999999999</v>
                </pt>
                <pt idx="454">
                  <v>0.05699996601387157</v>
                </pt>
                <pt idx="455">
                  <v>0.06499246571988246</v>
                </pt>
                <pt idx="456">
                  <v>0.05444388349514563</v>
                </pt>
                <pt idx="457">
                  <v>0.057</v>
                </pt>
                <pt idx="458">
                  <v>0.05729986334871983</v>
                </pt>
                <pt idx="459">
                  <v>0.05500018937720151</v>
                </pt>
                <pt idx="460">
                  <v>0.06580761904761905</v>
                </pt>
                <pt idx="461">
                  <v>0.08360000130357033</v>
                </pt>
                <pt idx="462">
                  <v>0.07059239409376011</v>
                </pt>
                <pt idx="463">
                  <v>0.06422266531861848</v>
                </pt>
                <pt idx="464">
                  <v>0.06422267999123531</v>
                </pt>
                <pt idx="465">
                  <v>0.0642211055276382</v>
                </pt>
                <pt idx="466">
                  <v>0.06421900269541779</v>
                </pt>
                <pt idx="467">
                  <v>0.08360987967067765</v>
                </pt>
                <pt idx="468">
                  <v>0.06871814919788335</v>
                </pt>
                <pt idx="469">
                  <v>0.05</v>
                </pt>
                <pt idx="470">
                  <v>0.06399926062846581</v>
                </pt>
                <pt idx="471">
                  <v>0.05897367721350705</v>
                </pt>
                <pt idx="472">
                  <v>0.05897120246207958</v>
                </pt>
                <pt idx="473">
                  <v>0.05897279165113679</v>
                </pt>
                <pt idx="474">
                  <v>0.06662611769005848</v>
                </pt>
                <pt idx="475">
                  <v>0.06553363329583801</v>
                </pt>
                <pt idx="476">
                  <v>0.0645</v>
                </pt>
                <pt idx="477">
                  <v>0.05968063021316031</v>
                </pt>
                <pt idx="478">
                  <v>0.06696503496503496</v>
                </pt>
                <pt idx="479">
                  <v>0.06338220023707893</v>
                </pt>
                <pt idx="480">
                  <v>0.06299588681551496</v>
                </pt>
                <pt idx="481">
                  <v>0.05966829268292683</v>
                </pt>
                <pt idx="482">
                  <v>0.06</v>
                </pt>
                <pt idx="483">
                  <v>0.05639873295768423</v>
                </pt>
                <pt idx="484">
                  <v>0.06136644338118022</v>
                </pt>
                <pt idx="485">
                  <v>0.0495</v>
                </pt>
                <pt idx="486">
                  <v>0.06499406238621191</v>
                </pt>
                <pt idx="487">
                  <v>0.06275220681818182</v>
                </pt>
                <pt idx="488">
                  <v>0.05346666666666667</v>
                </pt>
                <pt idx="489">
                  <v>0.0585</v>
                </pt>
                <pt idx="490">
                  <v>0.0655</v>
                </pt>
                <pt idx="491">
                  <v>0.0585101630556176</v>
                </pt>
                <pt idx="492">
                  <v>0.06179913279317645</v>
                </pt>
                <pt idx="493">
                  <v>0.05911228773798779</v>
                </pt>
                <pt idx="494">
                  <v>0.05375368576242629</v>
                </pt>
                <pt idx="495">
                  <v>0.06262564892100977</v>
                </pt>
                <pt idx="496">
                  <v>0.06</v>
                </pt>
                <pt idx="497">
                  <v>0.05621805792163544</v>
                </pt>
                <pt idx="498">
                  <v>0.07049999999999999</v>
                </pt>
                <pt idx="499">
                  <v>0.07748099999999999</v>
                </pt>
                <pt idx="500">
                  <v>0.06</v>
                </pt>
                <pt idx="501">
                  <v>0.049117903930131</v>
                </pt>
                <pt idx="502">
                  <v>0.05104086353122591</v>
                </pt>
                <pt idx="503">
                  <v>0.06099986887789047</v>
                </pt>
                <pt idx="504">
                  <v>0.06257972027972028</v>
                </pt>
                <pt idx="505">
                  <v>0.07149999999999999</v>
                </pt>
                <pt idx="506">
                  <v>0.06953515583448569</v>
                </pt>
                <pt idx="507">
                  <v>0.08540822731622653</v>
                </pt>
                <pt idx="508">
                  <v>0.0614998952321085</v>
                </pt>
                <pt idx="509">
                  <v>0.06612352662222036</v>
                </pt>
                <pt idx="510">
                  <v>0.05805024793388429</v>
                </pt>
                <pt idx="511">
                  <v>0.07469275028768699</v>
                </pt>
                <pt idx="512">
                  <v>0.06440000753181917</v>
                </pt>
                <pt idx="513">
                  <v>0.1007891633916681</v>
                </pt>
                <pt idx="514">
                  <v>0.051</v>
                </pt>
                <pt idx="515">
                  <v>0.0639794398274724</v>
                </pt>
                <pt idx="516">
                  <v>0.055</v>
                </pt>
                <pt idx="517">
                  <v>0.08099993251288935</v>
                </pt>
                <pt idx="518">
                  <v>0.05870006378892822</v>
                </pt>
                <pt idx="519">
                  <v>0.05559995229007634</v>
                </pt>
                <pt idx="520">
                  <v>0.055</v>
                </pt>
                <pt idx="521">
                  <v>0.06477680625862862</v>
                </pt>
                <pt idx="522">
                  <v>0.07729994728518713</v>
                </pt>
                <pt idx="523">
                  <v>0.065</v>
                </pt>
                <pt idx="524">
                  <v>0.07476468587235639</v>
                </pt>
                <pt idx="525">
                  <v>0.06621719497858311</v>
                </pt>
                <pt idx="526">
                  <v>0.06500005679675132</v>
                </pt>
                <pt idx="527">
                  <v>0.0645</v>
                </pt>
                <pt idx="528">
                  <v>0.07244149705236359</v>
                </pt>
                <pt idx="529">
                  <v>0.06850000000000001</v>
                </pt>
                <pt idx="530">
                  <v>0.0719999961399537</v>
                </pt>
                <pt idx="531">
                  <v>0.0555571698113208</v>
                </pt>
                <pt idx="532">
                  <v>0.05386153846153846</v>
                </pt>
                <pt idx="533">
                  <v>0.09563741134751773</v>
                </pt>
                <pt idx="534">
                  <v>0.04923296703296703</v>
                </pt>
                <pt idx="535">
                  <v>0.065</v>
                </pt>
                <pt idx="536">
                  <v>0.062</v>
                </pt>
                <pt idx="537">
                  <v>0.05650400392220951</v>
                </pt>
                <pt idx="538">
                  <v>0.07882044444444444</v>
                </pt>
                <pt idx="539">
                  <v>0.07753639344262295</v>
                </pt>
                <pt idx="540">
                  <v>0.066</v>
                </pt>
                <pt idx="541">
                  <v>0.06430416666666666</v>
                </pt>
                <pt idx="542">
                  <v>0.0677</v>
                </pt>
                <pt idx="543">
                  <v>0.07240136363636364</v>
                </pt>
                <pt idx="544">
                  <v>0.08325397156780825</v>
                </pt>
                <pt idx="545">
                  <v>0.065</v>
                </pt>
                <pt idx="546">
                  <v>0.06324207810028007</v>
                </pt>
                <pt idx="547">
                  <v>0.06629550321199143</v>
                </pt>
                <pt idx="548">
                  <v>0.07190137333637446</v>
                </pt>
                <pt idx="549">
                  <v>0.065</v>
                </pt>
                <pt idx="550">
                  <v>0.06776640200585039</v>
                </pt>
                <pt idx="551">
                  <v>0.06699997557612296</v>
                </pt>
                <pt idx="552">
                  <v>0.06749983735913026</v>
                </pt>
                <pt idx="553">
                  <v>0.0669999660336226</v>
                </pt>
                <pt idx="554">
                  <v>0.0625</v>
                </pt>
                <pt idx="555">
                  <v>0.06851764705882353</v>
                </pt>
                <pt idx="556">
                  <v>0.0578855445544554</v>
                </pt>
                <pt idx="557">
                  <v>0.06444254553529596</v>
                </pt>
                <pt idx="558">
                  <v>0.06798</v>
                </pt>
                <pt idx="559">
                  <v>0.07134652631578947</v>
                </pt>
                <pt idx="560">
                  <v>0.0805</v>
                </pt>
                <pt idx="561">
                  <v>0.0575</v>
                </pt>
                <pt idx="562">
                  <v>0.06868299016275629</v>
                </pt>
                <pt idx="563">
                  <v>0.0761462</v>
                </pt>
                <pt idx="564">
                  <v>0.07199999999999999</v>
                </pt>
                <pt idx="565">
                  <v>0.0725</v>
                </pt>
                <pt idx="566">
                  <v>0.09140488110137672</v>
                </pt>
                <pt idx="567">
                  <v>0.06560000000000001</v>
                </pt>
                <pt idx="568">
                  <v>0.06268281599880074</v>
                </pt>
                <pt idx="569">
                  <v>0.0729233595800525</v>
                </pt>
                <pt idx="570">
                  <v>0.06619999999999999</v>
                </pt>
                <pt idx="571">
                  <v>0.08298657047788095</v>
                </pt>
                <pt idx="572">
                  <v>0.07072044198895028</v>
                </pt>
                <pt idx="573">
                  <v>0.06850000000000001</v>
                </pt>
                <pt idx="574">
                  <v>0.06615391304347824</v>
                </pt>
                <pt idx="575">
                  <v>0.0625</v>
                </pt>
                <pt idx="576">
                  <v>0.0762</v>
                </pt>
                <pt idx="577">
                  <v>0.08077669902912621</v>
                </pt>
                <pt idx="578">
                  <v>0.08646333514394351</v>
                </pt>
                <pt idx="579">
                  <v>0.06999998609971417</v>
                </pt>
                <pt idx="580">
                  <v>0.07026331216414265</v>
                </pt>
                <pt idx="581">
                  <v>0.07220017993702205</v>
                </pt>
                <pt idx="582">
                  <v>0.07108146811678316</v>
                </pt>
                <pt idx="583">
                  <v>0.07159557431940602</v>
                </pt>
                <pt idx="584">
                  <v>0.0795</v>
                </pt>
                <pt idx="585">
                  <v>0.07827030636947992</v>
                </pt>
                <pt idx="586">
                  <v>0.05025962962962963</v>
                </pt>
                <pt idx="587">
                  <v>0.07892052631578947</v>
                </pt>
                <pt idx="588">
                  <v>0.07251228501228502</v>
                </pt>
                <pt idx="589">
                  <v>0.0725</v>
                </pt>
                <pt idx="590">
                  <v>0.09141824554370165</v>
                </pt>
                <pt idx="591">
                  <v>0.065</v>
                </pt>
                <pt idx="592">
                  <v>0.0833</v>
                </pt>
                <pt idx="593">
                  <v>0.07250021834061135</v>
                </pt>
                <pt idx="594">
                  <v>0.07399954001839927</v>
                </pt>
                <pt idx="595">
                  <v>0.07352879312023963</v>
                </pt>
                <pt idx="596">
                  <v>0.075</v>
                </pt>
                <pt idx="597">
                  <v>0.08778930566770841</v>
                </pt>
                <pt idx="598">
                  <v>0.09540810810810811</v>
                </pt>
                <pt idx="599">
                  <v>0.08220193109966051</v>
                </pt>
                <pt idx="600">
                  <v>0.07916751879699248</v>
                </pt>
                <pt idx="601">
                  <v>0.07078428201811125</v>
                </pt>
                <pt idx="602">
                  <v>0.08781050228310502</v>
                </pt>
                <pt idx="603">
                  <v>0.09078270042194093</v>
                </pt>
                <pt idx="604">
                  <v>0.08811970802919708</v>
                </pt>
                <pt idx="605">
                  <v>0.08271844660194175</v>
                </pt>
                <pt idx="606">
                  <v>0.0782939832444783</v>
                </pt>
                <pt idx="607">
                  <v>0.07584</v>
                </pt>
                <pt idx="608">
                  <v>0.08399993501771998</v>
                </pt>
                <pt idx="609">
                  <v>0.08499995678590874</v>
                </pt>
                <pt idx="610">
                  <v>0.08254361071696853</v>
                </pt>
                <pt idx="611">
                  <v>0.0808674531575295</v>
                </pt>
                <pt idx="612">
                  <v>0.1022148760330578</v>
                </pt>
                <pt idx="613">
                  <v>0.09445652173913044</v>
                </pt>
                <pt idx="614">
                  <v>0.08485364464550851</v>
                </pt>
                <pt idx="615">
                  <v>0.08599998500078745</v>
                </pt>
                <pt idx="616">
                  <v>0.08756360000000001</v>
                </pt>
                <pt idx="617">
                  <v>0.07899999153873707</v>
                </pt>
                <pt idx="618">
                  <v>0.08613094989848602</v>
                </pt>
                <pt idx="619">
                  <v>0.09659180722891567</v>
                </pt>
                <pt idx="620">
                  <v>0.07755474452554745</v>
                </pt>
                <pt idx="621">
                  <v>0.09917250404125932</v>
                </pt>
                <pt idx="622">
                  <v>0.0725</v>
                </pt>
                <pt idx="623">
                  <v>0.08623851851851852</v>
                </pt>
                <pt idx="624">
                  <v>0.1097033388067871</v>
                </pt>
                <pt idx="625">
                  <v>0.1038359832635983</v>
                </pt>
                <pt idx="626">
                  <v>0.09172329103561196</v>
                </pt>
                <pt idx="627">
                  <v>0.07199508516929132</v>
                </pt>
              </numCache>
            </numRef>
          </yVal>
          <smooth val="0"/>
        </ser>
        <ser>
          <idx val="1"/>
          <order val="1"/>
          <tx>
            <v>DDP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'Core Cap Chart'!$C$637:$C$699</f>
              <numCache>
                <formatCode>m/d/yyyy</formatCode>
                <ptCount val="63"/>
                <pt idx="0">
                  <v>45289</v>
                </pt>
                <pt idx="1">
                  <v>45267</v>
                </pt>
                <pt idx="2">
                  <v>45139</v>
                </pt>
                <pt idx="3">
                  <v>45037</v>
                </pt>
                <pt idx="4">
                  <v>44883</v>
                </pt>
                <pt idx="5">
                  <v>44757</v>
                </pt>
                <pt idx="6">
                  <v>44691</v>
                </pt>
                <pt idx="7">
                  <v>44677</v>
                </pt>
                <pt idx="8">
                  <v>44671</v>
                </pt>
                <pt idx="9">
                  <v>44607</v>
                </pt>
                <pt idx="10">
                  <v>44607</v>
                </pt>
                <pt idx="11">
                  <v>44582</v>
                </pt>
                <pt idx="12">
                  <v>44551</v>
                </pt>
                <pt idx="13">
                  <v>44540</v>
                </pt>
                <pt idx="14">
                  <v>44502</v>
                </pt>
                <pt idx="15">
                  <v>44454</v>
                </pt>
                <pt idx="16">
                  <v>44406</v>
                </pt>
                <pt idx="17">
                  <v>44351</v>
                </pt>
                <pt idx="18">
                  <v>44320</v>
                </pt>
                <pt idx="19">
                  <v>44306</v>
                </pt>
                <pt idx="20">
                  <v>44284</v>
                </pt>
                <pt idx="21">
                  <v>44273</v>
                </pt>
                <pt idx="22">
                  <v>44252</v>
                </pt>
                <pt idx="23">
                  <v>44235</v>
                </pt>
                <pt idx="24">
                  <v>44210</v>
                </pt>
                <pt idx="25">
                  <v>44148</v>
                </pt>
                <pt idx="26">
                  <v>44124</v>
                </pt>
                <pt idx="27">
                  <v>44124</v>
                </pt>
                <pt idx="28">
                  <v>44099</v>
                </pt>
                <pt idx="29">
                  <v>44068</v>
                </pt>
                <pt idx="30">
                  <v>44057</v>
                </pt>
                <pt idx="31">
                  <v>44004</v>
                </pt>
                <pt idx="32">
                  <v>43921</v>
                </pt>
                <pt idx="33">
                  <v>43886</v>
                </pt>
                <pt idx="34">
                  <v>43875</v>
                </pt>
                <pt idx="35">
                  <v>43843</v>
                </pt>
                <pt idx="36">
                  <v>43843</v>
                </pt>
                <pt idx="37">
                  <v>43822</v>
                </pt>
                <pt idx="38">
                  <v>43822</v>
                </pt>
                <pt idx="39">
                  <v>43815</v>
                </pt>
                <pt idx="40">
                  <v>43805</v>
                </pt>
                <pt idx="41">
                  <v>43766</v>
                </pt>
                <pt idx="42">
                  <v>43760</v>
                </pt>
                <pt idx="43">
                  <v>43738</v>
                </pt>
                <pt idx="44">
                  <v>43719</v>
                </pt>
                <pt idx="45">
                  <v>43691</v>
                </pt>
                <pt idx="46">
                  <v>43656</v>
                </pt>
                <pt idx="47">
                  <v>43627</v>
                </pt>
                <pt idx="48">
                  <v>43579</v>
                </pt>
                <pt idx="49">
                  <v>43570</v>
                </pt>
                <pt idx="50">
                  <v>43543</v>
                </pt>
                <pt idx="51">
                  <v>43497</v>
                </pt>
                <pt idx="52">
                  <v>43329</v>
                </pt>
                <pt idx="53">
                  <v>43137</v>
                </pt>
                <pt idx="54">
                  <v>43133</v>
                </pt>
                <pt idx="55">
                  <v>43090</v>
                </pt>
                <pt idx="56">
                  <v>42915</v>
                </pt>
                <pt idx="57">
                  <v>45623</v>
                </pt>
                <pt idx="58">
                  <v>45622</v>
                </pt>
                <pt idx="59">
                  <v>45520</v>
                </pt>
                <pt idx="60">
                  <v>45709</v>
                </pt>
                <pt idx="61">
                  <v>45807</v>
                </pt>
                <pt idx="62">
                  <v>45747</v>
                </pt>
              </numCache>
            </numRef>
          </xVal>
          <yVal>
            <numRef>
              <f>'Core Cap Chart'!$B$637:$B$699</f>
              <numCache>
                <formatCode>0.00%</formatCode>
                <ptCount val="63"/>
                <pt idx="0">
                  <v>0.05540005333333334</v>
                </pt>
                <pt idx="1">
                  <v>0.05875000761479411</v>
                </pt>
                <pt idx="2">
                  <v>0.05300608202467292</v>
                </pt>
                <pt idx="3">
                  <v>0.05920000078933334</v>
                </pt>
                <pt idx="4">
                  <v>0.06246105190839695</v>
                </pt>
                <pt idx="5">
                  <v>0.05249999980058041</v>
                </pt>
                <pt idx="6">
                  <v>0.05144654651851897</v>
                </pt>
                <pt idx="7">
                  <v>0.05250312246577262</v>
                </pt>
                <pt idx="8">
                  <v>0.05237582788450094</v>
                </pt>
                <pt idx="9">
                  <v>0.05200964608804942</v>
                </pt>
                <pt idx="10">
                  <v>0.05298913957060746</v>
                </pt>
                <pt idx="11">
                  <v>0.0608295652173913</v>
                </pt>
                <pt idx="12">
                  <v>0.0461</v>
                </pt>
                <pt idx="13">
                  <v>0.07058586206896551</v>
                </pt>
                <pt idx="14">
                  <v>0.05280143229166667</v>
                </pt>
                <pt idx="15">
                  <v>0.05449717493770453</v>
                </pt>
                <pt idx="16">
                  <v>0.04999988084343781</v>
                </pt>
                <pt idx="17">
                  <v>0.05350000533516668</v>
                </pt>
                <pt idx="18">
                  <v>0.05649999999999999</v>
                </pt>
                <pt idx="19">
                  <v>0.0543090338332752</v>
                </pt>
                <pt idx="20">
                  <v>0.05732617358031349</v>
                </pt>
                <pt idx="21">
                  <v>0.05398151547751398</v>
                </pt>
                <pt idx="22">
                  <v>0.05500611226550758</v>
                </pt>
                <pt idx="23">
                  <v>0.05256137931034483</v>
                </pt>
                <pt idx="24">
                  <v>0.05849999803035615</v>
                </pt>
                <pt idx="25">
                  <v>0.05124854766085236</v>
                </pt>
                <pt idx="26">
                  <v>0.05949999944658371</v>
                </pt>
                <pt idx="27">
                  <v>0.05949140771486005</v>
                </pt>
                <pt idx="28">
                  <v>0.05550001125391073</v>
                </pt>
                <pt idx="29">
                  <v>0.05400642421525047</v>
                </pt>
                <pt idx="30">
                  <v>0.05649973553768276</v>
                </pt>
                <pt idx="31">
                  <v>0.06079999763305556</v>
                </pt>
                <pt idx="32">
                  <v>0.05999983810132902</v>
                </pt>
                <pt idx="33">
                  <v>0.0476568826619965</v>
                </pt>
                <pt idx="34">
                  <v>0.05200659731572363</v>
                </pt>
                <pt idx="35">
                  <v>0.06081167913364548</v>
                </pt>
                <pt idx="36">
                  <v>0.0608</v>
                </pt>
                <pt idx="37">
                  <v>0.05800011632856187</v>
                </pt>
                <pt idx="38">
                  <v>0.05800009532910708</v>
                </pt>
                <pt idx="39">
                  <v>0.05275054054054054</v>
                </pt>
                <pt idx="40">
                  <v>0.05119999326133795</v>
                </pt>
                <pt idx="41">
                  <v>0.0615</v>
                </pt>
                <pt idx="42">
                  <v>0.05749586048969526</v>
                </pt>
                <pt idx="43">
                  <v>0.06080109630354159</v>
                </pt>
                <pt idx="44">
                  <v>0.05920385964912281</v>
                </pt>
                <pt idx="45">
                  <v>0.05303639240506329</v>
                </pt>
                <pt idx="46">
                  <v>0.0615</v>
                </pt>
                <pt idx="47">
                  <v>0.05696436363636364</v>
                </pt>
                <pt idx="48">
                  <v>0.04980484961711495</v>
                </pt>
                <pt idx="49">
                  <v>0.05799987677967054</v>
                </pt>
                <pt idx="50">
                  <v>0.0615</v>
                </pt>
                <pt idx="51">
                  <v>0.06150000123649575</v>
                </pt>
                <pt idx="52">
                  <v>0.06179999960598043</v>
                </pt>
                <pt idx="53">
                  <v>0.0575</v>
                </pt>
                <pt idx="54">
                  <v>0.05650002769622777</v>
                </pt>
                <pt idx="55">
                  <v>0.0575</v>
                </pt>
                <pt idx="56">
                  <v>0.05691643192286816</v>
                </pt>
                <pt idx="57">
                  <v>0.06250004043512331</v>
                </pt>
                <pt idx="58">
                  <v>0.06444333333333334</v>
                </pt>
                <pt idx="59">
                  <v>0.0625</v>
                </pt>
                <pt idx="60">
                  <v>0.0655</v>
                </pt>
                <pt idx="61">
                  <v>0.0615</v>
                </pt>
                <pt idx="62">
                  <v>0.06410737618421053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052106719"/>
        <axId val="1052107679"/>
      </scatterChart>
      <valAx>
        <axId val="1052106719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[$-409]mmm\-yy;@" sourceLinked="0"/>
        <majorTickMark val="out"/>
        <minorTickMark val="out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52107679"/>
        <crosses val="autoZero"/>
        <crossBetween val="midCat"/>
      </valAx>
      <valAx>
        <axId val="1052107679"/>
        <scaling>
          <orientation val="minMax"/>
          <min val="0.04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52106719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580583895544526"/>
          <y val="0.02829218106995885"/>
          <w val="0.9142886859422292"/>
          <h val="0.7737241004182354"/>
        </manualLayout>
      </layout>
      <barChart>
        <barDir val="col"/>
        <grouping val="clustered"/>
        <varyColors val="0"/>
        <ser>
          <idx val="0"/>
          <order val="0"/>
          <tx>
            <strRef>
              <f>Charts!$C$2</f>
              <strCache>
                <ptCount val="1"/>
                <pt idx="0">
                  <v>Transaction Count (ttm)</v>
                </pt>
              </strCache>
            </strRef>
          </tx>
          <spPr>
            <a:solidFill xmlns:a="http://schemas.openxmlformats.org/drawingml/2006/main">
              <a:srgbClr val="E0E8F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dLbl>
              <idx val="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0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 xmlns:a="http://schemas.openxmlformats.org/drawingml/2006/main">
                <a:srgbClr val="E0E8F4"/>
              </a:solidFill>
              <a:ln xmlns:a="http://schemas.openxmlformats.org/drawingml/2006/main" w="3175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003DA5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Charts!$B$128:$B$218</f>
              <numCache>
                <formatCode>[$-409]mmm\-yy;@</formatCode>
                <ptCount val="91"/>
                <pt idx="0">
                  <v>43252</v>
                </pt>
                <pt idx="1">
                  <v>43282</v>
                </pt>
                <pt idx="2">
                  <v>43313</v>
                </pt>
                <pt idx="3">
                  <v>43344</v>
                </pt>
                <pt idx="4">
                  <v>43374</v>
                </pt>
                <pt idx="5">
                  <v>43405</v>
                </pt>
                <pt idx="6">
                  <v>43435</v>
                </pt>
                <pt idx="7">
                  <v>43466</v>
                </pt>
                <pt idx="8">
                  <v>43497</v>
                </pt>
                <pt idx="9">
                  <v>43525</v>
                </pt>
                <pt idx="10">
                  <v>43556</v>
                </pt>
                <pt idx="11">
                  <v>43586</v>
                </pt>
                <pt idx="12">
                  <v>43617</v>
                </pt>
                <pt idx="13">
                  <v>43647</v>
                </pt>
                <pt idx="14">
                  <v>43678</v>
                </pt>
                <pt idx="15">
                  <v>43709</v>
                </pt>
                <pt idx="16">
                  <v>43739</v>
                </pt>
                <pt idx="17">
                  <v>43770</v>
                </pt>
                <pt idx="18">
                  <v>43800</v>
                </pt>
                <pt idx="19">
                  <v>43831</v>
                </pt>
                <pt idx="20">
                  <v>43862</v>
                </pt>
                <pt idx="21">
                  <v>43891</v>
                </pt>
                <pt idx="22">
                  <v>43922</v>
                </pt>
                <pt idx="23">
                  <v>43952</v>
                </pt>
                <pt idx="24">
                  <v>43983</v>
                </pt>
                <pt idx="25">
                  <v>44013</v>
                </pt>
                <pt idx="26">
                  <v>44044</v>
                </pt>
                <pt idx="27">
                  <v>44075</v>
                </pt>
                <pt idx="28">
                  <v>44105</v>
                </pt>
                <pt idx="29">
                  <v>44136</v>
                </pt>
                <pt idx="30">
                  <v>44166</v>
                </pt>
                <pt idx="31">
                  <v>44197</v>
                </pt>
                <pt idx="32">
                  <v>44228</v>
                </pt>
                <pt idx="33">
                  <v>44256</v>
                </pt>
                <pt idx="34">
                  <v>44287</v>
                </pt>
                <pt idx="35">
                  <v>44317</v>
                </pt>
                <pt idx="36">
                  <v>44348</v>
                </pt>
                <pt idx="37">
                  <v>44378</v>
                </pt>
                <pt idx="38">
                  <v>44409</v>
                </pt>
                <pt idx="39">
                  <v>44440</v>
                </pt>
                <pt idx="40">
                  <v>44470</v>
                </pt>
                <pt idx="41">
                  <v>44501</v>
                </pt>
                <pt idx="42">
                  <v>44531</v>
                </pt>
                <pt idx="43">
                  <v>44562</v>
                </pt>
                <pt idx="44">
                  <v>44593</v>
                </pt>
                <pt idx="45">
                  <v>44621</v>
                </pt>
                <pt idx="46">
                  <v>44652</v>
                </pt>
                <pt idx="47">
                  <v>44682</v>
                </pt>
                <pt idx="48">
                  <v>44713</v>
                </pt>
                <pt idx="49">
                  <v>44743</v>
                </pt>
                <pt idx="50">
                  <v>44774</v>
                </pt>
                <pt idx="51">
                  <v>44805</v>
                </pt>
                <pt idx="52">
                  <v>44835</v>
                </pt>
                <pt idx="53">
                  <v>44866</v>
                </pt>
                <pt idx="54">
                  <v>44896</v>
                </pt>
                <pt idx="55">
                  <v>44927</v>
                </pt>
                <pt idx="56">
                  <v>44958</v>
                </pt>
                <pt idx="57">
                  <v>44986</v>
                </pt>
                <pt idx="58">
                  <v>45017</v>
                </pt>
                <pt idx="59">
                  <v>45047</v>
                </pt>
                <pt idx="60">
                  <v>45078</v>
                </pt>
                <pt idx="61">
                  <v>45108</v>
                </pt>
                <pt idx="62">
                  <v>45139</v>
                </pt>
                <pt idx="63">
                  <v>45170</v>
                </pt>
                <pt idx="64">
                  <v>45200</v>
                </pt>
                <pt idx="65">
                  <v>45231</v>
                </pt>
                <pt idx="66">
                  <v>45261</v>
                </pt>
                <pt idx="67">
                  <v>45292</v>
                </pt>
                <pt idx="68">
                  <v>45323</v>
                </pt>
                <pt idx="69">
                  <v>45352</v>
                </pt>
                <pt idx="70">
                  <v>45383</v>
                </pt>
                <pt idx="71">
                  <v>45413</v>
                </pt>
                <pt idx="72">
                  <v>45444</v>
                </pt>
                <pt idx="73">
                  <v>45474</v>
                </pt>
                <pt idx="74">
                  <v>45505</v>
                </pt>
                <pt idx="75">
                  <v>45536</v>
                </pt>
                <pt idx="76">
                  <v>45566</v>
                </pt>
                <pt idx="77">
                  <v>45597</v>
                </pt>
                <pt idx="78">
                  <v>45627</v>
                </pt>
                <pt idx="79">
                  <v>45658</v>
                </pt>
                <pt idx="80">
                  <v>45689</v>
                </pt>
                <pt idx="81">
                  <v>45717</v>
                </pt>
                <pt idx="82">
                  <v>45748</v>
                </pt>
                <pt idx="83">
                  <v>45778</v>
                </pt>
                <pt idx="84">
                  <v>45809</v>
                </pt>
                <pt idx="85">
                  <v>45839</v>
                </pt>
                <pt idx="86">
                  <v>45870</v>
                </pt>
                <pt idx="87">
                  <v>45901</v>
                </pt>
                <pt idx="88">
                  <v>45931</v>
                </pt>
                <pt idx="89">
                  <v>45962</v>
                </pt>
                <pt idx="90">
                  <v>45992</v>
                </pt>
              </numCache>
            </numRef>
          </cat>
          <val>
            <numRef>
              <f>Charts!$C$128:$C$218</f>
              <numCache>
                <formatCode>#,##0_);[Red]\(#,##0\)</formatCode>
                <ptCount val="91"/>
                <pt idx="0">
                  <v>239</v>
                </pt>
                <pt idx="1">
                  <v>248</v>
                </pt>
                <pt idx="2">
                  <v>250</v>
                </pt>
                <pt idx="3">
                  <v>249</v>
                </pt>
                <pt idx="4">
                  <v>252</v>
                </pt>
                <pt idx="5">
                  <v>255</v>
                </pt>
                <pt idx="6">
                  <v>252</v>
                </pt>
                <pt idx="7">
                  <v>249</v>
                </pt>
                <pt idx="8">
                  <v>243</v>
                </pt>
                <pt idx="9">
                  <v>230</v>
                </pt>
                <pt idx="10">
                  <v>228</v>
                </pt>
                <pt idx="11">
                  <v>216</v>
                </pt>
                <pt idx="12">
                  <v>215</v>
                </pt>
                <pt idx="13">
                  <v>222</v>
                </pt>
                <pt idx="14">
                  <v>218</v>
                </pt>
                <pt idx="15">
                  <v>228</v>
                </pt>
                <pt idx="16">
                  <v>221</v>
                </pt>
                <pt idx="17">
                  <v>218</v>
                </pt>
                <pt idx="18">
                  <v>213</v>
                </pt>
                <pt idx="19">
                  <v>227</v>
                </pt>
                <pt idx="20">
                  <v>234</v>
                </pt>
                <pt idx="21">
                  <v>244</v>
                </pt>
                <pt idx="22">
                  <v>242</v>
                </pt>
                <pt idx="23">
                  <v>239</v>
                </pt>
                <pt idx="24">
                  <v>241</v>
                </pt>
                <pt idx="25">
                  <v>231</v>
                </pt>
                <pt idx="26">
                  <v>236</v>
                </pt>
                <pt idx="27">
                  <v>230</v>
                </pt>
                <pt idx="28">
                  <v>231</v>
                </pt>
                <pt idx="29">
                  <v>233</v>
                </pt>
                <pt idx="30">
                  <v>253</v>
                </pt>
                <pt idx="31">
                  <v>241</v>
                </pt>
                <pt idx="32">
                  <v>239</v>
                </pt>
                <pt idx="33">
                  <v>247</v>
                </pt>
                <pt idx="34">
                  <v>261</v>
                </pt>
                <pt idx="35">
                  <v>271</v>
                </pt>
                <pt idx="36">
                  <v>276</v>
                </pt>
                <pt idx="37">
                  <v>279</v>
                </pt>
                <pt idx="38">
                  <v>291</v>
                </pt>
                <pt idx="39">
                  <v>304</v>
                </pt>
                <pt idx="40">
                  <v>302</v>
                </pt>
                <pt idx="41">
                  <v>307</v>
                </pt>
                <pt idx="42">
                  <v>296</v>
                </pt>
                <pt idx="43">
                  <v>308</v>
                </pt>
                <pt idx="44">
                  <v>312</v>
                </pt>
                <pt idx="45">
                  <v>300</v>
                </pt>
                <pt idx="46">
                  <v>290</v>
                </pt>
                <pt idx="47">
                  <v>285</v>
                </pt>
                <pt idx="48">
                  <v>279</v>
                </pt>
                <pt idx="49">
                  <v>284</v>
                </pt>
                <pt idx="50">
                  <v>280</v>
                </pt>
                <pt idx="51">
                  <v>282</v>
                </pt>
                <pt idx="52">
                  <v>294</v>
                </pt>
                <pt idx="53">
                  <v>287</v>
                </pt>
                <pt idx="54">
                  <v>278</v>
                </pt>
                <pt idx="55">
                  <v>263</v>
                </pt>
                <pt idx="56">
                  <v>261</v>
                </pt>
                <pt idx="57">
                  <v>252</v>
                </pt>
                <pt idx="58">
                  <v>244</v>
                </pt>
                <pt idx="59">
                  <v>234</v>
                </pt>
                <pt idx="60">
                  <v>229</v>
                </pt>
                <pt idx="61">
                  <v>213</v>
                </pt>
                <pt idx="62">
                  <v>204</v>
                </pt>
                <pt idx="63">
                  <v>194</v>
                </pt>
                <pt idx="64">
                  <v>182</v>
                </pt>
                <pt idx="65">
                  <v>173</v>
                </pt>
                <pt idx="66">
                  <v>165</v>
                </pt>
                <pt idx="67">
                  <v>160</v>
                </pt>
                <pt idx="68">
                  <v>158</v>
                </pt>
                <pt idx="69">
                  <v>153</v>
                </pt>
                <pt idx="70">
                  <v>156</v>
                </pt>
                <pt idx="71">
                  <v>150</v>
                </pt>
                <pt idx="72">
                  <v>137</v>
                </pt>
                <pt idx="73">
                  <v>132</v>
                </pt>
                <pt idx="74">
                  <v>117</v>
                </pt>
                <pt idx="75">
                  <v>103</v>
                </pt>
                <pt idx="76">
                  <v>103</v>
                </pt>
                <pt idx="77">
                  <v>107</v>
                </pt>
                <pt idx="78">
                  <v>118</v>
                </pt>
                <pt idx="79">
                  <v>122</v>
                </pt>
                <pt idx="80">
                  <v>119</v>
                </pt>
                <pt idx="81">
                  <v>122</v>
                </pt>
                <pt idx="82">
                  <v>117</v>
                </pt>
                <pt idx="83">
                  <v>129</v>
                </pt>
                <pt idx="84">
                  <v>138</v>
                </pt>
                <pt idx="85">
                  <v>142</v>
                </pt>
                <pt idx="86">
                  <v>147</v>
                </pt>
                <pt idx="87">
                  <v>163</v>
                </pt>
                <pt idx="88">
                  <v>157</v>
                </pt>
                <pt idx="89">
                  <v>157</v>
                </pt>
                <pt idx="90">
                  <v>152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8"/>
        <overlap val="-27"/>
        <axId val="423757384"/>
        <axId val="423757712"/>
      </barChart>
      <scatterChart>
        <scatterStyle val="lineMarker"/>
        <varyColors val="0"/>
        <ser>
          <idx val="1"/>
          <order val="1"/>
          <tx>
            <strRef>
              <f>Charts!$E$2</f>
              <strCache>
                <ptCount val="1"/>
                <pt idx="0">
                  <v>Avg Deal Size</v>
                </pt>
              </strCache>
            </strRef>
          </tx>
          <spPr>
            <a:ln xmlns:a="http://schemas.openxmlformats.org/drawingml/2006/main" w="6350" cap="rnd">
              <a:solidFill>
                <a:srgbClr val="003DA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003DA5"/>
              </a:solidFill>
              <a:ln xmlns:a="http://schemas.openxmlformats.org/drawingml/2006/main" w="9525">
                <a:noFill/>
                <a:prstDash val="solid"/>
              </a:ln>
            </spPr>
          </marker>
          <dLbls>
            <dLbl>
              <idx val="0"/>
            </dLbl>
            <dLbl>
              <idx val="2"/>
            </dLbl>
            <dLbl>
              <idx val="6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3"/>
            </dLbl>
            <dLbl>
              <idx val="18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1"/>
            </dLbl>
            <dLbl>
              <idx val="27"/>
            </dLbl>
            <dLbl>
              <idx val="39"/>
            </dLbl>
            <dLbl>
              <idx val="42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4"/>
            </dLbl>
            <dLbl>
              <idx val="57"/>
            </dLbl>
            <dLbl>
              <idx val="59"/>
            </dLbl>
            <dLbl>
              <idx val="61"/>
            </dLbl>
            <dLbl>
              <idx val="63"/>
            </dLbl>
            <dLbl>
              <idx val="64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6"/>
            </dLbl>
            <dLbl>
              <idx val="72"/>
            </dLbl>
            <dLbl>
              <idx val="73"/>
            </dLbl>
            <dLbl>
              <idx val="74"/>
            </dLbl>
            <dLbl>
              <idx val="75"/>
            </dLbl>
            <dLbl>
              <idx val="76"/>
            </dLbl>
            <dLbl>
              <idx val="78"/>
            </dLbl>
            <dLbl>
              <idx val="79"/>
            </dLbl>
            <dLbl>
              <idx val="80"/>
            </dLbl>
            <dLbl>
              <idx val="83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$&quot;#,##0.00"/>
            <spPr>
              <a:solidFill xmlns:a="http://schemas.openxmlformats.org/drawingml/2006/main">
                <a:srgbClr val="003DA5"/>
              </a:solidFill>
              <a:ln xmlns:a="http://schemas.openxmlformats.org/drawingml/2006/main" w="3175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Charts!$B$128:$B$218</f>
              <numCache>
                <formatCode>[$-409]mmm\-yy;@</formatCode>
                <ptCount val="91"/>
                <pt idx="0">
                  <v>43252</v>
                </pt>
                <pt idx="1">
                  <v>43282</v>
                </pt>
                <pt idx="2">
                  <v>43313</v>
                </pt>
                <pt idx="3">
                  <v>43344</v>
                </pt>
                <pt idx="4">
                  <v>43374</v>
                </pt>
                <pt idx="5">
                  <v>43405</v>
                </pt>
                <pt idx="6">
                  <v>43435</v>
                </pt>
                <pt idx="7">
                  <v>43466</v>
                </pt>
                <pt idx="8">
                  <v>43497</v>
                </pt>
                <pt idx="9">
                  <v>43525</v>
                </pt>
                <pt idx="10">
                  <v>43556</v>
                </pt>
                <pt idx="11">
                  <v>43586</v>
                </pt>
                <pt idx="12">
                  <v>43617</v>
                </pt>
                <pt idx="13">
                  <v>43647</v>
                </pt>
                <pt idx="14">
                  <v>43678</v>
                </pt>
                <pt idx="15">
                  <v>43709</v>
                </pt>
                <pt idx="16">
                  <v>43739</v>
                </pt>
                <pt idx="17">
                  <v>43770</v>
                </pt>
                <pt idx="18">
                  <v>43800</v>
                </pt>
                <pt idx="19">
                  <v>43831</v>
                </pt>
                <pt idx="20">
                  <v>43862</v>
                </pt>
                <pt idx="21">
                  <v>43891</v>
                </pt>
                <pt idx="22">
                  <v>43922</v>
                </pt>
                <pt idx="23">
                  <v>43952</v>
                </pt>
                <pt idx="24">
                  <v>43983</v>
                </pt>
                <pt idx="25">
                  <v>44013</v>
                </pt>
                <pt idx="26">
                  <v>44044</v>
                </pt>
                <pt idx="27">
                  <v>44075</v>
                </pt>
                <pt idx="28">
                  <v>44105</v>
                </pt>
                <pt idx="29">
                  <v>44136</v>
                </pt>
                <pt idx="30">
                  <v>44166</v>
                </pt>
                <pt idx="31">
                  <v>44197</v>
                </pt>
                <pt idx="32">
                  <v>44228</v>
                </pt>
                <pt idx="33">
                  <v>44256</v>
                </pt>
                <pt idx="34">
                  <v>44287</v>
                </pt>
                <pt idx="35">
                  <v>44317</v>
                </pt>
                <pt idx="36">
                  <v>44348</v>
                </pt>
                <pt idx="37">
                  <v>44378</v>
                </pt>
                <pt idx="38">
                  <v>44409</v>
                </pt>
                <pt idx="39">
                  <v>44440</v>
                </pt>
                <pt idx="40">
                  <v>44470</v>
                </pt>
                <pt idx="41">
                  <v>44501</v>
                </pt>
                <pt idx="42">
                  <v>44531</v>
                </pt>
                <pt idx="43">
                  <v>44562</v>
                </pt>
                <pt idx="44">
                  <v>44593</v>
                </pt>
                <pt idx="45">
                  <v>44621</v>
                </pt>
                <pt idx="46">
                  <v>44652</v>
                </pt>
                <pt idx="47">
                  <v>44682</v>
                </pt>
                <pt idx="48">
                  <v>44713</v>
                </pt>
                <pt idx="49">
                  <v>44743</v>
                </pt>
                <pt idx="50">
                  <v>44774</v>
                </pt>
                <pt idx="51">
                  <v>44805</v>
                </pt>
                <pt idx="52">
                  <v>44835</v>
                </pt>
                <pt idx="53">
                  <v>44866</v>
                </pt>
                <pt idx="54">
                  <v>44896</v>
                </pt>
                <pt idx="55">
                  <v>44927</v>
                </pt>
                <pt idx="56">
                  <v>44958</v>
                </pt>
                <pt idx="57">
                  <v>44986</v>
                </pt>
                <pt idx="58">
                  <v>45017</v>
                </pt>
                <pt idx="59">
                  <v>45047</v>
                </pt>
                <pt idx="60">
                  <v>45078</v>
                </pt>
                <pt idx="61">
                  <v>45108</v>
                </pt>
                <pt idx="62">
                  <v>45139</v>
                </pt>
                <pt idx="63">
                  <v>45170</v>
                </pt>
                <pt idx="64">
                  <v>45200</v>
                </pt>
                <pt idx="65">
                  <v>45231</v>
                </pt>
                <pt idx="66">
                  <v>45261</v>
                </pt>
                <pt idx="67">
                  <v>45292</v>
                </pt>
                <pt idx="68">
                  <v>45323</v>
                </pt>
                <pt idx="69">
                  <v>45352</v>
                </pt>
                <pt idx="70">
                  <v>45383</v>
                </pt>
                <pt idx="71">
                  <v>45413</v>
                </pt>
                <pt idx="72">
                  <v>45444</v>
                </pt>
                <pt idx="73">
                  <v>45474</v>
                </pt>
                <pt idx="74">
                  <v>45505</v>
                </pt>
                <pt idx="75">
                  <v>45536</v>
                </pt>
                <pt idx="76">
                  <v>45566</v>
                </pt>
                <pt idx="77">
                  <v>45597</v>
                </pt>
                <pt idx="78">
                  <v>45627</v>
                </pt>
                <pt idx="79">
                  <v>45658</v>
                </pt>
                <pt idx="80">
                  <v>45689</v>
                </pt>
                <pt idx="81">
                  <v>45717</v>
                </pt>
                <pt idx="82">
                  <v>45748</v>
                </pt>
                <pt idx="83">
                  <v>45778</v>
                </pt>
                <pt idx="84">
                  <v>45809</v>
                </pt>
                <pt idx="85">
                  <v>45839</v>
                </pt>
                <pt idx="86">
                  <v>45870</v>
                </pt>
                <pt idx="87">
                  <v>45901</v>
                </pt>
                <pt idx="88">
                  <v>45931</v>
                </pt>
                <pt idx="89">
                  <v>45962</v>
                </pt>
                <pt idx="90">
                  <v>45992</v>
                </pt>
              </numCache>
            </numRef>
          </xVal>
          <yVal>
            <numRef>
              <f>Charts!$E$128:$E$218</f>
              <numCache>
                <formatCode>"$"#,##0_);[Red]\("$"#,##0\)</formatCode>
                <ptCount val="91"/>
                <pt idx="0">
                  <v>4202776.015099999</v>
                </pt>
                <pt idx="1">
                  <v>4114111.63951923</v>
                </pt>
                <pt idx="2">
                  <v>4080997.81317757</v>
                </pt>
                <pt idx="3">
                  <v>4021327.561488372</v>
                </pt>
                <pt idx="4">
                  <v>4057071.186478873</v>
                </pt>
                <pt idx="5">
                  <v>3966422.221454545</v>
                </pt>
                <pt idx="6">
                  <v>3919244.872612613</v>
                </pt>
                <pt idx="7">
                  <v>4322610.916531518</v>
                </pt>
                <pt idx="8">
                  <v>4388085.67144641</v>
                </pt>
                <pt idx="9">
                  <v>4438725.333508826</v>
                </pt>
                <pt idx="10">
                  <v>4568129.227941406</v>
                </pt>
                <pt idx="11">
                  <v>4554892.010601316</v>
                </pt>
                <pt idx="12">
                  <v>4047722.579082662</v>
                </pt>
                <pt idx="13">
                  <v>4073659.060128339</v>
                </pt>
                <pt idx="14">
                  <v>4184573.329082662</v>
                </pt>
                <pt idx="15">
                  <v>4282541.592020374</v>
                </pt>
                <pt idx="16">
                  <v>4890296.892419355</v>
                </pt>
                <pt idx="17">
                  <v>4909982.002520162</v>
                </pt>
                <pt idx="18">
                  <v>5091104.072341384</v>
                </pt>
                <pt idx="19">
                  <v>4593443.472949388</v>
                </pt>
                <pt idx="20">
                  <v>4386010.629479675</v>
                </pt>
                <pt idx="21">
                  <v>4428575.805892575</v>
                </pt>
                <pt idx="22">
                  <v>4271629.036896024</v>
                </pt>
                <pt idx="23">
                  <v>4434054.886588419</v>
                </pt>
                <pt idx="24">
                  <v>4398927.94661882</v>
                </pt>
                <pt idx="25">
                  <v>4439083.728239875</v>
                </pt>
                <pt idx="26">
                  <v>4306400.561746795</v>
                </pt>
                <pt idx="27">
                  <v>4488123.003977988</v>
                </pt>
                <pt idx="28">
                  <v>3915921.018656958</v>
                </pt>
                <pt idx="29">
                  <v>3970547.085785257</v>
                </pt>
                <pt idx="30">
                  <v>3892120.790478469</v>
                </pt>
                <pt idx="31">
                  <v>3756844.692522124</v>
                </pt>
                <pt idx="32">
                  <v>3800407.852830188</v>
                </pt>
                <pt idx="33">
                  <v>3685611.48</v>
                </pt>
                <pt idx="34">
                  <v>3688387.333944954</v>
                </pt>
                <pt idx="35">
                  <v>3558259.034782609</v>
                </pt>
                <pt idx="36">
                  <v>3475091.907563025</v>
                </pt>
                <pt idx="37">
                  <v>3451501.375510204</v>
                </pt>
                <pt idx="38">
                  <v>3525300.464435147</v>
                </pt>
                <pt idx="39">
                  <v>3351257.684</v>
                </pt>
                <pt idx="40">
                  <v>3363980.861003861</v>
                </pt>
                <pt idx="41">
                  <v>3346865.789883269</v>
                </pt>
                <pt idx="42">
                  <v>3353659.04329502</v>
                </pt>
                <pt idx="43">
                  <v>3531783.419604343</v>
                </pt>
                <pt idx="44">
                  <v>3840669.055484604</v>
                </pt>
                <pt idx="45">
                  <v>3906002.03415012</v>
                </pt>
                <pt idx="46">
                  <v>3981320.787925926</v>
                </pt>
                <pt idx="47">
                  <v>4019771.185129023</v>
                </pt>
                <pt idx="48">
                  <v>4014812.633270585</v>
                </pt>
                <pt idx="49">
                  <v>4054730.297179247</v>
                </pt>
                <pt idx="50">
                  <v>4111128.255230536</v>
                </pt>
                <pt idx="51">
                  <v>4207533.608918332</v>
                </pt>
                <pt idx="52">
                  <v>4191572.734305528</v>
                </pt>
                <pt idx="53">
                  <v>4192849.204925273</v>
                </pt>
                <pt idx="54">
                  <v>4191652.556882627</v>
                </pt>
                <pt idx="55">
                  <v>4036029.483003202</v>
                </pt>
                <pt idx="56">
                  <v>3738606.981612555</v>
                </pt>
                <pt idx="57">
                  <v>3625793.786489734</v>
                </pt>
                <pt idx="58">
                  <v>3612518.287869826</v>
                </pt>
                <pt idx="59">
                  <v>3654170.203264351</v>
                </pt>
                <pt idx="60">
                  <v>3641283.099392037</v>
                </pt>
                <pt idx="61">
                  <v>3548387.042794991</v>
                </pt>
                <pt idx="62">
                  <v>3461526.664219677</v>
                </pt>
                <pt idx="63">
                  <v>3301586.39389802</v>
                </pt>
                <pt idx="64">
                  <v>3135705.650661972</v>
                </pt>
                <pt idx="65">
                  <v>3216730.671433562</v>
                </pt>
                <pt idx="66">
                  <v>3230885.308097213</v>
                </pt>
                <pt idx="67">
                  <v>3432968.893172788</v>
                </pt>
                <pt idx="68">
                  <v>3614970.430952892</v>
                </pt>
                <pt idx="69">
                  <v>3676952.329503617</v>
                </pt>
                <pt idx="70">
                  <v>3698361.123861637</v>
                </pt>
                <pt idx="71">
                  <v>3535316.135835277</v>
                </pt>
                <pt idx="72">
                  <v>3660825.364463141</v>
                </pt>
                <pt idx="73">
                  <v>3732061.807160637</v>
                </pt>
                <pt idx="74">
                  <v>3682476.376894896</v>
                </pt>
                <pt idx="75">
                  <v>3824164.716319979</v>
                </pt>
                <pt idx="76">
                  <v>3902617.774060845</v>
                </pt>
                <pt idx="77">
                  <v>3498336.378640836</v>
                </pt>
                <pt idx="78">
                  <v>3663512.681274204</v>
                </pt>
                <pt idx="79">
                  <v>3647247.615904762</v>
                </pt>
                <pt idx="80">
                  <v>3459236.211869159</v>
                </pt>
                <pt idx="81">
                  <v>3426955.71170259</v>
                </pt>
                <pt idx="82">
                  <v>3340865.715828637</v>
                </pt>
                <pt idx="83">
                  <v>3379751.368565334</v>
                </pt>
                <pt idx="84">
                  <v>3438305.951294271</v>
                </pt>
                <pt idx="85">
                  <v>3393990.321613868</v>
                </pt>
                <pt idx="86">
                  <v>3352707.517021659</v>
                </pt>
                <pt idx="87">
                  <v>3285922.817272946</v>
                </pt>
                <pt idx="88">
                  <v>3283720.298526172</v>
                </pt>
                <pt idx="89">
                  <v>3391864.023936247</v>
                </pt>
                <pt idx="90">
                  <v>3267720.167950806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0192280"/>
        <axId val="550193264"/>
      </scatterChart>
      <dateAx>
        <axId val="423757384"/>
        <scaling>
          <orientation val="minMax"/>
        </scaling>
        <delete val="0"/>
        <axPos val="b"/>
        <numFmt formatCode="[$-409]m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23757712"/>
        <crosses val="autoZero"/>
        <lblOffset val="100"/>
        <baseTimeUnit val="months"/>
        <majorUnit val="5"/>
        <majorTimeUnit val="months"/>
      </dateAx>
      <valAx>
        <axId val="423757712"/>
        <scaling>
          <orientation val="minMax"/>
        </scaling>
        <delete val="0"/>
        <axPos val="l"/>
        <majorGridlines>
          <spPr>
            <a:ln xmlns:a="http://schemas.openxmlformats.org/drawingml/2006/main" w="6350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23757384"/>
        <crosses val="autoZero"/>
        <crossBetween val="between"/>
      </valAx>
      <valAx>
        <axId val="550192280"/>
        <scaling>
          <orientation val="minMax"/>
        </scaling>
        <delete val="1"/>
        <axPos val="b"/>
        <numFmt formatCode="[$-409]mmm\-yy;@" sourceLinked="1"/>
        <majorTickMark val="out"/>
        <minorTickMark val="none"/>
        <tickLblPos val="nextTo"/>
        <crossAx val="550193264"/>
        <crosses val="autoZero"/>
        <crossBetween val="midCat"/>
      </valAx>
      <valAx>
        <axId val="550193264"/>
        <scaling>
          <orientation val="minMax"/>
        </scaling>
        <delete val="0"/>
        <axPos val="r"/>
        <numFmt formatCode="&quot;$&quot;#,##0.0_);[Red]\(&quot;$&quot;#,##0.0\)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0192280"/>
        <crosses val="max"/>
        <crossBetween val="midCat"/>
        <dispUnits>
          <builtInUnit val="millions"/>
          <dispUnitsLbl>
            <layout>
              <manualLayout>
                <xMode val="edge"/>
                <yMode val="edge"/>
                <wMode val="factor"/>
                <hMode val="factor"/>
                <x val="0.9811943306037793"/>
                <y val="0.01543217870792467"/>
              </manualLayout>
            </layout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9EA9B7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</dispUnitsLbl>
        </dispUnits>
      </valAx>
    </plotArea>
    <legend>
      <legendPos val="b"/>
      <overlay val="0"/>
      <spPr>
        <a:noFill xmlns:a="http://schemas.openxmlformats.org/drawingml/2006/main"/>
        <a:ln xmlns:a="http://schemas.openxmlformats.org/drawingml/2006/main" w="635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9EA9B7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106742413777226"/>
          <y val="0.03472222222222222"/>
          <w val="0.9011045815649146"/>
          <h val="0.7856768928474104"/>
        </manualLayout>
      </layout>
      <lineChart>
        <grouping val="standard"/>
        <varyColors val="0"/>
        <ser>
          <idx val="0"/>
          <order val="0"/>
          <tx>
            <strRef>
              <f>Charts!$AD$2</f>
              <strCache>
                <ptCount val="1"/>
                <pt idx="0">
                  <v>12+ Year Cap (ttm)</v>
                </pt>
              </strCache>
            </strRef>
          </tx>
          <spPr>
            <a:ln xmlns:a="http://schemas.openxmlformats.org/drawingml/2006/main" w="19050" cap="rnd">
              <a:solidFill>
                <a:srgbClr val="9B88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5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0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3"/>
            </dLbl>
            <dLbl>
              <idx val="52"/>
            </dLbl>
            <dLbl>
              <idx val="53"/>
            </dLbl>
            <dLbl>
              <idx val="55"/>
            </dLbl>
            <dLbl>
              <idx val="58"/>
            </dLbl>
            <dLbl>
              <idx val="64"/>
            </dLbl>
            <dLbl>
              <idx val="68"/>
            </dLbl>
            <dLbl>
              <idx val="72"/>
            </dLbl>
            <dLbl>
              <idx val="79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 xmlns:a="http://schemas.openxmlformats.org/drawingml/2006/main">
                <a:srgbClr val="9B88A5"/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Charts!$B$139:$B$218</f>
              <numCache>
                <formatCode>[$-409]mmm\-yy;@</formatCode>
                <ptCount val="80"/>
                <pt idx="0">
                  <v>43586</v>
                </pt>
                <pt idx="1">
                  <v>43617</v>
                </pt>
                <pt idx="2">
                  <v>43647</v>
                </pt>
                <pt idx="3">
                  <v>43678</v>
                </pt>
                <pt idx="4">
                  <v>43709</v>
                </pt>
                <pt idx="5">
                  <v>43739</v>
                </pt>
                <pt idx="6">
                  <v>43770</v>
                </pt>
                <pt idx="7">
                  <v>43800</v>
                </pt>
                <pt idx="8">
                  <v>43831</v>
                </pt>
                <pt idx="9">
                  <v>43862</v>
                </pt>
                <pt idx="10">
                  <v>43891</v>
                </pt>
                <pt idx="11">
                  <v>43922</v>
                </pt>
                <pt idx="12">
                  <v>43952</v>
                </pt>
                <pt idx="13">
                  <v>43983</v>
                </pt>
                <pt idx="14">
                  <v>44013</v>
                </pt>
                <pt idx="15">
                  <v>44044</v>
                </pt>
                <pt idx="16">
                  <v>44075</v>
                </pt>
                <pt idx="17">
                  <v>44105</v>
                </pt>
                <pt idx="18">
                  <v>44136</v>
                </pt>
                <pt idx="19">
                  <v>44166</v>
                </pt>
                <pt idx="20">
                  <v>44197</v>
                </pt>
                <pt idx="21">
                  <v>44228</v>
                </pt>
                <pt idx="22">
                  <v>44256</v>
                </pt>
                <pt idx="23">
                  <v>44287</v>
                </pt>
                <pt idx="24">
                  <v>44317</v>
                </pt>
                <pt idx="25">
                  <v>44348</v>
                </pt>
                <pt idx="26">
                  <v>44378</v>
                </pt>
                <pt idx="27">
                  <v>44409</v>
                </pt>
                <pt idx="28">
                  <v>44440</v>
                </pt>
                <pt idx="29">
                  <v>44470</v>
                </pt>
                <pt idx="30">
                  <v>44501</v>
                </pt>
                <pt idx="31">
                  <v>44531</v>
                </pt>
                <pt idx="32">
                  <v>44562</v>
                </pt>
                <pt idx="33">
                  <v>44593</v>
                </pt>
                <pt idx="34">
                  <v>44621</v>
                </pt>
                <pt idx="35">
                  <v>44652</v>
                </pt>
                <pt idx="36">
                  <v>44682</v>
                </pt>
                <pt idx="37">
                  <v>44713</v>
                </pt>
                <pt idx="38">
                  <v>44743</v>
                </pt>
                <pt idx="39">
                  <v>44774</v>
                </pt>
                <pt idx="40">
                  <v>44805</v>
                </pt>
                <pt idx="41">
                  <v>44835</v>
                </pt>
                <pt idx="42">
                  <v>44866</v>
                </pt>
                <pt idx="43">
                  <v>44896</v>
                </pt>
                <pt idx="44">
                  <v>44927</v>
                </pt>
                <pt idx="45">
                  <v>44958</v>
                </pt>
                <pt idx="46">
                  <v>44986</v>
                </pt>
                <pt idx="47">
                  <v>45017</v>
                </pt>
                <pt idx="48">
                  <v>45047</v>
                </pt>
                <pt idx="49">
                  <v>45078</v>
                </pt>
                <pt idx="50">
                  <v>45108</v>
                </pt>
                <pt idx="51">
                  <v>45139</v>
                </pt>
                <pt idx="52">
                  <v>45170</v>
                </pt>
                <pt idx="53">
                  <v>45200</v>
                </pt>
                <pt idx="54">
                  <v>45231</v>
                </pt>
                <pt idx="55">
                  <v>45261</v>
                </pt>
                <pt idx="56">
                  <v>45292</v>
                </pt>
                <pt idx="57">
                  <v>45323</v>
                </pt>
                <pt idx="58">
                  <v>45352</v>
                </pt>
                <pt idx="59">
                  <v>45383</v>
                </pt>
                <pt idx="60">
                  <v>45413</v>
                </pt>
                <pt idx="61">
                  <v>45444</v>
                </pt>
                <pt idx="62">
                  <v>45474</v>
                </pt>
                <pt idx="63">
                  <v>45505</v>
                </pt>
                <pt idx="64">
                  <v>45536</v>
                </pt>
                <pt idx="65">
                  <v>45566</v>
                </pt>
                <pt idx="66">
                  <v>45597</v>
                </pt>
                <pt idx="67">
                  <v>45627</v>
                </pt>
                <pt idx="68">
                  <v>45658</v>
                </pt>
                <pt idx="69">
                  <v>45689</v>
                </pt>
                <pt idx="70">
                  <v>45717</v>
                </pt>
                <pt idx="71">
                  <v>45748</v>
                </pt>
                <pt idx="72">
                  <v>45778</v>
                </pt>
                <pt idx="73">
                  <v>45809</v>
                </pt>
                <pt idx="74">
                  <v>45839</v>
                </pt>
                <pt idx="75">
                  <v>45870</v>
                </pt>
                <pt idx="76">
                  <v>45901</v>
                </pt>
                <pt idx="77">
                  <v>45931</v>
                </pt>
                <pt idx="78">
                  <v>45962</v>
                </pt>
                <pt idx="79">
                  <v>45992</v>
                </pt>
              </numCache>
            </numRef>
          </cat>
          <val>
            <numRef>
              <f>Charts!$AD$139:$AD$218</f>
              <numCache>
                <formatCode>0.00%</formatCode>
                <ptCount val="80"/>
                <pt idx="0">
                  <v>0.05935591524680709</v>
                </pt>
                <pt idx="1">
                  <v>0.0595953019420294</v>
                </pt>
                <pt idx="2">
                  <v>0.0600544962453867</v>
                </pt>
                <pt idx="3">
                  <v>0.05979450988728187</v>
                </pt>
                <pt idx="4">
                  <v>0.059516232753359</v>
                </pt>
                <pt idx="5">
                  <v>0.0596228685890046</v>
                </pt>
                <pt idx="6">
                  <v>0.05997836061996706</v>
                </pt>
                <pt idx="7">
                  <v>0.05984109164055507</v>
                </pt>
                <pt idx="8">
                  <v>0.05993161886995934</v>
                </pt>
                <pt idx="9">
                  <v>0.05998378732533911</v>
                </pt>
                <pt idx="10">
                  <v>0.05908329675795058</v>
                </pt>
                <pt idx="11">
                  <v>0.05910566933075903</v>
                </pt>
                <pt idx="12">
                  <v>0.05939404916074254</v>
                </pt>
                <pt idx="13">
                  <v>0.05934789595389711</v>
                </pt>
                <pt idx="14">
                  <v>0.05905315459164553</v>
                </pt>
                <pt idx="15">
                  <v>0.05844999510082261</v>
                </pt>
                <pt idx="16">
                  <v>0.05837109318409956</v>
                </pt>
                <pt idx="17">
                  <v>0.05824874342893972</v>
                </pt>
                <pt idx="18">
                  <v>0.05810164696203052</v>
                </pt>
                <pt idx="19">
                  <v>0.0578491632123623</v>
                </pt>
                <pt idx="20">
                  <v>0.0583057447660095</v>
                </pt>
                <pt idx="21">
                  <v>0.05779067387397094</v>
                </pt>
                <pt idx="22">
                  <v>0.05770658189923517</v>
                </pt>
                <pt idx="23">
                  <v>0.0573565355848407</v>
                </pt>
                <pt idx="24">
                  <v>0.05689423910090743</v>
                </pt>
                <pt idx="25">
                  <v>0.05666311027937357</v>
                </pt>
                <pt idx="26">
                  <v>0.05620208219349702</v>
                </pt>
                <pt idx="27">
                  <v>0.05558473634467432</v>
                </pt>
                <pt idx="28">
                  <v>0.05519954252801754</v>
                </pt>
                <pt idx="29">
                  <v>0.05506095958648059</v>
                </pt>
                <pt idx="30">
                  <v>0.05441468728097629</v>
                </pt>
                <pt idx="31">
                  <v>0.05435968399429851</v>
                </pt>
                <pt idx="32">
                  <v>0.05372749978751232</v>
                </pt>
                <pt idx="33">
                  <v>0.05302031620281834</v>
                </pt>
                <pt idx="34">
                  <v>0.05306717924883253</v>
                </pt>
                <pt idx="35">
                  <v>0.05231084487349504</v>
                </pt>
                <pt idx="36">
                  <v>0.0519939493929293</v>
                </pt>
                <pt idx="37">
                  <v>0.05188200248297411</v>
                </pt>
                <pt idx="38">
                  <v>0.05138675725437851</v>
                </pt>
                <pt idx="39">
                  <v>0.05138007912046398</v>
                </pt>
                <pt idx="40">
                  <v>0.05075914318983573</v>
                </pt>
                <pt idx="41">
                  <v>0.05149539321189173</v>
                </pt>
                <pt idx="42">
                  <v>0.05149539321189173</v>
                </pt>
                <pt idx="43">
                  <v>0.05175486102278494</v>
                </pt>
                <pt idx="44">
                  <v>0.0511418412132891</v>
                </pt>
                <pt idx="45">
                  <v>0.05107778091335527</v>
                </pt>
                <pt idx="46">
                  <v>0.05161044307846092</v>
                </pt>
                <pt idx="47">
                  <v>0.05161044307846092</v>
                </pt>
                <pt idx="48">
                  <v>0.05358752909519331</v>
                </pt>
                <pt idx="49">
                  <v>0.05551954902416073</v>
                </pt>
                <pt idx="50">
                  <v>0.05629787744985405</v>
                </pt>
                <pt idx="51">
                  <v>0.05776532411304498</v>
                </pt>
                <pt idx="52">
                  <v>0.05860503735613626</v>
                </pt>
                <pt idx="53">
                  <v>0.05987449298680018</v>
                </pt>
                <pt idx="54">
                  <v>0.05918302805861693</v>
                </pt>
                <pt idx="55">
                  <v>0.05916181352863048</v>
                </pt>
                <pt idx="56">
                  <v>0.05986178680472398</v>
                </pt>
                <pt idx="57">
                  <v>0.05986178680472398</v>
                </pt>
                <pt idx="58">
                  <v>0.05987939138527228</v>
                </pt>
                <pt idx="59">
                  <v>0.06020990990379079</v>
                </pt>
                <pt idx="60">
                  <v>0.06020990990379079</v>
                </pt>
                <pt idx="61">
                  <v>0.0597786716361919</v>
                </pt>
                <pt idx="62">
                  <v>0.05994115499691176</v>
                </pt>
                <pt idx="63">
                  <v>0.05988380976254792</v>
                </pt>
                <pt idx="64">
                  <v>0.06004028977046266</v>
                </pt>
                <pt idx="65">
                  <v>0.06004028977046266</v>
                </pt>
                <pt idx="66">
                  <v>0.0606121892894236</v>
                </pt>
                <pt idx="67">
                  <v>0.06273748706720138</v>
                </pt>
                <pt idx="68">
                  <v>0.06498339108970626</v>
                </pt>
                <pt idx="69">
                  <v>0.06463724715031231</v>
                </pt>
                <pt idx="70">
                  <v>0.06507965087469797</v>
                </pt>
                <pt idx="71">
                  <v>0.06660448021449991</v>
                </pt>
                <pt idx="72">
                  <v>0.06733831134944436</v>
                </pt>
                <pt idx="73">
                  <v>0.06694841406299348</v>
                </pt>
                <pt idx="74">
                  <v>0.06752522066185013</v>
                </pt>
                <pt idx="75">
                  <v>0.06762269859566511</v>
                </pt>
                <pt idx="76">
                  <v>0.06783018927356907</v>
                </pt>
                <pt idx="77">
                  <v>0.06783018927356907</v>
                </pt>
                <pt idx="78">
                  <v>0.06783018927356907</v>
                </pt>
                <pt idx="79">
                  <v>0.06891981487090426</v>
                </pt>
              </numCache>
            </numRef>
          </val>
          <smooth val="0"/>
        </ser>
        <ser>
          <idx val="1"/>
          <order val="1"/>
          <tx>
            <strRef>
              <f>Charts!$AE$2</f>
              <strCache>
                <ptCount val="1"/>
                <pt idx="0">
                  <v>8 to 12 Year Cap (ttm)</v>
                </pt>
              </strCache>
            </strRef>
          </tx>
          <spPr>
            <a:ln xmlns:a="http://schemas.openxmlformats.org/drawingml/2006/main" w="19050" cap="rnd">
              <a:solidFill>
                <a:srgbClr val="5FA3A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45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8"/>
            </dLbl>
            <dLbl>
              <idx val="52"/>
            </dLbl>
            <dLbl>
              <idx val="53"/>
            </dLbl>
            <dLbl>
              <idx val="55"/>
            </dLbl>
            <dLbl>
              <idx val="58"/>
            </dLbl>
            <dLbl>
              <idx val="61"/>
            </dLbl>
            <dLbl>
              <idx val="64"/>
            </dLbl>
            <dLbl>
              <idx val="68"/>
            </dLbl>
            <dLbl>
              <idx val="72"/>
            </dLbl>
            <dLbl>
              <idx val="90"/>
            </dLbl>
            <dLbl>
              <idx val="91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 xmlns:a="http://schemas.openxmlformats.org/drawingml/2006/main">
                <a:srgbClr val="5FA3A8"/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Charts!$B$139:$B$218</f>
              <numCache>
                <formatCode>[$-409]mmm\-yy;@</formatCode>
                <ptCount val="80"/>
                <pt idx="0">
                  <v>43586</v>
                </pt>
                <pt idx="1">
                  <v>43617</v>
                </pt>
                <pt idx="2">
                  <v>43647</v>
                </pt>
                <pt idx="3">
                  <v>43678</v>
                </pt>
                <pt idx="4">
                  <v>43709</v>
                </pt>
                <pt idx="5">
                  <v>43739</v>
                </pt>
                <pt idx="6">
                  <v>43770</v>
                </pt>
                <pt idx="7">
                  <v>43800</v>
                </pt>
                <pt idx="8">
                  <v>43831</v>
                </pt>
                <pt idx="9">
                  <v>43862</v>
                </pt>
                <pt idx="10">
                  <v>43891</v>
                </pt>
                <pt idx="11">
                  <v>43922</v>
                </pt>
                <pt idx="12">
                  <v>43952</v>
                </pt>
                <pt idx="13">
                  <v>43983</v>
                </pt>
                <pt idx="14">
                  <v>44013</v>
                </pt>
                <pt idx="15">
                  <v>44044</v>
                </pt>
                <pt idx="16">
                  <v>44075</v>
                </pt>
                <pt idx="17">
                  <v>44105</v>
                </pt>
                <pt idx="18">
                  <v>44136</v>
                </pt>
                <pt idx="19">
                  <v>44166</v>
                </pt>
                <pt idx="20">
                  <v>44197</v>
                </pt>
                <pt idx="21">
                  <v>44228</v>
                </pt>
                <pt idx="22">
                  <v>44256</v>
                </pt>
                <pt idx="23">
                  <v>44287</v>
                </pt>
                <pt idx="24">
                  <v>44317</v>
                </pt>
                <pt idx="25">
                  <v>44348</v>
                </pt>
                <pt idx="26">
                  <v>44378</v>
                </pt>
                <pt idx="27">
                  <v>44409</v>
                </pt>
                <pt idx="28">
                  <v>44440</v>
                </pt>
                <pt idx="29">
                  <v>44470</v>
                </pt>
                <pt idx="30">
                  <v>44501</v>
                </pt>
                <pt idx="31">
                  <v>44531</v>
                </pt>
                <pt idx="32">
                  <v>44562</v>
                </pt>
                <pt idx="33">
                  <v>44593</v>
                </pt>
                <pt idx="34">
                  <v>44621</v>
                </pt>
                <pt idx="35">
                  <v>44652</v>
                </pt>
                <pt idx="36">
                  <v>44682</v>
                </pt>
                <pt idx="37">
                  <v>44713</v>
                </pt>
                <pt idx="38">
                  <v>44743</v>
                </pt>
                <pt idx="39">
                  <v>44774</v>
                </pt>
                <pt idx="40">
                  <v>44805</v>
                </pt>
                <pt idx="41">
                  <v>44835</v>
                </pt>
                <pt idx="42">
                  <v>44866</v>
                </pt>
                <pt idx="43">
                  <v>44896</v>
                </pt>
                <pt idx="44">
                  <v>44927</v>
                </pt>
                <pt idx="45">
                  <v>44958</v>
                </pt>
                <pt idx="46">
                  <v>44986</v>
                </pt>
                <pt idx="47">
                  <v>45017</v>
                </pt>
                <pt idx="48">
                  <v>45047</v>
                </pt>
                <pt idx="49">
                  <v>45078</v>
                </pt>
                <pt idx="50">
                  <v>45108</v>
                </pt>
                <pt idx="51">
                  <v>45139</v>
                </pt>
                <pt idx="52">
                  <v>45170</v>
                </pt>
                <pt idx="53">
                  <v>45200</v>
                </pt>
                <pt idx="54">
                  <v>45231</v>
                </pt>
                <pt idx="55">
                  <v>45261</v>
                </pt>
                <pt idx="56">
                  <v>45292</v>
                </pt>
                <pt idx="57">
                  <v>45323</v>
                </pt>
                <pt idx="58">
                  <v>45352</v>
                </pt>
                <pt idx="59">
                  <v>45383</v>
                </pt>
                <pt idx="60">
                  <v>45413</v>
                </pt>
                <pt idx="61">
                  <v>45444</v>
                </pt>
                <pt idx="62">
                  <v>45474</v>
                </pt>
                <pt idx="63">
                  <v>45505</v>
                </pt>
                <pt idx="64">
                  <v>45536</v>
                </pt>
                <pt idx="65">
                  <v>45566</v>
                </pt>
                <pt idx="66">
                  <v>45597</v>
                </pt>
                <pt idx="67">
                  <v>45627</v>
                </pt>
                <pt idx="68">
                  <v>45658</v>
                </pt>
                <pt idx="69">
                  <v>45689</v>
                </pt>
                <pt idx="70">
                  <v>45717</v>
                </pt>
                <pt idx="71">
                  <v>45748</v>
                </pt>
                <pt idx="72">
                  <v>45778</v>
                </pt>
                <pt idx="73">
                  <v>45809</v>
                </pt>
                <pt idx="74">
                  <v>45839</v>
                </pt>
                <pt idx="75">
                  <v>45870</v>
                </pt>
                <pt idx="76">
                  <v>45901</v>
                </pt>
                <pt idx="77">
                  <v>45931</v>
                </pt>
                <pt idx="78">
                  <v>45962</v>
                </pt>
                <pt idx="79">
                  <v>45992</v>
                </pt>
              </numCache>
            </numRef>
          </cat>
          <val>
            <numRef>
              <f>Charts!$AE$139:$AE$218</f>
              <numCache>
                <formatCode>0.00%</formatCode>
                <ptCount val="80"/>
                <pt idx="0">
                  <v>0.06721539799175677</v>
                </pt>
                <pt idx="1">
                  <v>0.066494373603483</v>
                </pt>
                <pt idx="2">
                  <v>0.06749721312020777</v>
                </pt>
                <pt idx="3">
                  <v>0.06748566760272431</v>
                </pt>
                <pt idx="4">
                  <v>0.06768307487463093</v>
                </pt>
                <pt idx="5">
                  <v>0.06707479349606758</v>
                </pt>
                <pt idx="6">
                  <v>0.06680839430209833</v>
                </pt>
                <pt idx="7">
                  <v>0.06650367694039983</v>
                </pt>
                <pt idx="8">
                  <v>0.0662876963826437</v>
                </pt>
                <pt idx="9">
                  <v>0.0666678266397298</v>
                </pt>
                <pt idx="10">
                  <v>0.06664823624571321</v>
                </pt>
                <pt idx="11">
                  <v>0.06649723076484135</v>
                </pt>
                <pt idx="12">
                  <v>0.06619239427760976</v>
                </pt>
                <pt idx="13">
                  <v>0.06560414542865042</v>
                </pt>
                <pt idx="14">
                  <v>0.06643807239501308</v>
                </pt>
                <pt idx="15">
                  <v>0.0655379473795447</v>
                </pt>
                <pt idx="16">
                  <v>0.06510209543192383</v>
                </pt>
                <pt idx="17">
                  <v>0.06527734051224048</v>
                </pt>
                <pt idx="18">
                  <v>0.06507938791751751</v>
                </pt>
                <pt idx="19">
                  <v>0.06528330407666373</v>
                </pt>
                <pt idx="20">
                  <v>0.06477579364315764</v>
                </pt>
                <pt idx="21">
                  <v>0.06441394720608518</v>
                </pt>
                <pt idx="22">
                  <v>0.06410923746436405</v>
                </pt>
                <pt idx="23">
                  <v>0.06402496324327425</v>
                </pt>
                <pt idx="24">
                  <v>0.0639302178423026</v>
                </pt>
                <pt idx="25">
                  <v>0.06357282016389469</v>
                </pt>
                <pt idx="26">
                  <v>0.06274623145570978</v>
                </pt>
                <pt idx="27">
                  <v>0.0620964654087871</v>
                </pt>
                <pt idx="28">
                  <v>0.06057603559709544</v>
                </pt>
                <pt idx="29">
                  <v>0.06038523541786743</v>
                </pt>
                <pt idx="30">
                  <v>0.0593683145519864</v>
                </pt>
                <pt idx="31">
                  <v>0.05889425150788567</v>
                </pt>
                <pt idx="32">
                  <v>0.05830814004601727</v>
                </pt>
                <pt idx="33">
                  <v>0.0580871163622045</v>
                </pt>
                <pt idx="34">
                  <v>0.05781364576195652</v>
                </pt>
                <pt idx="35">
                  <v>0.05733801523446245</v>
                </pt>
                <pt idx="36">
                  <v>0.05668716978200481</v>
                </pt>
                <pt idx="37">
                  <v>0.05692192123578341</v>
                </pt>
                <pt idx="38">
                  <v>0.05633046530637651</v>
                </pt>
                <pt idx="39">
                  <v>0.05606314101756034</v>
                </pt>
                <pt idx="40">
                  <v>0.05575987793481611</v>
                </pt>
                <pt idx="41">
                  <v>0.05575488511577946</v>
                </pt>
                <pt idx="42">
                  <v>0.05596148363659501</v>
                </pt>
                <pt idx="43">
                  <v>0.05604390233788899</v>
                </pt>
                <pt idx="44">
                  <v>0.05554069008659077</v>
                </pt>
                <pt idx="45">
                  <v>0.05576856004498534</v>
                </pt>
                <pt idx="46">
                  <v>0.05763314621860643</v>
                </pt>
                <pt idx="47">
                  <v>0.05795475570678284</v>
                </pt>
                <pt idx="48">
                  <v>0.05903308714426247</v>
                </pt>
                <pt idx="49">
                  <v>0.05986822882637474</v>
                </pt>
                <pt idx="50">
                  <v>0.05958546239952584</v>
                </pt>
                <pt idx="51">
                  <v>0.06081943909529909</v>
                </pt>
                <pt idx="52">
                  <v>0.06266852647204264</v>
                </pt>
                <pt idx="53">
                  <v>0.06338447976358397</v>
                </pt>
                <pt idx="54">
                  <v>0.06380475583384775</v>
                </pt>
                <pt idx="55">
                  <v>0.06476653664328895</v>
                </pt>
                <pt idx="56">
                  <v>0.06514974920007785</v>
                </pt>
                <pt idx="57">
                  <v>0.0661895900916178</v>
                </pt>
                <pt idx="58">
                  <v>0.06614879511187234</v>
                </pt>
                <pt idx="59">
                  <v>0.06379404858157228</v>
                </pt>
                <pt idx="60">
                  <v>0.06443488657630744</v>
                </pt>
                <pt idx="61">
                  <v>0.06482822176945063</v>
                </pt>
                <pt idx="62">
                  <v>0.06558978389284542</v>
                </pt>
                <pt idx="63">
                  <v>0.06654972289218802</v>
                </pt>
                <pt idx="64">
                  <v>0.06792787343066761</v>
                </pt>
                <pt idx="65">
                  <v>0.06885810626946663</v>
                </pt>
                <pt idx="66">
                  <v>0.0713057859255308</v>
                </pt>
                <pt idx="67">
                  <v>0.0713057859255308</v>
                </pt>
                <pt idx="68">
                  <v>0.07039055758205287</v>
                </pt>
                <pt idx="69">
                  <v>0.07232484316853154</v>
                </pt>
                <pt idx="70">
                  <v>0.07232484316853154</v>
                </pt>
                <pt idx="71">
                  <v>0.07251733365650567</v>
                </pt>
                <pt idx="72">
                  <v>0.07177228745956987</v>
                </pt>
                <pt idx="73">
                  <v>0.07203602534870318</v>
                </pt>
                <pt idx="74">
                  <v>0.07013414210718091</v>
                </pt>
                <pt idx="75">
                  <v>0.0704572892604554</v>
                </pt>
                <pt idx="76">
                  <v>0.07043361687294361</v>
                </pt>
                <pt idx="77">
                  <v>0.07013299729473141</v>
                </pt>
                <pt idx="78">
                  <v>0.06986629307064693</v>
                </pt>
                <pt idx="79">
                  <v>0.06842361992118644</v>
                </pt>
              </numCache>
            </numRef>
          </val>
          <smooth val="0"/>
        </ser>
        <ser>
          <idx val="2"/>
          <order val="2"/>
          <tx>
            <strRef>
              <f>Charts!$AF$2</f>
              <strCache>
                <ptCount val="1"/>
                <pt idx="0">
                  <v>6 to 8 Year Cap (ttm)</v>
                </pt>
              </strCache>
            </strRef>
          </tx>
          <spPr>
            <a:ln xmlns:a="http://schemas.openxmlformats.org/drawingml/2006/main" w="19050" cap="rnd">
              <a:solidFill>
                <a:srgbClr val="62B5E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6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9"/>
            </dLbl>
            <dLbl>
              <idx val="52"/>
            </dLbl>
            <dLbl>
              <idx val="53"/>
            </dLbl>
            <dLbl>
              <idx val="55"/>
            </dLbl>
            <dLbl>
              <idx val="58"/>
            </dLbl>
            <dLbl>
              <idx val="61"/>
            </dLbl>
            <dLbl>
              <idx val="64"/>
            </dLbl>
            <dLbl>
              <idx val="68"/>
            </dLbl>
            <dLbl>
              <idx val="72"/>
            </dLbl>
            <dLbl>
              <idx val="79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 xmlns:a="http://schemas.openxmlformats.org/drawingml/2006/main">
                <a:srgbClr val="62B5E5"/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Charts!$B$139:$B$218</f>
              <numCache>
                <formatCode>[$-409]mmm\-yy;@</formatCode>
                <ptCount val="80"/>
                <pt idx="0">
                  <v>43586</v>
                </pt>
                <pt idx="1">
                  <v>43617</v>
                </pt>
                <pt idx="2">
                  <v>43647</v>
                </pt>
                <pt idx="3">
                  <v>43678</v>
                </pt>
                <pt idx="4">
                  <v>43709</v>
                </pt>
                <pt idx="5">
                  <v>43739</v>
                </pt>
                <pt idx="6">
                  <v>43770</v>
                </pt>
                <pt idx="7">
                  <v>43800</v>
                </pt>
                <pt idx="8">
                  <v>43831</v>
                </pt>
                <pt idx="9">
                  <v>43862</v>
                </pt>
                <pt idx="10">
                  <v>43891</v>
                </pt>
                <pt idx="11">
                  <v>43922</v>
                </pt>
                <pt idx="12">
                  <v>43952</v>
                </pt>
                <pt idx="13">
                  <v>43983</v>
                </pt>
                <pt idx="14">
                  <v>44013</v>
                </pt>
                <pt idx="15">
                  <v>44044</v>
                </pt>
                <pt idx="16">
                  <v>44075</v>
                </pt>
                <pt idx="17">
                  <v>44105</v>
                </pt>
                <pt idx="18">
                  <v>44136</v>
                </pt>
                <pt idx="19">
                  <v>44166</v>
                </pt>
                <pt idx="20">
                  <v>44197</v>
                </pt>
                <pt idx="21">
                  <v>44228</v>
                </pt>
                <pt idx="22">
                  <v>44256</v>
                </pt>
                <pt idx="23">
                  <v>44287</v>
                </pt>
                <pt idx="24">
                  <v>44317</v>
                </pt>
                <pt idx="25">
                  <v>44348</v>
                </pt>
                <pt idx="26">
                  <v>44378</v>
                </pt>
                <pt idx="27">
                  <v>44409</v>
                </pt>
                <pt idx="28">
                  <v>44440</v>
                </pt>
                <pt idx="29">
                  <v>44470</v>
                </pt>
                <pt idx="30">
                  <v>44501</v>
                </pt>
                <pt idx="31">
                  <v>44531</v>
                </pt>
                <pt idx="32">
                  <v>44562</v>
                </pt>
                <pt idx="33">
                  <v>44593</v>
                </pt>
                <pt idx="34">
                  <v>44621</v>
                </pt>
                <pt idx="35">
                  <v>44652</v>
                </pt>
                <pt idx="36">
                  <v>44682</v>
                </pt>
                <pt idx="37">
                  <v>44713</v>
                </pt>
                <pt idx="38">
                  <v>44743</v>
                </pt>
                <pt idx="39">
                  <v>44774</v>
                </pt>
                <pt idx="40">
                  <v>44805</v>
                </pt>
                <pt idx="41">
                  <v>44835</v>
                </pt>
                <pt idx="42">
                  <v>44866</v>
                </pt>
                <pt idx="43">
                  <v>44896</v>
                </pt>
                <pt idx="44">
                  <v>44927</v>
                </pt>
                <pt idx="45">
                  <v>44958</v>
                </pt>
                <pt idx="46">
                  <v>44986</v>
                </pt>
                <pt idx="47">
                  <v>45017</v>
                </pt>
                <pt idx="48">
                  <v>45047</v>
                </pt>
                <pt idx="49">
                  <v>45078</v>
                </pt>
                <pt idx="50">
                  <v>45108</v>
                </pt>
                <pt idx="51">
                  <v>45139</v>
                </pt>
                <pt idx="52">
                  <v>45170</v>
                </pt>
                <pt idx="53">
                  <v>45200</v>
                </pt>
                <pt idx="54">
                  <v>45231</v>
                </pt>
                <pt idx="55">
                  <v>45261</v>
                </pt>
                <pt idx="56">
                  <v>45292</v>
                </pt>
                <pt idx="57">
                  <v>45323</v>
                </pt>
                <pt idx="58">
                  <v>45352</v>
                </pt>
                <pt idx="59">
                  <v>45383</v>
                </pt>
                <pt idx="60">
                  <v>45413</v>
                </pt>
                <pt idx="61">
                  <v>45444</v>
                </pt>
                <pt idx="62">
                  <v>45474</v>
                </pt>
                <pt idx="63">
                  <v>45505</v>
                </pt>
                <pt idx="64">
                  <v>45536</v>
                </pt>
                <pt idx="65">
                  <v>45566</v>
                </pt>
                <pt idx="66">
                  <v>45597</v>
                </pt>
                <pt idx="67">
                  <v>45627</v>
                </pt>
                <pt idx="68">
                  <v>45658</v>
                </pt>
                <pt idx="69">
                  <v>45689</v>
                </pt>
                <pt idx="70">
                  <v>45717</v>
                </pt>
                <pt idx="71">
                  <v>45748</v>
                </pt>
                <pt idx="72">
                  <v>45778</v>
                </pt>
                <pt idx="73">
                  <v>45809</v>
                </pt>
                <pt idx="74">
                  <v>45839</v>
                </pt>
                <pt idx="75">
                  <v>45870</v>
                </pt>
                <pt idx="76">
                  <v>45901</v>
                </pt>
                <pt idx="77">
                  <v>45931</v>
                </pt>
                <pt idx="78">
                  <v>45962</v>
                </pt>
                <pt idx="79">
                  <v>45992</v>
                </pt>
              </numCache>
            </numRef>
          </cat>
          <val>
            <numRef>
              <f>Charts!$AF$139:$AF$218</f>
              <numCache>
                <formatCode>0.00%</formatCode>
                <ptCount val="80"/>
                <pt idx="0">
                  <v>0.07569554722399809</v>
                </pt>
                <pt idx="1">
                  <v>0.07498046576942681</v>
                </pt>
                <pt idx="2">
                  <v>0.07367927348093908</v>
                </pt>
                <pt idx="3">
                  <v>0.07541736942503348</v>
                </pt>
                <pt idx="4">
                  <v>0.07464332803857199</v>
                </pt>
                <pt idx="5">
                  <v>0.07339894235233135</v>
                </pt>
                <pt idx="6">
                  <v>0.07370326403196396</v>
                </pt>
                <pt idx="7">
                  <v>0.07346642773156899</v>
                </pt>
                <pt idx="8">
                  <v>0.07395163632590654</v>
                </pt>
                <pt idx="9">
                  <v>0.0723406158334894</v>
                </pt>
                <pt idx="10">
                  <v>0.0725762726011618</v>
                </pt>
                <pt idx="11">
                  <v>0.07261710323606033</v>
                </pt>
                <pt idx="12">
                  <v>0.07218043905509665</v>
                </pt>
                <pt idx="13">
                  <v>0.07149348317826798</v>
                </pt>
                <pt idx="14">
                  <v>0.07208380399848199</v>
                </pt>
                <pt idx="15">
                  <v>0.07310719459280202</v>
                </pt>
                <pt idx="16">
                  <v>0.07156011329598637</v>
                </pt>
                <pt idx="17">
                  <v>0.07103815006792218</v>
                </pt>
                <pt idx="18">
                  <v>0.07206950600012557</v>
                </pt>
                <pt idx="19">
                  <v>0.07230935363225782</v>
                </pt>
                <pt idx="20">
                  <v>0.07219975880040068</v>
                </pt>
                <pt idx="21">
                  <v>0.07054624623980711</v>
                </pt>
                <pt idx="22">
                  <v>0.07015040491529104</v>
                </pt>
                <pt idx="23">
                  <v>0.06906594030992994</v>
                </pt>
                <pt idx="24">
                  <v>0.06873378824982269</v>
                </pt>
                <pt idx="25">
                  <v>0.06879039756721962</v>
                </pt>
                <pt idx="26">
                  <v>0.06882311113918271</v>
                </pt>
                <pt idx="27">
                  <v>0.06769148003472877</v>
                </pt>
                <pt idx="28">
                  <v>0.06710027801142114</v>
                </pt>
                <pt idx="29">
                  <v>0.06637623835060451</v>
                </pt>
                <pt idx="30">
                  <v>0.06602543943525106</v>
                </pt>
                <pt idx="31">
                  <v>0.06568187207978486</v>
                </pt>
                <pt idx="32">
                  <v>0.06511805227158599</v>
                </pt>
                <pt idx="33">
                  <v>0.06519099349910119</v>
                </pt>
                <pt idx="34">
                  <v>0.06425513809220969</v>
                </pt>
                <pt idx="35">
                  <v>0.06321774099519442</v>
                </pt>
                <pt idx="36">
                  <v>0.06300797170900936</v>
                </pt>
                <pt idx="37">
                  <v>0.06225628451135481</v>
                </pt>
                <pt idx="38">
                  <v>0.061450164671549</v>
                </pt>
                <pt idx="39">
                  <v>0.06127086586931054</v>
                </pt>
                <pt idx="40">
                  <v>0.06113136151786547</v>
                </pt>
                <pt idx="41">
                  <v>0.06131013079776262</v>
                </pt>
                <pt idx="42">
                  <v>0.06184572398893633</v>
                </pt>
                <pt idx="43">
                  <v>0.0615974785912381</v>
                </pt>
                <pt idx="44">
                  <v>0.06161468467726007</v>
                </pt>
                <pt idx="45">
                  <v>0.06149772826087076</v>
                </pt>
                <pt idx="46">
                  <v>0.06058027928998654</v>
                </pt>
                <pt idx="47">
                  <v>0.06103201858519087</v>
                </pt>
                <pt idx="48">
                  <v>0.06206096775979189</v>
                </pt>
                <pt idx="49">
                  <v>0.06257127731510712</v>
                </pt>
                <pt idx="50">
                  <v>0.06297967165208525</v>
                </pt>
                <pt idx="51">
                  <v>0.06639369797578518</v>
                </pt>
                <pt idx="52">
                  <v>0.06702182080564044</v>
                </pt>
                <pt idx="53">
                  <v>0.06860526289504892</v>
                </pt>
                <pt idx="54">
                  <v>0.06940796370217292</v>
                </pt>
                <pt idx="55">
                  <v>0.06915581605432794</v>
                </pt>
                <pt idx="56">
                  <v>0.06992542444250031</v>
                </pt>
                <pt idx="57">
                  <v>0.07060928629793566</v>
                </pt>
                <pt idx="58">
                  <v>0.07164427970659382</v>
                </pt>
                <pt idx="59">
                  <v>0.07304447236247627</v>
                </pt>
                <pt idx="60">
                  <v>0.07379909565088187</v>
                </pt>
                <pt idx="61">
                  <v>0.07253144534016698</v>
                </pt>
                <pt idx="62">
                  <v>0.07410957629952607</v>
                </pt>
                <pt idx="63">
                  <v>0.07575157596375742</v>
                </pt>
                <pt idx="64">
                  <v>0.0685060997631065</v>
                </pt>
                <pt idx="65">
                  <v>0.0714590534677748</v>
                </pt>
                <pt idx="66">
                  <v>0.07134302506469135</v>
                </pt>
                <pt idx="67">
                  <v>0.07067831703734434</v>
                </pt>
                <pt idx="68">
                  <v>0.07077876138033369</v>
                </pt>
                <pt idx="69">
                  <v>0.0710575121804569</v>
                </pt>
                <pt idx="70">
                  <v>0.07223999576778468</v>
                </pt>
                <pt idx="71">
                  <v>0.07285465677241344</v>
                </pt>
                <pt idx="72">
                  <v>0.07257244443692286</v>
                </pt>
                <pt idx="73">
                  <v>0.07266302173931567</v>
                </pt>
                <pt idx="74">
                  <v>0.07303678264449573</v>
                </pt>
                <pt idx="75">
                  <v>0.0728134962992103</v>
                </pt>
                <pt idx="76">
                  <v>0.07300237788696574</v>
                </pt>
                <pt idx="77">
                  <v>0.07315398197765963</v>
                </pt>
                <pt idx="78">
                  <v>0.07320558317398869</v>
                </pt>
                <pt idx="79">
                  <v>0.07275175338275579</v>
                </pt>
              </numCache>
            </numRef>
          </val>
          <smooth val="0"/>
        </ser>
        <ser>
          <idx val="3"/>
          <order val="3"/>
          <tx>
            <strRef>
              <f>Charts!$AG$2</f>
              <strCache>
                <ptCount val="1"/>
                <pt idx="0">
                  <v>5 or Less Year Cap (ttm)</v>
                </pt>
              </strCache>
            </strRef>
          </tx>
          <spPr>
            <a:ln xmlns:a="http://schemas.openxmlformats.org/drawingml/2006/main" w="19050" cap="rnd">
              <a:solidFill>
                <a:srgbClr val="003D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6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"/>
            </dLbl>
            <dLbl>
              <idx val="30"/>
            </dLbl>
            <dLbl>
              <idx val="41"/>
            </dLbl>
            <dLbl>
              <idx val="42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3"/>
            </dLbl>
            <dLbl>
              <idx val="45"/>
            </dLbl>
            <dLbl>
              <idx val="52"/>
            </dLbl>
            <dLbl>
              <idx val="53"/>
            </dLbl>
            <dLbl>
              <idx val="55"/>
            </dLbl>
            <dLbl>
              <idx val="58"/>
            </dLbl>
            <dLbl>
              <idx val="61"/>
            </dLbl>
            <dLbl>
              <idx val="64"/>
            </dLbl>
            <dLbl>
              <idx val="68"/>
            </dLbl>
            <dLbl>
              <idx val="79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0"/>
            </dLbl>
            <dLbl>
              <idx val="91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 xmlns:a="http://schemas.openxmlformats.org/drawingml/2006/main">
                <a:srgbClr val="003DA5"/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Charts!$B$139:$B$218</f>
              <numCache>
                <formatCode>[$-409]mmm\-yy;@</formatCode>
                <ptCount val="80"/>
                <pt idx="0">
                  <v>43586</v>
                </pt>
                <pt idx="1">
                  <v>43617</v>
                </pt>
                <pt idx="2">
                  <v>43647</v>
                </pt>
                <pt idx="3">
                  <v>43678</v>
                </pt>
                <pt idx="4">
                  <v>43709</v>
                </pt>
                <pt idx="5">
                  <v>43739</v>
                </pt>
                <pt idx="6">
                  <v>43770</v>
                </pt>
                <pt idx="7">
                  <v>43800</v>
                </pt>
                <pt idx="8">
                  <v>43831</v>
                </pt>
                <pt idx="9">
                  <v>43862</v>
                </pt>
                <pt idx="10">
                  <v>43891</v>
                </pt>
                <pt idx="11">
                  <v>43922</v>
                </pt>
                <pt idx="12">
                  <v>43952</v>
                </pt>
                <pt idx="13">
                  <v>43983</v>
                </pt>
                <pt idx="14">
                  <v>44013</v>
                </pt>
                <pt idx="15">
                  <v>44044</v>
                </pt>
                <pt idx="16">
                  <v>44075</v>
                </pt>
                <pt idx="17">
                  <v>44105</v>
                </pt>
                <pt idx="18">
                  <v>44136</v>
                </pt>
                <pt idx="19">
                  <v>44166</v>
                </pt>
                <pt idx="20">
                  <v>44197</v>
                </pt>
                <pt idx="21">
                  <v>44228</v>
                </pt>
                <pt idx="22">
                  <v>44256</v>
                </pt>
                <pt idx="23">
                  <v>44287</v>
                </pt>
                <pt idx="24">
                  <v>44317</v>
                </pt>
                <pt idx="25">
                  <v>44348</v>
                </pt>
                <pt idx="26">
                  <v>44378</v>
                </pt>
                <pt idx="27">
                  <v>44409</v>
                </pt>
                <pt idx="28">
                  <v>44440</v>
                </pt>
                <pt idx="29">
                  <v>44470</v>
                </pt>
                <pt idx="30">
                  <v>44501</v>
                </pt>
                <pt idx="31">
                  <v>44531</v>
                </pt>
                <pt idx="32">
                  <v>44562</v>
                </pt>
                <pt idx="33">
                  <v>44593</v>
                </pt>
                <pt idx="34">
                  <v>44621</v>
                </pt>
                <pt idx="35">
                  <v>44652</v>
                </pt>
                <pt idx="36">
                  <v>44682</v>
                </pt>
                <pt idx="37">
                  <v>44713</v>
                </pt>
                <pt idx="38">
                  <v>44743</v>
                </pt>
                <pt idx="39">
                  <v>44774</v>
                </pt>
                <pt idx="40">
                  <v>44805</v>
                </pt>
                <pt idx="41">
                  <v>44835</v>
                </pt>
                <pt idx="42">
                  <v>44866</v>
                </pt>
                <pt idx="43">
                  <v>44896</v>
                </pt>
                <pt idx="44">
                  <v>44927</v>
                </pt>
                <pt idx="45">
                  <v>44958</v>
                </pt>
                <pt idx="46">
                  <v>44986</v>
                </pt>
                <pt idx="47">
                  <v>45017</v>
                </pt>
                <pt idx="48">
                  <v>45047</v>
                </pt>
                <pt idx="49">
                  <v>45078</v>
                </pt>
                <pt idx="50">
                  <v>45108</v>
                </pt>
                <pt idx="51">
                  <v>45139</v>
                </pt>
                <pt idx="52">
                  <v>45170</v>
                </pt>
                <pt idx="53">
                  <v>45200</v>
                </pt>
                <pt idx="54">
                  <v>45231</v>
                </pt>
                <pt idx="55">
                  <v>45261</v>
                </pt>
                <pt idx="56">
                  <v>45292</v>
                </pt>
                <pt idx="57">
                  <v>45323</v>
                </pt>
                <pt idx="58">
                  <v>45352</v>
                </pt>
                <pt idx="59">
                  <v>45383</v>
                </pt>
                <pt idx="60">
                  <v>45413</v>
                </pt>
                <pt idx="61">
                  <v>45444</v>
                </pt>
                <pt idx="62">
                  <v>45474</v>
                </pt>
                <pt idx="63">
                  <v>45505</v>
                </pt>
                <pt idx="64">
                  <v>45536</v>
                </pt>
                <pt idx="65">
                  <v>45566</v>
                </pt>
                <pt idx="66">
                  <v>45597</v>
                </pt>
                <pt idx="67">
                  <v>45627</v>
                </pt>
                <pt idx="68">
                  <v>45658</v>
                </pt>
                <pt idx="69">
                  <v>45689</v>
                </pt>
                <pt idx="70">
                  <v>45717</v>
                </pt>
                <pt idx="71">
                  <v>45748</v>
                </pt>
                <pt idx="72">
                  <v>45778</v>
                </pt>
                <pt idx="73">
                  <v>45809</v>
                </pt>
                <pt idx="74">
                  <v>45839</v>
                </pt>
                <pt idx="75">
                  <v>45870</v>
                </pt>
                <pt idx="76">
                  <v>45901</v>
                </pt>
                <pt idx="77">
                  <v>45931</v>
                </pt>
                <pt idx="78">
                  <v>45962</v>
                </pt>
                <pt idx="79">
                  <v>45992</v>
                </pt>
              </numCache>
            </numRef>
          </cat>
          <val>
            <numRef>
              <f>Charts!$AG$139:$AG$218</f>
              <numCache>
                <formatCode>0.00%</formatCode>
                <ptCount val="80"/>
                <pt idx="0">
                  <v>0.08901831953510085</v>
                </pt>
                <pt idx="1">
                  <v>0.08911477010049915</v>
                </pt>
                <pt idx="2">
                  <v>0.09154427939461378</v>
                </pt>
                <pt idx="3">
                  <v>0.09054786336492271</v>
                </pt>
                <pt idx="4">
                  <v>0.09076950425867997</v>
                </pt>
                <pt idx="5">
                  <v>0.0922003325995988</v>
                </pt>
                <pt idx="6">
                  <v>0.09458853661808116</v>
                </pt>
                <pt idx="7">
                  <v>0.08971362999615493</v>
                </pt>
                <pt idx="8">
                  <v>0.09115529081180251</v>
                </pt>
                <pt idx="9">
                  <v>0.09175364356774339</v>
                </pt>
                <pt idx="10">
                  <v>0.08839072913943144</v>
                </pt>
                <pt idx="11">
                  <v>0.08797755426087746</v>
                </pt>
                <pt idx="12">
                  <v>0.08543915781230366</v>
                </pt>
                <pt idx="13">
                  <v>0.08419677969861407</v>
                </pt>
                <pt idx="14">
                  <v>0.08270546713899343</v>
                </pt>
                <pt idx="15">
                  <v>0.08343154331374431</v>
                </pt>
                <pt idx="16">
                  <v>0.08389530180847778</v>
                </pt>
                <pt idx="17">
                  <v>0.08387114879053867</v>
                </pt>
                <pt idx="18">
                  <v>0.08196709465756484</v>
                </pt>
                <pt idx="19">
                  <v>0.08132279045305414</v>
                </pt>
                <pt idx="20">
                  <v>0.08096007492289105</v>
                </pt>
                <pt idx="21">
                  <v>0.08008854278607062</v>
                </pt>
                <pt idx="22">
                  <v>0.07864522071798856</v>
                </pt>
                <pt idx="23">
                  <v>0.0805012492571542</v>
                </pt>
                <pt idx="24">
                  <v>0.07932380580645594</v>
                </pt>
                <pt idx="25">
                  <v>0.07866221647749959</v>
                </pt>
                <pt idx="26">
                  <v>0.07792630360682175</v>
                </pt>
                <pt idx="27">
                  <v>0.07786286824054062</v>
                </pt>
                <pt idx="28">
                  <v>0.07866566447178105</v>
                </pt>
                <pt idx="29">
                  <v>0.07838806998900685</v>
                </pt>
                <pt idx="30">
                  <v>0.07576695473251363</v>
                </pt>
                <pt idx="31">
                  <v>0.07454574171950278</v>
                </pt>
                <pt idx="32">
                  <v>0.07385520395946071</v>
                </pt>
                <pt idx="33">
                  <v>0.07388095668943878</v>
                </pt>
                <pt idx="34">
                  <v>0.07370662714471325</v>
                </pt>
                <pt idx="35">
                  <v>0.07253124705192783</v>
                </pt>
                <pt idx="36">
                  <v>0.07155314748936289</v>
                </pt>
                <pt idx="37">
                  <v>0.07107588776452516</v>
                </pt>
                <pt idx="38">
                  <v>0.07018360376147259</v>
                </pt>
                <pt idx="39">
                  <v>0.06824575699437388</v>
                </pt>
                <pt idx="40">
                  <v>0.06627646820218643</v>
                </pt>
                <pt idx="41">
                  <v>0.06489613450521957</v>
                </pt>
                <pt idx="42">
                  <v>0.06436950290186909</v>
                </pt>
                <pt idx="43">
                  <v>0.0670228514107717</v>
                </pt>
                <pt idx="44">
                  <v>0.06692911831619999</v>
                </pt>
                <pt idx="45">
                  <v>0.0673854358142314</v>
                </pt>
                <pt idx="46">
                  <v>0.06730093198582514</v>
                </pt>
                <pt idx="47">
                  <v>0.06621894171548255</v>
                </pt>
                <pt idx="48">
                  <v>0.06593470952259799</v>
                </pt>
                <pt idx="49">
                  <v>0.06592673255281556</v>
                </pt>
                <pt idx="50">
                  <v>0.06633284228538532</v>
                </pt>
                <pt idx="51">
                  <v>0.06682796553582664</v>
                </pt>
                <pt idx="52">
                  <v>0.07111426349500043</v>
                </pt>
                <pt idx="53">
                  <v>0.07249864534974744</v>
                </pt>
                <pt idx="54">
                  <v>0.07306487091515432</v>
                </pt>
                <pt idx="55">
                  <v>0.07522830550184426</v>
                </pt>
                <pt idx="56">
                  <v>0.07261170223189191</v>
                </pt>
                <pt idx="57">
                  <v>0.07261170223189191</v>
                </pt>
                <pt idx="58">
                  <v>0.07272407083383634</v>
                </pt>
                <pt idx="59">
                  <v>0.07331367425601461</v>
                </pt>
                <pt idx="60">
                  <v>0.07378173682178889</v>
                </pt>
                <pt idx="61">
                  <v>0.07462107256310295</v>
                </pt>
                <pt idx="62">
                  <v>0.07549120232616542</v>
                </pt>
                <pt idx="63">
                  <v>0.07549120232616542</v>
                </pt>
                <pt idx="64">
                  <v>0.07756653767387456</v>
                </pt>
                <pt idx="65">
                  <v>0.07816035005397361</v>
                </pt>
                <pt idx="66">
                  <v>0.07794558266501594</v>
                </pt>
                <pt idx="67">
                  <v>0.07904175587493718</v>
                </pt>
                <pt idx="68">
                  <v>0.07724034176359859</v>
                </pt>
                <pt idx="69">
                  <v>0.07848028276472457</v>
                </pt>
                <pt idx="70">
                  <v>0.07848028276472457</v>
                </pt>
                <pt idx="71">
                  <v>0.07883007042324189</v>
                </pt>
                <pt idx="72">
                  <v>0.0784818527785944</v>
                </pt>
                <pt idx="73">
                  <v>0.08416260159701701</v>
                </pt>
                <pt idx="74">
                  <v>0.08496321183419157</v>
                </pt>
                <pt idx="75">
                  <v>0.08535778164857602</v>
                </pt>
                <pt idx="76">
                  <v>0.08364129296492778</v>
                </pt>
                <pt idx="77">
                  <v>0.08327969313150412</v>
                </pt>
                <pt idx="78">
                  <v>0.08265285346229619</v>
                </pt>
                <pt idx="79">
                  <v>0.08291963817431719</v>
                </pt>
              </numCache>
            </numRef>
          </val>
          <smooth val="0"/>
        </ser>
        <dLbls>
          <dLblPos val="r"/>
          <showLegendKey val="0"/>
          <showVal val="1"/>
          <showCatName val="0"/>
          <showSerName val="0"/>
          <showPercent val="0"/>
          <showBubbleSize val="0"/>
        </dLbls>
        <smooth val="0"/>
        <axId val="724586800"/>
        <axId val="724587456"/>
      </lineChart>
      <dateAx>
        <axId val="724586800"/>
        <scaling>
          <orientation val="minMax"/>
        </scaling>
        <delete val="0"/>
        <axPos val="b"/>
        <numFmt formatCode="[$-409]m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24587456"/>
        <crosses val="autoZero"/>
        <lblOffset val="100"/>
        <baseTimeUnit val="months"/>
        <majorUnit val="1"/>
        <majorTimeUnit val="months"/>
      </dateAx>
      <valAx>
        <axId val="724587456"/>
        <scaling>
          <orientation val="minMax"/>
          <min val="0.05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24586800"/>
        <crossesAt val="41852"/>
        <crossBetween val="midCat"/>
      </valAx>
    </plotArea>
    <legend>
      <legendPos val="b"/>
      <overlay val="0"/>
      <spPr>
        <a:noFill xmlns:a="http://schemas.openxmlformats.org/drawingml/2006/main"/>
        <a:ln xmlns:a="http://schemas.openxmlformats.org/drawingml/2006/main" w="3175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9EA9B7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674723468897015"/>
          <y val="0.02829218106995885"/>
          <w val="0.8832353739758191"/>
          <h val="0.752927792993267"/>
        </manualLayout>
      </layout>
      <areaChart>
        <grouping val="standard"/>
        <varyColors val="0"/>
        <ser>
          <idx val="0"/>
          <order val="0"/>
          <tx>
            <strRef>
              <f>Charts!$F$2</f>
              <strCache>
                <ptCount val="1"/>
                <pt idx="0">
                  <v>Sales Volume (ttm)</v>
                </pt>
              </strCache>
            </strRef>
          </tx>
          <spPr>
            <a:solidFill xmlns:a="http://schemas.openxmlformats.org/drawingml/2006/main">
              <a:srgbClr val="E0E8F4"/>
            </a:solidFill>
            <a:ln xmlns:a="http://schemas.openxmlformats.org/drawingml/2006/main" w="19050">
              <a:noFill/>
              <a:prstDash val="solid"/>
            </a:ln>
          </spPr>
          <cat>
            <numRef>
              <f>Charts!$B$86:$B$218</f>
              <numCache>
                <formatCode>[$-409]mmm\-yy;@</formatCode>
                <ptCount val="133"/>
                <pt idx="0">
                  <v>41974</v>
                </pt>
                <pt idx="1">
                  <v>42005</v>
                </pt>
                <pt idx="2">
                  <v>42036</v>
                </pt>
                <pt idx="3">
                  <v>42064</v>
                </pt>
                <pt idx="4">
                  <v>42095</v>
                </pt>
                <pt idx="5">
                  <v>42125</v>
                </pt>
                <pt idx="6">
                  <v>42156</v>
                </pt>
                <pt idx="7">
                  <v>42186</v>
                </pt>
                <pt idx="8">
                  <v>42217</v>
                </pt>
                <pt idx="9">
                  <v>42248</v>
                </pt>
                <pt idx="10">
                  <v>42278</v>
                </pt>
                <pt idx="11">
                  <v>42309</v>
                </pt>
                <pt idx="12">
                  <v>42339</v>
                </pt>
                <pt idx="13">
                  <v>42370</v>
                </pt>
                <pt idx="14">
                  <v>42401</v>
                </pt>
                <pt idx="15">
                  <v>42430</v>
                </pt>
                <pt idx="16">
                  <v>42461</v>
                </pt>
                <pt idx="17">
                  <v>42491</v>
                </pt>
                <pt idx="18">
                  <v>42522</v>
                </pt>
                <pt idx="19">
                  <v>42552</v>
                </pt>
                <pt idx="20">
                  <v>42583</v>
                </pt>
                <pt idx="21">
                  <v>42614</v>
                </pt>
                <pt idx="22">
                  <v>42644</v>
                </pt>
                <pt idx="23">
                  <v>42675</v>
                </pt>
                <pt idx="24">
                  <v>42705</v>
                </pt>
                <pt idx="25">
                  <v>42736</v>
                </pt>
                <pt idx="26">
                  <v>42767</v>
                </pt>
                <pt idx="27">
                  <v>42795</v>
                </pt>
                <pt idx="28">
                  <v>42826</v>
                </pt>
                <pt idx="29">
                  <v>42856</v>
                </pt>
                <pt idx="30">
                  <v>42887</v>
                </pt>
                <pt idx="31">
                  <v>42917</v>
                </pt>
                <pt idx="32">
                  <v>42948</v>
                </pt>
                <pt idx="33">
                  <v>42979</v>
                </pt>
                <pt idx="34">
                  <v>43009</v>
                </pt>
                <pt idx="35">
                  <v>43040</v>
                </pt>
                <pt idx="36">
                  <v>43070</v>
                </pt>
                <pt idx="37">
                  <v>43101</v>
                </pt>
                <pt idx="38">
                  <v>43132</v>
                </pt>
                <pt idx="39">
                  <v>43160</v>
                </pt>
                <pt idx="40">
                  <v>43191</v>
                </pt>
                <pt idx="41">
                  <v>43221</v>
                </pt>
                <pt idx="42">
                  <v>43252</v>
                </pt>
                <pt idx="43">
                  <v>43282</v>
                </pt>
                <pt idx="44">
                  <v>43313</v>
                </pt>
                <pt idx="45">
                  <v>43344</v>
                </pt>
                <pt idx="46">
                  <v>43374</v>
                </pt>
                <pt idx="47">
                  <v>43405</v>
                </pt>
                <pt idx="48">
                  <v>43435</v>
                </pt>
                <pt idx="49">
                  <v>43466</v>
                </pt>
                <pt idx="50">
                  <v>43497</v>
                </pt>
                <pt idx="51">
                  <v>43525</v>
                </pt>
                <pt idx="52">
                  <v>43556</v>
                </pt>
                <pt idx="53">
                  <v>43586</v>
                </pt>
                <pt idx="54">
                  <v>43617</v>
                </pt>
                <pt idx="55">
                  <v>43647</v>
                </pt>
                <pt idx="56">
                  <v>43678</v>
                </pt>
                <pt idx="57">
                  <v>43709</v>
                </pt>
                <pt idx="58">
                  <v>43739</v>
                </pt>
                <pt idx="59">
                  <v>43770</v>
                </pt>
                <pt idx="60">
                  <v>43800</v>
                </pt>
                <pt idx="61">
                  <v>43831</v>
                </pt>
                <pt idx="62">
                  <v>43862</v>
                </pt>
                <pt idx="63">
                  <v>43891</v>
                </pt>
                <pt idx="64">
                  <v>43922</v>
                </pt>
                <pt idx="65">
                  <v>43952</v>
                </pt>
                <pt idx="66">
                  <v>43983</v>
                </pt>
                <pt idx="67">
                  <v>44013</v>
                </pt>
                <pt idx="68">
                  <v>44044</v>
                </pt>
                <pt idx="69">
                  <v>44075</v>
                </pt>
                <pt idx="70">
                  <v>44105</v>
                </pt>
                <pt idx="71">
                  <v>44136</v>
                </pt>
                <pt idx="72">
                  <v>44166</v>
                </pt>
                <pt idx="73">
                  <v>44197</v>
                </pt>
                <pt idx="74">
                  <v>44228</v>
                </pt>
                <pt idx="75">
                  <v>44256</v>
                </pt>
                <pt idx="76">
                  <v>44287</v>
                </pt>
                <pt idx="77">
                  <v>44317</v>
                </pt>
                <pt idx="78">
                  <v>44348</v>
                </pt>
                <pt idx="79">
                  <v>44378</v>
                </pt>
                <pt idx="80">
                  <v>44409</v>
                </pt>
                <pt idx="81">
                  <v>44440</v>
                </pt>
                <pt idx="82">
                  <v>44470</v>
                </pt>
                <pt idx="83">
                  <v>44501</v>
                </pt>
                <pt idx="84">
                  <v>44531</v>
                </pt>
                <pt idx="85">
                  <v>44562</v>
                </pt>
                <pt idx="86">
                  <v>44593</v>
                </pt>
                <pt idx="87">
                  <v>44621</v>
                </pt>
                <pt idx="88">
                  <v>44652</v>
                </pt>
                <pt idx="89">
                  <v>44682</v>
                </pt>
                <pt idx="90">
                  <v>44713</v>
                </pt>
                <pt idx="91">
                  <v>44743</v>
                </pt>
                <pt idx="92">
                  <v>44774</v>
                </pt>
                <pt idx="93">
                  <v>44805</v>
                </pt>
                <pt idx="94">
                  <v>44835</v>
                </pt>
                <pt idx="95">
                  <v>44866</v>
                </pt>
                <pt idx="96">
                  <v>44896</v>
                </pt>
                <pt idx="97">
                  <v>44927</v>
                </pt>
                <pt idx="98">
                  <v>44958</v>
                </pt>
                <pt idx="99">
                  <v>44986</v>
                </pt>
                <pt idx="100">
                  <v>45017</v>
                </pt>
                <pt idx="101">
                  <v>45047</v>
                </pt>
                <pt idx="102">
                  <v>45078</v>
                </pt>
                <pt idx="103">
                  <v>45108</v>
                </pt>
                <pt idx="104">
                  <v>45139</v>
                </pt>
                <pt idx="105">
                  <v>45170</v>
                </pt>
                <pt idx="106">
                  <v>45200</v>
                </pt>
                <pt idx="107">
                  <v>45231</v>
                </pt>
                <pt idx="108">
                  <v>45261</v>
                </pt>
                <pt idx="109">
                  <v>45292</v>
                </pt>
                <pt idx="110">
                  <v>45323</v>
                </pt>
                <pt idx="111">
                  <v>45352</v>
                </pt>
                <pt idx="112">
                  <v>45383</v>
                </pt>
                <pt idx="113">
                  <v>45413</v>
                </pt>
                <pt idx="114">
                  <v>45444</v>
                </pt>
                <pt idx="115">
                  <v>45474</v>
                </pt>
                <pt idx="116">
                  <v>45505</v>
                </pt>
                <pt idx="117">
                  <v>45536</v>
                </pt>
                <pt idx="118">
                  <v>45566</v>
                </pt>
                <pt idx="119">
                  <v>45597</v>
                </pt>
                <pt idx="120">
                  <v>45627</v>
                </pt>
                <pt idx="121">
                  <v>45658</v>
                </pt>
                <pt idx="122">
                  <v>45689</v>
                </pt>
                <pt idx="123">
                  <v>45717</v>
                </pt>
                <pt idx="124">
                  <v>45748</v>
                </pt>
                <pt idx="125">
                  <v>45778</v>
                </pt>
                <pt idx="126">
                  <v>45809</v>
                </pt>
                <pt idx="127">
                  <v>45839</v>
                </pt>
                <pt idx="128">
                  <v>45870</v>
                </pt>
                <pt idx="129">
                  <v>45901</v>
                </pt>
                <pt idx="130">
                  <v>45931</v>
                </pt>
                <pt idx="131">
                  <v>45962</v>
                </pt>
                <pt idx="132">
                  <v>45992</v>
                </pt>
              </numCache>
            </numRef>
          </cat>
          <val>
            <numRef>
              <f>Charts!$F$86:$F$218</f>
              <numCache>
                <formatCode>"$"#,##0_);[Red]\("$"#,##0\)</formatCode>
                <ptCount val="133"/>
                <pt idx="0">
                  <v>265690016.9922161</v>
                </pt>
                <pt idx="1">
                  <v>317536055.050389</v>
                </pt>
                <pt idx="2">
                  <v>303405020.2839299</v>
                </pt>
                <pt idx="3">
                  <v>317358766.207532</v>
                </pt>
                <pt idx="4">
                  <v>338540762.0769231</v>
                </pt>
                <pt idx="5">
                  <v>321702496.1759797</v>
                </pt>
                <pt idx="6">
                  <v>325746559.3646589</v>
                </pt>
                <pt idx="7">
                  <v>322693319.9038461</v>
                </pt>
                <pt idx="8">
                  <v>346962502.3200001</v>
                </pt>
                <pt idx="9">
                  <v>340706776.7309735</v>
                </pt>
                <pt idx="10">
                  <v>358627628.0517858</v>
                </pt>
                <pt idx="11">
                  <v>357421713.9310346</v>
                </pt>
                <pt idx="12">
                  <v>368876334.5165218</v>
                </pt>
                <pt idx="13">
                  <v>349284932.5017241</v>
                </pt>
                <pt idx="14">
                  <v>367692577.5381818</v>
                </pt>
                <pt idx="15">
                  <v>392804201.3</v>
                </pt>
                <pt idx="16">
                  <v>389158476.9645161</v>
                </pt>
                <pt idx="17">
                  <v>443186564.7922865</v>
                </pt>
                <pt idx="18">
                  <v>454636594.872</v>
                </pt>
                <pt idx="19">
                  <v>465541681.4572179</v>
                </pt>
                <pt idx="20">
                  <v>440492294.4606771</v>
                </pt>
                <pt idx="21">
                  <v>459281979.9258666</v>
                </pt>
                <pt idx="22">
                  <v>500454960.116129</v>
                </pt>
                <pt idx="23">
                  <v>550355911.7847118</v>
                </pt>
                <pt idx="24">
                  <v>524776456.0069445</v>
                </pt>
                <pt idx="25">
                  <v>568936855.3571429</v>
                </pt>
                <pt idx="26">
                  <v>588622498.6758621</v>
                </pt>
                <pt idx="27">
                  <v>585510037</v>
                </pt>
                <pt idx="28">
                  <v>649849777.9075427</v>
                </pt>
                <pt idx="29">
                  <v>664496508.5995525</v>
                </pt>
                <pt idx="30">
                  <v>689846111.147186</v>
                </pt>
                <pt idx="31">
                  <v>713912337.5961537</v>
                </pt>
                <pt idx="32">
                  <v>754042798.4713374</v>
                </pt>
                <pt idx="33">
                  <v>748091221.2349397</v>
                </pt>
                <pt idx="34">
                  <v>728836515.7392157</v>
                </pt>
                <pt idx="35">
                  <v>730747462.1513293</v>
                </pt>
                <pt idx="36">
                  <v>776891792.5041667</v>
                </pt>
                <pt idx="37">
                  <v>765270160.0175439</v>
                </pt>
                <pt idx="38">
                  <v>769825587.9331394</v>
                </pt>
                <pt idx="39">
                  <v>813156084.2528089</v>
                </pt>
                <pt idx="40">
                  <v>781434751.0746875</v>
                </pt>
                <pt idx="41">
                  <v>821796863.0087097</v>
                </pt>
                <pt idx="42">
                  <v>1004463467.6089</v>
                </pt>
                <pt idx="43">
                  <v>1020299686.600769</v>
                </pt>
                <pt idx="44">
                  <v>1020249453.294393</v>
                </pt>
                <pt idx="45">
                  <v>1001310562.810605</v>
                </pt>
                <pt idx="46">
                  <v>1022381938.992676</v>
                </pt>
                <pt idx="47">
                  <v>1011437666.470909</v>
                </pt>
                <pt idx="48">
                  <v>987649707.8983784</v>
                </pt>
                <pt idx="49">
                  <v>1076330118.216348</v>
                </pt>
                <pt idx="50">
                  <v>1066304818.161478</v>
                </pt>
                <pt idx="51">
                  <v>1020906826.70703</v>
                </pt>
                <pt idx="52">
                  <v>1041533463.970641</v>
                </pt>
                <pt idx="53">
                  <v>983856674.2898842</v>
                </pt>
                <pt idx="54">
                  <v>870260354.5027723</v>
                </pt>
                <pt idx="55">
                  <v>904352311.3484913</v>
                </pt>
                <pt idx="56">
                  <v>912236985.7400203</v>
                </pt>
                <pt idx="57">
                  <v>976419482.9806452</v>
                </pt>
                <pt idx="58">
                  <v>1080755613.224678</v>
                </pt>
                <pt idx="59">
                  <v>1070376076.549395</v>
                </pt>
                <pt idx="60">
                  <v>1084405167.408715</v>
                </pt>
                <pt idx="61">
                  <v>1042711668.359511</v>
                </pt>
                <pt idx="62">
                  <v>1026326487.298244</v>
                </pt>
                <pt idx="63">
                  <v>1080572496.637788</v>
                </pt>
                <pt idx="64">
                  <v>1033734226.928838</v>
                </pt>
                <pt idx="65">
                  <v>1059739117.894632</v>
                </pt>
                <pt idx="66">
                  <v>1060141635.135136</v>
                </pt>
                <pt idx="67">
                  <v>1025428341.223411</v>
                </pt>
                <pt idx="68">
                  <v>1016310532.572244</v>
                </pt>
                <pt idx="69">
                  <v>1032268290.914937</v>
                </pt>
                <pt idx="70">
                  <v>904577755.3097572</v>
                </pt>
                <pt idx="71">
                  <v>925137470.9879649</v>
                </pt>
                <pt idx="72">
                  <v>984706559.9910526</v>
                </pt>
                <pt idx="73">
                  <v>905399570.8978319</v>
                </pt>
                <pt idx="74">
                  <v>908297476.8264151</v>
                </pt>
                <pt idx="75">
                  <v>910346035.5599999</v>
                </pt>
                <pt idx="76">
                  <v>962669094.159633</v>
                </pt>
                <pt idx="77">
                  <v>964288198.4260869</v>
                </pt>
                <pt idx="78">
                  <v>959125366.4873949</v>
                </pt>
                <pt idx="79">
                  <v>962968883.767347</v>
                </pt>
                <pt idx="80">
                  <v>1025862435.150628</v>
                </pt>
                <pt idx="81">
                  <v>1018782335.936</v>
                </pt>
                <pt idx="82">
                  <v>1015922220.023166</v>
                </pt>
                <pt idx="83">
                  <v>1027487797.494164</v>
                </pt>
                <pt idx="84">
                  <v>992683076.8153259</v>
                </pt>
                <pt idx="85">
                  <v>1087789293.238138</v>
                </pt>
                <pt idx="86">
                  <v>1198288745.311196</v>
                </pt>
                <pt idx="87">
                  <v>1171800610.245036</v>
                </pt>
                <pt idx="88">
                  <v>1154583028.498518</v>
                </pt>
                <pt idx="89">
                  <v>1145634787.761771</v>
                </pt>
                <pt idx="90">
                  <v>1120132724.682493</v>
                </pt>
                <pt idx="91">
                  <v>1151543404.398906</v>
                </pt>
                <pt idx="92">
                  <v>1151115911.46455</v>
                </pt>
                <pt idx="93">
                  <v>1186524477.71497</v>
                </pt>
                <pt idx="94">
                  <v>1232322383.885825</v>
                </pt>
                <pt idx="95">
                  <v>1203347721.813553</v>
                </pt>
                <pt idx="96">
                  <v>1165279410.81337</v>
                </pt>
                <pt idx="97">
                  <v>1061475754.029842</v>
                </pt>
                <pt idx="98">
                  <v>975776422.200877</v>
                </pt>
                <pt idx="99">
                  <v>913700034.195413</v>
                </pt>
                <pt idx="100">
                  <v>881454462.2402375</v>
                </pt>
                <pt idx="101">
                  <v>855075827.5638582</v>
                </pt>
                <pt idx="102">
                  <v>833853829.7607765</v>
                </pt>
                <pt idx="103">
                  <v>755806440.1153331</v>
                </pt>
                <pt idx="104">
                  <v>706151439.5008142</v>
                </pt>
                <pt idx="105">
                  <v>640507760.4162158</v>
                </pt>
                <pt idx="106">
                  <v>570698428.4204789</v>
                </pt>
                <pt idx="107">
                  <v>556494406.1580062</v>
                </pt>
                <pt idx="108">
                  <v>533096075.8360401</v>
                </pt>
                <pt idx="109">
                  <v>549275022.9076461</v>
                </pt>
                <pt idx="110">
                  <v>571165328.090557</v>
                </pt>
                <pt idx="111">
                  <v>562573706.4140533</v>
                </pt>
                <pt idx="112">
                  <v>576944335.3224154</v>
                </pt>
                <pt idx="113">
                  <v>530297420.3752916</v>
                </pt>
                <pt idx="114">
                  <v>501533074.9314503</v>
                </pt>
                <pt idx="115">
                  <v>492632158.545204</v>
                </pt>
                <pt idx="116">
                  <v>430849736.0967028</v>
                </pt>
                <pt idx="117">
                  <v>393888965.7809578</v>
                </pt>
                <pt idx="118">
                  <v>401969630.7282671</v>
                </pt>
                <pt idx="119">
                  <v>374321992.5145695</v>
                </pt>
                <pt idx="120">
                  <v>432294496.3903561</v>
                </pt>
                <pt idx="121">
                  <v>444964209.140381</v>
                </pt>
                <pt idx="122">
                  <v>411649109.2124299</v>
                </pt>
                <pt idx="123">
                  <v>418088596.827716</v>
                </pt>
                <pt idx="124">
                  <v>390881288.7519506</v>
                </pt>
                <pt idx="125">
                  <v>435987926.5449281</v>
                </pt>
                <pt idx="126">
                  <v>474486221.2786095</v>
                </pt>
                <pt idx="127">
                  <v>481946625.6691692</v>
                </pt>
                <pt idx="128">
                  <v>492848005.0021839</v>
                </pt>
                <pt idx="129">
                  <v>535605419.2154902</v>
                </pt>
                <pt idx="130">
                  <v>515544086.868609</v>
                </pt>
                <pt idx="131">
                  <v>532522651.7579908</v>
                </pt>
                <pt idx="132">
                  <v>496693465.5285225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stockChart>
        <ser>
          <idx val="1"/>
          <order val="1"/>
          <tx>
            <strRef>
              <f>Charts!$M$2</f>
              <strCache>
                <ptCount val="1"/>
                <pt idx="0">
                  <v>Upper Quartile (ttm)</v>
                </pt>
              </strCache>
            </strRef>
          </tx>
          <spPr>
            <a:ln xmlns:a="http://schemas.openxmlformats.org/drawingml/2006/main" w="19050" cap="rnd">
              <a:noFill/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28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 xmlns:a="http://schemas.openxmlformats.org/drawingml/2006/main">
                <a:srgbClr val="003DA5"/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Charts!$B$86:$B$218</f>
              <numCache>
                <formatCode>[$-409]mmm\-yy;@</formatCode>
                <ptCount val="133"/>
                <pt idx="0">
                  <v>41974</v>
                </pt>
                <pt idx="1">
                  <v>42005</v>
                </pt>
                <pt idx="2">
                  <v>42036</v>
                </pt>
                <pt idx="3">
                  <v>42064</v>
                </pt>
                <pt idx="4">
                  <v>42095</v>
                </pt>
                <pt idx="5">
                  <v>42125</v>
                </pt>
                <pt idx="6">
                  <v>42156</v>
                </pt>
                <pt idx="7">
                  <v>42186</v>
                </pt>
                <pt idx="8">
                  <v>42217</v>
                </pt>
                <pt idx="9">
                  <v>42248</v>
                </pt>
                <pt idx="10">
                  <v>42278</v>
                </pt>
                <pt idx="11">
                  <v>42309</v>
                </pt>
                <pt idx="12">
                  <v>42339</v>
                </pt>
                <pt idx="13">
                  <v>42370</v>
                </pt>
                <pt idx="14">
                  <v>42401</v>
                </pt>
                <pt idx="15">
                  <v>42430</v>
                </pt>
                <pt idx="16">
                  <v>42461</v>
                </pt>
                <pt idx="17">
                  <v>42491</v>
                </pt>
                <pt idx="18">
                  <v>42522</v>
                </pt>
                <pt idx="19">
                  <v>42552</v>
                </pt>
                <pt idx="20">
                  <v>42583</v>
                </pt>
                <pt idx="21">
                  <v>42614</v>
                </pt>
                <pt idx="22">
                  <v>42644</v>
                </pt>
                <pt idx="23">
                  <v>42675</v>
                </pt>
                <pt idx="24">
                  <v>42705</v>
                </pt>
                <pt idx="25">
                  <v>42736</v>
                </pt>
                <pt idx="26">
                  <v>42767</v>
                </pt>
                <pt idx="27">
                  <v>42795</v>
                </pt>
                <pt idx="28">
                  <v>42826</v>
                </pt>
                <pt idx="29">
                  <v>42856</v>
                </pt>
                <pt idx="30">
                  <v>42887</v>
                </pt>
                <pt idx="31">
                  <v>42917</v>
                </pt>
                <pt idx="32">
                  <v>42948</v>
                </pt>
                <pt idx="33">
                  <v>42979</v>
                </pt>
                <pt idx="34">
                  <v>43009</v>
                </pt>
                <pt idx="35">
                  <v>43040</v>
                </pt>
                <pt idx="36">
                  <v>43070</v>
                </pt>
                <pt idx="37">
                  <v>43101</v>
                </pt>
                <pt idx="38">
                  <v>43132</v>
                </pt>
                <pt idx="39">
                  <v>43160</v>
                </pt>
                <pt idx="40">
                  <v>43191</v>
                </pt>
                <pt idx="41">
                  <v>43221</v>
                </pt>
                <pt idx="42">
                  <v>43252</v>
                </pt>
                <pt idx="43">
                  <v>43282</v>
                </pt>
                <pt idx="44">
                  <v>43313</v>
                </pt>
                <pt idx="45">
                  <v>43344</v>
                </pt>
                <pt idx="46">
                  <v>43374</v>
                </pt>
                <pt idx="47">
                  <v>43405</v>
                </pt>
                <pt idx="48">
                  <v>43435</v>
                </pt>
                <pt idx="49">
                  <v>43466</v>
                </pt>
                <pt idx="50">
                  <v>43497</v>
                </pt>
                <pt idx="51">
                  <v>43525</v>
                </pt>
                <pt idx="52">
                  <v>43556</v>
                </pt>
                <pt idx="53">
                  <v>43586</v>
                </pt>
                <pt idx="54">
                  <v>43617</v>
                </pt>
                <pt idx="55">
                  <v>43647</v>
                </pt>
                <pt idx="56">
                  <v>43678</v>
                </pt>
                <pt idx="57">
                  <v>43709</v>
                </pt>
                <pt idx="58">
                  <v>43739</v>
                </pt>
                <pt idx="59">
                  <v>43770</v>
                </pt>
                <pt idx="60">
                  <v>43800</v>
                </pt>
                <pt idx="61">
                  <v>43831</v>
                </pt>
                <pt idx="62">
                  <v>43862</v>
                </pt>
                <pt idx="63">
                  <v>43891</v>
                </pt>
                <pt idx="64">
                  <v>43922</v>
                </pt>
                <pt idx="65">
                  <v>43952</v>
                </pt>
                <pt idx="66">
                  <v>43983</v>
                </pt>
                <pt idx="67">
                  <v>44013</v>
                </pt>
                <pt idx="68">
                  <v>44044</v>
                </pt>
                <pt idx="69">
                  <v>44075</v>
                </pt>
                <pt idx="70">
                  <v>44105</v>
                </pt>
                <pt idx="71">
                  <v>44136</v>
                </pt>
                <pt idx="72">
                  <v>44166</v>
                </pt>
                <pt idx="73">
                  <v>44197</v>
                </pt>
                <pt idx="74">
                  <v>44228</v>
                </pt>
                <pt idx="75">
                  <v>44256</v>
                </pt>
                <pt idx="76">
                  <v>44287</v>
                </pt>
                <pt idx="77">
                  <v>44317</v>
                </pt>
                <pt idx="78">
                  <v>44348</v>
                </pt>
                <pt idx="79">
                  <v>44378</v>
                </pt>
                <pt idx="80">
                  <v>44409</v>
                </pt>
                <pt idx="81">
                  <v>44440</v>
                </pt>
                <pt idx="82">
                  <v>44470</v>
                </pt>
                <pt idx="83">
                  <v>44501</v>
                </pt>
                <pt idx="84">
                  <v>44531</v>
                </pt>
                <pt idx="85">
                  <v>44562</v>
                </pt>
                <pt idx="86">
                  <v>44593</v>
                </pt>
                <pt idx="87">
                  <v>44621</v>
                </pt>
                <pt idx="88">
                  <v>44652</v>
                </pt>
                <pt idx="89">
                  <v>44682</v>
                </pt>
                <pt idx="90">
                  <v>44713</v>
                </pt>
                <pt idx="91">
                  <v>44743</v>
                </pt>
                <pt idx="92">
                  <v>44774</v>
                </pt>
                <pt idx="93">
                  <v>44805</v>
                </pt>
                <pt idx="94">
                  <v>44835</v>
                </pt>
                <pt idx="95">
                  <v>44866</v>
                </pt>
                <pt idx="96">
                  <v>44896</v>
                </pt>
                <pt idx="97">
                  <v>44927</v>
                </pt>
                <pt idx="98">
                  <v>44958</v>
                </pt>
                <pt idx="99">
                  <v>44986</v>
                </pt>
                <pt idx="100">
                  <v>45017</v>
                </pt>
                <pt idx="101">
                  <v>45047</v>
                </pt>
                <pt idx="102">
                  <v>45078</v>
                </pt>
                <pt idx="103">
                  <v>45108</v>
                </pt>
                <pt idx="104">
                  <v>45139</v>
                </pt>
                <pt idx="105">
                  <v>45170</v>
                </pt>
                <pt idx="106">
                  <v>45200</v>
                </pt>
                <pt idx="107">
                  <v>45231</v>
                </pt>
                <pt idx="108">
                  <v>45261</v>
                </pt>
                <pt idx="109">
                  <v>45292</v>
                </pt>
                <pt idx="110">
                  <v>45323</v>
                </pt>
                <pt idx="111">
                  <v>45352</v>
                </pt>
                <pt idx="112">
                  <v>45383</v>
                </pt>
                <pt idx="113">
                  <v>45413</v>
                </pt>
                <pt idx="114">
                  <v>45444</v>
                </pt>
                <pt idx="115">
                  <v>45474</v>
                </pt>
                <pt idx="116">
                  <v>45505</v>
                </pt>
                <pt idx="117">
                  <v>45536</v>
                </pt>
                <pt idx="118">
                  <v>45566</v>
                </pt>
                <pt idx="119">
                  <v>45597</v>
                </pt>
                <pt idx="120">
                  <v>45627</v>
                </pt>
                <pt idx="121">
                  <v>45658</v>
                </pt>
                <pt idx="122">
                  <v>45689</v>
                </pt>
                <pt idx="123">
                  <v>45717</v>
                </pt>
                <pt idx="124">
                  <v>45748</v>
                </pt>
                <pt idx="125">
                  <v>45778</v>
                </pt>
                <pt idx="126">
                  <v>45809</v>
                </pt>
                <pt idx="127">
                  <v>45839</v>
                </pt>
                <pt idx="128">
                  <v>45870</v>
                </pt>
                <pt idx="129">
                  <v>45901</v>
                </pt>
                <pt idx="130">
                  <v>45931</v>
                </pt>
                <pt idx="131">
                  <v>45962</v>
                </pt>
                <pt idx="132">
                  <v>45992</v>
                </pt>
              </numCache>
            </numRef>
          </cat>
          <val>
            <numRef>
              <f>Charts!$M$86:$M$218</f>
              <numCache>
                <formatCode>0.00%</formatCode>
                <ptCount val="133"/>
                <pt idx="0">
                  <v>0.08250035355678122</v>
                </pt>
                <pt idx="1">
                  <v>0.08080011124100674</v>
                </pt>
                <pt idx="2">
                  <v>0.08191415094339623</v>
                </pt>
                <pt idx="3">
                  <v>0.08080011124100674</v>
                </pt>
                <pt idx="4">
                  <v>0.08110480041188713</v>
                </pt>
                <pt idx="5">
                  <v>0.0805</v>
                </pt>
                <pt idx="6">
                  <v>0.0805</v>
                </pt>
                <pt idx="7">
                  <v>0.08157932643538243</v>
                </pt>
                <pt idx="8">
                  <v>0.08113978494623655</v>
                </pt>
                <pt idx="9">
                  <v>0.08085486883190589</v>
                </pt>
                <pt idx="10">
                  <v>0.07866013397654625</v>
                </pt>
                <pt idx="11">
                  <v>0.07874028921049535</v>
                </pt>
                <pt idx="12">
                  <v>0.07849982350864808</v>
                </pt>
                <pt idx="13">
                  <v>0.08147983870967741</v>
                </pt>
                <pt idx="14">
                  <v>0.07936055779269202</v>
                </pt>
                <pt idx="15">
                  <v>0.0799006711409396</v>
                </pt>
                <pt idx="16">
                  <v>0.07862285406208132</v>
                </pt>
                <pt idx="17">
                  <v>0.0799006711409396</v>
                </pt>
                <pt idx="18">
                  <v>0.08150000361247235</v>
                </pt>
                <pt idx="19">
                  <v>0.08049983467576599</v>
                </pt>
                <pt idx="20">
                  <v>0.0813749858375766</v>
                </pt>
                <pt idx="21">
                  <v>0.08099993251288935</v>
                </pt>
                <pt idx="22">
                  <v>0.08280967741935484</v>
                </pt>
                <pt idx="23">
                  <v>0.08089891235955057</v>
                </pt>
                <pt idx="24">
                  <v>0.07984980262898196</v>
                </pt>
                <pt idx="25">
                  <v>0.07773574999999999</v>
                </pt>
                <pt idx="26">
                  <v>0.07894999999999999</v>
                </pt>
                <pt idx="27">
                  <v>0.079175</v>
                </pt>
                <pt idx="28">
                  <v>0.07748099999999999</v>
                </pt>
                <pt idx="29">
                  <v>0.07854976635514019</v>
                </pt>
                <pt idx="30">
                  <v>0.07422754137115839</v>
                </pt>
                <pt idx="31">
                  <v>0.0726</v>
                </pt>
                <pt idx="32">
                  <v>0.0726</v>
                </pt>
                <pt idx="33">
                  <v>0.07485555555555555</v>
                </pt>
                <pt idx="34">
                  <v>0.07291063829787234</v>
                </pt>
                <pt idx="35">
                  <v>0.0709</v>
                </pt>
                <pt idx="36">
                  <v>0.07336595744680852</v>
                </pt>
                <pt idx="37">
                  <v>0.07530740740740741</v>
                </pt>
                <pt idx="38">
                  <v>0.07631793695950784</v>
                </pt>
                <pt idx="39">
                  <v>0.07559172728208848</v>
                </pt>
                <pt idx="40">
                  <v>0.07624157493869065</v>
                </pt>
                <pt idx="41">
                  <v>0.07481578985381637</v>
                </pt>
                <pt idx="42">
                  <v>0.07470097503900155</v>
                </pt>
                <pt idx="43">
                  <v>0.07249598350515464</v>
                </pt>
                <pt idx="44">
                  <v>0.07210320000000001</v>
                </pt>
                <pt idx="45">
                  <v>0.07199999999999999</v>
                </pt>
                <pt idx="46">
                  <v>0.07199999999999999</v>
                </pt>
                <pt idx="47">
                  <v>0.07210320000000001</v>
                </pt>
                <pt idx="48">
                  <v>0.07426904761904762</v>
                </pt>
                <pt idx="49">
                  <v>0.07199999999999999</v>
                </pt>
                <pt idx="50">
                  <v>0.07179898318658898</v>
                </pt>
                <pt idx="51">
                  <v>0.07188831168831168</v>
                </pt>
                <pt idx="52">
                  <v>0.07177712628072824</v>
                </pt>
                <pt idx="53">
                  <v>0.07182677953848485</v>
                </pt>
                <pt idx="54">
                  <v>0.07197207792207791</v>
                </pt>
                <pt idx="55">
                  <v>0.075</v>
                </pt>
                <pt idx="56">
                  <v>0.07250026504766161</v>
                </pt>
                <pt idx="57">
                  <v>0.07367212282709817</v>
                </pt>
                <pt idx="58">
                  <v>0.07242730917535659</v>
                </pt>
                <pt idx="59">
                  <v>0.07435202343197411</v>
                </pt>
                <pt idx="60">
                  <v>0.07191521463414634</v>
                </pt>
                <pt idx="61">
                  <v>0.0722813587419551</v>
                </pt>
                <pt idx="62">
                  <v>0.07220844155844156</v>
                </pt>
                <pt idx="63">
                  <v>0.0725001102924957</v>
                </pt>
                <pt idx="64">
                  <v>0.07250018767007865</v>
                </pt>
                <pt idx="65">
                  <v>0.07368615752167586</v>
                </pt>
                <pt idx="66">
                  <v>0.0730662851316918</v>
                </pt>
                <pt idx="67">
                  <v>0.07300681190300461</v>
                </pt>
                <pt idx="68">
                  <v>0.0739072380952381</v>
                </pt>
                <pt idx="69">
                  <v>0.07365316515243807</v>
                </pt>
                <pt idx="70">
                  <v>0.07357298674220072</v>
                </pt>
                <pt idx="71">
                  <v>0.07243786002429664</v>
                </pt>
                <pt idx="72">
                  <v>0.0736778603776098</v>
                </pt>
                <pt idx="73">
                  <v>0.0736818504212314</v>
                </pt>
                <pt idx="74">
                  <v>0.0736778603776098</v>
                </pt>
                <pt idx="75">
                  <v>0.07351351351351351</v>
                </pt>
                <pt idx="76">
                  <v>0.07355360271863219</v>
                </pt>
                <pt idx="77">
                  <v>0.07314892857142857</v>
                </pt>
                <pt idx="78">
                  <v>0.07237560975609757</v>
                </pt>
                <pt idx="79">
                  <v>0.07209505279866332</v>
                </pt>
                <pt idx="80">
                  <v>0.07106256606432777</v>
                </pt>
                <pt idx="81">
                  <v>0.07058035649283945</v>
                </pt>
                <pt idx="82">
                  <v>0.07065953656018971</v>
                </pt>
                <pt idx="83">
                  <v>0.07051075364268973</v>
                </pt>
                <pt idx="84">
                  <v>0.06994791666666667</v>
                </pt>
                <pt idx="85">
                  <v>0.06805983606557378</v>
                </pt>
                <pt idx="86">
                  <v>0.06833938082905711</v>
                </pt>
                <pt idx="87">
                  <v>0.068</v>
                </pt>
                <pt idx="88">
                  <v>0.06747632942179826</v>
                </pt>
                <pt idx="89">
                  <v>0.0668</v>
                </pt>
                <pt idx="90">
                  <v>0.0668</v>
                </pt>
                <pt idx="91">
                  <v>0.06578198821128996</v>
                </pt>
                <pt idx="92">
                  <v>0.06556082326942675</v>
                </pt>
                <pt idx="93">
                  <v>0.06490000455533171</v>
                </pt>
                <pt idx="94">
                  <v>0.06499993361000748</v>
                </pt>
                <pt idx="95">
                  <v>0.06499998340250188</v>
                </pt>
                <pt idx="96">
                  <v>0.06433834613818379</v>
                </pt>
                <pt idx="97">
                  <v>0.06531989672295427</v>
                </pt>
                <pt idx="98">
                  <v>0.06480413223140497</v>
                </pt>
                <pt idx="99">
                  <v>0.06544527027027026</v>
                </pt>
                <pt idx="100">
                  <v>0.06614839140012856</v>
                </pt>
                <pt idx="101">
                  <v>0.06671690504663956</v>
                </pt>
                <pt idx="102">
                  <v>0.06742695356413399</v>
                </pt>
                <pt idx="103">
                  <v>0.06779774509803921</v>
                </pt>
                <pt idx="104">
                  <v>0.06759323529411765</v>
                </pt>
                <pt idx="105">
                  <v>0.06843641377719419</v>
                </pt>
                <pt idx="106">
                  <v>0.06967484615384616</v>
                </pt>
                <pt idx="107">
                  <v>0.07000000000000001</v>
                </pt>
                <pt idx="108">
                  <v>0.07021708860759493</v>
                </pt>
                <pt idx="109">
                  <v>0.0704756329113924</v>
                </pt>
                <pt idx="110">
                  <v>0.07017904806705438</v>
                </pt>
                <pt idx="111">
                  <v>0.06992391891891891</v>
                </pt>
                <pt idx="112">
                  <v>0.06902581773618538</v>
                </pt>
                <pt idx="113">
                  <v>0.07001599999999999</v>
                </pt>
                <pt idx="114">
                  <v>0.07012054430379747</v>
                </pt>
                <pt idx="115">
                  <v>0.0719015873015873</v>
                </pt>
                <pt idx="116">
                  <v>0.07552352272727272</v>
                </pt>
                <pt idx="117">
                  <v>0.07588850309452094</v>
                </pt>
                <pt idx="118">
                  <v>0.07989534751450347</v>
                </pt>
                <pt idx="119">
                  <v>0.08000000000000002</v>
                </pt>
                <pt idx="120">
                  <v>0.07983363636363637</v>
                </pt>
                <pt idx="121">
                  <v>0.08000796116504856</v>
                </pt>
                <pt idx="122">
                  <v>0.07983363636363637</v>
                </pt>
                <pt idx="123">
                  <v>0.08000000000000002</v>
                </pt>
                <pt idx="124">
                  <v>0.08038564116504854</v>
                </pt>
                <pt idx="125">
                  <v>0.08086666666666667</v>
                </pt>
                <pt idx="126">
                  <v>0.08050357333333333</v>
                </pt>
                <pt idx="127">
                  <v>0.08066289777777777</v>
                </pt>
                <pt idx="128">
                  <v>0.08086666666666667</v>
                </pt>
                <pt idx="129">
                  <v>0.08066289777777777</v>
                </pt>
                <pt idx="130">
                  <v>0.07928235033259423</v>
                </pt>
                <pt idx="131">
                  <v>0.07907734292152704</v>
                </pt>
                <pt idx="132">
                  <v>0.07913184743124027</v>
                </pt>
              </numCache>
            </numRef>
          </val>
          <smooth val="0"/>
        </ser>
        <ser>
          <idx val="2"/>
          <order val="2"/>
          <tx>
            <strRef>
              <f>Charts!$N$2</f>
              <strCache>
                <ptCount val="1"/>
                <pt idx="0">
                  <v>Lower Quartile (ttm)</v>
                </pt>
              </strCache>
            </strRef>
          </tx>
          <spPr>
            <a:ln xmlns:a="http://schemas.openxmlformats.org/drawingml/2006/main" w="19050" cap="rnd">
              <a:noFill/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25"/>
              <spPr>
                <a:solidFill xmlns:a="http://schemas.openxmlformats.org/drawingml/2006/main">
                  <a:srgbClr val="003DA5"/>
                </a:solidFill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800" b="0" i="0" strike="noStrike" kern="1200" baseline="0">
                      <a:solidFill>
                        <a:schemeClr val="bg1"/>
                      </a:solidFill>
                      <a:latin typeface="Futura PT Light" panose="020B0402020204020303" pitchFamily="34" charset="0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9EA9B7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Charts!$B$86:$B$218</f>
              <numCache>
                <formatCode>[$-409]mmm\-yy;@</formatCode>
                <ptCount val="133"/>
                <pt idx="0">
                  <v>41974</v>
                </pt>
                <pt idx="1">
                  <v>42005</v>
                </pt>
                <pt idx="2">
                  <v>42036</v>
                </pt>
                <pt idx="3">
                  <v>42064</v>
                </pt>
                <pt idx="4">
                  <v>42095</v>
                </pt>
                <pt idx="5">
                  <v>42125</v>
                </pt>
                <pt idx="6">
                  <v>42156</v>
                </pt>
                <pt idx="7">
                  <v>42186</v>
                </pt>
                <pt idx="8">
                  <v>42217</v>
                </pt>
                <pt idx="9">
                  <v>42248</v>
                </pt>
                <pt idx="10">
                  <v>42278</v>
                </pt>
                <pt idx="11">
                  <v>42309</v>
                </pt>
                <pt idx="12">
                  <v>42339</v>
                </pt>
                <pt idx="13">
                  <v>42370</v>
                </pt>
                <pt idx="14">
                  <v>42401</v>
                </pt>
                <pt idx="15">
                  <v>42430</v>
                </pt>
                <pt idx="16">
                  <v>42461</v>
                </pt>
                <pt idx="17">
                  <v>42491</v>
                </pt>
                <pt idx="18">
                  <v>42522</v>
                </pt>
                <pt idx="19">
                  <v>42552</v>
                </pt>
                <pt idx="20">
                  <v>42583</v>
                </pt>
                <pt idx="21">
                  <v>42614</v>
                </pt>
                <pt idx="22">
                  <v>42644</v>
                </pt>
                <pt idx="23">
                  <v>42675</v>
                </pt>
                <pt idx="24">
                  <v>42705</v>
                </pt>
                <pt idx="25">
                  <v>42736</v>
                </pt>
                <pt idx="26">
                  <v>42767</v>
                </pt>
                <pt idx="27">
                  <v>42795</v>
                </pt>
                <pt idx="28">
                  <v>42826</v>
                </pt>
                <pt idx="29">
                  <v>42856</v>
                </pt>
                <pt idx="30">
                  <v>42887</v>
                </pt>
                <pt idx="31">
                  <v>42917</v>
                </pt>
                <pt idx="32">
                  <v>42948</v>
                </pt>
                <pt idx="33">
                  <v>42979</v>
                </pt>
                <pt idx="34">
                  <v>43009</v>
                </pt>
                <pt idx="35">
                  <v>43040</v>
                </pt>
                <pt idx="36">
                  <v>43070</v>
                </pt>
                <pt idx="37">
                  <v>43101</v>
                </pt>
                <pt idx="38">
                  <v>43132</v>
                </pt>
                <pt idx="39">
                  <v>43160</v>
                </pt>
                <pt idx="40">
                  <v>43191</v>
                </pt>
                <pt idx="41">
                  <v>43221</v>
                </pt>
                <pt idx="42">
                  <v>43252</v>
                </pt>
                <pt idx="43">
                  <v>43282</v>
                </pt>
                <pt idx="44">
                  <v>43313</v>
                </pt>
                <pt idx="45">
                  <v>43344</v>
                </pt>
                <pt idx="46">
                  <v>43374</v>
                </pt>
                <pt idx="47">
                  <v>43405</v>
                </pt>
                <pt idx="48">
                  <v>43435</v>
                </pt>
                <pt idx="49">
                  <v>43466</v>
                </pt>
                <pt idx="50">
                  <v>43497</v>
                </pt>
                <pt idx="51">
                  <v>43525</v>
                </pt>
                <pt idx="52">
                  <v>43556</v>
                </pt>
                <pt idx="53">
                  <v>43586</v>
                </pt>
                <pt idx="54">
                  <v>43617</v>
                </pt>
                <pt idx="55">
                  <v>43647</v>
                </pt>
                <pt idx="56">
                  <v>43678</v>
                </pt>
                <pt idx="57">
                  <v>43709</v>
                </pt>
                <pt idx="58">
                  <v>43739</v>
                </pt>
                <pt idx="59">
                  <v>43770</v>
                </pt>
                <pt idx="60">
                  <v>43800</v>
                </pt>
                <pt idx="61">
                  <v>43831</v>
                </pt>
                <pt idx="62">
                  <v>43862</v>
                </pt>
                <pt idx="63">
                  <v>43891</v>
                </pt>
                <pt idx="64">
                  <v>43922</v>
                </pt>
                <pt idx="65">
                  <v>43952</v>
                </pt>
                <pt idx="66">
                  <v>43983</v>
                </pt>
                <pt idx="67">
                  <v>44013</v>
                </pt>
                <pt idx="68">
                  <v>44044</v>
                </pt>
                <pt idx="69">
                  <v>44075</v>
                </pt>
                <pt idx="70">
                  <v>44105</v>
                </pt>
                <pt idx="71">
                  <v>44136</v>
                </pt>
                <pt idx="72">
                  <v>44166</v>
                </pt>
                <pt idx="73">
                  <v>44197</v>
                </pt>
                <pt idx="74">
                  <v>44228</v>
                </pt>
                <pt idx="75">
                  <v>44256</v>
                </pt>
                <pt idx="76">
                  <v>44287</v>
                </pt>
                <pt idx="77">
                  <v>44317</v>
                </pt>
                <pt idx="78">
                  <v>44348</v>
                </pt>
                <pt idx="79">
                  <v>44378</v>
                </pt>
                <pt idx="80">
                  <v>44409</v>
                </pt>
                <pt idx="81">
                  <v>44440</v>
                </pt>
                <pt idx="82">
                  <v>44470</v>
                </pt>
                <pt idx="83">
                  <v>44501</v>
                </pt>
                <pt idx="84">
                  <v>44531</v>
                </pt>
                <pt idx="85">
                  <v>44562</v>
                </pt>
                <pt idx="86">
                  <v>44593</v>
                </pt>
                <pt idx="87">
                  <v>44621</v>
                </pt>
                <pt idx="88">
                  <v>44652</v>
                </pt>
                <pt idx="89">
                  <v>44682</v>
                </pt>
                <pt idx="90">
                  <v>44713</v>
                </pt>
                <pt idx="91">
                  <v>44743</v>
                </pt>
                <pt idx="92">
                  <v>44774</v>
                </pt>
                <pt idx="93">
                  <v>44805</v>
                </pt>
                <pt idx="94">
                  <v>44835</v>
                </pt>
                <pt idx="95">
                  <v>44866</v>
                </pt>
                <pt idx="96">
                  <v>44896</v>
                </pt>
                <pt idx="97">
                  <v>44927</v>
                </pt>
                <pt idx="98">
                  <v>44958</v>
                </pt>
                <pt idx="99">
                  <v>44986</v>
                </pt>
                <pt idx="100">
                  <v>45017</v>
                </pt>
                <pt idx="101">
                  <v>45047</v>
                </pt>
                <pt idx="102">
                  <v>45078</v>
                </pt>
                <pt idx="103">
                  <v>45108</v>
                </pt>
                <pt idx="104">
                  <v>45139</v>
                </pt>
                <pt idx="105">
                  <v>45170</v>
                </pt>
                <pt idx="106">
                  <v>45200</v>
                </pt>
                <pt idx="107">
                  <v>45231</v>
                </pt>
                <pt idx="108">
                  <v>45261</v>
                </pt>
                <pt idx="109">
                  <v>45292</v>
                </pt>
                <pt idx="110">
                  <v>45323</v>
                </pt>
                <pt idx="111">
                  <v>45352</v>
                </pt>
                <pt idx="112">
                  <v>45383</v>
                </pt>
                <pt idx="113">
                  <v>45413</v>
                </pt>
                <pt idx="114">
                  <v>45444</v>
                </pt>
                <pt idx="115">
                  <v>45474</v>
                </pt>
                <pt idx="116">
                  <v>45505</v>
                </pt>
                <pt idx="117">
                  <v>45536</v>
                </pt>
                <pt idx="118">
                  <v>45566</v>
                </pt>
                <pt idx="119">
                  <v>45597</v>
                </pt>
                <pt idx="120">
                  <v>45627</v>
                </pt>
                <pt idx="121">
                  <v>45658</v>
                </pt>
                <pt idx="122">
                  <v>45689</v>
                </pt>
                <pt idx="123">
                  <v>45717</v>
                </pt>
                <pt idx="124">
                  <v>45748</v>
                </pt>
                <pt idx="125">
                  <v>45778</v>
                </pt>
                <pt idx="126">
                  <v>45809</v>
                </pt>
                <pt idx="127">
                  <v>45839</v>
                </pt>
                <pt idx="128">
                  <v>45870</v>
                </pt>
                <pt idx="129">
                  <v>45901</v>
                </pt>
                <pt idx="130">
                  <v>45931</v>
                </pt>
                <pt idx="131">
                  <v>45962</v>
                </pt>
                <pt idx="132">
                  <v>45992</v>
                </pt>
              </numCache>
            </numRef>
          </cat>
          <val>
            <numRef>
              <f>Charts!$N$86:$N$218</f>
              <numCache>
                <formatCode>0.00%</formatCode>
                <ptCount val="133"/>
                <pt idx="0">
                  <v>0.06750028169014084</v>
                </pt>
                <pt idx="1">
                  <v>0.06699997557612296</v>
                </pt>
                <pt idx="2">
                  <v>0.06712494102187479</v>
                </pt>
                <pt idx="3">
                  <v>0.0669999660336226</v>
                </pt>
                <pt idx="4">
                  <v>0.06682385032821481</v>
                </pt>
                <pt idx="5">
                  <v>0.06664773462280701</v>
                </pt>
                <pt idx="6">
                  <v>0.06629550321199143</v>
                </pt>
                <pt idx="7">
                  <v>0.0655</v>
                </pt>
                <pt idx="8">
                  <v>0.065</v>
                </pt>
                <pt idx="9">
                  <v>0.06525</v>
                </pt>
                <pt idx="10">
                  <v>0.065</v>
                </pt>
                <pt idx="11">
                  <v>0.065</v>
                </pt>
                <pt idx="12">
                  <v>0.065</v>
                </pt>
                <pt idx="13">
                  <v>0.06480357656465716</v>
                </pt>
                <pt idx="14">
                  <v>0.06445000376590959</v>
                </pt>
                <pt idx="15">
                  <v>0.06440000753181917</v>
                </pt>
                <pt idx="16">
                  <v>0.06406062153727096</v>
                </pt>
                <pt idx="17">
                  <v>0.062</v>
                </pt>
                <pt idx="18">
                  <v>0.06257972027972028</v>
                </pt>
                <pt idx="19">
                  <v>0.06203986013986014</v>
                </pt>
                <pt idx="20">
                  <v>0.06157478319829412</v>
                </pt>
                <pt idx="21">
                  <v>0.06099986887789047</v>
                </pt>
                <pt idx="22">
                  <v>0.06055773790715333</v>
                </pt>
                <pt idx="23">
                  <v>0.06</v>
                </pt>
                <pt idx="24">
                  <v>0.06033667242178475</v>
                </pt>
                <pt idx="25">
                  <v>0.06008670520231214</v>
                </pt>
                <pt idx="26">
                  <v>0.06</v>
                </pt>
                <pt idx="27">
                  <v>0.0599328296703297</v>
                </pt>
                <pt idx="28">
                  <v>0.05911228773798779</v>
                </pt>
                <pt idx="29">
                  <v>0.05967754583060194</v>
                </pt>
                <pt idx="30">
                  <v>0.05900832984462723</v>
                </pt>
                <pt idx="31">
                  <v>0.05897159975934388</v>
                </pt>
                <pt idx="32">
                  <v>0.0585025407639044</v>
                </pt>
                <pt idx="33">
                  <v>0.05824887065216733</v>
                </pt>
                <pt idx="34">
                  <v>0.05765690170693742</v>
                </pt>
                <pt idx="35">
                  <v>0.05736483126110124</v>
                </pt>
                <pt idx="36">
                  <v>0.05734858928300589</v>
                </pt>
                <pt idx="37">
                  <v>0.05742648766918271</v>
                </pt>
                <pt idx="38">
                  <v>0.05750057524671053</v>
                </pt>
                <pt idx="39">
                  <v>0.05749890493942218</v>
                </pt>
                <pt idx="40">
                  <v>0.0575</v>
                </pt>
                <pt idx="41">
                  <v>0.05750381517680396</v>
                </pt>
                <pt idx="42">
                  <v>0.05878390625638283</v>
                </pt>
                <pt idx="43">
                  <v>0.05834994176356402</v>
                </pt>
                <pt idx="44">
                  <v>0.05878390625638283</v>
                </pt>
                <pt idx="45">
                  <v>0.05900000102789055</v>
                </pt>
                <pt idx="46">
                  <v>0.05900000411156221</v>
                </pt>
                <pt idx="47">
                  <v>0.05912009598160603</v>
                </pt>
                <pt idx="48">
                  <v>0.05899357142857142</v>
                </pt>
                <pt idx="49">
                  <v>0.05900000411156221</v>
                </pt>
                <pt idx="50">
                  <v>0.05898071428571429</v>
                </pt>
                <pt idx="51">
                  <v>0.059</v>
                </pt>
                <pt idx="52">
                  <v>0.059</v>
                </pt>
                <pt idx="53">
                  <v>0.05821326489212452</v>
                </pt>
                <pt idx="54">
                  <v>0.05801788467315614</v>
                </pt>
                <pt idx="55">
                  <v>0.05826056497175141</v>
                </pt>
                <pt idx="56">
                  <v>0.0588</v>
                </pt>
                <pt idx="57">
                  <v>0.05843333562673166</v>
                </pt>
                <pt idx="58">
                  <v>0.0588</v>
                </pt>
                <pt idx="59">
                  <v>0.0588</v>
                </pt>
                <pt idx="60">
                  <v>0.0588</v>
                </pt>
                <pt idx="61">
                  <v>0.05805355257207336</v>
                </pt>
                <pt idx="62">
                  <v>0.05850000458679666</v>
                </pt>
                <pt idx="63">
                  <v>0.05850000458679666</v>
                </pt>
                <pt idx="64">
                  <v>0.0588</v>
                </pt>
                <pt idx="65">
                  <v>0.05885</v>
                </pt>
                <pt idx="66">
                  <v>0.05865000229339833</v>
                </pt>
                <pt idx="67">
                  <v>0.05920481582744741</v>
                </pt>
                <pt idx="68">
                  <v>0.05920385964912281</v>
                </pt>
                <pt idx="69">
                  <v>0.0589762508567512</v>
                </pt>
                <pt idx="70">
                  <v>0.05800043225577303</v>
                </pt>
                <pt idx="71">
                  <v>0.05825107176739162</v>
                </pt>
                <pt idx="72">
                  <v>0.0580017590981478</v>
                </pt>
                <pt idx="73">
                  <v>0.05865002373245712</v>
                </pt>
                <pt idx="74">
                  <v>0.05850003510627472</v>
                </pt>
                <pt idx="75">
                  <v>0.05849999803035615</v>
                </pt>
                <pt idx="76">
                  <v>0.05787666700018611</v>
                </pt>
                <pt idx="77">
                  <v>0.05737073604818308</v>
                </pt>
                <pt idx="78">
                  <v>0.05700000543539073</v>
                </pt>
                <pt idx="79">
                  <v>0.05699223963795279</v>
                </pt>
                <pt idx="80">
                  <v>0.05606058823529412</v>
                </pt>
                <pt idx="81">
                  <v>0.05542722503569991</v>
                </pt>
                <pt idx="82">
                  <v>0.05503277806637689</v>
                </pt>
                <pt idx="83">
                  <v>0.05403893277777778</v>
                </pt>
                <pt idx="84">
                  <v>0.05434014445202447</v>
                </pt>
                <pt idx="85">
                  <v>0.05406097666666667</v>
                </pt>
                <pt idx="86">
                  <v>0.05352067183581348</v>
                </pt>
                <pt idx="87">
                  <v>0.0534294337516227</v>
                </pt>
                <pt idx="88">
                  <v>0.05333182970477602</v>
                </pt>
                <pt idx="89">
                  <v>0.05281922338117225</v>
                </pt>
                <pt idx="90">
                  <v>0.05281922338117225</v>
                </pt>
                <pt idx="91">
                  <v>0.05252807714344711</v>
                </pt>
                <pt idx="92">
                  <v>0.0525530318211216</v>
                </pt>
                <pt idx="93">
                  <v>0.0524999998504353</v>
                </pt>
                <pt idx="94">
                  <v>0.05250312246577262</v>
                </pt>
                <pt idx="95">
                  <v>0.05250703211481619</v>
                </pt>
                <pt idx="96">
                  <v>0.0525</v>
                </pt>
                <pt idx="97">
                  <v>0.05263456437291898</v>
                </pt>
                <pt idx="98">
                  <v>0.05281011934357441</v>
                </pt>
                <pt idx="99">
                  <v>0.05337926312921439</v>
                </pt>
                <pt idx="100">
                  <v>0.05337926312921439</v>
                </pt>
                <pt idx="101">
                  <v>0.0538733230481848</v>
                </pt>
                <pt idx="102">
                  <v>0.0543269260988611</v>
                </pt>
                <pt idx="103">
                  <v>0.05485315423976608</v>
                </pt>
                <pt idx="104">
                  <v>0.0561742206756537</v>
                </pt>
                <pt idx="105">
                  <v>0.05797333125606715</v>
                </pt>
                <pt idx="106">
                  <v>0.05921500019733333</v>
                </pt>
                <pt idx="107">
                  <v>0.0597837972166998</v>
                </pt>
                <pt idx="108">
                  <v>0.05965506499877361</v>
                </pt>
                <pt idx="109">
                  <v>0.05915000059200001</v>
                </pt>
                <pt idx="110">
                  <v>0.05965506499877361</v>
                </pt>
                <pt idx="111">
                  <v>0.05935185185185185</v>
                </pt>
                <pt idx="112">
                  <v>0.05928592592592592</v>
                </pt>
                <pt idx="113">
                  <v>0.05997913907284768</v>
                </pt>
                <pt idx="114">
                  <v>0.05998956953642384</v>
                </pt>
                <pt idx="115">
                  <v>0.06</v>
                </pt>
                <pt idx="116">
                  <v>0.06146556925127052</v>
                </pt>
                <pt idx="117">
                  <v>0.06221459999999999</v>
                </pt>
                <pt idx="118">
                  <v>0.06289785651988435</v>
                </pt>
                <pt idx="119">
                  <v>0.06350000692461018</v>
                </pt>
                <pt idx="120">
                  <v>0.06433592984595711</v>
                </pt>
                <pt idx="121">
                  <v>0.0655967362992123</v>
                </pt>
                <pt idx="122">
                  <v>0.06608515285475863</v>
                </pt>
                <pt idx="123">
                  <v>0.06571231506561639</v>
                </pt>
                <pt idx="124">
                  <v>0.06646180623121169</v>
                </pt>
                <pt idx="125">
                  <v>0.06684227519497553</v>
                </pt>
                <pt idx="126">
                  <v>0.06542928964060307</v>
                </pt>
                <pt idx="127">
                  <v>0.06646562181852247</v>
                </pt>
                <pt idx="128">
                  <v>0.0656592362992123</v>
                </pt>
                <pt idx="129">
                  <v>0.0656061575328082</v>
                </pt>
                <pt idx="130">
                  <v>0.06535431505653926</v>
                </pt>
                <pt idx="131">
                  <v>0.06520436588841164</v>
                </pt>
                <pt idx="132">
                  <v>0.06535431505653926</v>
                </pt>
              </numCache>
            </numRef>
          </val>
          <smooth val="0"/>
        </ser>
        <ser>
          <idx val="3"/>
          <order val="3"/>
          <tx>
            <strRef>
              <f>Charts!$O$2</f>
              <strCache>
                <ptCount val="1"/>
                <pt idx="0">
                  <v>Cap (ttm)</v>
                </pt>
              </strCache>
            </strRef>
          </tx>
          <spPr>
            <a:ln xmlns:a="http://schemas.openxmlformats.org/drawingml/2006/main" w="1905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62B5E5"/>
              </a:solidFill>
              <a:ln xmlns:a="http://schemas.openxmlformats.org/drawingml/2006/main" w="38100">
                <a:noFill/>
                <a:prstDash val="solid"/>
              </a:ln>
            </spPr>
          </marker>
          <dLbls>
            <dLbl>
              <idx val="132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 xmlns:a="http://schemas.openxmlformats.org/drawingml/2006/main">
                <a:srgbClr val="62B5E5"/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 algn="ctr">
                  <a:defRPr sz="800" b="0" i="0" strike="noStrike" kern="1200" baseline="0">
                    <a:solidFill>
                      <a:schemeClr val="bg1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Charts!$B$86:$B$218</f>
              <numCache>
                <formatCode>[$-409]mmm\-yy;@</formatCode>
                <ptCount val="133"/>
                <pt idx="0">
                  <v>41974</v>
                </pt>
                <pt idx="1">
                  <v>42005</v>
                </pt>
                <pt idx="2">
                  <v>42036</v>
                </pt>
                <pt idx="3">
                  <v>42064</v>
                </pt>
                <pt idx="4">
                  <v>42095</v>
                </pt>
                <pt idx="5">
                  <v>42125</v>
                </pt>
                <pt idx="6">
                  <v>42156</v>
                </pt>
                <pt idx="7">
                  <v>42186</v>
                </pt>
                <pt idx="8">
                  <v>42217</v>
                </pt>
                <pt idx="9">
                  <v>42248</v>
                </pt>
                <pt idx="10">
                  <v>42278</v>
                </pt>
                <pt idx="11">
                  <v>42309</v>
                </pt>
                <pt idx="12">
                  <v>42339</v>
                </pt>
                <pt idx="13">
                  <v>42370</v>
                </pt>
                <pt idx="14">
                  <v>42401</v>
                </pt>
                <pt idx="15">
                  <v>42430</v>
                </pt>
                <pt idx="16">
                  <v>42461</v>
                </pt>
                <pt idx="17">
                  <v>42491</v>
                </pt>
                <pt idx="18">
                  <v>42522</v>
                </pt>
                <pt idx="19">
                  <v>42552</v>
                </pt>
                <pt idx="20">
                  <v>42583</v>
                </pt>
                <pt idx="21">
                  <v>42614</v>
                </pt>
                <pt idx="22">
                  <v>42644</v>
                </pt>
                <pt idx="23">
                  <v>42675</v>
                </pt>
                <pt idx="24">
                  <v>42705</v>
                </pt>
                <pt idx="25">
                  <v>42736</v>
                </pt>
                <pt idx="26">
                  <v>42767</v>
                </pt>
                <pt idx="27">
                  <v>42795</v>
                </pt>
                <pt idx="28">
                  <v>42826</v>
                </pt>
                <pt idx="29">
                  <v>42856</v>
                </pt>
                <pt idx="30">
                  <v>42887</v>
                </pt>
                <pt idx="31">
                  <v>42917</v>
                </pt>
                <pt idx="32">
                  <v>42948</v>
                </pt>
                <pt idx="33">
                  <v>42979</v>
                </pt>
                <pt idx="34">
                  <v>43009</v>
                </pt>
                <pt idx="35">
                  <v>43040</v>
                </pt>
                <pt idx="36">
                  <v>43070</v>
                </pt>
                <pt idx="37">
                  <v>43101</v>
                </pt>
                <pt idx="38">
                  <v>43132</v>
                </pt>
                <pt idx="39">
                  <v>43160</v>
                </pt>
                <pt idx="40">
                  <v>43191</v>
                </pt>
                <pt idx="41">
                  <v>43221</v>
                </pt>
                <pt idx="42">
                  <v>43252</v>
                </pt>
                <pt idx="43">
                  <v>43282</v>
                </pt>
                <pt idx="44">
                  <v>43313</v>
                </pt>
                <pt idx="45">
                  <v>43344</v>
                </pt>
                <pt idx="46">
                  <v>43374</v>
                </pt>
                <pt idx="47">
                  <v>43405</v>
                </pt>
                <pt idx="48">
                  <v>43435</v>
                </pt>
                <pt idx="49">
                  <v>43466</v>
                </pt>
                <pt idx="50">
                  <v>43497</v>
                </pt>
                <pt idx="51">
                  <v>43525</v>
                </pt>
                <pt idx="52">
                  <v>43556</v>
                </pt>
                <pt idx="53">
                  <v>43586</v>
                </pt>
                <pt idx="54">
                  <v>43617</v>
                </pt>
                <pt idx="55">
                  <v>43647</v>
                </pt>
                <pt idx="56">
                  <v>43678</v>
                </pt>
                <pt idx="57">
                  <v>43709</v>
                </pt>
                <pt idx="58">
                  <v>43739</v>
                </pt>
                <pt idx="59">
                  <v>43770</v>
                </pt>
                <pt idx="60">
                  <v>43800</v>
                </pt>
                <pt idx="61">
                  <v>43831</v>
                </pt>
                <pt idx="62">
                  <v>43862</v>
                </pt>
                <pt idx="63">
                  <v>43891</v>
                </pt>
                <pt idx="64">
                  <v>43922</v>
                </pt>
                <pt idx="65">
                  <v>43952</v>
                </pt>
                <pt idx="66">
                  <v>43983</v>
                </pt>
                <pt idx="67">
                  <v>44013</v>
                </pt>
                <pt idx="68">
                  <v>44044</v>
                </pt>
                <pt idx="69">
                  <v>44075</v>
                </pt>
                <pt idx="70">
                  <v>44105</v>
                </pt>
                <pt idx="71">
                  <v>44136</v>
                </pt>
                <pt idx="72">
                  <v>44166</v>
                </pt>
                <pt idx="73">
                  <v>44197</v>
                </pt>
                <pt idx="74">
                  <v>44228</v>
                </pt>
                <pt idx="75">
                  <v>44256</v>
                </pt>
                <pt idx="76">
                  <v>44287</v>
                </pt>
                <pt idx="77">
                  <v>44317</v>
                </pt>
                <pt idx="78">
                  <v>44348</v>
                </pt>
                <pt idx="79">
                  <v>44378</v>
                </pt>
                <pt idx="80">
                  <v>44409</v>
                </pt>
                <pt idx="81">
                  <v>44440</v>
                </pt>
                <pt idx="82">
                  <v>44470</v>
                </pt>
                <pt idx="83">
                  <v>44501</v>
                </pt>
                <pt idx="84">
                  <v>44531</v>
                </pt>
                <pt idx="85">
                  <v>44562</v>
                </pt>
                <pt idx="86">
                  <v>44593</v>
                </pt>
                <pt idx="87">
                  <v>44621</v>
                </pt>
                <pt idx="88">
                  <v>44652</v>
                </pt>
                <pt idx="89">
                  <v>44682</v>
                </pt>
                <pt idx="90">
                  <v>44713</v>
                </pt>
                <pt idx="91">
                  <v>44743</v>
                </pt>
                <pt idx="92">
                  <v>44774</v>
                </pt>
                <pt idx="93">
                  <v>44805</v>
                </pt>
                <pt idx="94">
                  <v>44835</v>
                </pt>
                <pt idx="95">
                  <v>44866</v>
                </pt>
                <pt idx="96">
                  <v>44896</v>
                </pt>
                <pt idx="97">
                  <v>44927</v>
                </pt>
                <pt idx="98">
                  <v>44958</v>
                </pt>
                <pt idx="99">
                  <v>44986</v>
                </pt>
                <pt idx="100">
                  <v>45017</v>
                </pt>
                <pt idx="101">
                  <v>45047</v>
                </pt>
                <pt idx="102">
                  <v>45078</v>
                </pt>
                <pt idx="103">
                  <v>45108</v>
                </pt>
                <pt idx="104">
                  <v>45139</v>
                </pt>
                <pt idx="105">
                  <v>45170</v>
                </pt>
                <pt idx="106">
                  <v>45200</v>
                </pt>
                <pt idx="107">
                  <v>45231</v>
                </pt>
                <pt idx="108">
                  <v>45261</v>
                </pt>
                <pt idx="109">
                  <v>45292</v>
                </pt>
                <pt idx="110">
                  <v>45323</v>
                </pt>
                <pt idx="111">
                  <v>45352</v>
                </pt>
                <pt idx="112">
                  <v>45383</v>
                </pt>
                <pt idx="113">
                  <v>45413</v>
                </pt>
                <pt idx="114">
                  <v>45444</v>
                </pt>
                <pt idx="115">
                  <v>45474</v>
                </pt>
                <pt idx="116">
                  <v>45505</v>
                </pt>
                <pt idx="117">
                  <v>45536</v>
                </pt>
                <pt idx="118">
                  <v>45566</v>
                </pt>
                <pt idx="119">
                  <v>45597</v>
                </pt>
                <pt idx="120">
                  <v>45627</v>
                </pt>
                <pt idx="121">
                  <v>45658</v>
                </pt>
                <pt idx="122">
                  <v>45689</v>
                </pt>
                <pt idx="123">
                  <v>45717</v>
                </pt>
                <pt idx="124">
                  <v>45748</v>
                </pt>
                <pt idx="125">
                  <v>45778</v>
                </pt>
                <pt idx="126">
                  <v>45809</v>
                </pt>
                <pt idx="127">
                  <v>45839</v>
                </pt>
                <pt idx="128">
                  <v>45870</v>
                </pt>
                <pt idx="129">
                  <v>45901</v>
                </pt>
                <pt idx="130">
                  <v>45931</v>
                </pt>
                <pt idx="131">
                  <v>45962</v>
                </pt>
                <pt idx="132">
                  <v>45992</v>
                </pt>
              </numCache>
            </numRef>
          </cat>
          <val>
            <numRef>
              <f>Charts!$O$86:$O$2118</f>
              <numCache>
                <formatCode>0.00%</formatCode>
                <ptCount val="2033"/>
                <pt idx="0">
                  <v>0.07578944811142714</v>
                </pt>
                <pt idx="1">
                  <v>0.07450822623790057</v>
                </pt>
                <pt idx="2">
                  <v>0.0748212130163661</v>
                </pt>
                <pt idx="3">
                  <v>0.07447425807346346</v>
                </pt>
                <pt idx="4">
                  <v>0.07431879660813705</v>
                </pt>
                <pt idx="5">
                  <v>0.07395649127093133</v>
                </pt>
                <pt idx="6">
                  <v>0.07376579026901599</v>
                </pt>
                <pt idx="7">
                  <v>0.07444402444708222</v>
                </pt>
                <pt idx="8">
                  <v>0.07407061474846265</v>
                </pt>
                <pt idx="9">
                  <v>0.07377138182079936</v>
                </pt>
                <pt idx="10">
                  <v>0.07219740719728061</v>
                </pt>
                <pt idx="11">
                  <v>0.07278183707486016</v>
                </pt>
                <pt idx="12">
                  <v>0.07248550875479116</v>
                </pt>
                <pt idx="13">
                  <v>0.07368732842518112</v>
                </pt>
                <pt idx="14">
                  <v>0.07269789273557897</v>
                </pt>
                <pt idx="15">
                  <v>0.07274847467426293</v>
                </pt>
                <pt idx="16">
                  <v>0.07232024419439242</v>
                </pt>
                <pt idx="17">
                  <v>0.07213949064475951</v>
                </pt>
                <pt idx="18">
                  <v>0.07243831872765109</v>
                </pt>
                <pt idx="19">
                  <v>0.0718744353800746</v>
                </pt>
                <pt idx="20">
                  <v>0.07200063740510393</v>
                </pt>
                <pt idx="21">
                  <v>0.07128023235046271</v>
                </pt>
                <pt idx="22">
                  <v>0.0715512194989136</v>
                </pt>
                <pt idx="23">
                  <v>0.07041557969325238</v>
                </pt>
                <pt idx="24">
                  <v>0.07020398551158774</v>
                </pt>
                <pt idx="25">
                  <v>0.06923234112072375</v>
                </pt>
                <pt idx="26">
                  <v>0.06932853499538837</v>
                </pt>
                <pt idx="27">
                  <v>0.06923941036643801</v>
                </pt>
                <pt idx="28">
                  <v>0.06835581196593991</v>
                </pt>
                <pt idx="29">
                  <v>0.06857404418206207</v>
                </pt>
                <pt idx="30">
                  <v>0.06750235031800444</v>
                </pt>
                <pt idx="31">
                  <v>0.06669880172521735</v>
                </pt>
                <pt idx="32">
                  <v>0.06642241087247849</v>
                </pt>
                <pt idx="33">
                  <v>0.06694895432054268</v>
                </pt>
                <pt idx="34">
                  <v>0.06615594798175241</v>
                </pt>
                <pt idx="35">
                  <v>0.06525222911368257</v>
                </pt>
                <pt idx="36">
                  <v>0.06608462134072861</v>
                </pt>
                <pt idx="37">
                  <v>0.0668390277203094</v>
                </pt>
                <pt idx="38">
                  <v>0.06731239684323154</v>
                </pt>
                <pt idx="39">
                  <v>0.06707871764517764</v>
                </pt>
                <pt idx="40">
                  <v>0.06757194328125563</v>
                </pt>
                <pt idx="41">
                  <v>0.06709199324361101</v>
                </pt>
                <pt idx="42">
                  <v>0.06785217716473922</v>
                </pt>
                <pt idx="43">
                  <v>0.06749849396894056</v>
                </pt>
                <pt idx="44">
                  <v>0.06748711923169888</v>
                </pt>
                <pt idx="45">
                  <v>0.06741824607167178</v>
                </pt>
                <pt idx="46">
                  <v>0.06771948720514523</v>
                </pt>
                <pt idx="47">
                  <v>0.06798373044990387</v>
                </pt>
                <pt idx="48">
                  <v>0.0683879371231329</v>
                </pt>
                <pt idx="49">
                  <v>0.0677908251366976</v>
                </pt>
                <pt idx="50">
                  <v>0.0674439970848166</v>
                </pt>
                <pt idx="51">
                  <v>0.06770484588265294</v>
                </pt>
                <pt idx="52">
                  <v>0.06740550229920654</v>
                </pt>
                <pt idx="53">
                  <v>0.06748575348070879</v>
                </pt>
                <pt idx="54">
                  <v>0.06772911733217046</v>
                </pt>
                <pt idx="55">
                  <v>0.06864841476110145</v>
                </pt>
                <pt idx="56">
                  <v>0.06856459026697614</v>
                </pt>
                <pt idx="57">
                  <v>0.06856385990028772</v>
                </pt>
                <pt idx="58">
                  <v>0.06845057541756258</v>
                </pt>
                <pt idx="59">
                  <v>0.06907082310996231</v>
                </pt>
                <pt idx="60">
                  <v>0.06796765570071588</v>
                </pt>
                <pt idx="61">
                  <v>0.06793735017703435</v>
                </pt>
                <pt idx="62">
                  <v>0.06790814711936694</v>
                </pt>
                <pt idx="63">
                  <v>0.06796839592790678</v>
                </pt>
                <pt idx="64">
                  <v>0.06825116978453064</v>
                </pt>
                <pt idx="65">
                  <v>0.06850984905495079</v>
                </pt>
                <pt idx="66">
                  <v>0.06799111157999896</v>
                </pt>
                <pt idx="67">
                  <v>0.06761381853641917</v>
                </pt>
                <pt idx="68">
                  <v>0.06810909813358677</v>
                </pt>
                <pt idx="69">
                  <v>0.06767559504289941</v>
                </pt>
                <pt idx="70">
                  <v>0.06715470361753413</v>
                </pt>
                <pt idx="71">
                  <v>0.06675297879827767</v>
                </pt>
                <pt idx="72">
                  <v>0.06691854263676829</v>
                </pt>
                <pt idx="73">
                  <v>0.06721528827717387</v>
                </pt>
                <pt idx="74">
                  <v>0.0670016126929578</v>
                </pt>
                <pt idx="75">
                  <v>0.06664335207146974</v>
                </pt>
                <pt idx="76">
                  <v>0.06640436345153757</v>
                </pt>
                <pt idx="77">
                  <v>0.06641782212926005</v>
                </pt>
                <pt idx="78">
                  <v>0.06586278523147038</v>
                </pt>
                <pt idx="79">
                  <v>0.06554782215978457</v>
                </pt>
                <pt idx="80">
                  <v>0.06473700820923996</v>
                </pt>
                <pt idx="81">
                  <v>0.06464702772909438</v>
                </pt>
                <pt idx="82">
                  <v>0.06465933203855226</v>
                </pt>
                <pt idx="83">
                  <v>0.06414848323805783</v>
                </pt>
                <pt idx="84">
                  <v>0.06365503690673245</v>
                </pt>
                <pt idx="85">
                  <v>0.06292517746819148</v>
                </pt>
                <pt idx="86">
                  <v>0.06270783040301148</v>
                </pt>
                <pt idx="87">
                  <v>0.06251294350005461</v>
                </pt>
                <pt idx="88">
                  <v>0.06196223754029977</v>
                </pt>
                <pt idx="89">
                  <v>0.0611219150111189</v>
                </pt>
                <pt idx="90">
                  <v>0.06098750001853061</v>
                </pt>
                <pt idx="91">
                  <v>0.06067955218894338</v>
                </pt>
                <pt idx="92">
                  <v>0.06061497222932025</v>
                </pt>
                <pt idx="93">
                  <v>0.05972276366061087</v>
                </pt>
                <pt idx="94">
                  <v>0.05958662909321532</v>
                </pt>
                <pt idx="95">
                  <v>0.05976627815029072</v>
                </pt>
                <pt idx="96">
                  <v>0.05975421046592588</v>
                </pt>
                <pt idx="97">
                  <v>0.06068193557155058</v>
                </pt>
                <pt idx="98">
                  <v>0.06061565199454341</v>
                </pt>
                <pt idx="99">
                  <v>0.06090543413917997</v>
                </pt>
                <pt idx="100">
                  <v>0.06131357676180284</v>
                </pt>
                <pt idx="101">
                  <v>0.06184145854783223</v>
                </pt>
                <pt idx="102">
                  <v>0.0626425499822308</v>
                </pt>
                <pt idx="103">
                  <v>0.06298828847378626</v>
                </pt>
                <pt idx="104">
                  <v>0.06333728386511216</v>
                </pt>
                <pt idx="105">
                  <v>0.06577295700445765</v>
                </pt>
                <pt idx="106">
                  <v>0.06761934706891123</v>
                </pt>
                <pt idx="107">
                  <v>0.06822110438808224</v>
                </pt>
                <pt idx="108">
                  <v>0.06857331700864777</v>
                </pt>
                <pt idx="109">
                  <v>0.06804480592904615</v>
                </pt>
                <pt idx="110">
                  <v>0.06839395205582059</v>
                </pt>
                <pt idx="111">
                  <v>0.06855739401812153</v>
                </pt>
                <pt idx="112">
                  <v>0.06800970308277683</v>
                </pt>
                <pt idx="113">
                  <v>0.06889906108129741</v>
                </pt>
                <pt idx="114">
                  <v>0.06903774307629906</v>
                </pt>
                <pt idx="115">
                  <v>0.07009922595924239</v>
                </pt>
                <pt idx="116">
                  <v>0.07126942509260983</v>
                </pt>
                <pt idx="117">
                  <v>0.07081808643886894</v>
                </pt>
                <pt idx="118">
                  <v>0.07140708014331382</v>
                </pt>
                <pt idx="119">
                  <v>0.07212328935856348</v>
                </pt>
                <pt idx="120">
                  <v>0.07223199812456563</v>
                </pt>
                <pt idx="121">
                  <v>0.07314327329104096</v>
                </pt>
                <pt idx="122">
                  <v>0.07303608365278089</v>
                </pt>
                <pt idx="123">
                  <v>0.07338222713650767</v>
                </pt>
                <pt idx="124">
                  <v>0.07395566174542396</v>
                </pt>
                <pt idx="125">
                  <v>0.07451977969528215</v>
                </pt>
                <pt idx="126">
                  <v>0.073996329254925</v>
                </pt>
                <pt idx="127">
                  <v>0.07617727027486344</v>
                </pt>
                <pt idx="128">
                  <v>0.07634352008136983</v>
                </pt>
                <pt idx="129">
                  <v>0.07637743563308891</v>
                </pt>
                <pt idx="130">
                  <v>0.07554695432914431</v>
                </pt>
                <pt idx="131">
                  <v>0.0755048885769085</v>
                </pt>
                <pt idx="132">
                  <v>0.075689339818898</v>
                </pt>
                <pt idx="133">
                  <v>0.07530078746031707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12700" cap="flat" cmpd="sng" algn="ctr">
              <a:solidFill>
                <a:srgbClr val="003DA5"/>
              </a:solidFill>
              <a:prstDash val="solid"/>
              <a:round/>
            </a:ln>
          </spPr>
        </hiLowLines>
        <axId val="613095672"/>
        <axId val="613099608"/>
      </stock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dateAx>
        <axId val="613095672"/>
        <scaling>
          <orientation val="minMax"/>
        </scaling>
        <delete val="1"/>
        <axPos val="b"/>
        <numFmt formatCode="[$-409]mmm\-yy;@" sourceLinked="1"/>
        <majorTickMark val="none"/>
        <minorTickMark val="none"/>
        <tickLblPos val="nextTo"/>
        <crossAx val="613099608"/>
        <crosses val="autoZero"/>
        <lblOffset val="100"/>
        <baseTimeUnit val="months"/>
      </dateAx>
      <valAx>
        <axId val="613099608"/>
        <scaling>
          <orientation val="minMax"/>
          <max val="0.08500000000000002"/>
          <min val="0.05000000000000001"/>
        </scaling>
        <delete val="0"/>
        <axPos val="r"/>
        <majorGridlines>
          <spPr>
            <a:ln xmlns:a="http://schemas.openxmlformats.org/drawingml/2006/main" w="6350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13095672"/>
        <crosses val="max"/>
        <crossBetween val="between"/>
      </valAx>
    </plotArea>
    <legend>
      <legendPos val="b"/>
      <legendEntry>
        <idx val="1"/>
        <delete val="1"/>
      </legendEntry>
      <legendEntry>
        <idx val="2"/>
        <delete val="1"/>
      </legendEntry>
      <layout>
        <manualLayout>
          <xMode val="edge"/>
          <yMode val="edge"/>
          <wMode val="factor"/>
          <hMode val="factor"/>
          <x val="0.4017106156953958"/>
          <y val="0.9231630091765686"/>
          <w val="0.1965786574696456"/>
          <h val="0.06352495674462418"/>
        </manualLayout>
      </layout>
      <overlay val="0"/>
      <spPr>
        <a:noFill xmlns:a="http://schemas.openxmlformats.org/drawingml/2006/main"/>
        <a:ln xmlns:a="http://schemas.openxmlformats.org/drawingml/2006/main" w="635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9EA9B7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Charts!$AK$2</f>
              <strCache>
                <ptCount val="1"/>
                <pt idx="0">
                  <v>Days on Market (ttm)</v>
                </pt>
              </strCache>
            </strRef>
          </tx>
          <spPr>
            <a:solidFill xmlns:a="http://schemas.openxmlformats.org/drawingml/2006/main">
              <a:srgbClr val="E0E8F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dLbl>
              <idx val="6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0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 xmlns:a="http://schemas.openxmlformats.org/drawingml/2006/main">
                <a:srgbClr val="E0E8F4"/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003DA5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Charts!$B$128:$B$218</f>
              <numCache>
                <formatCode>[$-409]mmm\-yy;@</formatCode>
                <ptCount val="91"/>
                <pt idx="0">
                  <v>43252</v>
                </pt>
                <pt idx="1">
                  <v>43282</v>
                </pt>
                <pt idx="2">
                  <v>43313</v>
                </pt>
                <pt idx="3">
                  <v>43344</v>
                </pt>
                <pt idx="4">
                  <v>43374</v>
                </pt>
                <pt idx="5">
                  <v>43405</v>
                </pt>
                <pt idx="6">
                  <v>43435</v>
                </pt>
                <pt idx="7">
                  <v>43466</v>
                </pt>
                <pt idx="8">
                  <v>43497</v>
                </pt>
                <pt idx="9">
                  <v>43525</v>
                </pt>
                <pt idx="10">
                  <v>43556</v>
                </pt>
                <pt idx="11">
                  <v>43586</v>
                </pt>
                <pt idx="12">
                  <v>43617</v>
                </pt>
                <pt idx="13">
                  <v>43647</v>
                </pt>
                <pt idx="14">
                  <v>43678</v>
                </pt>
                <pt idx="15">
                  <v>43709</v>
                </pt>
                <pt idx="16">
                  <v>43739</v>
                </pt>
                <pt idx="17">
                  <v>43770</v>
                </pt>
                <pt idx="18">
                  <v>43800</v>
                </pt>
                <pt idx="19">
                  <v>43831</v>
                </pt>
                <pt idx="20">
                  <v>43862</v>
                </pt>
                <pt idx="21">
                  <v>43891</v>
                </pt>
                <pt idx="22">
                  <v>43922</v>
                </pt>
                <pt idx="23">
                  <v>43952</v>
                </pt>
                <pt idx="24">
                  <v>43983</v>
                </pt>
                <pt idx="25">
                  <v>44013</v>
                </pt>
                <pt idx="26">
                  <v>44044</v>
                </pt>
                <pt idx="27">
                  <v>44075</v>
                </pt>
                <pt idx="28">
                  <v>44105</v>
                </pt>
                <pt idx="29">
                  <v>44136</v>
                </pt>
                <pt idx="30">
                  <v>44166</v>
                </pt>
                <pt idx="31">
                  <v>44197</v>
                </pt>
                <pt idx="32">
                  <v>44228</v>
                </pt>
                <pt idx="33">
                  <v>44256</v>
                </pt>
                <pt idx="34">
                  <v>44287</v>
                </pt>
                <pt idx="35">
                  <v>44317</v>
                </pt>
                <pt idx="36">
                  <v>44348</v>
                </pt>
                <pt idx="37">
                  <v>44378</v>
                </pt>
                <pt idx="38">
                  <v>44409</v>
                </pt>
                <pt idx="39">
                  <v>44440</v>
                </pt>
                <pt idx="40">
                  <v>44470</v>
                </pt>
                <pt idx="41">
                  <v>44501</v>
                </pt>
                <pt idx="42">
                  <v>44531</v>
                </pt>
                <pt idx="43">
                  <v>44562</v>
                </pt>
                <pt idx="44">
                  <v>44593</v>
                </pt>
                <pt idx="45">
                  <v>44621</v>
                </pt>
                <pt idx="46">
                  <v>44652</v>
                </pt>
                <pt idx="47">
                  <v>44682</v>
                </pt>
                <pt idx="48">
                  <v>44713</v>
                </pt>
                <pt idx="49">
                  <v>44743</v>
                </pt>
                <pt idx="50">
                  <v>44774</v>
                </pt>
                <pt idx="51">
                  <v>44805</v>
                </pt>
                <pt idx="52">
                  <v>44835</v>
                </pt>
                <pt idx="53">
                  <v>44866</v>
                </pt>
                <pt idx="54">
                  <v>44896</v>
                </pt>
                <pt idx="55">
                  <v>44927</v>
                </pt>
                <pt idx="56">
                  <v>44958</v>
                </pt>
                <pt idx="57">
                  <v>44986</v>
                </pt>
                <pt idx="58">
                  <v>45017</v>
                </pt>
                <pt idx="59">
                  <v>45047</v>
                </pt>
                <pt idx="60">
                  <v>45078</v>
                </pt>
                <pt idx="61">
                  <v>45108</v>
                </pt>
                <pt idx="62">
                  <v>45139</v>
                </pt>
                <pt idx="63">
                  <v>45170</v>
                </pt>
                <pt idx="64">
                  <v>45200</v>
                </pt>
                <pt idx="65">
                  <v>45231</v>
                </pt>
                <pt idx="66">
                  <v>45261</v>
                </pt>
                <pt idx="67">
                  <v>45292</v>
                </pt>
                <pt idx="68">
                  <v>45323</v>
                </pt>
                <pt idx="69">
                  <v>45352</v>
                </pt>
                <pt idx="70">
                  <v>45383</v>
                </pt>
                <pt idx="71">
                  <v>45413</v>
                </pt>
                <pt idx="72">
                  <v>45444</v>
                </pt>
                <pt idx="73">
                  <v>45474</v>
                </pt>
                <pt idx="74">
                  <v>45505</v>
                </pt>
                <pt idx="75">
                  <v>45536</v>
                </pt>
                <pt idx="76">
                  <v>45566</v>
                </pt>
                <pt idx="77">
                  <v>45597</v>
                </pt>
                <pt idx="78">
                  <v>45627</v>
                </pt>
                <pt idx="79">
                  <v>45658</v>
                </pt>
                <pt idx="80">
                  <v>45689</v>
                </pt>
                <pt idx="81">
                  <v>45717</v>
                </pt>
                <pt idx="82">
                  <v>45748</v>
                </pt>
                <pt idx="83">
                  <v>45778</v>
                </pt>
                <pt idx="84">
                  <v>45809</v>
                </pt>
                <pt idx="85">
                  <v>45839</v>
                </pt>
                <pt idx="86">
                  <v>45870</v>
                </pt>
                <pt idx="87">
                  <v>45901</v>
                </pt>
                <pt idx="88">
                  <v>45931</v>
                </pt>
                <pt idx="89">
                  <v>45962</v>
                </pt>
                <pt idx="90">
                  <v>45992</v>
                </pt>
              </numCache>
            </numRef>
          </cat>
          <val>
            <numRef>
              <f>Charts!$AK$128:$AK$218</f>
              <numCache>
                <formatCode>#,##0_);[Red]\(#,##0\)</formatCode>
                <ptCount val="91"/>
                <pt idx="0">
                  <v>168.025</v>
                </pt>
                <pt idx="1">
                  <v>168.3333333333333</v>
                </pt>
                <pt idx="2">
                  <v>165.5955882352941</v>
                </pt>
                <pt idx="3">
                  <v>166.9352517985612</v>
                </pt>
                <pt idx="4">
                  <v>168.2307692307692</v>
                </pt>
                <pt idx="5">
                  <v>171.2676056338028</v>
                </pt>
                <pt idx="6">
                  <v>176.5724137931034</v>
                </pt>
                <pt idx="7">
                  <v>185.972602739726</v>
                </pt>
                <pt idx="8">
                  <v>187.9727891156463</v>
                </pt>
                <pt idx="9">
                  <v>189.887323943662</v>
                </pt>
                <pt idx="10">
                  <v>186.0422535211268</v>
                </pt>
                <pt idx="11">
                  <v>192.5460992907801</v>
                </pt>
                <pt idx="12">
                  <v>193.0359712230216</v>
                </pt>
                <pt idx="13">
                  <v>196.5147058823529</v>
                </pt>
                <pt idx="14">
                  <v>197.1268656716418</v>
                </pt>
                <pt idx="15">
                  <v>199.8125</v>
                </pt>
                <pt idx="16">
                  <v>200.5769230769231</v>
                </pt>
                <pt idx="17">
                  <v>221.7857142857143</v>
                </pt>
                <pt idx="18">
                  <v>221.056</v>
                </pt>
                <pt idx="19">
                  <v>222.5806451612903</v>
                </pt>
                <pt idx="20">
                  <v>216.9624060150376</v>
                </pt>
                <pt idx="21">
                  <v>213.6304347826087</v>
                </pt>
                <pt idx="22">
                  <v>210.9861111111111</v>
                </pt>
                <pt idx="23">
                  <v>207.6285714285714</v>
                </pt>
                <pt idx="24">
                  <v>214.7894736842105</v>
                </pt>
                <pt idx="25">
                  <v>215.7388059701493</v>
                </pt>
                <pt idx="26">
                  <v>223.5984848484848</v>
                </pt>
                <pt idx="27">
                  <v>227.984962406015</v>
                </pt>
                <pt idx="28">
                  <v>225.8014705882353</v>
                </pt>
                <pt idx="29">
                  <v>212.6</v>
                </pt>
                <pt idx="30">
                  <v>218.9558823529412</v>
                </pt>
                <pt idx="31">
                  <v>215.3970588235294</v>
                </pt>
                <pt idx="32">
                  <v>223.6796875</v>
                </pt>
                <pt idx="33">
                  <v>225.824427480916</v>
                </pt>
                <pt idx="34">
                  <v>229.0522388059701</v>
                </pt>
                <pt idx="35">
                  <v>226.5797101449275</v>
                </pt>
                <pt idx="36">
                  <v>219.0469798657718</v>
                </pt>
                <pt idx="37">
                  <v>219.2702702702703</v>
                </pt>
                <pt idx="38">
                  <v>215.6959459459459</v>
                </pt>
                <pt idx="39">
                  <v>212.9477124183007</v>
                </pt>
                <pt idx="40">
                  <v>208.1032258064516</v>
                </pt>
                <pt idx="41">
                  <v>214.4489795918367</v>
                </pt>
                <pt idx="42">
                  <v>212.6308724832215</v>
                </pt>
                <pt idx="43">
                  <v>224.9096774193548</v>
                </pt>
                <pt idx="44">
                  <v>218.1049382716049</v>
                </pt>
                <pt idx="45">
                  <v>215.7612903225806</v>
                </pt>
                <pt idx="46">
                  <v>217.5625</v>
                </pt>
                <pt idx="47">
                  <v>212.7676056338028</v>
                </pt>
                <pt idx="48">
                  <v>216.4318181818182</v>
                </pt>
                <pt idx="49">
                  <v>220.5483870967742</v>
                </pt>
                <pt idx="50">
                  <v>220.608</v>
                </pt>
                <pt idx="51">
                  <v>220.7241379310345</v>
                </pt>
                <pt idx="52">
                  <v>224.7657657657658</v>
                </pt>
                <pt idx="53">
                  <v>206.9304347826087</v>
                </pt>
                <pt idx="54">
                  <v>205.1171171171171</v>
                </pt>
                <pt idx="55">
                  <v>184</v>
                </pt>
                <pt idx="56">
                  <v>189.3555555555556</v>
                </pt>
                <pt idx="57">
                  <v>185.4731182795699</v>
                </pt>
                <pt idx="58">
                  <v>175.7849462365591</v>
                </pt>
                <pt idx="59">
                  <v>181.6444444444444</v>
                </pt>
                <pt idx="60">
                  <v>182.4886363636364</v>
                </pt>
                <pt idx="61">
                  <v>176.4574468085106</v>
                </pt>
                <pt idx="62">
                  <v>173.4204545454545</v>
                </pt>
                <pt idx="63">
                  <v>176.6629213483146</v>
                </pt>
                <pt idx="64">
                  <v>192.0574712643678</v>
                </pt>
                <pt idx="65">
                  <v>193.8571428571429</v>
                </pt>
                <pt idx="66">
                  <v>187.1829268292683</v>
                </pt>
                <pt idx="67">
                  <v>193</v>
                </pt>
                <pt idx="68">
                  <v>199.6385542168675</v>
                </pt>
                <pt idx="69">
                  <v>208.28</v>
                </pt>
                <pt idx="70">
                  <v>219.0579710144928</v>
                </pt>
                <pt idx="71">
                  <v>223.8513513513514</v>
                </pt>
                <pt idx="72">
                  <v>227.7361111111111</v>
                </pt>
                <pt idx="73">
                  <v>236.0307692307692</v>
                </pt>
                <pt idx="74">
                  <v>252.6307692307692</v>
                </pt>
                <pt idx="75">
                  <v>258.8196721311475</v>
                </pt>
                <pt idx="76">
                  <v>244.1206896551724</v>
                </pt>
                <pt idx="77">
                  <v>269</v>
                </pt>
                <pt idx="78">
                  <v>274.2307692307692</v>
                </pt>
                <pt idx="79">
                  <v>282.1060606060606</v>
                </pt>
                <pt idx="80">
                  <v>264.4</v>
                </pt>
                <pt idx="81">
                  <v>276.2368421052632</v>
                </pt>
                <pt idx="82">
                  <v>271.5308641975309</v>
                </pt>
                <pt idx="83">
                  <v>277.12</v>
                </pt>
                <pt idx="84">
                  <v>274.780487804878</v>
                </pt>
                <pt idx="85">
                  <v>282.5057471264368</v>
                </pt>
                <pt idx="86">
                  <v>267.8295454545454</v>
                </pt>
                <pt idx="87">
                  <v>271.4651162790698</v>
                </pt>
                <pt idx="88">
                  <v>274.6041666666667</v>
                </pt>
                <pt idx="89">
                  <v>263.032967032967</v>
                </pt>
                <pt idx="90">
                  <v>254.6263736263736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20"/>
        <overlap val="-27"/>
        <axId val="497854144"/>
        <axId val="497856768"/>
      </barChart>
      <lineChart>
        <grouping val="standard"/>
        <varyColors val="0"/>
        <ser>
          <idx val="1"/>
          <order val="1"/>
          <tx>
            <strRef>
              <f>Charts!$AL$2</f>
              <strCache>
                <ptCount val="1"/>
                <pt idx="0">
                  <v>% of Ask</v>
                </pt>
              </strCache>
            </strRef>
          </tx>
          <spPr>
            <a:ln xmlns:a="http://schemas.openxmlformats.org/drawingml/2006/main" w="6350" cap="rnd">
              <a:solidFill>
                <a:srgbClr val="003DA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003DA5"/>
              </a:solidFill>
              <a:ln xmlns:a="http://schemas.openxmlformats.org/drawingml/2006/main" w="9525">
                <a:noFill/>
                <a:prstDash val="solid"/>
              </a:ln>
            </spPr>
          </marker>
          <dLbls>
            <dLbl>
              <idx val="4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0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 xmlns:a="http://schemas.openxmlformats.org/drawingml/2006/main">
                <a:srgbClr val="003DA5"/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Charts!$B$128:$B$218</f>
              <numCache>
                <formatCode>[$-409]mmm\-yy;@</formatCode>
                <ptCount val="91"/>
                <pt idx="0">
                  <v>43252</v>
                </pt>
                <pt idx="1">
                  <v>43282</v>
                </pt>
                <pt idx="2">
                  <v>43313</v>
                </pt>
                <pt idx="3">
                  <v>43344</v>
                </pt>
                <pt idx="4">
                  <v>43374</v>
                </pt>
                <pt idx="5">
                  <v>43405</v>
                </pt>
                <pt idx="6">
                  <v>43435</v>
                </pt>
                <pt idx="7">
                  <v>43466</v>
                </pt>
                <pt idx="8">
                  <v>43497</v>
                </pt>
                <pt idx="9">
                  <v>43525</v>
                </pt>
                <pt idx="10">
                  <v>43556</v>
                </pt>
                <pt idx="11">
                  <v>43586</v>
                </pt>
                <pt idx="12">
                  <v>43617</v>
                </pt>
                <pt idx="13">
                  <v>43647</v>
                </pt>
                <pt idx="14">
                  <v>43678</v>
                </pt>
                <pt idx="15">
                  <v>43709</v>
                </pt>
                <pt idx="16">
                  <v>43739</v>
                </pt>
                <pt idx="17">
                  <v>43770</v>
                </pt>
                <pt idx="18">
                  <v>43800</v>
                </pt>
                <pt idx="19">
                  <v>43831</v>
                </pt>
                <pt idx="20">
                  <v>43862</v>
                </pt>
                <pt idx="21">
                  <v>43891</v>
                </pt>
                <pt idx="22">
                  <v>43922</v>
                </pt>
                <pt idx="23">
                  <v>43952</v>
                </pt>
                <pt idx="24">
                  <v>43983</v>
                </pt>
                <pt idx="25">
                  <v>44013</v>
                </pt>
                <pt idx="26">
                  <v>44044</v>
                </pt>
                <pt idx="27">
                  <v>44075</v>
                </pt>
                <pt idx="28">
                  <v>44105</v>
                </pt>
                <pt idx="29">
                  <v>44136</v>
                </pt>
                <pt idx="30">
                  <v>44166</v>
                </pt>
                <pt idx="31">
                  <v>44197</v>
                </pt>
                <pt idx="32">
                  <v>44228</v>
                </pt>
                <pt idx="33">
                  <v>44256</v>
                </pt>
                <pt idx="34">
                  <v>44287</v>
                </pt>
                <pt idx="35">
                  <v>44317</v>
                </pt>
                <pt idx="36">
                  <v>44348</v>
                </pt>
                <pt idx="37">
                  <v>44378</v>
                </pt>
                <pt idx="38">
                  <v>44409</v>
                </pt>
                <pt idx="39">
                  <v>44440</v>
                </pt>
                <pt idx="40">
                  <v>44470</v>
                </pt>
                <pt idx="41">
                  <v>44501</v>
                </pt>
                <pt idx="42">
                  <v>44531</v>
                </pt>
                <pt idx="43">
                  <v>44562</v>
                </pt>
                <pt idx="44">
                  <v>44593</v>
                </pt>
                <pt idx="45">
                  <v>44621</v>
                </pt>
                <pt idx="46">
                  <v>44652</v>
                </pt>
                <pt idx="47">
                  <v>44682</v>
                </pt>
                <pt idx="48">
                  <v>44713</v>
                </pt>
                <pt idx="49">
                  <v>44743</v>
                </pt>
                <pt idx="50">
                  <v>44774</v>
                </pt>
                <pt idx="51">
                  <v>44805</v>
                </pt>
                <pt idx="52">
                  <v>44835</v>
                </pt>
                <pt idx="53">
                  <v>44866</v>
                </pt>
                <pt idx="54">
                  <v>44896</v>
                </pt>
                <pt idx="55">
                  <v>44927</v>
                </pt>
                <pt idx="56">
                  <v>44958</v>
                </pt>
                <pt idx="57">
                  <v>44986</v>
                </pt>
                <pt idx="58">
                  <v>45017</v>
                </pt>
                <pt idx="59">
                  <v>45047</v>
                </pt>
                <pt idx="60">
                  <v>45078</v>
                </pt>
                <pt idx="61">
                  <v>45108</v>
                </pt>
                <pt idx="62">
                  <v>45139</v>
                </pt>
                <pt idx="63">
                  <v>45170</v>
                </pt>
                <pt idx="64">
                  <v>45200</v>
                </pt>
                <pt idx="65">
                  <v>45231</v>
                </pt>
                <pt idx="66">
                  <v>45261</v>
                </pt>
                <pt idx="67">
                  <v>45292</v>
                </pt>
                <pt idx="68">
                  <v>45323</v>
                </pt>
                <pt idx="69">
                  <v>45352</v>
                </pt>
                <pt idx="70">
                  <v>45383</v>
                </pt>
                <pt idx="71">
                  <v>45413</v>
                </pt>
                <pt idx="72">
                  <v>45444</v>
                </pt>
                <pt idx="73">
                  <v>45474</v>
                </pt>
                <pt idx="74">
                  <v>45505</v>
                </pt>
                <pt idx="75">
                  <v>45536</v>
                </pt>
                <pt idx="76">
                  <v>45566</v>
                </pt>
                <pt idx="77">
                  <v>45597</v>
                </pt>
                <pt idx="78">
                  <v>45627</v>
                </pt>
                <pt idx="79">
                  <v>45658</v>
                </pt>
                <pt idx="80">
                  <v>45689</v>
                </pt>
                <pt idx="81">
                  <v>45717</v>
                </pt>
                <pt idx="82">
                  <v>45748</v>
                </pt>
                <pt idx="83">
                  <v>45778</v>
                </pt>
                <pt idx="84">
                  <v>45809</v>
                </pt>
                <pt idx="85">
                  <v>45839</v>
                </pt>
                <pt idx="86">
                  <v>45870</v>
                </pt>
                <pt idx="87">
                  <v>45901</v>
                </pt>
                <pt idx="88">
                  <v>45931</v>
                </pt>
                <pt idx="89">
                  <v>45962</v>
                </pt>
                <pt idx="90">
                  <v>45992</v>
                </pt>
              </numCache>
            </numRef>
          </cat>
          <val>
            <numRef>
              <f>Charts!$AL$128:$AL$218</f>
              <numCache>
                <formatCode>0.0%</formatCode>
                <ptCount val="91"/>
                <pt idx="0">
                  <v>0.9384268982471196</v>
                </pt>
                <pt idx="1">
                  <v>0.9393033076602885</v>
                </pt>
                <pt idx="2">
                  <v>0.9396878131463935</v>
                </pt>
                <pt idx="3">
                  <v>0.9386113179194199</v>
                </pt>
                <pt idx="4">
                  <v>0.9381664048779538</v>
                </pt>
                <pt idx="5">
                  <v>0.9376987369015951</v>
                </pt>
                <pt idx="6">
                  <v>0.9334873985346943</v>
                </pt>
                <pt idx="7">
                  <v>0.9323772908221248</v>
                </pt>
                <pt idx="8">
                  <v>0.9320035046419893</v>
                </pt>
                <pt idx="9">
                  <v>0.9322331058941628</v>
                </pt>
                <pt idx="10">
                  <v>0.9360825769891656</v>
                </pt>
                <pt idx="11">
                  <v>0.9334151335075408</v>
                </pt>
                <pt idx="12">
                  <v>0.9376137357324502</v>
                </pt>
                <pt idx="13">
                  <v>0.9360205689612197</v>
                </pt>
                <pt idx="14">
                  <v>0.9336307216989692</v>
                </pt>
                <pt idx="15">
                  <v>0.9284609777463503</v>
                </pt>
                <pt idx="16">
                  <v>0.9302299099655397</v>
                </pt>
                <pt idx="17">
                  <v>0.9248470106517197</v>
                </pt>
                <pt idx="18">
                  <v>0.9320504827108422</v>
                </pt>
                <pt idx="19">
                  <v>0.9308846897989764</v>
                </pt>
                <pt idx="20">
                  <v>0.9333332022683287</v>
                </pt>
                <pt idx="21">
                  <v>0.9325957589105228</v>
                </pt>
                <pt idx="22">
                  <v>0.9311634073074835</v>
                </pt>
                <pt idx="23">
                  <v>0.9338908805978002</v>
                </pt>
                <pt idx="24">
                  <v>0.9299061439533096</v>
                </pt>
                <pt idx="25">
                  <v>0.9297651625047029</v>
                </pt>
                <pt idx="26">
                  <v>0.928792243126131</v>
                </pt>
                <pt idx="27">
                  <v>0.9338624017907706</v>
                </pt>
                <pt idx="28">
                  <v>0.9336036758901232</v>
                </pt>
                <pt idx="29">
                  <v>0.9337168021032433</v>
                </pt>
                <pt idx="30">
                  <v>0.9340823344987066</v>
                </pt>
                <pt idx="31">
                  <v>0.937020504652313</v>
                </pt>
                <pt idx="32">
                  <v>0.9359044681711389</v>
                </pt>
                <pt idx="33">
                  <v>0.9346626108427677</v>
                </pt>
                <pt idx="34">
                  <v>0.9336124292792898</v>
                </pt>
                <pt idx="35">
                  <v>0.9338509153661048</v>
                </pt>
                <pt idx="36">
                  <v>0.9366673289696971</v>
                </pt>
                <pt idx="37">
                  <v>0.9396880927735265</v>
                </pt>
                <pt idx="38">
                  <v>0.9435838791776949</v>
                </pt>
                <pt idx="39">
                  <v>0.9472325619971829</v>
                </pt>
                <pt idx="40">
                  <v>0.9489073785792159</v>
                </pt>
                <pt idx="41">
                  <v>0.9508038005885335</v>
                </pt>
                <pt idx="42">
                  <v>0.9529144969216766</v>
                </pt>
                <pt idx="43">
                  <v>0.9525342584173191</v>
                </pt>
                <pt idx="44">
                  <v>0.9420990721674305</v>
                </pt>
                <pt idx="45">
                  <v>0.9441821393810813</v>
                </pt>
                <pt idx="46">
                  <v>0.9473752317707473</v>
                </pt>
                <pt idx="47">
                  <v>0.9478293956299693</v>
                </pt>
                <pt idx="48">
                  <v>0.9501405897506809</v>
                </pt>
                <pt idx="49">
                  <v>0.9491554691630942</v>
                </pt>
                <pt idx="50">
                  <v>0.9454676571749073</v>
                </pt>
                <pt idx="51">
                  <v>0.9398116751085256</v>
                </pt>
                <pt idx="52">
                  <v>0.9364181194577293</v>
                </pt>
                <pt idx="53">
                  <v>0.9401344524907518</v>
                </pt>
                <pt idx="54">
                  <v>0.9337298040262949</v>
                </pt>
                <pt idx="55">
                  <v>0.9320705398645169</v>
                </pt>
                <pt idx="56">
                  <v>0.9464196483683315</v>
                </pt>
                <pt idx="57">
                  <v>0.9423324613573582</v>
                </pt>
                <pt idx="58">
                  <v>0.9371114626208559</v>
                </pt>
                <pt idx="59">
                  <v>0.9356929384740654</v>
                </pt>
                <pt idx="60">
                  <v>0.9275908490829428</v>
                </pt>
                <pt idx="61">
                  <v>0.9278408824377686</v>
                </pt>
                <pt idx="62">
                  <v>0.9282206966968559</v>
                </pt>
                <pt idx="63">
                  <v>0.9215873041028452</v>
                </pt>
                <pt idx="64">
                  <v>0.9180782277193658</v>
                </pt>
                <pt idx="65">
                  <v>0.9103617084710097</v>
                </pt>
                <pt idx="66">
                  <v>0.9116724969964257</v>
                </pt>
                <pt idx="67">
                  <v>0.9048016139608853</v>
                </pt>
                <pt idx="68">
                  <v>0.9011282488146597</v>
                </pt>
                <pt idx="69">
                  <v>0.9011132548615968</v>
                </pt>
                <pt idx="70">
                  <v>0.9031397868234816</v>
                </pt>
                <pt idx="71">
                  <v>0.9015362874100641</v>
                </pt>
                <pt idx="72">
                  <v>0.8967205732573776</v>
                </pt>
                <pt idx="73">
                  <v>0.8891119928355103</v>
                </pt>
                <pt idx="74">
                  <v>0.8856509864518678</v>
                </pt>
                <pt idx="75">
                  <v>0.8932508547749536</v>
                </pt>
                <pt idx="76">
                  <v>0.8900277989789448</v>
                </pt>
                <pt idx="77">
                  <v>0.8950558878644427</v>
                </pt>
                <pt idx="78">
                  <v>0.8936389217320252</v>
                </pt>
                <pt idx="79">
                  <v>0.8936703823661186</v>
                </pt>
                <pt idx="80">
                  <v>0.9016821348162937</v>
                </pt>
                <pt idx="81">
                  <v>0.895940043177088</v>
                </pt>
                <pt idx="82">
                  <v>0.8969512619117656</v>
                </pt>
                <pt idx="83">
                  <v>0.8973390861217544</v>
                </pt>
                <pt idx="84">
                  <v>0.9108593438394321</v>
                </pt>
                <pt idx="85">
                  <v>0.9001162332192426</v>
                </pt>
                <pt idx="86">
                  <v>0.9023128822503264</v>
                </pt>
                <pt idx="87">
                  <v>0.8985335275739238</v>
                </pt>
                <pt idx="88">
                  <v>0.897113176895293</v>
                </pt>
                <pt idx="89">
                  <v>0.8935636351323132</v>
                </pt>
                <pt idx="90">
                  <v>0.8993191295917251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97852176"/>
        <axId val="497851848"/>
      </lineChart>
      <dateAx>
        <axId val="497854144"/>
        <scaling>
          <orientation val="minMax"/>
        </scaling>
        <delete val="0"/>
        <axPos val="b"/>
        <numFmt formatCode="[$-409]m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97856768"/>
        <crosses val="autoZero"/>
        <lblOffset val="100"/>
        <baseTimeUnit val="months"/>
        <majorUnit val="1"/>
      </dateAx>
      <valAx>
        <axId val="497856768"/>
        <scaling>
          <orientation val="minMax"/>
        </scaling>
        <delete val="0"/>
        <axPos val="l"/>
        <majorGridlines>
          <spPr>
            <a:ln xmlns:a="http://schemas.openxmlformats.org/drawingml/2006/main" w="6350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97854144"/>
        <crosses val="autoZero"/>
        <crossBetween val="between"/>
      </valAx>
      <dateAx>
        <axId val="497852176"/>
        <scaling>
          <orientation val="minMax"/>
        </scaling>
        <delete val="1"/>
        <axPos val="b"/>
        <numFmt formatCode="[$-409]mmm\-yy;@" sourceLinked="1"/>
        <majorTickMark val="none"/>
        <minorTickMark val="none"/>
        <tickLblPos val="nextTo"/>
        <crossAx val="497851848"/>
        <crosses val="autoZero"/>
        <lblOffset val="100"/>
        <baseTimeUnit val="months"/>
      </dateAx>
      <valAx>
        <axId val="497851848"/>
        <scaling>
          <orientation val="minMax"/>
          <min val="0.8400000000000001"/>
        </scaling>
        <delete val="0"/>
        <axPos val="r"/>
        <numFmt formatCode="0.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97852176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635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9EA9B7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/>
      <lineChart>
        <grouping val="stacked"/>
        <varyColors val="0"/>
        <ser>
          <idx val="0"/>
          <order val="0"/>
          <tx>
            <strRef>
              <f>Charts!$AM$2</f>
              <strCache>
                <ptCount val="1"/>
                <pt idx="0">
                  <v>Last Ask (ttm)</v>
                </pt>
              </strCache>
            </strRef>
          </tx>
          <spPr>
            <a:ln xmlns:a="http://schemas.openxmlformats.org/drawingml/2006/main" w="28575" cap="rnd">
              <a:noFill/>
              <a:prstDash val="solid"/>
              <a:round/>
            </a:ln>
          </spPr>
          <marker>
            <symbol val="dash"/>
            <size val="7"/>
            <spPr>
              <a:solidFill xmlns:a="http://schemas.openxmlformats.org/drawingml/2006/main">
                <a:srgbClr val="62B5E5"/>
              </a:solidFill>
              <a:ln xmlns:a="http://schemas.openxmlformats.org/drawingml/2006/main" w="19050">
                <a:solidFill>
                  <a:srgbClr val="62B5E5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-5400000" spcFirstLastPara="1" vertOverflow="ellipsis" wrap="square" anchor="ctr" anchorCtr="1"/>
              <a:lstStyle xmlns:a="http://schemas.openxmlformats.org/drawingml/2006/main"/>
              <a:p xmlns:a="http://schemas.openxmlformats.org/drawingml/2006/main">
                <a:pPr>
                  <a:defRPr sz="700" b="0" i="0" strike="noStrike" kern="1200" baseline="0">
                    <a:solidFill>
                      <a:srgbClr val="62B5E5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Charts!$B$125:$B$218</f>
              <numCache>
                <formatCode>[$-409]mmm\-yy;@</formatCode>
                <ptCount val="94"/>
                <pt idx="0">
                  <v>43160</v>
                </pt>
                <pt idx="1">
                  <v>43191</v>
                </pt>
                <pt idx="2">
                  <v>43221</v>
                </pt>
                <pt idx="3">
                  <v>43252</v>
                </pt>
                <pt idx="4">
                  <v>43282</v>
                </pt>
                <pt idx="5">
                  <v>43313</v>
                </pt>
                <pt idx="6">
                  <v>43344</v>
                </pt>
                <pt idx="7">
                  <v>43374</v>
                </pt>
                <pt idx="8">
                  <v>43405</v>
                </pt>
                <pt idx="9">
                  <v>43435</v>
                </pt>
                <pt idx="10">
                  <v>43466</v>
                </pt>
                <pt idx="11">
                  <v>43497</v>
                </pt>
                <pt idx="12">
                  <v>43525</v>
                </pt>
                <pt idx="13">
                  <v>43556</v>
                </pt>
                <pt idx="14">
                  <v>43586</v>
                </pt>
                <pt idx="15">
                  <v>43617</v>
                </pt>
                <pt idx="16">
                  <v>43647</v>
                </pt>
                <pt idx="17">
                  <v>43678</v>
                </pt>
                <pt idx="18">
                  <v>43709</v>
                </pt>
                <pt idx="19">
                  <v>43739</v>
                </pt>
                <pt idx="20">
                  <v>43770</v>
                </pt>
                <pt idx="21">
                  <v>43800</v>
                </pt>
                <pt idx="22">
                  <v>43831</v>
                </pt>
                <pt idx="23">
                  <v>43862</v>
                </pt>
                <pt idx="24">
                  <v>43891</v>
                </pt>
                <pt idx="25">
                  <v>43922</v>
                </pt>
                <pt idx="26">
                  <v>43952</v>
                </pt>
                <pt idx="27">
                  <v>43983</v>
                </pt>
                <pt idx="28">
                  <v>44013</v>
                </pt>
                <pt idx="29">
                  <v>44044</v>
                </pt>
                <pt idx="30">
                  <v>44075</v>
                </pt>
                <pt idx="31">
                  <v>44105</v>
                </pt>
                <pt idx="32">
                  <v>44136</v>
                </pt>
                <pt idx="33">
                  <v>44166</v>
                </pt>
                <pt idx="34">
                  <v>44197</v>
                </pt>
                <pt idx="35">
                  <v>44228</v>
                </pt>
                <pt idx="36">
                  <v>44256</v>
                </pt>
                <pt idx="37">
                  <v>44287</v>
                </pt>
                <pt idx="38">
                  <v>44317</v>
                </pt>
                <pt idx="39">
                  <v>44348</v>
                </pt>
                <pt idx="40">
                  <v>44378</v>
                </pt>
                <pt idx="41">
                  <v>44409</v>
                </pt>
                <pt idx="42">
                  <v>44440</v>
                </pt>
                <pt idx="43">
                  <v>44470</v>
                </pt>
                <pt idx="44">
                  <v>44501</v>
                </pt>
                <pt idx="45">
                  <v>44531</v>
                </pt>
                <pt idx="46">
                  <v>44562</v>
                </pt>
                <pt idx="47">
                  <v>44593</v>
                </pt>
                <pt idx="48">
                  <v>44621</v>
                </pt>
                <pt idx="49">
                  <v>44652</v>
                </pt>
                <pt idx="50">
                  <v>44682</v>
                </pt>
                <pt idx="51">
                  <v>44713</v>
                </pt>
                <pt idx="52">
                  <v>44743</v>
                </pt>
                <pt idx="53">
                  <v>44774</v>
                </pt>
                <pt idx="54">
                  <v>44805</v>
                </pt>
                <pt idx="55">
                  <v>44835</v>
                </pt>
                <pt idx="56">
                  <v>44866</v>
                </pt>
                <pt idx="57">
                  <v>44896</v>
                </pt>
                <pt idx="58">
                  <v>44927</v>
                </pt>
                <pt idx="59">
                  <v>44958</v>
                </pt>
                <pt idx="60">
                  <v>44986</v>
                </pt>
                <pt idx="61">
                  <v>45017</v>
                </pt>
                <pt idx="62">
                  <v>45047</v>
                </pt>
                <pt idx="63">
                  <v>45078</v>
                </pt>
                <pt idx="64">
                  <v>45108</v>
                </pt>
                <pt idx="65">
                  <v>45139</v>
                </pt>
                <pt idx="66">
                  <v>45170</v>
                </pt>
                <pt idx="67">
                  <v>45200</v>
                </pt>
                <pt idx="68">
                  <v>45231</v>
                </pt>
                <pt idx="69">
                  <v>45261</v>
                </pt>
                <pt idx="70">
                  <v>45292</v>
                </pt>
                <pt idx="71">
                  <v>45323</v>
                </pt>
                <pt idx="72">
                  <v>45352</v>
                </pt>
                <pt idx="73">
                  <v>45383</v>
                </pt>
                <pt idx="74">
                  <v>45413</v>
                </pt>
                <pt idx="75">
                  <v>45444</v>
                </pt>
                <pt idx="76">
                  <v>45474</v>
                </pt>
                <pt idx="77">
                  <v>45505</v>
                </pt>
                <pt idx="78">
                  <v>45536</v>
                </pt>
                <pt idx="79">
                  <v>45566</v>
                </pt>
                <pt idx="80">
                  <v>45597</v>
                </pt>
                <pt idx="81">
                  <v>45627</v>
                </pt>
                <pt idx="82">
                  <v>45658</v>
                </pt>
                <pt idx="83">
                  <v>45689</v>
                </pt>
                <pt idx="84">
                  <v>45717</v>
                </pt>
                <pt idx="85">
                  <v>45748</v>
                </pt>
                <pt idx="86">
                  <v>45778</v>
                </pt>
                <pt idx="87">
                  <v>45809</v>
                </pt>
                <pt idx="88">
                  <v>45839</v>
                </pt>
                <pt idx="89">
                  <v>45870</v>
                </pt>
                <pt idx="90">
                  <v>45901</v>
                </pt>
                <pt idx="91">
                  <v>45931</v>
                </pt>
                <pt idx="92">
                  <v>45962</v>
                </pt>
                <pt idx="93">
                  <v>45992</v>
                </pt>
              </numCache>
            </numRef>
          </cat>
          <val>
            <numRef>
              <f>Charts!$AM$125:$AM$218</f>
              <numCache>
                <formatCode>0.00%</formatCode>
                <ptCount val="94"/>
                <pt idx="0">
                  <v>0.06389854671060051</v>
                </pt>
                <pt idx="1">
                  <v>0.06413888387231616</v>
                </pt>
                <pt idx="2">
                  <v>0.06309286643845999</v>
                </pt>
                <pt idx="3">
                  <v>0.06377019686865744</v>
                </pt>
                <pt idx="4">
                  <v>0.06335706587533176</v>
                </pt>
                <pt idx="5">
                  <v>0.06335580439135892</v>
                </pt>
                <pt idx="6">
                  <v>0.0628444507034454</v>
                </pt>
                <pt idx="7">
                  <v>0.06293732037732606</v>
                </pt>
                <pt idx="8">
                  <v>0.06340767146193922</v>
                </pt>
                <pt idx="9">
                  <v>0.0637185004618267</v>
                </pt>
                <pt idx="10">
                  <v>0.06365849087175486</v>
                </pt>
                <pt idx="11">
                  <v>0.06308237630491902</v>
                </pt>
                <pt idx="12">
                  <v>0.06308575458516993</v>
                </pt>
                <pt idx="13">
                  <v>0.0629407733585977</v>
                </pt>
                <pt idx="14">
                  <v>0.06323213174164032</v>
                </pt>
                <pt idx="15">
                  <v>0.06342532865900735</v>
                </pt>
                <pt idx="16">
                  <v>0.06446588418297071</v>
                </pt>
                <pt idx="17">
                  <v>0.06433829648458059</v>
                </pt>
                <pt idx="18">
                  <v>0.06445190128567654</v>
                </pt>
                <pt idx="19">
                  <v>0.06422691389006749</v>
                </pt>
                <pt idx="20">
                  <v>0.0643144193472833</v>
                </pt>
                <pt idx="21">
                  <v>0.06345432205986413</v>
                </pt>
                <pt idx="22">
                  <v>0.06324586922320313</v>
                </pt>
                <pt idx="23">
                  <v>0.06320259087592445</v>
                </pt>
                <pt idx="24">
                  <v>0.06345264471562322</v>
                </pt>
                <pt idx="25">
                  <v>0.06333708213112205</v>
                </pt>
                <pt idx="26">
                  <v>0.06337495058673666</v>
                </pt>
                <pt idx="27">
                  <v>0.06258399292100607</v>
                </pt>
                <pt idx="28">
                  <v>0.06192896385595199</v>
                </pt>
                <pt idx="29">
                  <v>0.06253852808941728</v>
                </pt>
                <pt idx="30">
                  <v>0.06220804466505286</v>
                </pt>
                <pt idx="31">
                  <v>0.06358361675689132</v>
                </pt>
                <pt idx="32">
                  <v>0.0631794221736043</v>
                </pt>
                <pt idx="33">
                  <v>0.06348524187193019</v>
                </pt>
                <pt idx="34">
                  <v>0.06387107843908736</v>
                </pt>
                <pt idx="35">
                  <v>0.06377004359957111</v>
                </pt>
                <pt idx="36">
                  <v>0.06346249027074859</v>
                </pt>
                <pt idx="37">
                  <v>0.06339129480154838</v>
                </pt>
                <pt idx="38">
                  <v>0.06298075644721632</v>
                </pt>
                <pt idx="39">
                  <v>0.06262113219695448</v>
                </pt>
                <pt idx="40">
                  <v>0.0627059646501497</v>
                </pt>
                <pt idx="41">
                  <v>0.06196866423351154</v>
                </pt>
                <pt idx="42">
                  <v>0.06237731591106385</v>
                </pt>
                <pt idx="43">
                  <v>0.06130358175788957</v>
                </pt>
                <pt idx="44">
                  <v>0.06115994672350477</v>
                </pt>
                <pt idx="45">
                  <v>0.06062224699441765</v>
                </pt>
                <pt idx="46">
                  <v>0.05974318840580454</v>
                </pt>
                <pt idx="47">
                  <v>0.05934237965807072</v>
                </pt>
                <pt idx="48">
                  <v>0.05907223405299782</v>
                </pt>
                <pt idx="49">
                  <v>0.05876870045850621</v>
                </pt>
                <pt idx="50">
                  <v>0.05871529602761791</v>
                </pt>
                <pt idx="51">
                  <v>0.05886898745306861</v>
                </pt>
                <pt idx="52">
                  <v>0.05821746473301805</v>
                </pt>
                <pt idx="53">
                  <v>0.0584996294215703</v>
                </pt>
                <pt idx="54">
                  <v>0.05748492234154732</v>
                </pt>
                <pt idx="55">
                  <v>0.05731132965655345</v>
                </pt>
                <pt idx="56">
                  <v>0.05708672856413056</v>
                </pt>
                <pt idx="57">
                  <v>0.05701976664422855</v>
                </pt>
                <pt idx="58">
                  <v>0.05843822621844254</v>
                </pt>
                <pt idx="59">
                  <v>0.05874503244252052</v>
                </pt>
                <pt idx="60">
                  <v>0.05941369736743074</v>
                </pt>
                <pt idx="61">
                  <v>0.05973826357359201</v>
                </pt>
                <pt idx="62">
                  <v>0.06014599908778222</v>
                </pt>
                <pt idx="63">
                  <v>0.06037179588223258</v>
                </pt>
                <pt idx="64">
                  <v>0.0609079873694099</v>
                </pt>
                <pt idx="65">
                  <v>0.06080298499923661</v>
                </pt>
                <pt idx="66">
                  <v>0.06176953386570736</v>
                </pt>
                <pt idx="67">
                  <v>0.06245320871316128</v>
                </pt>
                <pt idx="68">
                  <v>0.06355074926241218</v>
                </pt>
                <pt idx="69">
                  <v>0.06378766380879504</v>
                </pt>
                <pt idx="70">
                  <v>0.06307823628884579</v>
                </pt>
                <pt idx="71">
                  <v>0.06342771536461211</v>
                </pt>
                <pt idx="72">
                  <v>0.06328793150947282</v>
                </pt>
                <pt idx="73">
                  <v>0.06303261717442424</v>
                </pt>
                <pt idx="74">
                  <v>0.06369615558252989</v>
                </pt>
                <pt idx="75">
                  <v>0.06446782039517208</v>
                </pt>
                <pt idx="76">
                  <v>0.06502909972667378</v>
                </pt>
                <pt idx="77">
                  <v>0.06562340099423056</v>
                </pt>
                <pt idx="78">
                  <v>0.06589662792249837</v>
                </pt>
                <pt idx="79">
                  <v>0.06507755572586245</v>
                </pt>
                <pt idx="80">
                  <v>0.06615079594045872</v>
                </pt>
                <pt idx="81">
                  <v>0.06610141690510779</v>
                </pt>
                <pt idx="82">
                  <v>0.06741821610234917</v>
                </pt>
                <pt idx="83">
                  <v>0.06781087287305348</v>
                </pt>
                <pt idx="84">
                  <v>0.06789820641146475</v>
                </pt>
                <pt idx="85">
                  <v>0.06830796967588473</v>
                </pt>
                <pt idx="86">
                  <v>0.06886106873469403</v>
                </pt>
                <pt idx="87">
                  <v>0.06844849060779237</v>
                </pt>
                <pt idx="88">
                  <v>0.06869593264902925</v>
                </pt>
                <pt idx="89">
                  <v>0.06883395336180208</v>
                </pt>
                <pt idx="90">
                  <v>0.06877664397327279</v>
                </pt>
                <pt idx="91">
                  <v>0.0688090734598668</v>
                </pt>
                <pt idx="92">
                  <v>0.06822497376202938</v>
                </pt>
                <pt idx="93">
                  <v>0.06877974647073685</v>
                </pt>
              </numCache>
            </numRef>
          </val>
          <smooth val="0"/>
        </ser>
        <ser>
          <idx val="1"/>
          <order val="1"/>
          <tx>
            <strRef>
              <f>Charts!$AO$2</f>
              <strCache>
                <ptCount val="1"/>
                <pt idx="0">
                  <v>Bid-Ask Spread</v>
                </pt>
              </strCache>
            </strRef>
          </tx>
          <spPr>
            <a:ln xmlns:a="http://schemas.openxmlformats.org/drawingml/2006/main" w="28575" cap="rnd">
              <a:noFill/>
              <a:prstDash val="solid"/>
              <a:round/>
            </a:ln>
          </spPr>
          <marker>
            <symbol val="dash"/>
            <size val="7"/>
            <spPr>
              <a:solidFill xmlns:a="http://schemas.openxmlformats.org/drawingml/2006/main">
                <a:srgbClr val="003DA5"/>
              </a:solidFill>
              <a:ln xmlns:a="http://schemas.openxmlformats.org/drawingml/2006/main" w="19050" cap="sq" cmpd="sng">
                <a:solidFill>
                  <a:srgbClr val="003DA5"/>
                </a:solidFill>
                <a:prstDash val="solid"/>
                <a:round/>
              </a:ln>
            </spPr>
          </marker>
          <dLbls>
            <numFmt formatCode="0.00%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-5400000" spcFirstLastPara="1" vertOverflow="ellipsis" wrap="square" anchor="ctr" anchorCtr="1"/>
              <a:lstStyle xmlns:a="http://schemas.openxmlformats.org/drawingml/2006/main"/>
              <a:p xmlns:a="http://schemas.openxmlformats.org/drawingml/2006/main">
                <a:pPr>
                  <a:defRPr sz="700" b="0" i="0" strike="noStrike" kern="1200" baseline="0">
                    <a:solidFill>
                      <a:srgbClr val="003DA5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Charts!$B$125:$B$218</f>
              <numCache>
                <formatCode>[$-409]mmm\-yy;@</formatCode>
                <ptCount val="94"/>
                <pt idx="0">
                  <v>43160</v>
                </pt>
                <pt idx="1">
                  <v>43191</v>
                </pt>
                <pt idx="2">
                  <v>43221</v>
                </pt>
                <pt idx="3">
                  <v>43252</v>
                </pt>
                <pt idx="4">
                  <v>43282</v>
                </pt>
                <pt idx="5">
                  <v>43313</v>
                </pt>
                <pt idx="6">
                  <v>43344</v>
                </pt>
                <pt idx="7">
                  <v>43374</v>
                </pt>
                <pt idx="8">
                  <v>43405</v>
                </pt>
                <pt idx="9">
                  <v>43435</v>
                </pt>
                <pt idx="10">
                  <v>43466</v>
                </pt>
                <pt idx="11">
                  <v>43497</v>
                </pt>
                <pt idx="12">
                  <v>43525</v>
                </pt>
                <pt idx="13">
                  <v>43556</v>
                </pt>
                <pt idx="14">
                  <v>43586</v>
                </pt>
                <pt idx="15">
                  <v>43617</v>
                </pt>
                <pt idx="16">
                  <v>43647</v>
                </pt>
                <pt idx="17">
                  <v>43678</v>
                </pt>
                <pt idx="18">
                  <v>43709</v>
                </pt>
                <pt idx="19">
                  <v>43739</v>
                </pt>
                <pt idx="20">
                  <v>43770</v>
                </pt>
                <pt idx="21">
                  <v>43800</v>
                </pt>
                <pt idx="22">
                  <v>43831</v>
                </pt>
                <pt idx="23">
                  <v>43862</v>
                </pt>
                <pt idx="24">
                  <v>43891</v>
                </pt>
                <pt idx="25">
                  <v>43922</v>
                </pt>
                <pt idx="26">
                  <v>43952</v>
                </pt>
                <pt idx="27">
                  <v>43983</v>
                </pt>
                <pt idx="28">
                  <v>44013</v>
                </pt>
                <pt idx="29">
                  <v>44044</v>
                </pt>
                <pt idx="30">
                  <v>44075</v>
                </pt>
                <pt idx="31">
                  <v>44105</v>
                </pt>
                <pt idx="32">
                  <v>44136</v>
                </pt>
                <pt idx="33">
                  <v>44166</v>
                </pt>
                <pt idx="34">
                  <v>44197</v>
                </pt>
                <pt idx="35">
                  <v>44228</v>
                </pt>
                <pt idx="36">
                  <v>44256</v>
                </pt>
                <pt idx="37">
                  <v>44287</v>
                </pt>
                <pt idx="38">
                  <v>44317</v>
                </pt>
                <pt idx="39">
                  <v>44348</v>
                </pt>
                <pt idx="40">
                  <v>44378</v>
                </pt>
                <pt idx="41">
                  <v>44409</v>
                </pt>
                <pt idx="42">
                  <v>44440</v>
                </pt>
                <pt idx="43">
                  <v>44470</v>
                </pt>
                <pt idx="44">
                  <v>44501</v>
                </pt>
                <pt idx="45">
                  <v>44531</v>
                </pt>
                <pt idx="46">
                  <v>44562</v>
                </pt>
                <pt idx="47">
                  <v>44593</v>
                </pt>
                <pt idx="48">
                  <v>44621</v>
                </pt>
                <pt idx="49">
                  <v>44652</v>
                </pt>
                <pt idx="50">
                  <v>44682</v>
                </pt>
                <pt idx="51">
                  <v>44713</v>
                </pt>
                <pt idx="52">
                  <v>44743</v>
                </pt>
                <pt idx="53">
                  <v>44774</v>
                </pt>
                <pt idx="54">
                  <v>44805</v>
                </pt>
                <pt idx="55">
                  <v>44835</v>
                </pt>
                <pt idx="56">
                  <v>44866</v>
                </pt>
                <pt idx="57">
                  <v>44896</v>
                </pt>
                <pt idx="58">
                  <v>44927</v>
                </pt>
                <pt idx="59">
                  <v>44958</v>
                </pt>
                <pt idx="60">
                  <v>44986</v>
                </pt>
                <pt idx="61">
                  <v>45017</v>
                </pt>
                <pt idx="62">
                  <v>45047</v>
                </pt>
                <pt idx="63">
                  <v>45078</v>
                </pt>
                <pt idx="64">
                  <v>45108</v>
                </pt>
                <pt idx="65">
                  <v>45139</v>
                </pt>
                <pt idx="66">
                  <v>45170</v>
                </pt>
                <pt idx="67">
                  <v>45200</v>
                </pt>
                <pt idx="68">
                  <v>45231</v>
                </pt>
                <pt idx="69">
                  <v>45261</v>
                </pt>
                <pt idx="70">
                  <v>45292</v>
                </pt>
                <pt idx="71">
                  <v>45323</v>
                </pt>
                <pt idx="72">
                  <v>45352</v>
                </pt>
                <pt idx="73">
                  <v>45383</v>
                </pt>
                <pt idx="74">
                  <v>45413</v>
                </pt>
                <pt idx="75">
                  <v>45444</v>
                </pt>
                <pt idx="76">
                  <v>45474</v>
                </pt>
                <pt idx="77">
                  <v>45505</v>
                </pt>
                <pt idx="78">
                  <v>45536</v>
                </pt>
                <pt idx="79">
                  <v>45566</v>
                </pt>
                <pt idx="80">
                  <v>45597</v>
                </pt>
                <pt idx="81">
                  <v>45627</v>
                </pt>
                <pt idx="82">
                  <v>45658</v>
                </pt>
                <pt idx="83">
                  <v>45689</v>
                </pt>
                <pt idx="84">
                  <v>45717</v>
                </pt>
                <pt idx="85">
                  <v>45748</v>
                </pt>
                <pt idx="86">
                  <v>45778</v>
                </pt>
                <pt idx="87">
                  <v>45809</v>
                </pt>
                <pt idx="88">
                  <v>45839</v>
                </pt>
                <pt idx="89">
                  <v>45870</v>
                </pt>
                <pt idx="90">
                  <v>45901</v>
                </pt>
                <pt idx="91">
                  <v>45931</v>
                </pt>
                <pt idx="92">
                  <v>45962</v>
                </pt>
                <pt idx="93">
                  <v>45992</v>
                </pt>
              </numCache>
            </numRef>
          </cat>
          <val>
            <numRef>
              <f>Charts!$AO$125:$AO$218</f>
              <numCache>
                <formatCode>0.00%</formatCode>
                <ptCount val="94"/>
                <pt idx="0">
                  <v>0.003196513276655102</v>
                </pt>
                <pt idx="1">
                  <v>0.003590804546453728</v>
                </pt>
                <pt idx="2">
                  <v>0.003564202156424332</v>
                </pt>
                <pt idx="3">
                  <v>0.003958756361679895</v>
                </pt>
                <pt idx="4">
                  <v>0.003863587035062007</v>
                </pt>
                <pt idx="5">
                  <v>0.003879097485633132</v>
                </pt>
                <pt idx="6">
                  <v>0.003969506623778173</v>
                </pt>
                <pt idx="7">
                  <v>0.00401036902598331</v>
                </pt>
                <pt idx="8">
                  <v>0.003906003870427434</v>
                </pt>
                <pt idx="9">
                  <v>0.004287077334435099</v>
                </pt>
                <pt idx="10">
                  <v>0.004296992185773862</v>
                </pt>
                <pt idx="11">
                  <v>0.0042263557519967</v>
                </pt>
                <pt idx="12">
                  <v>0.004311672495935357</v>
                </pt>
                <pt idx="13">
                  <v>0.003999304992896214</v>
                </pt>
                <pt idx="14">
                  <v>0.004033462107528501</v>
                </pt>
                <pt idx="15">
                  <v>0.003847371364112562</v>
                </pt>
                <pt idx="16">
                  <v>0.004004328213005255</v>
                </pt>
                <pt idx="17">
                  <v>0.004048341029235784</v>
                </pt>
                <pt idx="18">
                  <v>0.004423971932869845</v>
                </pt>
                <pt idx="19">
                  <v>0.004306770975569671</v>
                </pt>
                <pt idx="20">
                  <v>0.005019498890715069</v>
                </pt>
                <pt idx="21">
                  <v>0.004297288537371356</v>
                </pt>
                <pt idx="22">
                  <v>0.004299234554104835</v>
                </pt>
                <pt idx="23">
                  <v>0.004069040782093663</v>
                </pt>
                <pt idx="24">
                  <v>0.004213773182910131</v>
                </pt>
                <pt idx="25">
                  <v>0.004334083628485202</v>
                </pt>
                <pt idx="26">
                  <v>0.004299012104320005</v>
                </pt>
                <pt idx="27">
                  <v>0.004219950759587217</v>
                </pt>
                <pt idx="28">
                  <v>0.00421712465140974</v>
                </pt>
                <pt idx="29">
                  <v>0.004395677032816573</v>
                </pt>
                <pt idx="30">
                  <v>0.003963493679614044</v>
                </pt>
                <pt idx="31">
                  <v>0.003896742264278852</v>
                </pt>
                <pt idx="32">
                  <v>0.00375738733446038</v>
                </pt>
                <pt idx="33">
                  <v>0.003700846148175122</v>
                </pt>
                <pt idx="34">
                  <v>0.00370961826483819</v>
                </pt>
                <pt idx="35">
                  <v>0.003961233149390039</v>
                </pt>
                <pt idx="36">
                  <v>0.00397625870761488</v>
                </pt>
                <pt idx="37">
                  <v>0.004107721469986887</v>
                </pt>
                <pt idx="38">
                  <v>0.004129481626512319</v>
                </pt>
                <pt idx="39">
                  <v>0.003910995161646661</v>
                </pt>
                <pt idx="40">
                  <v>0.00375467206906821</v>
                </pt>
                <pt idx="41">
                  <v>0.003469463223679923</v>
                </pt>
                <pt idx="42">
                  <v>0.003226835456755851</v>
                </pt>
                <pt idx="43">
                  <v>0.003149873289498004</v>
                </pt>
                <pt idx="44">
                  <v>0.002842228572097663</v>
                </pt>
                <pt idx="45">
                  <v>0.002785846851321516</v>
                </pt>
                <pt idx="46">
                  <v>0.002792423662047248</v>
                </pt>
                <pt idx="47">
                  <v>0.002950067808404637</v>
                </pt>
                <pt idx="48">
                  <v>0.002809385992506553</v>
                </pt>
                <pt idx="49">
                  <v>0.002481768997289376</v>
                </pt>
                <pt idx="50">
                  <v>0.002424695279269348</v>
                </pt>
                <pt idx="51">
                  <v>0.002401210491003853</v>
                </pt>
                <pt idx="52">
                  <v>0.002340679429734059</v>
                </pt>
                <pt idx="53">
                  <v>0.002497450027316022</v>
                </pt>
                <pt idx="54">
                  <v>0.002767548163948692</v>
                </pt>
                <pt idx="55">
                  <v>0.002761422932330266</v>
                </pt>
                <pt idx="56">
                  <v>0.002725196350069809</v>
                </pt>
                <pt idx="57">
                  <v>0.002982068390504373</v>
                </pt>
                <pt idx="58">
                  <v>0.003066452255443463</v>
                </pt>
                <pt idx="59">
                  <v>0.002717531558296168</v>
                </pt>
                <pt idx="60">
                  <v>0.002757456607574247</v>
                </pt>
                <pt idx="61">
                  <v>0.00309601730912835</v>
                </pt>
                <pt idx="62">
                  <v>0.003140040131568042</v>
                </pt>
                <pt idx="63">
                  <v>0.003573630850851683</v>
                </pt>
                <pt idx="64">
                  <v>0.00355033711534507</v>
                </pt>
                <pt idx="65">
                  <v>0.003549645333304672</v>
                </pt>
                <pt idx="66">
                  <v>0.004821752726161379</v>
                </pt>
                <pt idx="67">
                  <v>0.005371277843616106</v>
                </pt>
                <pt idx="68">
                  <v>0.005758464942334195</v>
                </pt>
                <pt idx="69">
                  <v>0.005686924356898343</v>
                </pt>
                <pt idx="70">
                  <v>0.005873631253365937</v>
                </pt>
                <pt idx="71">
                  <v>0.006063901488858908</v>
                </pt>
                <pt idx="72">
                  <v>0.006337562143733801</v>
                </pt>
                <pt idx="73">
                  <v>0.005973471535590509</v>
                </pt>
                <pt idx="74">
                  <v>0.006020399293592126</v>
                </pt>
                <pt idx="75">
                  <v>0.005693374116775941</v>
                </pt>
                <pt idx="76">
                  <v>0.006237181267422108</v>
                </pt>
                <pt idx="77">
                  <v>0.006542470045829159</v>
                </pt>
                <pt idx="78">
                  <v>0.004572451223173627</v>
                </pt>
                <pt idx="79">
                  <v>0.005905819697866306</v>
                </pt>
                <pt idx="80">
                  <v>0.005645948549305328</v>
                </pt>
                <pt idx="81">
                  <v>0.006152172772271738</v>
                </pt>
                <pt idx="82">
                  <v>0.006263248222176167</v>
                </pt>
                <pt idx="83">
                  <v>0.005812003507715481</v>
                </pt>
                <pt idx="84">
                  <v>0.006117603061727227</v>
                </pt>
                <pt idx="85">
                  <v>0.006221750016366876</v>
                </pt>
                <pt idx="86">
                  <v>0.006260790309325238</v>
                </pt>
                <pt idx="87">
                  <v>0.006110598334296922</v>
                </pt>
                <pt idx="88">
                  <v>0.00775837600887969</v>
                </pt>
                <pt idx="89">
                  <v>0.007629586979070291</v>
                </pt>
                <pt idx="90">
                  <v>0.008064511418400023</v>
                </pt>
                <pt idx="91">
                  <v>0.006890858190374802</v>
                </pt>
                <pt idx="92">
                  <v>0.007363951879072989</v>
                </pt>
                <pt idx="93">
                  <v>0.006906928233724006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upDownBars>
          <gapWidth val="209"/>
          <upBars>
            <spPr>
              <a:solidFill xmlns:a="http://schemas.openxmlformats.org/drawingml/2006/main">
                <a:srgbClr val="D8DFDF"/>
              </a:solidFill>
              <a:ln xmlns:a="http://schemas.openxmlformats.org/drawingml/2006/main" w="12700">
                <a:solidFill>
                  <a:srgbClr val="E2E2E2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chemeClr val="dk1">
                  <a:lumMod val="65000"/>
                  <a:lumOff val="35000"/>
                </a:schemeClr>
              </a:solidFill>
              <a:ln xmlns:a="http://schemas.openxmlformats.org/drawingml/2006/main" w="9525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</a:ln>
            </spPr>
          </downBars>
        </upDownBars>
        <marker val="1"/>
        <smooth val="0"/>
        <axId val="489190456"/>
        <axId val="489191440"/>
      </lineChart>
      <catAx>
        <axId val="489190456"/>
        <scaling>
          <orientation val="minMax"/>
        </scaling>
        <delete val="0"/>
        <axPos val="b"/>
        <numFmt formatCode="[$-409]m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89191440"/>
        <crosses val="autoZero"/>
        <auto val="0"/>
        <lblAlgn val="ctr"/>
        <lblOffset val="100"/>
        <tickLblSkip val="1"/>
        <noMultiLvlLbl val="1"/>
      </catAx>
      <valAx>
        <axId val="489191440"/>
        <scaling>
          <orientation val="minMax"/>
          <max val="0.08000000000000002"/>
          <min val="0.05250000000000001"/>
        </scaling>
        <delete val="0"/>
        <axPos val="l"/>
        <majorGridlines>
          <spPr>
            <a:ln xmlns:a="http://schemas.openxmlformats.org/drawingml/2006/main" w="6350" cap="flat" cmpd="sng" algn="ctr">
              <a:solidFill>
                <a:sysClr val="window" lastClr="FFFFFF">
                  <a:lumMod val="95000"/>
                </a:sys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89190456"/>
        <crosses val="autoZero"/>
        <crossBetween val="between"/>
        <majorUnit val="0.0025"/>
      </valAx>
    </plotArea>
    <legend>
      <legendPos val="b"/>
      <overlay val="0"/>
      <spPr>
        <a:noFill xmlns:a="http://schemas.openxmlformats.org/drawingml/2006/main"/>
        <a:ln xmlns:a="http://schemas.openxmlformats.org/drawingml/2006/main" w="635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9EA9B7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zero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55737445501225"/>
          <y val="0.03893958548579961"/>
          <w val="0.9490716926715819"/>
          <h val="0.7489740356416328"/>
        </manualLayout>
      </layout>
      <barChart>
        <barDir val="col"/>
        <grouping val="clustered"/>
        <varyColors val="0"/>
        <ser>
          <idx val="0"/>
          <order val="0"/>
          <tx>
            <strRef>
              <f>Charts!$AU$2</f>
              <strCache>
                <ptCount val="1"/>
                <pt idx="0">
                  <v>No. Added to Market</v>
                </pt>
              </strCache>
            </strRef>
          </tx>
          <spPr>
            <a:solidFill xmlns:a="http://schemas.openxmlformats.org/drawingml/2006/main">
              <a:srgbClr val="D8DFD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700" b="0" i="0" strike="noStrike" kern="1200" baseline="0">
                    <a:solidFill>
                      <a:srgbClr val="6A748C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Charts!$B$123:$B$218</f>
              <numCache>
                <formatCode>[$-409]mmm\-yy;@</formatCode>
                <ptCount val="96"/>
                <pt idx="0">
                  <v>43101</v>
                </pt>
                <pt idx="1">
                  <v>43132</v>
                </pt>
                <pt idx="2">
                  <v>43160</v>
                </pt>
                <pt idx="3">
                  <v>43191</v>
                </pt>
                <pt idx="4">
                  <v>43221</v>
                </pt>
                <pt idx="5">
                  <v>43252</v>
                </pt>
                <pt idx="6">
                  <v>43282</v>
                </pt>
                <pt idx="7">
                  <v>43313</v>
                </pt>
                <pt idx="8">
                  <v>43344</v>
                </pt>
                <pt idx="9">
                  <v>43374</v>
                </pt>
                <pt idx="10">
                  <v>43405</v>
                </pt>
                <pt idx="11">
                  <v>43435</v>
                </pt>
                <pt idx="12">
                  <v>43466</v>
                </pt>
                <pt idx="13">
                  <v>43497</v>
                </pt>
                <pt idx="14">
                  <v>43525</v>
                </pt>
                <pt idx="15">
                  <v>43556</v>
                </pt>
                <pt idx="16">
                  <v>43586</v>
                </pt>
                <pt idx="17">
                  <v>43617</v>
                </pt>
                <pt idx="18">
                  <v>43647</v>
                </pt>
                <pt idx="19">
                  <v>43678</v>
                </pt>
                <pt idx="20">
                  <v>43709</v>
                </pt>
                <pt idx="21">
                  <v>43739</v>
                </pt>
                <pt idx="22">
                  <v>43770</v>
                </pt>
                <pt idx="23">
                  <v>43800</v>
                </pt>
                <pt idx="24">
                  <v>43831</v>
                </pt>
                <pt idx="25">
                  <v>43862</v>
                </pt>
                <pt idx="26">
                  <v>43891</v>
                </pt>
                <pt idx="27">
                  <v>43922</v>
                </pt>
                <pt idx="28">
                  <v>43952</v>
                </pt>
                <pt idx="29">
                  <v>43983</v>
                </pt>
                <pt idx="30">
                  <v>44013</v>
                </pt>
                <pt idx="31">
                  <v>44044</v>
                </pt>
                <pt idx="32">
                  <v>44075</v>
                </pt>
                <pt idx="33">
                  <v>44105</v>
                </pt>
                <pt idx="34">
                  <v>44136</v>
                </pt>
                <pt idx="35">
                  <v>44166</v>
                </pt>
                <pt idx="36">
                  <v>44197</v>
                </pt>
                <pt idx="37">
                  <v>44228</v>
                </pt>
                <pt idx="38">
                  <v>44256</v>
                </pt>
                <pt idx="39">
                  <v>44287</v>
                </pt>
                <pt idx="40">
                  <v>44317</v>
                </pt>
                <pt idx="41">
                  <v>44348</v>
                </pt>
                <pt idx="42">
                  <v>44378</v>
                </pt>
                <pt idx="43">
                  <v>44409</v>
                </pt>
                <pt idx="44">
                  <v>44440</v>
                </pt>
                <pt idx="45">
                  <v>44470</v>
                </pt>
                <pt idx="46">
                  <v>44501</v>
                </pt>
                <pt idx="47">
                  <v>44531</v>
                </pt>
                <pt idx="48">
                  <v>44562</v>
                </pt>
                <pt idx="49">
                  <v>44593</v>
                </pt>
                <pt idx="50">
                  <v>44621</v>
                </pt>
                <pt idx="51">
                  <v>44652</v>
                </pt>
                <pt idx="52">
                  <v>44682</v>
                </pt>
                <pt idx="53">
                  <v>44713</v>
                </pt>
                <pt idx="54">
                  <v>44743</v>
                </pt>
                <pt idx="55">
                  <v>44774</v>
                </pt>
                <pt idx="56">
                  <v>44805</v>
                </pt>
                <pt idx="57">
                  <v>44835</v>
                </pt>
                <pt idx="58">
                  <v>44866</v>
                </pt>
                <pt idx="59">
                  <v>44896</v>
                </pt>
                <pt idx="60">
                  <v>44927</v>
                </pt>
                <pt idx="61">
                  <v>44958</v>
                </pt>
                <pt idx="62">
                  <v>44986</v>
                </pt>
                <pt idx="63">
                  <v>45017</v>
                </pt>
                <pt idx="64">
                  <v>45047</v>
                </pt>
                <pt idx="65">
                  <v>45078</v>
                </pt>
                <pt idx="66">
                  <v>45108</v>
                </pt>
                <pt idx="67">
                  <v>45139</v>
                </pt>
                <pt idx="68">
                  <v>45170</v>
                </pt>
                <pt idx="69">
                  <v>45200</v>
                </pt>
                <pt idx="70">
                  <v>45231</v>
                </pt>
                <pt idx="71">
                  <v>45261</v>
                </pt>
                <pt idx="72">
                  <v>45292</v>
                </pt>
                <pt idx="73">
                  <v>45323</v>
                </pt>
                <pt idx="74">
                  <v>45352</v>
                </pt>
                <pt idx="75">
                  <v>45383</v>
                </pt>
                <pt idx="76">
                  <v>45413</v>
                </pt>
                <pt idx="77">
                  <v>45444</v>
                </pt>
                <pt idx="78">
                  <v>45474</v>
                </pt>
                <pt idx="79">
                  <v>45505</v>
                </pt>
                <pt idx="80">
                  <v>45536</v>
                </pt>
                <pt idx="81">
                  <v>45566</v>
                </pt>
                <pt idx="82">
                  <v>45597</v>
                </pt>
                <pt idx="83">
                  <v>45627</v>
                </pt>
                <pt idx="84">
                  <v>45658</v>
                </pt>
                <pt idx="85">
                  <v>45689</v>
                </pt>
                <pt idx="86">
                  <v>45717</v>
                </pt>
                <pt idx="87">
                  <v>45748</v>
                </pt>
                <pt idx="88">
                  <v>45778</v>
                </pt>
                <pt idx="89">
                  <v>45809</v>
                </pt>
                <pt idx="90">
                  <v>45839</v>
                </pt>
                <pt idx="91">
                  <v>45870</v>
                </pt>
                <pt idx="92">
                  <v>45901</v>
                </pt>
                <pt idx="93">
                  <v>45931</v>
                </pt>
                <pt idx="94">
                  <v>45962</v>
                </pt>
                <pt idx="95">
                  <v>45992</v>
                </pt>
              </numCache>
            </numRef>
          </cat>
          <val>
            <numRef>
              <f>Charts!$AU$123:$AU$218</f>
              <numCache>
                <formatCode>#,##0_);[Red]\(#,##0\)</formatCode>
                <ptCount val="96"/>
                <pt idx="0">
                  <v>13</v>
                </pt>
                <pt idx="1">
                  <v>12</v>
                </pt>
                <pt idx="2">
                  <v>17</v>
                </pt>
                <pt idx="3">
                  <v>30</v>
                </pt>
                <pt idx="4">
                  <v>15</v>
                </pt>
                <pt idx="5">
                  <v>13</v>
                </pt>
                <pt idx="6">
                  <v>8</v>
                </pt>
                <pt idx="7">
                  <v>16</v>
                </pt>
                <pt idx="8">
                  <v>22</v>
                </pt>
                <pt idx="9">
                  <v>19</v>
                </pt>
                <pt idx="10">
                  <v>9</v>
                </pt>
                <pt idx="11">
                  <v>10</v>
                </pt>
                <pt idx="12">
                  <v>16</v>
                </pt>
                <pt idx="13">
                  <v>13</v>
                </pt>
                <pt idx="14">
                  <v>20</v>
                </pt>
                <pt idx="15">
                  <v>19</v>
                </pt>
                <pt idx="16">
                  <v>26</v>
                </pt>
                <pt idx="17">
                  <v>18</v>
                </pt>
                <pt idx="18">
                  <v>22</v>
                </pt>
                <pt idx="19">
                  <v>15</v>
                </pt>
                <pt idx="20">
                  <v>12</v>
                </pt>
                <pt idx="21">
                  <v>19</v>
                </pt>
                <pt idx="22">
                  <v>14</v>
                </pt>
                <pt idx="23">
                  <v>16</v>
                </pt>
                <pt idx="24">
                  <v>14</v>
                </pt>
                <pt idx="25">
                  <v>12</v>
                </pt>
                <pt idx="26">
                  <v>18</v>
                </pt>
                <pt idx="27">
                  <v>12</v>
                </pt>
                <pt idx="28">
                  <v>9</v>
                </pt>
                <pt idx="29">
                  <v>23</v>
                </pt>
                <pt idx="30">
                  <v>12</v>
                </pt>
                <pt idx="31">
                  <v>10</v>
                </pt>
                <pt idx="32">
                  <v>7</v>
                </pt>
                <pt idx="33">
                  <v>15</v>
                </pt>
                <pt idx="34">
                  <v>10</v>
                </pt>
                <pt idx="35">
                  <v>10</v>
                </pt>
                <pt idx="36">
                  <v>12</v>
                </pt>
                <pt idx="37">
                  <v>35</v>
                </pt>
                <pt idx="38">
                  <v>10</v>
                </pt>
                <pt idx="39">
                  <v>14</v>
                </pt>
                <pt idx="40">
                  <v>13</v>
                </pt>
                <pt idx="41">
                  <v>16</v>
                </pt>
                <pt idx="42">
                  <v>14</v>
                </pt>
                <pt idx="43">
                  <v>3</v>
                </pt>
                <pt idx="44">
                  <v>15</v>
                </pt>
                <pt idx="45">
                  <v>10</v>
                </pt>
                <pt idx="46">
                  <v>8</v>
                </pt>
                <pt idx="47">
                  <v>5</v>
                </pt>
                <pt idx="48">
                  <v>4</v>
                </pt>
                <pt idx="49">
                  <v>7</v>
                </pt>
                <pt idx="50">
                  <v>10</v>
                </pt>
                <pt idx="51">
                  <v>13</v>
                </pt>
                <pt idx="52">
                  <v>12</v>
                </pt>
                <pt idx="53">
                  <v>11</v>
                </pt>
                <pt idx="54">
                  <v>11</v>
                </pt>
                <pt idx="55">
                  <v>11</v>
                </pt>
                <pt idx="56">
                  <v>9</v>
                </pt>
                <pt idx="57">
                  <v>14</v>
                </pt>
                <pt idx="58">
                  <v>10</v>
                </pt>
                <pt idx="59">
                  <v>3</v>
                </pt>
                <pt idx="60">
                  <v>14</v>
                </pt>
                <pt idx="61">
                  <v>8</v>
                </pt>
                <pt idx="62">
                  <v>18</v>
                </pt>
                <pt idx="63">
                  <v>9</v>
                </pt>
                <pt idx="64">
                  <v>21</v>
                </pt>
                <pt idx="65">
                  <v>16</v>
                </pt>
                <pt idx="66">
                  <v>14</v>
                </pt>
                <pt idx="67">
                  <v>13</v>
                </pt>
                <pt idx="68">
                  <v>8</v>
                </pt>
                <pt idx="69">
                  <v>11</v>
                </pt>
                <pt idx="70">
                  <v>17</v>
                </pt>
                <pt idx="71">
                  <v>2</v>
                </pt>
                <pt idx="72">
                  <v>7</v>
                </pt>
                <pt idx="73">
                  <v>12</v>
                </pt>
                <pt idx="74">
                  <v>26</v>
                </pt>
                <pt idx="75">
                  <v>18</v>
                </pt>
                <pt idx="76">
                  <v>14</v>
                </pt>
                <pt idx="77">
                  <v>18</v>
                </pt>
                <pt idx="78">
                  <v>8</v>
                </pt>
                <pt idx="79">
                  <v>10</v>
                </pt>
                <pt idx="80">
                  <v>17</v>
                </pt>
                <pt idx="81">
                  <v>7</v>
                </pt>
                <pt idx="82">
                  <v>7</v>
                </pt>
                <pt idx="83">
                  <v>15</v>
                </pt>
                <pt idx="84">
                  <v>8</v>
                </pt>
                <pt idx="85">
                  <v>7</v>
                </pt>
                <pt idx="86">
                  <v>5</v>
                </pt>
                <pt idx="87">
                  <v>13</v>
                </pt>
                <pt idx="88">
                  <v>7</v>
                </pt>
                <pt idx="89">
                  <v>5</v>
                </pt>
                <pt idx="90">
                  <v>7</v>
                </pt>
                <pt idx="91">
                  <v>6</v>
                </pt>
                <pt idx="92">
                  <v>11</v>
                </pt>
                <pt idx="93">
                  <v>14</v>
                </pt>
                <pt idx="94">
                  <v>9</v>
                </pt>
                <pt idx="95">
                  <v>9</v>
                </pt>
              </numCache>
            </numRef>
          </val>
        </ser>
        <ser>
          <idx val="1"/>
          <order val="1"/>
          <tx>
            <strRef>
              <f>Charts!$AV$2</f>
              <strCache>
                <ptCount val="1"/>
                <pt idx="0">
                  <v>No. Sold</v>
                </pt>
              </strCache>
            </strRef>
          </tx>
          <spPr>
            <a:solidFill xmlns:a="http://schemas.openxmlformats.org/drawingml/2006/main">
              <a:srgbClr val="9EA9B7"/>
            </a:solidFill>
            <a:ln xmlns:a="http://schemas.openxmlformats.org/drawingml/2006/main" w="635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700" b="0" i="0" strike="noStrike" kern="1200" baseline="0">
                    <a:solidFill>
                      <a:srgbClr val="D4C8CB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Charts!$B$123:$B$218</f>
              <numCache>
                <formatCode>[$-409]mmm\-yy;@</formatCode>
                <ptCount val="96"/>
                <pt idx="0">
                  <v>43101</v>
                </pt>
                <pt idx="1">
                  <v>43132</v>
                </pt>
                <pt idx="2">
                  <v>43160</v>
                </pt>
                <pt idx="3">
                  <v>43191</v>
                </pt>
                <pt idx="4">
                  <v>43221</v>
                </pt>
                <pt idx="5">
                  <v>43252</v>
                </pt>
                <pt idx="6">
                  <v>43282</v>
                </pt>
                <pt idx="7">
                  <v>43313</v>
                </pt>
                <pt idx="8">
                  <v>43344</v>
                </pt>
                <pt idx="9">
                  <v>43374</v>
                </pt>
                <pt idx="10">
                  <v>43405</v>
                </pt>
                <pt idx="11">
                  <v>43435</v>
                </pt>
                <pt idx="12">
                  <v>43466</v>
                </pt>
                <pt idx="13">
                  <v>43497</v>
                </pt>
                <pt idx="14">
                  <v>43525</v>
                </pt>
                <pt idx="15">
                  <v>43556</v>
                </pt>
                <pt idx="16">
                  <v>43586</v>
                </pt>
                <pt idx="17">
                  <v>43617</v>
                </pt>
                <pt idx="18">
                  <v>43647</v>
                </pt>
                <pt idx="19">
                  <v>43678</v>
                </pt>
                <pt idx="20">
                  <v>43709</v>
                </pt>
                <pt idx="21">
                  <v>43739</v>
                </pt>
                <pt idx="22">
                  <v>43770</v>
                </pt>
                <pt idx="23">
                  <v>43800</v>
                </pt>
                <pt idx="24">
                  <v>43831</v>
                </pt>
                <pt idx="25">
                  <v>43862</v>
                </pt>
                <pt idx="26">
                  <v>43891</v>
                </pt>
                <pt idx="27">
                  <v>43922</v>
                </pt>
                <pt idx="28">
                  <v>43952</v>
                </pt>
                <pt idx="29">
                  <v>43983</v>
                </pt>
                <pt idx="30">
                  <v>44013</v>
                </pt>
                <pt idx="31">
                  <v>44044</v>
                </pt>
                <pt idx="32">
                  <v>44075</v>
                </pt>
                <pt idx="33">
                  <v>44105</v>
                </pt>
                <pt idx="34">
                  <v>44136</v>
                </pt>
                <pt idx="35">
                  <v>44166</v>
                </pt>
                <pt idx="36">
                  <v>44197</v>
                </pt>
                <pt idx="37">
                  <v>44228</v>
                </pt>
                <pt idx="38">
                  <v>44256</v>
                </pt>
                <pt idx="39">
                  <v>44287</v>
                </pt>
                <pt idx="40">
                  <v>44317</v>
                </pt>
                <pt idx="41">
                  <v>44348</v>
                </pt>
                <pt idx="42">
                  <v>44378</v>
                </pt>
                <pt idx="43">
                  <v>44409</v>
                </pt>
                <pt idx="44">
                  <v>44440</v>
                </pt>
                <pt idx="45">
                  <v>44470</v>
                </pt>
                <pt idx="46">
                  <v>44501</v>
                </pt>
                <pt idx="47">
                  <v>44531</v>
                </pt>
                <pt idx="48">
                  <v>44562</v>
                </pt>
                <pt idx="49">
                  <v>44593</v>
                </pt>
                <pt idx="50">
                  <v>44621</v>
                </pt>
                <pt idx="51">
                  <v>44652</v>
                </pt>
                <pt idx="52">
                  <v>44682</v>
                </pt>
                <pt idx="53">
                  <v>44713</v>
                </pt>
                <pt idx="54">
                  <v>44743</v>
                </pt>
                <pt idx="55">
                  <v>44774</v>
                </pt>
                <pt idx="56">
                  <v>44805</v>
                </pt>
                <pt idx="57">
                  <v>44835</v>
                </pt>
                <pt idx="58">
                  <v>44866</v>
                </pt>
                <pt idx="59">
                  <v>44896</v>
                </pt>
                <pt idx="60">
                  <v>44927</v>
                </pt>
                <pt idx="61">
                  <v>44958</v>
                </pt>
                <pt idx="62">
                  <v>44986</v>
                </pt>
                <pt idx="63">
                  <v>45017</v>
                </pt>
                <pt idx="64">
                  <v>45047</v>
                </pt>
                <pt idx="65">
                  <v>45078</v>
                </pt>
                <pt idx="66">
                  <v>45108</v>
                </pt>
                <pt idx="67">
                  <v>45139</v>
                </pt>
                <pt idx="68">
                  <v>45170</v>
                </pt>
                <pt idx="69">
                  <v>45200</v>
                </pt>
                <pt idx="70">
                  <v>45231</v>
                </pt>
                <pt idx="71">
                  <v>45261</v>
                </pt>
                <pt idx="72">
                  <v>45292</v>
                </pt>
                <pt idx="73">
                  <v>45323</v>
                </pt>
                <pt idx="74">
                  <v>45352</v>
                </pt>
                <pt idx="75">
                  <v>45383</v>
                </pt>
                <pt idx="76">
                  <v>45413</v>
                </pt>
                <pt idx="77">
                  <v>45444</v>
                </pt>
                <pt idx="78">
                  <v>45474</v>
                </pt>
                <pt idx="79">
                  <v>45505</v>
                </pt>
                <pt idx="80">
                  <v>45536</v>
                </pt>
                <pt idx="81">
                  <v>45566</v>
                </pt>
                <pt idx="82">
                  <v>45597</v>
                </pt>
                <pt idx="83">
                  <v>45627</v>
                </pt>
                <pt idx="84">
                  <v>45658</v>
                </pt>
                <pt idx="85">
                  <v>45689</v>
                </pt>
                <pt idx="86">
                  <v>45717</v>
                </pt>
                <pt idx="87">
                  <v>45748</v>
                </pt>
                <pt idx="88">
                  <v>45778</v>
                </pt>
                <pt idx="89">
                  <v>45809</v>
                </pt>
                <pt idx="90">
                  <v>45839</v>
                </pt>
                <pt idx="91">
                  <v>45870</v>
                </pt>
                <pt idx="92">
                  <v>45901</v>
                </pt>
                <pt idx="93">
                  <v>45931</v>
                </pt>
                <pt idx="94">
                  <v>45962</v>
                </pt>
                <pt idx="95">
                  <v>45992</v>
                </pt>
              </numCache>
            </numRef>
          </cat>
          <val>
            <numRef>
              <f>Charts!$AV$123:$AV$218</f>
              <numCache>
                <formatCode>#,##0_);[Red]\(#,##0\)</formatCode>
                <ptCount val="96"/>
                <pt idx="0">
                  <v>-19</v>
                </pt>
                <pt idx="1">
                  <v>-14</v>
                </pt>
                <pt idx="2">
                  <v>-29</v>
                </pt>
                <pt idx="3">
                  <v>-17</v>
                </pt>
                <pt idx="4">
                  <v>-32</v>
                </pt>
                <pt idx="5">
                  <v>-24</v>
                </pt>
                <pt idx="6">
                  <v>-21</v>
                </pt>
                <pt idx="7">
                  <v>-21</v>
                </pt>
                <pt idx="8">
                  <v>-10</v>
                </pt>
                <pt idx="9">
                  <v>-21</v>
                </pt>
                <pt idx="10">
                  <v>-19</v>
                </pt>
                <pt idx="11">
                  <v>-25</v>
                </pt>
                <pt idx="12">
                  <v>-16</v>
                </pt>
                <pt idx="13">
                  <v>-8</v>
                </pt>
                <pt idx="14">
                  <v>-16</v>
                </pt>
                <pt idx="15">
                  <v>-15</v>
                </pt>
                <pt idx="16">
                  <v>-20</v>
                </pt>
                <pt idx="17">
                  <v>-23</v>
                </pt>
                <pt idx="18">
                  <v>-28</v>
                </pt>
                <pt idx="19">
                  <v>-17</v>
                </pt>
                <pt idx="20">
                  <v>-20</v>
                </pt>
                <pt idx="21">
                  <v>-14</v>
                </pt>
                <pt idx="22">
                  <v>-16</v>
                </pt>
                <pt idx="23">
                  <v>-20</v>
                </pt>
                <pt idx="24">
                  <v>-30</v>
                </pt>
                <pt idx="25">
                  <v>-15</v>
                </pt>
                <pt idx="26">
                  <v>-26</v>
                </pt>
                <pt idx="27">
                  <v>-13</v>
                </pt>
                <pt idx="28">
                  <v>-17</v>
                </pt>
                <pt idx="29">
                  <v>-25</v>
                </pt>
                <pt idx="30">
                  <v>-18</v>
                </pt>
                <pt idx="31">
                  <v>-22</v>
                </pt>
                <pt idx="32">
                  <v>-14</v>
                </pt>
                <pt idx="33">
                  <v>-15</v>
                </pt>
                <pt idx="34">
                  <v>-18</v>
                </pt>
                <pt idx="35">
                  <v>-40</v>
                </pt>
                <pt idx="36">
                  <v>-18</v>
                </pt>
                <pt idx="37">
                  <v>-13</v>
                </pt>
                <pt idx="38">
                  <v>-34</v>
                </pt>
                <pt idx="39">
                  <v>-27</v>
                </pt>
                <pt idx="40">
                  <v>-27</v>
                </pt>
                <pt idx="41">
                  <v>-30</v>
                </pt>
                <pt idx="42">
                  <v>-21</v>
                </pt>
                <pt idx="43">
                  <v>-34</v>
                </pt>
                <pt idx="44">
                  <v>-27</v>
                </pt>
                <pt idx="45">
                  <v>-13</v>
                </pt>
                <pt idx="46">
                  <v>-23</v>
                </pt>
                <pt idx="47">
                  <v>-29</v>
                </pt>
                <pt idx="48">
                  <v>-30</v>
                </pt>
                <pt idx="49">
                  <v>-17</v>
                </pt>
                <pt idx="50">
                  <v>-22</v>
                </pt>
                <pt idx="51">
                  <v>-17</v>
                </pt>
                <pt idx="52">
                  <v>-22</v>
                </pt>
                <pt idx="53">
                  <v>-24</v>
                </pt>
                <pt idx="54">
                  <v>-26</v>
                </pt>
                <pt idx="55">
                  <v>-30</v>
                </pt>
                <pt idx="56">
                  <v>-29</v>
                </pt>
                <pt idx="57">
                  <v>-25</v>
                </pt>
                <pt idx="58">
                  <v>-16</v>
                </pt>
                <pt idx="59">
                  <v>-20</v>
                </pt>
                <pt idx="60">
                  <v>-15</v>
                </pt>
                <pt idx="61">
                  <v>-15</v>
                </pt>
                <pt idx="62">
                  <v>-13</v>
                </pt>
                <pt idx="63">
                  <v>-9</v>
                </pt>
                <pt idx="64">
                  <v>-12</v>
                </pt>
                <pt idx="65">
                  <v>-19</v>
                </pt>
                <pt idx="66">
                  <v>-10</v>
                </pt>
                <pt idx="67">
                  <v>-21</v>
                </pt>
                <pt idx="68">
                  <v>-19</v>
                </pt>
                <pt idx="69">
                  <v>-13</v>
                </pt>
                <pt idx="70">
                  <v>-7</v>
                </pt>
                <pt idx="71">
                  <v>-12</v>
                </pt>
                <pt idx="72">
                  <v>-10</v>
                </pt>
                <pt idx="73">
                  <v>-13</v>
                </pt>
                <pt idx="74">
                  <v>-8</v>
                </pt>
                <pt idx="75">
                  <v>-12</v>
                </pt>
                <pt idx="76">
                  <v>-6</v>
                </pt>
                <pt idx="77">
                  <v>-6</v>
                </pt>
                <pt idx="78">
                  <v>-5</v>
                </pt>
                <pt idx="79">
                  <v>-6</v>
                </pt>
                <pt idx="80">
                  <v>-5</v>
                </pt>
                <pt idx="81">
                  <v>-13</v>
                </pt>
                <pt idx="82">
                  <v>-11</v>
                </pt>
                <pt idx="83">
                  <v>-23</v>
                </pt>
                <pt idx="84">
                  <v>-14</v>
                </pt>
                <pt idx="85">
                  <v>-10</v>
                </pt>
                <pt idx="86">
                  <v>-11</v>
                </pt>
                <pt idx="87">
                  <v>-7</v>
                </pt>
                <pt idx="88">
                  <v>-18</v>
                </pt>
                <pt idx="89">
                  <v>-15</v>
                </pt>
                <pt idx="90">
                  <v>-9</v>
                </pt>
                <pt idx="91">
                  <v>-11</v>
                </pt>
                <pt idx="92">
                  <v>-21</v>
                </pt>
                <pt idx="93">
                  <v>-7</v>
                </pt>
                <pt idx="94">
                  <v>-11</v>
                </pt>
                <pt idx="95">
                  <v>-18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9"/>
        <overlap val="100"/>
        <axId val="490573552"/>
        <axId val="490565024"/>
      </barChart>
      <lineChart>
        <grouping val="standard"/>
        <varyColors val="0"/>
        <ser>
          <idx val="2"/>
          <order val="2"/>
          <tx>
            <strRef>
              <f>Charts!$AW$2</f>
              <strCache>
                <ptCount val="1"/>
                <pt idx="0">
                  <v>Net to Market</v>
                </pt>
              </strCache>
            </strRef>
          </tx>
          <spPr>
            <a:ln xmlns:a="http://schemas.openxmlformats.org/drawingml/2006/main" w="12700" cap="rnd">
              <a:solidFill>
                <a:srgbClr val="003DA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003DA5"/>
              </a:solidFill>
              <a:ln xmlns:a="http://schemas.openxmlformats.org/drawingml/2006/main" w="9525">
                <a:noFill/>
                <a:prstDash val="solid"/>
              </a:ln>
            </spPr>
          </marker>
          <cat>
            <numRef>
              <f>Charts!$B$123:$B$218</f>
              <numCache>
                <formatCode>[$-409]mmm\-yy;@</formatCode>
                <ptCount val="96"/>
                <pt idx="0">
                  <v>43101</v>
                </pt>
                <pt idx="1">
                  <v>43132</v>
                </pt>
                <pt idx="2">
                  <v>43160</v>
                </pt>
                <pt idx="3">
                  <v>43191</v>
                </pt>
                <pt idx="4">
                  <v>43221</v>
                </pt>
                <pt idx="5">
                  <v>43252</v>
                </pt>
                <pt idx="6">
                  <v>43282</v>
                </pt>
                <pt idx="7">
                  <v>43313</v>
                </pt>
                <pt idx="8">
                  <v>43344</v>
                </pt>
                <pt idx="9">
                  <v>43374</v>
                </pt>
                <pt idx="10">
                  <v>43405</v>
                </pt>
                <pt idx="11">
                  <v>43435</v>
                </pt>
                <pt idx="12">
                  <v>43466</v>
                </pt>
                <pt idx="13">
                  <v>43497</v>
                </pt>
                <pt idx="14">
                  <v>43525</v>
                </pt>
                <pt idx="15">
                  <v>43556</v>
                </pt>
                <pt idx="16">
                  <v>43586</v>
                </pt>
                <pt idx="17">
                  <v>43617</v>
                </pt>
                <pt idx="18">
                  <v>43647</v>
                </pt>
                <pt idx="19">
                  <v>43678</v>
                </pt>
                <pt idx="20">
                  <v>43709</v>
                </pt>
                <pt idx="21">
                  <v>43739</v>
                </pt>
                <pt idx="22">
                  <v>43770</v>
                </pt>
                <pt idx="23">
                  <v>43800</v>
                </pt>
                <pt idx="24">
                  <v>43831</v>
                </pt>
                <pt idx="25">
                  <v>43862</v>
                </pt>
                <pt idx="26">
                  <v>43891</v>
                </pt>
                <pt idx="27">
                  <v>43922</v>
                </pt>
                <pt idx="28">
                  <v>43952</v>
                </pt>
                <pt idx="29">
                  <v>43983</v>
                </pt>
                <pt idx="30">
                  <v>44013</v>
                </pt>
                <pt idx="31">
                  <v>44044</v>
                </pt>
                <pt idx="32">
                  <v>44075</v>
                </pt>
                <pt idx="33">
                  <v>44105</v>
                </pt>
                <pt idx="34">
                  <v>44136</v>
                </pt>
                <pt idx="35">
                  <v>44166</v>
                </pt>
                <pt idx="36">
                  <v>44197</v>
                </pt>
                <pt idx="37">
                  <v>44228</v>
                </pt>
                <pt idx="38">
                  <v>44256</v>
                </pt>
                <pt idx="39">
                  <v>44287</v>
                </pt>
                <pt idx="40">
                  <v>44317</v>
                </pt>
                <pt idx="41">
                  <v>44348</v>
                </pt>
                <pt idx="42">
                  <v>44378</v>
                </pt>
                <pt idx="43">
                  <v>44409</v>
                </pt>
                <pt idx="44">
                  <v>44440</v>
                </pt>
                <pt idx="45">
                  <v>44470</v>
                </pt>
                <pt idx="46">
                  <v>44501</v>
                </pt>
                <pt idx="47">
                  <v>44531</v>
                </pt>
                <pt idx="48">
                  <v>44562</v>
                </pt>
                <pt idx="49">
                  <v>44593</v>
                </pt>
                <pt idx="50">
                  <v>44621</v>
                </pt>
                <pt idx="51">
                  <v>44652</v>
                </pt>
                <pt idx="52">
                  <v>44682</v>
                </pt>
                <pt idx="53">
                  <v>44713</v>
                </pt>
                <pt idx="54">
                  <v>44743</v>
                </pt>
                <pt idx="55">
                  <v>44774</v>
                </pt>
                <pt idx="56">
                  <v>44805</v>
                </pt>
                <pt idx="57">
                  <v>44835</v>
                </pt>
                <pt idx="58">
                  <v>44866</v>
                </pt>
                <pt idx="59">
                  <v>44896</v>
                </pt>
                <pt idx="60">
                  <v>44927</v>
                </pt>
                <pt idx="61">
                  <v>44958</v>
                </pt>
                <pt idx="62">
                  <v>44986</v>
                </pt>
                <pt idx="63">
                  <v>45017</v>
                </pt>
                <pt idx="64">
                  <v>45047</v>
                </pt>
                <pt idx="65">
                  <v>45078</v>
                </pt>
                <pt idx="66">
                  <v>45108</v>
                </pt>
                <pt idx="67">
                  <v>45139</v>
                </pt>
                <pt idx="68">
                  <v>45170</v>
                </pt>
                <pt idx="69">
                  <v>45200</v>
                </pt>
                <pt idx="70">
                  <v>45231</v>
                </pt>
                <pt idx="71">
                  <v>45261</v>
                </pt>
                <pt idx="72">
                  <v>45292</v>
                </pt>
                <pt idx="73">
                  <v>45323</v>
                </pt>
                <pt idx="74">
                  <v>45352</v>
                </pt>
                <pt idx="75">
                  <v>45383</v>
                </pt>
                <pt idx="76">
                  <v>45413</v>
                </pt>
                <pt idx="77">
                  <v>45444</v>
                </pt>
                <pt idx="78">
                  <v>45474</v>
                </pt>
                <pt idx="79">
                  <v>45505</v>
                </pt>
                <pt idx="80">
                  <v>45536</v>
                </pt>
                <pt idx="81">
                  <v>45566</v>
                </pt>
                <pt idx="82">
                  <v>45597</v>
                </pt>
                <pt idx="83">
                  <v>45627</v>
                </pt>
                <pt idx="84">
                  <v>45658</v>
                </pt>
                <pt idx="85">
                  <v>45689</v>
                </pt>
                <pt idx="86">
                  <v>45717</v>
                </pt>
                <pt idx="87">
                  <v>45748</v>
                </pt>
                <pt idx="88">
                  <v>45778</v>
                </pt>
                <pt idx="89">
                  <v>45809</v>
                </pt>
                <pt idx="90">
                  <v>45839</v>
                </pt>
                <pt idx="91">
                  <v>45870</v>
                </pt>
                <pt idx="92">
                  <v>45901</v>
                </pt>
                <pt idx="93">
                  <v>45931</v>
                </pt>
                <pt idx="94">
                  <v>45962</v>
                </pt>
                <pt idx="95">
                  <v>45992</v>
                </pt>
              </numCache>
            </numRef>
          </cat>
          <val>
            <numRef>
              <f>Charts!$AW$123:$AW$218</f>
              <numCache>
                <formatCode>#,##0_);[Red]\(#,##0\)</formatCode>
                <ptCount val="96"/>
                <pt idx="0">
                  <v>-6</v>
                </pt>
                <pt idx="1">
                  <v>-2</v>
                </pt>
                <pt idx="2">
                  <v>-12</v>
                </pt>
                <pt idx="3">
                  <v>13</v>
                </pt>
                <pt idx="4">
                  <v>-17</v>
                </pt>
                <pt idx="5">
                  <v>-11</v>
                </pt>
                <pt idx="6">
                  <v>-13</v>
                </pt>
                <pt idx="7">
                  <v>-5</v>
                </pt>
                <pt idx="8">
                  <v>12</v>
                </pt>
                <pt idx="9">
                  <v>-2</v>
                </pt>
                <pt idx="10">
                  <v>-10</v>
                </pt>
                <pt idx="11">
                  <v>-15</v>
                </pt>
                <pt idx="12">
                  <v>0</v>
                </pt>
                <pt idx="13">
                  <v>5</v>
                </pt>
                <pt idx="14">
                  <v>4</v>
                </pt>
                <pt idx="15">
                  <v>4</v>
                </pt>
                <pt idx="16">
                  <v>6</v>
                </pt>
                <pt idx="17">
                  <v>-5</v>
                </pt>
                <pt idx="18">
                  <v>-6</v>
                </pt>
                <pt idx="19">
                  <v>-2</v>
                </pt>
                <pt idx="20">
                  <v>-8</v>
                </pt>
                <pt idx="21">
                  <v>5</v>
                </pt>
                <pt idx="22">
                  <v>-2</v>
                </pt>
                <pt idx="23">
                  <v>-4</v>
                </pt>
                <pt idx="24">
                  <v>-16</v>
                </pt>
                <pt idx="25">
                  <v>-3</v>
                </pt>
                <pt idx="26">
                  <v>-8</v>
                </pt>
                <pt idx="27">
                  <v>-1</v>
                </pt>
                <pt idx="28">
                  <v>-8</v>
                </pt>
                <pt idx="29">
                  <v>-2</v>
                </pt>
                <pt idx="30">
                  <v>-6</v>
                </pt>
                <pt idx="31">
                  <v>-12</v>
                </pt>
                <pt idx="32">
                  <v>-7</v>
                </pt>
                <pt idx="33">
                  <v>0</v>
                </pt>
                <pt idx="34">
                  <v>-8</v>
                </pt>
                <pt idx="35">
                  <v>-30</v>
                </pt>
                <pt idx="36">
                  <v>-6</v>
                </pt>
                <pt idx="37">
                  <v>22</v>
                </pt>
                <pt idx="38">
                  <v>-24</v>
                </pt>
                <pt idx="39">
                  <v>-13</v>
                </pt>
                <pt idx="40">
                  <v>-14</v>
                </pt>
                <pt idx="41">
                  <v>-14</v>
                </pt>
                <pt idx="42">
                  <v>-7</v>
                </pt>
                <pt idx="43">
                  <v>-31</v>
                </pt>
                <pt idx="44">
                  <v>-12</v>
                </pt>
                <pt idx="45">
                  <v>-3</v>
                </pt>
                <pt idx="46">
                  <v>-15</v>
                </pt>
                <pt idx="47">
                  <v>-24</v>
                </pt>
                <pt idx="48">
                  <v>-26</v>
                </pt>
                <pt idx="49">
                  <v>-10</v>
                </pt>
                <pt idx="50">
                  <v>-12</v>
                </pt>
                <pt idx="51">
                  <v>-4</v>
                </pt>
                <pt idx="52">
                  <v>-10</v>
                </pt>
                <pt idx="53">
                  <v>-13</v>
                </pt>
                <pt idx="54">
                  <v>-15</v>
                </pt>
                <pt idx="55">
                  <v>-19</v>
                </pt>
                <pt idx="56">
                  <v>-20</v>
                </pt>
                <pt idx="57">
                  <v>-11</v>
                </pt>
                <pt idx="58">
                  <v>-6</v>
                </pt>
                <pt idx="59">
                  <v>-17</v>
                </pt>
                <pt idx="60">
                  <v>-1</v>
                </pt>
                <pt idx="61">
                  <v>-7</v>
                </pt>
                <pt idx="62">
                  <v>5</v>
                </pt>
                <pt idx="63">
                  <v>0</v>
                </pt>
                <pt idx="64">
                  <v>9</v>
                </pt>
                <pt idx="65">
                  <v>-3</v>
                </pt>
                <pt idx="66">
                  <v>4</v>
                </pt>
                <pt idx="67">
                  <v>-8</v>
                </pt>
                <pt idx="68">
                  <v>-11</v>
                </pt>
                <pt idx="69">
                  <v>-2</v>
                </pt>
                <pt idx="70">
                  <v>10</v>
                </pt>
                <pt idx="71">
                  <v>-10</v>
                </pt>
                <pt idx="72">
                  <v>-3</v>
                </pt>
                <pt idx="73">
                  <v>-1</v>
                </pt>
                <pt idx="74">
                  <v>18</v>
                </pt>
                <pt idx="75">
                  <v>6</v>
                </pt>
                <pt idx="76">
                  <v>8</v>
                </pt>
                <pt idx="77">
                  <v>12</v>
                </pt>
                <pt idx="78">
                  <v>3</v>
                </pt>
                <pt idx="79">
                  <v>4</v>
                </pt>
                <pt idx="80">
                  <v>12</v>
                </pt>
                <pt idx="81">
                  <v>-6</v>
                </pt>
                <pt idx="82">
                  <v>-4</v>
                </pt>
                <pt idx="83">
                  <v>-8</v>
                </pt>
                <pt idx="84">
                  <v>-6</v>
                </pt>
                <pt idx="85">
                  <v>-3</v>
                </pt>
                <pt idx="86">
                  <v>-6</v>
                </pt>
                <pt idx="87">
                  <v>6</v>
                </pt>
                <pt idx="88">
                  <v>-11</v>
                </pt>
                <pt idx="89">
                  <v>-10</v>
                </pt>
                <pt idx="90">
                  <v>-2</v>
                </pt>
                <pt idx="91">
                  <v>-5</v>
                </pt>
                <pt idx="92">
                  <v>-10</v>
                </pt>
                <pt idx="93">
                  <v>7</v>
                </pt>
                <pt idx="94">
                  <v>-2</v>
                </pt>
                <pt idx="95">
                  <v>-9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90573552"/>
        <axId val="490565024"/>
      </lineChart>
      <lineChart>
        <grouping val="standard"/>
        <varyColors val="0"/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90404863"/>
        <axId val="990410687"/>
      </lineChart>
      <dateAx>
        <axId val="490573552"/>
        <scaling>
          <orientation val="minMax"/>
        </scaling>
        <delete val="0"/>
        <axPos val="b"/>
        <numFmt formatCode="[$-409]mmm\-yy;@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90565024"/>
        <crosses val="autoZero"/>
        <lblOffset val="100"/>
        <baseTimeUnit val="months"/>
        <majorUnit val="5"/>
        <majorTimeUnit val="months"/>
      </dateAx>
      <valAx>
        <axId val="490565024"/>
        <scaling>
          <orientation val="minMax"/>
        </scaling>
        <delete val="0"/>
        <axPos val="l"/>
        <majorGridlines>
          <spPr>
            <a:ln xmlns:a="http://schemas.openxmlformats.org/drawingml/2006/main" w="6350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90573552"/>
        <crosses val="autoZero"/>
        <crossBetween val="between"/>
      </valAx>
      <catAx>
        <axId val="990404863"/>
        <scaling>
          <orientation val="minMax"/>
        </scaling>
        <delete val="1"/>
        <axPos val="b"/>
        <numFmt formatCode="[$-409]mmm\-yy;@" sourceLinked="1"/>
        <majorTickMark val="out"/>
        <minorTickMark val="none"/>
        <tickLblPos val="nextTo"/>
        <crossAx val="990410687"/>
        <crosses val="autoZero"/>
        <auto val="1"/>
        <lblAlgn val="ctr"/>
        <lblOffset val="100"/>
        <noMultiLvlLbl val="1"/>
      </catAx>
      <valAx>
        <axId val="990410687"/>
        <scaling>
          <orientation val="minMax"/>
        </scaling>
        <delete val="0"/>
        <axPos val="r"/>
        <numFmt formatCode="0.0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90404863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635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6A748C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465972569401047"/>
          <y val="0.03441247939057647"/>
          <w val="0.9016606214153786"/>
          <h val="0.796857050477386"/>
        </manualLayout>
      </layout>
      <barChart>
        <barDir val="col"/>
        <grouping val="clustered"/>
        <varyColors val="0"/>
        <ser>
          <idx val="1"/>
          <order val="0"/>
          <tx>
            <strRef>
              <f>Charts!$BC$2</f>
              <strCache>
                <ptCount val="1"/>
                <pt idx="0">
                  <v>Price per SF (ttm)</v>
                </pt>
              </strCache>
            </strRef>
          </tx>
          <spPr>
            <a:solidFill xmlns:a="http://schemas.openxmlformats.org/drawingml/2006/main">
              <a:srgbClr val="E0E8F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dLbl>
              <idx val="5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8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 xmlns:a="http://schemas.openxmlformats.org/drawingml/2006/main">
                <a:srgbClr val="E0E8F4"/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003DA5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Charts!$B$130:$B$218</f>
              <numCache>
                <formatCode>[$-409]mmm\-yy;@</formatCode>
                <ptCount val="89"/>
                <pt idx="0">
                  <v>43313</v>
                </pt>
                <pt idx="1">
                  <v>43344</v>
                </pt>
                <pt idx="2">
                  <v>43374</v>
                </pt>
                <pt idx="3">
                  <v>43405</v>
                </pt>
                <pt idx="4">
                  <v>43435</v>
                </pt>
                <pt idx="5">
                  <v>43466</v>
                </pt>
                <pt idx="6">
                  <v>43497</v>
                </pt>
                <pt idx="7">
                  <v>43525</v>
                </pt>
                <pt idx="8">
                  <v>43556</v>
                </pt>
                <pt idx="9">
                  <v>43586</v>
                </pt>
                <pt idx="10">
                  <v>43617</v>
                </pt>
                <pt idx="11">
                  <v>43647</v>
                </pt>
                <pt idx="12">
                  <v>43678</v>
                </pt>
                <pt idx="13">
                  <v>43709</v>
                </pt>
                <pt idx="14">
                  <v>43739</v>
                </pt>
                <pt idx="15">
                  <v>43770</v>
                </pt>
                <pt idx="16">
                  <v>43800</v>
                </pt>
                <pt idx="17">
                  <v>43831</v>
                </pt>
                <pt idx="18">
                  <v>43862</v>
                </pt>
                <pt idx="19">
                  <v>43891</v>
                </pt>
                <pt idx="20">
                  <v>43922</v>
                </pt>
                <pt idx="21">
                  <v>43952</v>
                </pt>
                <pt idx="22">
                  <v>43983</v>
                </pt>
                <pt idx="23">
                  <v>44013</v>
                </pt>
                <pt idx="24">
                  <v>44044</v>
                </pt>
                <pt idx="25">
                  <v>44075</v>
                </pt>
                <pt idx="26">
                  <v>44105</v>
                </pt>
                <pt idx="27">
                  <v>44136</v>
                </pt>
                <pt idx="28">
                  <v>44166</v>
                </pt>
                <pt idx="29">
                  <v>44197</v>
                </pt>
                <pt idx="30">
                  <v>44228</v>
                </pt>
                <pt idx="31">
                  <v>44256</v>
                </pt>
                <pt idx="32">
                  <v>44287</v>
                </pt>
                <pt idx="33">
                  <v>44317</v>
                </pt>
                <pt idx="34">
                  <v>44348</v>
                </pt>
                <pt idx="35">
                  <v>44378</v>
                </pt>
                <pt idx="36">
                  <v>44409</v>
                </pt>
                <pt idx="37">
                  <v>44440</v>
                </pt>
                <pt idx="38">
                  <v>44470</v>
                </pt>
                <pt idx="39">
                  <v>44501</v>
                </pt>
                <pt idx="40">
                  <v>44531</v>
                </pt>
                <pt idx="41">
                  <v>44562</v>
                </pt>
                <pt idx="42">
                  <v>44593</v>
                </pt>
                <pt idx="43">
                  <v>44621</v>
                </pt>
                <pt idx="44">
                  <v>44652</v>
                </pt>
                <pt idx="45">
                  <v>44682</v>
                </pt>
                <pt idx="46">
                  <v>44713</v>
                </pt>
                <pt idx="47">
                  <v>44743</v>
                </pt>
                <pt idx="48">
                  <v>44774</v>
                </pt>
                <pt idx="49">
                  <v>44805</v>
                </pt>
                <pt idx="50">
                  <v>44835</v>
                </pt>
                <pt idx="51">
                  <v>44866</v>
                </pt>
                <pt idx="52">
                  <v>44896</v>
                </pt>
                <pt idx="53">
                  <v>44927</v>
                </pt>
                <pt idx="54">
                  <v>44958</v>
                </pt>
                <pt idx="55">
                  <v>44986</v>
                </pt>
                <pt idx="56">
                  <v>45017</v>
                </pt>
                <pt idx="57">
                  <v>45047</v>
                </pt>
                <pt idx="58">
                  <v>45078</v>
                </pt>
                <pt idx="59">
                  <v>45108</v>
                </pt>
                <pt idx="60">
                  <v>45139</v>
                </pt>
                <pt idx="61">
                  <v>45170</v>
                </pt>
                <pt idx="62">
                  <v>45200</v>
                </pt>
                <pt idx="63">
                  <v>45231</v>
                </pt>
                <pt idx="64">
                  <v>45261</v>
                </pt>
                <pt idx="65">
                  <v>45292</v>
                </pt>
                <pt idx="66">
                  <v>45323</v>
                </pt>
                <pt idx="67">
                  <v>45352</v>
                </pt>
                <pt idx="68">
                  <v>45383</v>
                </pt>
                <pt idx="69">
                  <v>45413</v>
                </pt>
                <pt idx="70">
                  <v>45444</v>
                </pt>
                <pt idx="71">
                  <v>45474</v>
                </pt>
                <pt idx="72">
                  <v>45505</v>
                </pt>
                <pt idx="73">
                  <v>45536</v>
                </pt>
                <pt idx="74">
                  <v>45566</v>
                </pt>
                <pt idx="75">
                  <v>45597</v>
                </pt>
                <pt idx="76">
                  <v>45627</v>
                </pt>
                <pt idx="77">
                  <v>45658</v>
                </pt>
                <pt idx="78">
                  <v>45689</v>
                </pt>
                <pt idx="79">
                  <v>45717</v>
                </pt>
                <pt idx="80">
                  <v>45748</v>
                </pt>
                <pt idx="81">
                  <v>45778</v>
                </pt>
                <pt idx="82">
                  <v>45809</v>
                </pt>
                <pt idx="83">
                  <v>45839</v>
                </pt>
                <pt idx="84">
                  <v>45870</v>
                </pt>
                <pt idx="85">
                  <v>45901</v>
                </pt>
                <pt idx="86">
                  <v>45931</v>
                </pt>
                <pt idx="87">
                  <v>45962</v>
                </pt>
                <pt idx="88">
                  <v>45992</v>
                </pt>
              </numCache>
            </numRef>
          </cat>
          <val>
            <numRef>
              <f>Charts!$BC$130:$BC$218</f>
              <numCache>
                <formatCode>"$"#,##0_);[Red]\("$"#,##0\)</formatCode>
                <ptCount val="89"/>
                <pt idx="0">
                  <v>365.591281629672</v>
                </pt>
                <pt idx="1">
                  <v>356.4766473697749</v>
                </pt>
                <pt idx="2">
                  <v>359.5949721577896</v>
                </pt>
                <pt idx="3">
                  <v>363.1526482663801</v>
                </pt>
                <pt idx="4">
                  <v>354.5381554921822</v>
                </pt>
                <pt idx="5">
                  <v>353.8542810191654</v>
                </pt>
                <pt idx="6">
                  <v>355.8934813169598</v>
                </pt>
                <pt idx="7">
                  <v>358.7332364621847</v>
                </pt>
                <pt idx="8">
                  <v>355.2997808785931</v>
                </pt>
                <pt idx="9">
                  <v>361.7512411224034</v>
                </pt>
                <pt idx="10">
                  <v>359.1936126715677</v>
                </pt>
                <pt idx="11">
                  <v>364.5562286436074</v>
                </pt>
                <pt idx="12">
                  <v>371.8552060475157</v>
                </pt>
                <pt idx="13">
                  <v>369.5734443608384</v>
                </pt>
                <pt idx="14">
                  <v>370.1954348539459</v>
                </pt>
                <pt idx="15">
                  <v>376.3662187874114</v>
                </pt>
                <pt idx="16">
                  <v>379.47173339227</v>
                </pt>
                <pt idx="17">
                  <v>373.7240935945667</v>
                </pt>
                <pt idx="18">
                  <v>365.3558007588032</v>
                </pt>
                <pt idx="19">
                  <v>366.502201660442</v>
                </pt>
                <pt idx="20">
                  <v>363.9013639171192</v>
                </pt>
                <pt idx="21">
                  <v>363.4502917793156</v>
                </pt>
                <pt idx="22">
                  <v>360.4160982551908</v>
                </pt>
                <pt idx="23">
                  <v>365.3238516334973</v>
                </pt>
                <pt idx="24">
                  <v>356.0359762263279</v>
                </pt>
                <pt idx="25">
                  <v>354.0235819649716</v>
                </pt>
                <pt idx="26">
                  <v>365.4631381069449</v>
                </pt>
                <pt idx="27">
                  <v>361.4224497002352</v>
                </pt>
                <pt idx="28">
                  <v>366.4743486850797</v>
                </pt>
                <pt idx="29">
                  <v>359.3627468740451</v>
                </pt>
                <pt idx="30">
                  <v>353.4149849121256</v>
                </pt>
                <pt idx="31">
                  <v>352.188971155331</v>
                </pt>
                <pt idx="32">
                  <v>350.3534548682156</v>
                </pt>
                <pt idx="33">
                  <v>353.8063554612192</v>
                </pt>
                <pt idx="34">
                  <v>346.9075383375958</v>
                </pt>
                <pt idx="35">
                  <v>351.4994264742436</v>
                </pt>
                <pt idx="36">
                  <v>355.6507840444663</v>
                </pt>
                <pt idx="37">
                  <v>352.8556218972716</v>
                </pt>
                <pt idx="38">
                  <v>363.8854587412211</v>
                </pt>
                <pt idx="39">
                  <v>361.5142864895739</v>
                </pt>
                <pt idx="40">
                  <v>369.0137178881666</v>
                </pt>
                <pt idx="41">
                  <v>373.8217850067749</v>
                </pt>
                <pt idx="42">
                  <v>382.0176919408982</v>
                </pt>
                <pt idx="43">
                  <v>388.1908074953124</v>
                </pt>
                <pt idx="44">
                  <v>391.0388374645248</v>
                </pt>
                <pt idx="45">
                  <v>399.2576205382823</v>
                </pt>
                <pt idx="46">
                  <v>402.8603550085212</v>
                </pt>
                <pt idx="47">
                  <v>412.7143637217956</v>
                </pt>
                <pt idx="48">
                  <v>414.9555848167958</v>
                </pt>
                <pt idx="49">
                  <v>411.385848651568</v>
                </pt>
                <pt idx="50">
                  <v>410.6192937133073</v>
                </pt>
                <pt idx="51">
                  <v>415.5529737002414</v>
                </pt>
                <pt idx="52">
                  <v>414.0425532562734</v>
                </pt>
                <pt idx="53">
                  <v>398.3193300062169</v>
                </pt>
                <pt idx="54">
                  <v>393.8247047592678</v>
                </pt>
                <pt idx="55">
                  <v>386.552631454225</v>
                </pt>
                <pt idx="56">
                  <v>373.719240077218</v>
                </pt>
                <pt idx="57">
                  <v>371.2897638102957</v>
                </pt>
                <pt idx="58">
                  <v>346.2854439611536</v>
                </pt>
                <pt idx="59">
                  <v>346.4494598255272</v>
                </pt>
                <pt idx="60">
                  <v>341.9056448323308</v>
                </pt>
                <pt idx="61">
                  <v>329.9368422691612</v>
                </pt>
                <pt idx="62">
                  <v>325.1394837311127</v>
                </pt>
                <pt idx="63">
                  <v>323.7326143426301</v>
                </pt>
                <pt idx="64">
                  <v>333.3583649059919</v>
                </pt>
                <pt idx="65">
                  <v>335.0098220756127</v>
                </pt>
                <pt idx="66">
                  <v>340.4842707105201</v>
                </pt>
                <pt idx="67">
                  <v>355.9013215159792</v>
                </pt>
                <pt idx="68">
                  <v>356.4790559848446</v>
                </pt>
                <pt idx="69">
                  <v>355.3528317961527</v>
                </pt>
                <pt idx="70">
                  <v>344.4340194412076</v>
                </pt>
                <pt idx="71">
                  <v>336.9987489683267</v>
                </pt>
                <pt idx="72">
                  <v>342.1587062087089</v>
                </pt>
                <pt idx="73">
                  <v>342.5636551971218</v>
                </pt>
                <pt idx="74">
                  <v>340.1212278556482</v>
                </pt>
                <pt idx="75">
                  <v>327.0857335611458</v>
                </pt>
                <pt idx="76">
                  <v>342.3124227399492</v>
                </pt>
                <pt idx="77">
                  <v>349.8728800362373</v>
                </pt>
                <pt idx="78">
                  <v>346.2790492340408</v>
                </pt>
                <pt idx="79">
                  <v>342.5795359628241</v>
                </pt>
                <pt idx="80">
                  <v>348.036986954012</v>
                </pt>
                <pt idx="81">
                  <v>349.5851364723219</v>
                </pt>
                <pt idx="82">
                  <v>345.0799014391374</v>
                </pt>
                <pt idx="83">
                  <v>340.1673151159819</v>
                </pt>
                <pt idx="84">
                  <v>334.0556892311042</v>
                </pt>
                <pt idx="85">
                  <v>332.4703447641949</v>
                </pt>
                <pt idx="86">
                  <v>351.6441092749886</v>
                </pt>
                <pt idx="87">
                  <v>339.6241439551106</v>
                </pt>
                <pt idx="88">
                  <v>330.8334894611634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7"/>
        <axId val="562498808"/>
        <axId val="562496840"/>
      </barChart>
      <lineChart>
        <grouping val="standard"/>
        <varyColors val="0"/>
        <ser>
          <idx val="2"/>
          <order val="2"/>
          <tx>
            <strRef>
              <f>Charts!$BB$2</f>
              <strCache>
                <ptCount val="1"/>
                <pt idx="0">
                  <v>Rent per SF (ttm)</v>
                </pt>
              </strCache>
            </strRef>
          </tx>
          <spPr>
            <a:ln xmlns:a="http://schemas.openxmlformats.org/drawingml/2006/main" w="9525" cap="rnd">
              <a:solidFill>
                <a:srgbClr val="003DA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003DA5"/>
              </a:solidFill>
              <a:ln xmlns:a="http://schemas.openxmlformats.org/drawingml/2006/main" w="9525">
                <a:noFill/>
                <a:prstDash val="solid"/>
              </a:ln>
            </spPr>
          </marker>
          <dLbls>
            <dLbl>
              <idx val="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7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8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 xmlns:a="http://schemas.openxmlformats.org/drawingml/2006/main">
                <a:srgbClr val="003DA5"/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Charts!$B$130:$B$218</f>
              <numCache>
                <formatCode>[$-409]mmm\-yy;@</formatCode>
                <ptCount val="89"/>
                <pt idx="0">
                  <v>43313</v>
                </pt>
                <pt idx="1">
                  <v>43344</v>
                </pt>
                <pt idx="2">
                  <v>43374</v>
                </pt>
                <pt idx="3">
                  <v>43405</v>
                </pt>
                <pt idx="4">
                  <v>43435</v>
                </pt>
                <pt idx="5">
                  <v>43466</v>
                </pt>
                <pt idx="6">
                  <v>43497</v>
                </pt>
                <pt idx="7">
                  <v>43525</v>
                </pt>
                <pt idx="8">
                  <v>43556</v>
                </pt>
                <pt idx="9">
                  <v>43586</v>
                </pt>
                <pt idx="10">
                  <v>43617</v>
                </pt>
                <pt idx="11">
                  <v>43647</v>
                </pt>
                <pt idx="12">
                  <v>43678</v>
                </pt>
                <pt idx="13">
                  <v>43709</v>
                </pt>
                <pt idx="14">
                  <v>43739</v>
                </pt>
                <pt idx="15">
                  <v>43770</v>
                </pt>
                <pt idx="16">
                  <v>43800</v>
                </pt>
                <pt idx="17">
                  <v>43831</v>
                </pt>
                <pt idx="18">
                  <v>43862</v>
                </pt>
                <pt idx="19">
                  <v>43891</v>
                </pt>
                <pt idx="20">
                  <v>43922</v>
                </pt>
                <pt idx="21">
                  <v>43952</v>
                </pt>
                <pt idx="22">
                  <v>43983</v>
                </pt>
                <pt idx="23">
                  <v>44013</v>
                </pt>
                <pt idx="24">
                  <v>44044</v>
                </pt>
                <pt idx="25">
                  <v>44075</v>
                </pt>
                <pt idx="26">
                  <v>44105</v>
                </pt>
                <pt idx="27">
                  <v>44136</v>
                </pt>
                <pt idx="28">
                  <v>44166</v>
                </pt>
                <pt idx="29">
                  <v>44197</v>
                </pt>
                <pt idx="30">
                  <v>44228</v>
                </pt>
                <pt idx="31">
                  <v>44256</v>
                </pt>
                <pt idx="32">
                  <v>44287</v>
                </pt>
                <pt idx="33">
                  <v>44317</v>
                </pt>
                <pt idx="34">
                  <v>44348</v>
                </pt>
                <pt idx="35">
                  <v>44378</v>
                </pt>
                <pt idx="36">
                  <v>44409</v>
                </pt>
                <pt idx="37">
                  <v>44440</v>
                </pt>
                <pt idx="38">
                  <v>44470</v>
                </pt>
                <pt idx="39">
                  <v>44501</v>
                </pt>
                <pt idx="40">
                  <v>44531</v>
                </pt>
                <pt idx="41">
                  <v>44562</v>
                </pt>
                <pt idx="42">
                  <v>44593</v>
                </pt>
                <pt idx="43">
                  <v>44621</v>
                </pt>
                <pt idx="44">
                  <v>44652</v>
                </pt>
                <pt idx="45">
                  <v>44682</v>
                </pt>
                <pt idx="46">
                  <v>44713</v>
                </pt>
                <pt idx="47">
                  <v>44743</v>
                </pt>
                <pt idx="48">
                  <v>44774</v>
                </pt>
                <pt idx="49">
                  <v>44805</v>
                </pt>
                <pt idx="50">
                  <v>44835</v>
                </pt>
                <pt idx="51">
                  <v>44866</v>
                </pt>
                <pt idx="52">
                  <v>44896</v>
                </pt>
                <pt idx="53">
                  <v>44927</v>
                </pt>
                <pt idx="54">
                  <v>44958</v>
                </pt>
                <pt idx="55">
                  <v>44986</v>
                </pt>
                <pt idx="56">
                  <v>45017</v>
                </pt>
                <pt idx="57">
                  <v>45047</v>
                </pt>
                <pt idx="58">
                  <v>45078</v>
                </pt>
                <pt idx="59">
                  <v>45108</v>
                </pt>
                <pt idx="60">
                  <v>45139</v>
                </pt>
                <pt idx="61">
                  <v>45170</v>
                </pt>
                <pt idx="62">
                  <v>45200</v>
                </pt>
                <pt idx="63">
                  <v>45231</v>
                </pt>
                <pt idx="64">
                  <v>45261</v>
                </pt>
                <pt idx="65">
                  <v>45292</v>
                </pt>
                <pt idx="66">
                  <v>45323</v>
                </pt>
                <pt idx="67">
                  <v>45352</v>
                </pt>
                <pt idx="68">
                  <v>45383</v>
                </pt>
                <pt idx="69">
                  <v>45413</v>
                </pt>
                <pt idx="70">
                  <v>45444</v>
                </pt>
                <pt idx="71">
                  <v>45474</v>
                </pt>
                <pt idx="72">
                  <v>45505</v>
                </pt>
                <pt idx="73">
                  <v>45536</v>
                </pt>
                <pt idx="74">
                  <v>45566</v>
                </pt>
                <pt idx="75">
                  <v>45597</v>
                </pt>
                <pt idx="76">
                  <v>45627</v>
                </pt>
                <pt idx="77">
                  <v>45658</v>
                </pt>
                <pt idx="78">
                  <v>45689</v>
                </pt>
                <pt idx="79">
                  <v>45717</v>
                </pt>
                <pt idx="80">
                  <v>45748</v>
                </pt>
                <pt idx="81">
                  <v>45778</v>
                </pt>
                <pt idx="82">
                  <v>45809</v>
                </pt>
                <pt idx="83">
                  <v>45839</v>
                </pt>
                <pt idx="84">
                  <v>45870</v>
                </pt>
                <pt idx="85">
                  <v>45901</v>
                </pt>
                <pt idx="86">
                  <v>45931</v>
                </pt>
                <pt idx="87">
                  <v>45962</v>
                </pt>
                <pt idx="88">
                  <v>45992</v>
                </pt>
              </numCache>
            </numRef>
          </cat>
          <val>
            <numRef>
              <f>Charts!$BB$130:$BB$218</f>
              <numCache>
                <formatCode>"$"#,##0.00_);[Red]\("$"#,##0.00\)</formatCode>
                <ptCount val="89"/>
                <pt idx="0">
                  <v>22.4666668663845</v>
                </pt>
                <pt idx="1">
                  <v>22.22927830509261</v>
                </pt>
                <pt idx="2">
                  <v>22.33964432628608</v>
                </pt>
                <pt idx="3">
                  <v>22.2291206554154</v>
                </pt>
                <pt idx="4">
                  <v>22.03714503479713</v>
                </pt>
                <pt idx="5">
                  <v>21.90547376420927</v>
                </pt>
                <pt idx="6">
                  <v>22.14698484292448</v>
                </pt>
                <pt idx="7">
                  <v>22.09203973681671</v>
                </pt>
                <pt idx="8">
                  <v>22.2069810927898</v>
                </pt>
                <pt idx="9">
                  <v>22.2319672273057</v>
                </pt>
                <pt idx="10">
                  <v>22.72998583948216</v>
                </pt>
                <pt idx="11">
                  <v>22.70233959484005</v>
                </pt>
                <pt idx="12">
                  <v>22.97276298605559</v>
                </pt>
                <pt idx="13">
                  <v>23.54692214417912</v>
                </pt>
                <pt idx="14">
                  <v>23.34501804805172</v>
                </pt>
                <pt idx="15">
                  <v>23.12960403960482</v>
                </pt>
                <pt idx="16">
                  <v>23.72129017013506</v>
                </pt>
                <pt idx="17">
                  <v>23.63089452942321</v>
                </pt>
                <pt idx="18">
                  <v>23.20436334534486</v>
                </pt>
                <pt idx="19">
                  <v>23.11659574762799</v>
                </pt>
                <pt idx="20">
                  <v>22.69682799922528</v>
                </pt>
                <pt idx="21">
                  <v>22.46951476316787</v>
                </pt>
                <pt idx="22">
                  <v>22.20120875111533</v>
                </pt>
                <pt idx="23">
                  <v>22.47360330679973</v>
                </pt>
                <pt idx="24">
                  <v>22.38378785343048</v>
                </pt>
                <pt idx="25">
                  <v>22.32047852898013</v>
                </pt>
                <pt idx="26">
                  <v>22.57415272623238</v>
                </pt>
                <pt idx="27">
                  <v>22.68126827599294</v>
                </pt>
                <pt idx="28">
                  <v>22.40722207623013</v>
                </pt>
                <pt idx="29">
                  <v>22.51048066772008</v>
                </pt>
                <pt idx="30">
                  <v>22.33955308806976</v>
                </pt>
                <pt idx="31">
                  <v>22.15538895988039</v>
                </pt>
                <pt idx="32">
                  <v>22.27190421924984</v>
                </pt>
                <pt idx="33">
                  <v>22.82298766705909</v>
                </pt>
                <pt idx="34">
                  <v>22.79906477143358</v>
                </pt>
                <pt idx="35">
                  <v>22.48921661847998</v>
                </pt>
                <pt idx="36">
                  <v>22.54454026000184</v>
                </pt>
                <pt idx="37">
                  <v>22.59223632714824</v>
                </pt>
                <pt idx="38">
                  <v>22.61636249250802</v>
                </pt>
                <pt idx="39">
                  <v>22.65500359392872</v>
                </pt>
                <pt idx="40">
                  <v>22.47766988703647</v>
                </pt>
                <pt idx="41">
                  <v>22.64765769763974</v>
                </pt>
                <pt idx="42">
                  <v>23.79526349789974</v>
                </pt>
                <pt idx="43">
                  <v>24.13638249076924</v>
                </pt>
                <pt idx="44">
                  <v>24.54646182657823</v>
                </pt>
                <pt idx="45">
                  <v>24.41948528087615</v>
                </pt>
                <pt idx="46">
                  <v>24.61908312828949</v>
                </pt>
                <pt idx="47">
                  <v>25.38956788441657</v>
                </pt>
                <pt idx="48">
                  <v>25.13184393333052</v>
                </pt>
                <pt idx="49">
                  <v>25.20124089037843</v>
                </pt>
                <pt idx="50">
                  <v>24.76968856458687</v>
                </pt>
                <pt idx="51">
                  <v>25.08728019413335</v>
                </pt>
                <pt idx="52">
                  <v>25.28018069065888</v>
                </pt>
                <pt idx="53">
                  <v>25.00877690696155</v>
                </pt>
                <pt idx="54">
                  <v>23.65843000709999</v>
                </pt>
                <pt idx="55">
                  <v>23.35011207845255</v>
                </pt>
                <pt idx="56">
                  <v>22.96303983346811</v>
                </pt>
                <pt idx="57">
                  <v>22.63664082973633</v>
                </pt>
                <pt idx="58">
                  <v>22.38452567105425</v>
                </pt>
                <pt idx="59">
                  <v>21.80947015776019</v>
                </pt>
                <pt idx="60">
                  <v>22.31424272804292</v>
                </pt>
                <pt idx="61">
                  <v>21.65121527013985</v>
                </pt>
                <pt idx="62">
                  <v>22.26968513008766</v>
                </pt>
                <pt idx="63">
                  <v>21.9706507871803</v>
                </pt>
                <pt idx="64">
                  <v>22.16712123151376</v>
                </pt>
                <pt idx="65">
                  <v>22.46555426659326</v>
                </pt>
                <pt idx="66">
                  <v>23.36209870890514</v>
                </pt>
                <pt idx="67">
                  <v>23.62844362773963</v>
                </pt>
                <pt idx="68">
                  <v>24.43159333524349</v>
                </pt>
                <pt idx="69">
                  <v>23.90520298361267</v>
                </pt>
                <pt idx="70">
                  <v>24.2926060129811</v>
                </pt>
                <pt idx="71">
                  <v>24.46848785215702</v>
                </pt>
                <pt idx="72">
                  <v>23.84360316005725</v>
                </pt>
                <pt idx="73">
                  <v>25.01060062915919</v>
                </pt>
                <pt idx="74">
                  <v>24.28856520981872</v>
                </pt>
                <pt idx="75">
                  <v>23.15495202950795</v>
                </pt>
                <pt idx="76">
                  <v>24.21867074261949</v>
                </pt>
                <pt idx="77">
                  <v>24.86469644979515</v>
                </pt>
                <pt idx="78">
                  <v>24.97360486665225</v>
                </pt>
                <pt idx="79">
                  <v>25.13462860784248</v>
                </pt>
                <pt idx="80">
                  <v>24.87872562268631</v>
                </pt>
                <pt idx="81">
                  <v>26.0686649635354</v>
                </pt>
                <pt idx="82">
                  <v>26.20223125341539</v>
                </pt>
                <pt idx="83">
                  <v>25.37593972243843</v>
                </pt>
                <pt idx="84">
                  <v>25.40820896694683</v>
                </pt>
                <pt idx="85">
                  <v>24.99905542999216</v>
                </pt>
                <pt idx="86">
                  <v>25.00522328103509</v>
                </pt>
                <pt idx="87">
                  <v>25.52334164125526</v>
                </pt>
                <pt idx="88">
                  <v>24.7388390888406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54256672"/>
        <axId val="554257000"/>
      </lineChart>
      <dateAx>
        <axId val="562498808"/>
        <scaling>
          <orientation val="minMax"/>
        </scaling>
        <delete val="1"/>
        <axPos val="b"/>
        <numFmt formatCode="[$-409]mmm\-yy;@" sourceLinked="1"/>
        <majorTickMark val="out"/>
        <minorTickMark val="none"/>
        <tickLblPos val="nextTo"/>
        <crossAx val="562496840"/>
        <crosses val="autoZero"/>
        <lblOffset val="100"/>
        <baseTimeUnit val="months"/>
      </dateAx>
      <valAx>
        <axId val="562496840"/>
        <scaling>
          <orientation val="minMax"/>
          <max val="500"/>
          <min val="200"/>
        </scaling>
        <delete val="0"/>
        <axPos val="r"/>
        <numFmt formatCode="&quot;$&quot;#,##0_);[Red]\(&quot;$&quot;#,##0\)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62498808"/>
        <crosses val="max"/>
        <crossBetween val="between"/>
      </valAx>
      <dateAx>
        <axId val="554256672"/>
        <scaling>
          <orientation val="minMax"/>
        </scaling>
        <delete val="0"/>
        <axPos val="b"/>
        <numFmt formatCode="[$-409]m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4257000"/>
        <crosses val="autoZero"/>
        <lblOffset val="100"/>
        <baseTimeUnit val="months"/>
        <majorUnit val="2"/>
      </dateAx>
      <valAx>
        <axId val="554257000"/>
        <scaling>
          <orientation val="minMax"/>
        </scaling>
        <delete val="0"/>
        <axPos val="l"/>
        <majorGridlines>
          <spPr>
            <a:ln xmlns:a="http://schemas.openxmlformats.org/drawingml/2006/main" w="6350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&quot;$&quot;#,##0.00_);[Red]\(&quot;$&quot;#,##0.0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4256672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3757778975544724"/>
          <y val="0.9421725816881584"/>
          <w val="0.2429327410462581"/>
          <h val="0.0487694472973487"/>
        </manualLayout>
      </layout>
      <overlay val="0"/>
      <spPr>
        <a:noFill xmlns:a="http://schemas.openxmlformats.org/drawingml/2006/main"/>
        <a:ln xmlns:a="http://schemas.openxmlformats.org/drawingml/2006/main" w="635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9EA9B7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368057778808692"/>
          <y val="0.02249665356880694"/>
          <w val="0.9489728992313141"/>
          <h val="0.7716526217228464"/>
        </manualLayout>
      </layout>
      <barChart>
        <barDir val="col"/>
        <grouping val="stacked"/>
        <varyColors val="0"/>
        <ser>
          <idx val="3"/>
          <order val="0"/>
          <tx>
            <strRef>
              <f>Charts!$BK$2</f>
              <strCache>
                <ptCount val="1"/>
                <pt idx="0">
                  <v>Individual Count (ttm)</v>
                </pt>
              </strCache>
            </strRef>
          </tx>
          <spPr>
            <a:solidFill xmlns:a="http://schemas.openxmlformats.org/drawingml/2006/main">
              <a:srgbClr val="003DA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Charts!$B$130:$B$218</f>
              <numCache>
                <formatCode>[$-409]mmm\-yy;@</formatCode>
                <ptCount val="89"/>
                <pt idx="0">
                  <v>43313</v>
                </pt>
                <pt idx="1">
                  <v>43344</v>
                </pt>
                <pt idx="2">
                  <v>43374</v>
                </pt>
                <pt idx="3">
                  <v>43405</v>
                </pt>
                <pt idx="4">
                  <v>43435</v>
                </pt>
                <pt idx="5">
                  <v>43466</v>
                </pt>
                <pt idx="6">
                  <v>43497</v>
                </pt>
                <pt idx="7">
                  <v>43525</v>
                </pt>
                <pt idx="8">
                  <v>43556</v>
                </pt>
                <pt idx="9">
                  <v>43586</v>
                </pt>
                <pt idx="10">
                  <v>43617</v>
                </pt>
                <pt idx="11">
                  <v>43647</v>
                </pt>
                <pt idx="12">
                  <v>43678</v>
                </pt>
                <pt idx="13">
                  <v>43709</v>
                </pt>
                <pt idx="14">
                  <v>43739</v>
                </pt>
                <pt idx="15">
                  <v>43770</v>
                </pt>
                <pt idx="16">
                  <v>43800</v>
                </pt>
                <pt idx="17">
                  <v>43831</v>
                </pt>
                <pt idx="18">
                  <v>43862</v>
                </pt>
                <pt idx="19">
                  <v>43891</v>
                </pt>
                <pt idx="20">
                  <v>43922</v>
                </pt>
                <pt idx="21">
                  <v>43952</v>
                </pt>
                <pt idx="22">
                  <v>43983</v>
                </pt>
                <pt idx="23">
                  <v>44013</v>
                </pt>
                <pt idx="24">
                  <v>44044</v>
                </pt>
                <pt idx="25">
                  <v>44075</v>
                </pt>
                <pt idx="26">
                  <v>44105</v>
                </pt>
                <pt idx="27">
                  <v>44136</v>
                </pt>
                <pt idx="28">
                  <v>44166</v>
                </pt>
                <pt idx="29">
                  <v>44197</v>
                </pt>
                <pt idx="30">
                  <v>44228</v>
                </pt>
                <pt idx="31">
                  <v>44256</v>
                </pt>
                <pt idx="32">
                  <v>44287</v>
                </pt>
                <pt idx="33">
                  <v>44317</v>
                </pt>
                <pt idx="34">
                  <v>44348</v>
                </pt>
                <pt idx="35">
                  <v>44378</v>
                </pt>
                <pt idx="36">
                  <v>44409</v>
                </pt>
                <pt idx="37">
                  <v>44440</v>
                </pt>
                <pt idx="38">
                  <v>44470</v>
                </pt>
                <pt idx="39">
                  <v>44501</v>
                </pt>
                <pt idx="40">
                  <v>44531</v>
                </pt>
                <pt idx="41">
                  <v>44562</v>
                </pt>
                <pt idx="42">
                  <v>44593</v>
                </pt>
                <pt idx="43">
                  <v>44621</v>
                </pt>
                <pt idx="44">
                  <v>44652</v>
                </pt>
                <pt idx="45">
                  <v>44682</v>
                </pt>
                <pt idx="46">
                  <v>44713</v>
                </pt>
                <pt idx="47">
                  <v>44743</v>
                </pt>
                <pt idx="48">
                  <v>44774</v>
                </pt>
                <pt idx="49">
                  <v>44805</v>
                </pt>
                <pt idx="50">
                  <v>44835</v>
                </pt>
                <pt idx="51">
                  <v>44866</v>
                </pt>
                <pt idx="52">
                  <v>44896</v>
                </pt>
                <pt idx="53">
                  <v>44927</v>
                </pt>
                <pt idx="54">
                  <v>44958</v>
                </pt>
                <pt idx="55">
                  <v>44986</v>
                </pt>
                <pt idx="56">
                  <v>45017</v>
                </pt>
                <pt idx="57">
                  <v>45047</v>
                </pt>
                <pt idx="58">
                  <v>45078</v>
                </pt>
                <pt idx="59">
                  <v>45108</v>
                </pt>
                <pt idx="60">
                  <v>45139</v>
                </pt>
                <pt idx="61">
                  <v>45170</v>
                </pt>
                <pt idx="62">
                  <v>45200</v>
                </pt>
                <pt idx="63">
                  <v>45231</v>
                </pt>
                <pt idx="64">
                  <v>45261</v>
                </pt>
                <pt idx="65">
                  <v>45292</v>
                </pt>
                <pt idx="66">
                  <v>45323</v>
                </pt>
                <pt idx="67">
                  <v>45352</v>
                </pt>
                <pt idx="68">
                  <v>45383</v>
                </pt>
                <pt idx="69">
                  <v>45413</v>
                </pt>
                <pt idx="70">
                  <v>45444</v>
                </pt>
                <pt idx="71">
                  <v>45474</v>
                </pt>
                <pt idx="72">
                  <v>45505</v>
                </pt>
                <pt idx="73">
                  <v>45536</v>
                </pt>
                <pt idx="74">
                  <v>45566</v>
                </pt>
                <pt idx="75">
                  <v>45597</v>
                </pt>
                <pt idx="76">
                  <v>45627</v>
                </pt>
                <pt idx="77">
                  <v>45658</v>
                </pt>
                <pt idx="78">
                  <v>45689</v>
                </pt>
                <pt idx="79">
                  <v>45717</v>
                </pt>
                <pt idx="80">
                  <v>45748</v>
                </pt>
                <pt idx="81">
                  <v>45778</v>
                </pt>
                <pt idx="82">
                  <v>45809</v>
                </pt>
                <pt idx="83">
                  <v>45839</v>
                </pt>
                <pt idx="84">
                  <v>45870</v>
                </pt>
                <pt idx="85">
                  <v>45901</v>
                </pt>
                <pt idx="86">
                  <v>45931</v>
                </pt>
                <pt idx="87">
                  <v>45962</v>
                </pt>
                <pt idx="88">
                  <v>45992</v>
                </pt>
              </numCache>
            </numRef>
          </cat>
          <val>
            <numRef>
              <f>Charts!$BK$130:$BK$218</f>
              <numCache>
                <formatCode>#,##0_);[Red]\(#,##0\)</formatCode>
                <ptCount val="89"/>
                <pt idx="0">
                  <v>147</v>
                </pt>
                <pt idx="1">
                  <v>145</v>
                </pt>
                <pt idx="2">
                  <v>144</v>
                </pt>
                <pt idx="3">
                  <v>146</v>
                </pt>
                <pt idx="4">
                  <v>153</v>
                </pt>
                <pt idx="5">
                  <v>149</v>
                </pt>
                <pt idx="6">
                  <v>149</v>
                </pt>
                <pt idx="7">
                  <v>152</v>
                </pt>
                <pt idx="8">
                  <v>151</v>
                </pt>
                <pt idx="9">
                  <v>150</v>
                </pt>
                <pt idx="10">
                  <v>149</v>
                </pt>
                <pt idx="11">
                  <v>151</v>
                </pt>
                <pt idx="12">
                  <v>152</v>
                </pt>
                <pt idx="13">
                  <v>151</v>
                </pt>
                <pt idx="14">
                  <v>153</v>
                </pt>
                <pt idx="15">
                  <v>147</v>
                </pt>
                <pt idx="16">
                  <v>142</v>
                </pt>
                <pt idx="17">
                  <v>146</v>
                </pt>
                <pt idx="18">
                  <v>160</v>
                </pt>
                <pt idx="19">
                  <v>162</v>
                </pt>
                <pt idx="20">
                  <v>172</v>
                </pt>
                <pt idx="21">
                  <v>172</v>
                </pt>
                <pt idx="22">
                  <v>165</v>
                </pt>
                <pt idx="23">
                  <v>166</v>
                </pt>
                <pt idx="24">
                  <v>169</v>
                </pt>
                <pt idx="25">
                  <v>170</v>
                </pt>
                <pt idx="26">
                  <v>172</v>
                </pt>
                <pt idx="27">
                  <v>172</v>
                </pt>
                <pt idx="28">
                  <v>172</v>
                </pt>
                <pt idx="29">
                  <v>178</v>
                </pt>
                <pt idx="30">
                  <v>167</v>
                </pt>
                <pt idx="31">
                  <v>168</v>
                </pt>
                <pt idx="32">
                  <v>169</v>
                </pt>
                <pt idx="33">
                  <v>174</v>
                </pt>
                <pt idx="34">
                  <v>185</v>
                </pt>
                <pt idx="35">
                  <v>186</v>
                </pt>
                <pt idx="36">
                  <v>186</v>
                </pt>
                <pt idx="37">
                  <v>196</v>
                </pt>
                <pt idx="38">
                  <v>199</v>
                </pt>
                <pt idx="39">
                  <v>197</v>
                </pt>
                <pt idx="40">
                  <v>203</v>
                </pt>
                <pt idx="41">
                  <v>197</v>
                </pt>
                <pt idx="42">
                  <v>198</v>
                </pt>
                <pt idx="43">
                  <v>199</v>
                </pt>
                <pt idx="44">
                  <v>190</v>
                </pt>
                <pt idx="45">
                  <v>186</v>
                </pt>
                <pt idx="46">
                  <v>174</v>
                </pt>
                <pt idx="47">
                  <v>162</v>
                </pt>
                <pt idx="48">
                  <v>161</v>
                </pt>
                <pt idx="49">
                  <v>147</v>
                </pt>
                <pt idx="50">
                  <v>141</v>
                </pt>
                <pt idx="51">
                  <v>143</v>
                </pt>
                <pt idx="52">
                  <v>132</v>
                </pt>
                <pt idx="53">
                  <v>135</v>
                </pt>
                <pt idx="54">
                  <v>131</v>
                </pt>
                <pt idx="55">
                  <v>125</v>
                </pt>
                <pt idx="56">
                  <v>118</v>
                </pt>
                <pt idx="57">
                  <v>110</v>
                </pt>
                <pt idx="58">
                  <v>109</v>
                </pt>
                <pt idx="59">
                  <v>109</v>
                </pt>
                <pt idx="60">
                  <v>100</v>
                </pt>
                <pt idx="61">
                  <v>97</v>
                </pt>
                <pt idx="62">
                  <v>93</v>
                </pt>
                <pt idx="63">
                  <v>88</v>
                </pt>
                <pt idx="64">
                  <v>85</v>
                </pt>
                <pt idx="65">
                  <v>75</v>
                </pt>
                <pt idx="66">
                  <v>66</v>
                </pt>
                <pt idx="67">
                  <v>63</v>
                </pt>
                <pt idx="68">
                  <v>60</v>
                </pt>
                <pt idx="69">
                  <v>62</v>
                </pt>
                <pt idx="70">
                  <v>56</v>
                </pt>
                <pt idx="71">
                  <v>50</v>
                </pt>
                <pt idx="72">
                  <v>49</v>
                </pt>
                <pt idx="73">
                  <v>46</v>
                </pt>
                <pt idx="74">
                  <v>43</v>
                </pt>
                <pt idx="75">
                  <v>41</v>
                </pt>
                <pt idx="76">
                  <v>41</v>
                </pt>
                <pt idx="77">
                  <v>39</v>
                </pt>
                <pt idx="78">
                  <v>42</v>
                </pt>
                <pt idx="79">
                  <v>42</v>
                </pt>
                <pt idx="80">
                  <v>43</v>
                </pt>
                <pt idx="81">
                  <v>42</v>
                </pt>
                <pt idx="82">
                  <v>49</v>
                </pt>
                <pt idx="83">
                  <v>55</v>
                </pt>
                <pt idx="84">
                  <v>57</v>
                </pt>
                <pt idx="85">
                  <v>59</v>
                </pt>
                <pt idx="86">
                  <v>64</v>
                </pt>
                <pt idx="87">
                  <v>66</v>
                </pt>
                <pt idx="88">
                  <v>68</v>
                </pt>
              </numCache>
            </numRef>
          </val>
        </ser>
        <ser>
          <idx val="4"/>
          <order val="1"/>
          <tx>
            <strRef>
              <f>Charts!$BL$2</f>
              <strCache>
                <ptCount val="1"/>
                <pt idx="0">
                  <v>Fund Count (ttm)</v>
                </pt>
              </strCache>
            </strRef>
          </tx>
          <spPr>
            <a:solidFill xmlns:a="http://schemas.openxmlformats.org/drawingml/2006/main">
              <a:srgbClr val="62B5E5"/>
            </a:solidFill>
            <a:ln xmlns:a="http://schemas.openxmlformats.org/drawingml/2006/main">
              <a:prstDash val="solid"/>
            </a:ln>
          </spPr>
          <invertIfNegative val="0"/>
          <cat>
            <numRef>
              <f>Charts!$B$130:$B$218</f>
              <numCache>
                <formatCode>[$-409]mmm\-yy;@</formatCode>
                <ptCount val="89"/>
                <pt idx="0">
                  <v>43313</v>
                </pt>
                <pt idx="1">
                  <v>43344</v>
                </pt>
                <pt idx="2">
                  <v>43374</v>
                </pt>
                <pt idx="3">
                  <v>43405</v>
                </pt>
                <pt idx="4">
                  <v>43435</v>
                </pt>
                <pt idx="5">
                  <v>43466</v>
                </pt>
                <pt idx="6">
                  <v>43497</v>
                </pt>
                <pt idx="7">
                  <v>43525</v>
                </pt>
                <pt idx="8">
                  <v>43556</v>
                </pt>
                <pt idx="9">
                  <v>43586</v>
                </pt>
                <pt idx="10">
                  <v>43617</v>
                </pt>
                <pt idx="11">
                  <v>43647</v>
                </pt>
                <pt idx="12">
                  <v>43678</v>
                </pt>
                <pt idx="13">
                  <v>43709</v>
                </pt>
                <pt idx="14">
                  <v>43739</v>
                </pt>
                <pt idx="15">
                  <v>43770</v>
                </pt>
                <pt idx="16">
                  <v>43800</v>
                </pt>
                <pt idx="17">
                  <v>43831</v>
                </pt>
                <pt idx="18">
                  <v>43862</v>
                </pt>
                <pt idx="19">
                  <v>43891</v>
                </pt>
                <pt idx="20">
                  <v>43922</v>
                </pt>
                <pt idx="21">
                  <v>43952</v>
                </pt>
                <pt idx="22">
                  <v>43983</v>
                </pt>
                <pt idx="23">
                  <v>44013</v>
                </pt>
                <pt idx="24">
                  <v>44044</v>
                </pt>
                <pt idx="25">
                  <v>44075</v>
                </pt>
                <pt idx="26">
                  <v>44105</v>
                </pt>
                <pt idx="27">
                  <v>44136</v>
                </pt>
                <pt idx="28">
                  <v>44166</v>
                </pt>
                <pt idx="29">
                  <v>44197</v>
                </pt>
                <pt idx="30">
                  <v>44228</v>
                </pt>
                <pt idx="31">
                  <v>44256</v>
                </pt>
                <pt idx="32">
                  <v>44287</v>
                </pt>
                <pt idx="33">
                  <v>44317</v>
                </pt>
                <pt idx="34">
                  <v>44348</v>
                </pt>
                <pt idx="35">
                  <v>44378</v>
                </pt>
                <pt idx="36">
                  <v>44409</v>
                </pt>
                <pt idx="37">
                  <v>44440</v>
                </pt>
                <pt idx="38">
                  <v>44470</v>
                </pt>
                <pt idx="39">
                  <v>44501</v>
                </pt>
                <pt idx="40">
                  <v>44531</v>
                </pt>
                <pt idx="41">
                  <v>44562</v>
                </pt>
                <pt idx="42">
                  <v>44593</v>
                </pt>
                <pt idx="43">
                  <v>44621</v>
                </pt>
                <pt idx="44">
                  <v>44652</v>
                </pt>
                <pt idx="45">
                  <v>44682</v>
                </pt>
                <pt idx="46">
                  <v>44713</v>
                </pt>
                <pt idx="47">
                  <v>44743</v>
                </pt>
                <pt idx="48">
                  <v>44774</v>
                </pt>
                <pt idx="49">
                  <v>44805</v>
                </pt>
                <pt idx="50">
                  <v>44835</v>
                </pt>
                <pt idx="51">
                  <v>44866</v>
                </pt>
                <pt idx="52">
                  <v>44896</v>
                </pt>
                <pt idx="53">
                  <v>44927</v>
                </pt>
                <pt idx="54">
                  <v>44958</v>
                </pt>
                <pt idx="55">
                  <v>44986</v>
                </pt>
                <pt idx="56">
                  <v>45017</v>
                </pt>
                <pt idx="57">
                  <v>45047</v>
                </pt>
                <pt idx="58">
                  <v>45078</v>
                </pt>
                <pt idx="59">
                  <v>45108</v>
                </pt>
                <pt idx="60">
                  <v>45139</v>
                </pt>
                <pt idx="61">
                  <v>45170</v>
                </pt>
                <pt idx="62">
                  <v>45200</v>
                </pt>
                <pt idx="63">
                  <v>45231</v>
                </pt>
                <pt idx="64">
                  <v>45261</v>
                </pt>
                <pt idx="65">
                  <v>45292</v>
                </pt>
                <pt idx="66">
                  <v>45323</v>
                </pt>
                <pt idx="67">
                  <v>45352</v>
                </pt>
                <pt idx="68">
                  <v>45383</v>
                </pt>
                <pt idx="69">
                  <v>45413</v>
                </pt>
                <pt idx="70">
                  <v>45444</v>
                </pt>
                <pt idx="71">
                  <v>45474</v>
                </pt>
                <pt idx="72">
                  <v>45505</v>
                </pt>
                <pt idx="73">
                  <v>45536</v>
                </pt>
                <pt idx="74">
                  <v>45566</v>
                </pt>
                <pt idx="75">
                  <v>45597</v>
                </pt>
                <pt idx="76">
                  <v>45627</v>
                </pt>
                <pt idx="77">
                  <v>45658</v>
                </pt>
                <pt idx="78">
                  <v>45689</v>
                </pt>
                <pt idx="79">
                  <v>45717</v>
                </pt>
                <pt idx="80">
                  <v>45748</v>
                </pt>
                <pt idx="81">
                  <v>45778</v>
                </pt>
                <pt idx="82">
                  <v>45809</v>
                </pt>
                <pt idx="83">
                  <v>45839</v>
                </pt>
                <pt idx="84">
                  <v>45870</v>
                </pt>
                <pt idx="85">
                  <v>45901</v>
                </pt>
                <pt idx="86">
                  <v>45931</v>
                </pt>
                <pt idx="87">
                  <v>45962</v>
                </pt>
                <pt idx="88">
                  <v>45992</v>
                </pt>
              </numCache>
            </numRef>
          </cat>
          <val>
            <numRef>
              <f>Charts!$BL$130:$BL$218</f>
              <numCache>
                <formatCode>#,##0_);[Red]\(#,##0\)</formatCode>
                <ptCount val="89"/>
                <pt idx="0">
                  <v>67</v>
                </pt>
                <pt idx="1">
                  <v>69</v>
                </pt>
                <pt idx="2">
                  <v>69</v>
                </pt>
                <pt idx="3">
                  <v>67</v>
                </pt>
                <pt idx="4">
                  <v>60</v>
                </pt>
                <pt idx="5">
                  <v>58</v>
                </pt>
                <pt idx="6">
                  <v>58</v>
                </pt>
                <pt idx="7">
                  <v>53</v>
                </pt>
                <pt idx="8">
                  <v>51</v>
                </pt>
                <pt idx="9">
                  <v>54</v>
                </pt>
                <pt idx="10">
                  <v>43</v>
                </pt>
                <pt idx="11">
                  <v>39</v>
                </pt>
                <pt idx="12">
                  <v>47</v>
                </pt>
                <pt idx="13">
                  <v>45</v>
                </pt>
                <pt idx="14">
                  <v>48</v>
                </pt>
                <pt idx="15">
                  <v>49</v>
                </pt>
                <pt idx="16">
                  <v>52</v>
                </pt>
                <pt idx="17">
                  <v>50</v>
                </pt>
                <pt idx="18">
                  <v>50</v>
                </pt>
                <pt idx="19">
                  <v>54</v>
                </pt>
                <pt idx="20">
                  <v>51</v>
                </pt>
                <pt idx="21">
                  <v>51</v>
                </pt>
                <pt idx="22">
                  <v>55</v>
                </pt>
                <pt idx="23">
                  <v>54</v>
                </pt>
                <pt idx="24">
                  <v>44</v>
                </pt>
                <pt idx="25">
                  <v>49</v>
                </pt>
                <pt idx="26">
                  <v>46</v>
                </pt>
                <pt idx="27">
                  <v>46</v>
                </pt>
                <pt idx="28">
                  <v>45</v>
                </pt>
                <pt idx="29">
                  <v>43</v>
                </pt>
                <pt idx="30">
                  <v>42</v>
                </pt>
                <pt idx="31">
                  <v>40</v>
                </pt>
                <pt idx="32">
                  <v>44</v>
                </pt>
                <pt idx="33">
                  <v>51</v>
                </pt>
                <pt idx="34">
                  <v>50</v>
                </pt>
                <pt idx="35">
                  <v>55</v>
                </pt>
                <pt idx="36">
                  <v>58</v>
                </pt>
                <pt idx="37">
                  <v>59</v>
                </pt>
                <pt idx="38">
                  <v>62</v>
                </pt>
                <pt idx="39">
                  <v>63</v>
                </pt>
                <pt idx="40">
                  <v>66</v>
                </pt>
                <pt idx="41">
                  <v>74</v>
                </pt>
                <pt idx="42">
                  <v>85</v>
                </pt>
                <pt idx="43">
                  <v>87</v>
                </pt>
                <pt idx="44">
                  <v>89</v>
                </pt>
                <pt idx="45">
                  <v>84</v>
                </pt>
                <pt idx="46">
                  <v>86</v>
                </pt>
                <pt idx="47">
                  <v>85</v>
                </pt>
                <pt idx="48">
                  <v>91</v>
                </pt>
                <pt idx="49">
                  <v>101</v>
                </pt>
                <pt idx="50">
                  <v>115</v>
                </pt>
                <pt idx="51">
                  <v>126</v>
                </pt>
                <pt idx="52">
                  <v>130</v>
                </pt>
                <pt idx="53">
                  <v>120</v>
                </pt>
                <pt idx="54">
                  <v>110</v>
                </pt>
                <pt idx="55">
                  <v>112</v>
                </pt>
                <pt idx="56">
                  <v>110</v>
                </pt>
                <pt idx="57">
                  <v>110</v>
                </pt>
                <pt idx="58">
                  <v>106</v>
                </pt>
                <pt idx="59">
                  <v>107</v>
                </pt>
                <pt idx="60">
                  <v>98</v>
                </pt>
                <pt idx="61">
                  <v>86</v>
                </pt>
                <pt idx="62">
                  <v>79</v>
                </pt>
                <pt idx="63">
                  <v>67</v>
                </pt>
                <pt idx="64">
                  <v>60</v>
                </pt>
                <pt idx="65">
                  <v>62</v>
                </pt>
                <pt idx="66">
                  <v>63</v>
                </pt>
                <pt idx="67">
                  <v>67</v>
                </pt>
                <pt idx="68">
                  <v>63</v>
                </pt>
                <pt idx="69">
                  <v>61</v>
                </pt>
                <pt idx="70">
                  <v>59</v>
                </pt>
                <pt idx="71">
                  <v>52</v>
                </pt>
                <pt idx="72">
                  <v>48</v>
                </pt>
                <pt idx="73">
                  <v>41</v>
                </pt>
                <pt idx="74">
                  <v>29</v>
                </pt>
                <pt idx="75">
                  <v>27</v>
                </pt>
                <pt idx="76">
                  <v>29</v>
                </pt>
                <pt idx="77">
                  <v>40</v>
                </pt>
                <pt idx="78">
                  <v>44</v>
                </pt>
                <pt idx="79">
                  <v>39</v>
                </pt>
                <pt idx="80">
                  <v>41</v>
                </pt>
                <pt idx="81">
                  <v>39</v>
                </pt>
                <pt idx="82">
                  <v>42</v>
                </pt>
                <pt idx="83">
                  <v>46</v>
                </pt>
                <pt idx="84">
                  <v>51</v>
                </pt>
                <pt idx="85">
                  <v>54</v>
                </pt>
                <pt idx="86">
                  <v>57</v>
                </pt>
                <pt idx="87">
                  <v>57</v>
                </pt>
                <pt idx="88">
                  <v>56</v>
                </pt>
              </numCache>
            </numRef>
          </val>
        </ser>
        <ser>
          <idx val="5"/>
          <order val="2"/>
          <tx>
            <strRef>
              <f>Charts!$BM$2</f>
              <strCache>
                <ptCount val="1"/>
                <pt idx="0">
                  <v>REIT Count (ttm)</v>
                </pt>
              </strCache>
            </strRef>
          </tx>
          <spPr>
            <a:solidFill xmlns:a="http://schemas.openxmlformats.org/drawingml/2006/main">
              <a:srgbClr val="5FA3A8"/>
            </a:solidFill>
            <a:ln xmlns:a="http://schemas.openxmlformats.org/drawingml/2006/main">
              <a:prstDash val="solid"/>
            </a:ln>
          </spPr>
          <invertIfNegative val="0"/>
          <cat>
            <numRef>
              <f>Charts!$B$130:$B$218</f>
              <numCache>
                <formatCode>[$-409]mmm\-yy;@</formatCode>
                <ptCount val="89"/>
                <pt idx="0">
                  <v>43313</v>
                </pt>
                <pt idx="1">
                  <v>43344</v>
                </pt>
                <pt idx="2">
                  <v>43374</v>
                </pt>
                <pt idx="3">
                  <v>43405</v>
                </pt>
                <pt idx="4">
                  <v>43435</v>
                </pt>
                <pt idx="5">
                  <v>43466</v>
                </pt>
                <pt idx="6">
                  <v>43497</v>
                </pt>
                <pt idx="7">
                  <v>43525</v>
                </pt>
                <pt idx="8">
                  <v>43556</v>
                </pt>
                <pt idx="9">
                  <v>43586</v>
                </pt>
                <pt idx="10">
                  <v>43617</v>
                </pt>
                <pt idx="11">
                  <v>43647</v>
                </pt>
                <pt idx="12">
                  <v>43678</v>
                </pt>
                <pt idx="13">
                  <v>43709</v>
                </pt>
                <pt idx="14">
                  <v>43739</v>
                </pt>
                <pt idx="15">
                  <v>43770</v>
                </pt>
                <pt idx="16">
                  <v>43800</v>
                </pt>
                <pt idx="17">
                  <v>43831</v>
                </pt>
                <pt idx="18">
                  <v>43862</v>
                </pt>
                <pt idx="19">
                  <v>43891</v>
                </pt>
                <pt idx="20">
                  <v>43922</v>
                </pt>
                <pt idx="21">
                  <v>43952</v>
                </pt>
                <pt idx="22">
                  <v>43983</v>
                </pt>
                <pt idx="23">
                  <v>44013</v>
                </pt>
                <pt idx="24">
                  <v>44044</v>
                </pt>
                <pt idx="25">
                  <v>44075</v>
                </pt>
                <pt idx="26">
                  <v>44105</v>
                </pt>
                <pt idx="27">
                  <v>44136</v>
                </pt>
                <pt idx="28">
                  <v>44166</v>
                </pt>
                <pt idx="29">
                  <v>44197</v>
                </pt>
                <pt idx="30">
                  <v>44228</v>
                </pt>
                <pt idx="31">
                  <v>44256</v>
                </pt>
                <pt idx="32">
                  <v>44287</v>
                </pt>
                <pt idx="33">
                  <v>44317</v>
                </pt>
                <pt idx="34">
                  <v>44348</v>
                </pt>
                <pt idx="35">
                  <v>44378</v>
                </pt>
                <pt idx="36">
                  <v>44409</v>
                </pt>
                <pt idx="37">
                  <v>44440</v>
                </pt>
                <pt idx="38">
                  <v>44470</v>
                </pt>
                <pt idx="39">
                  <v>44501</v>
                </pt>
                <pt idx="40">
                  <v>44531</v>
                </pt>
                <pt idx="41">
                  <v>44562</v>
                </pt>
                <pt idx="42">
                  <v>44593</v>
                </pt>
                <pt idx="43">
                  <v>44621</v>
                </pt>
                <pt idx="44">
                  <v>44652</v>
                </pt>
                <pt idx="45">
                  <v>44682</v>
                </pt>
                <pt idx="46">
                  <v>44713</v>
                </pt>
                <pt idx="47">
                  <v>44743</v>
                </pt>
                <pt idx="48">
                  <v>44774</v>
                </pt>
                <pt idx="49">
                  <v>44805</v>
                </pt>
                <pt idx="50">
                  <v>44835</v>
                </pt>
                <pt idx="51">
                  <v>44866</v>
                </pt>
                <pt idx="52">
                  <v>44896</v>
                </pt>
                <pt idx="53">
                  <v>44927</v>
                </pt>
                <pt idx="54">
                  <v>44958</v>
                </pt>
                <pt idx="55">
                  <v>44986</v>
                </pt>
                <pt idx="56">
                  <v>45017</v>
                </pt>
                <pt idx="57">
                  <v>45047</v>
                </pt>
                <pt idx="58">
                  <v>45078</v>
                </pt>
                <pt idx="59">
                  <v>45108</v>
                </pt>
                <pt idx="60">
                  <v>45139</v>
                </pt>
                <pt idx="61">
                  <v>45170</v>
                </pt>
                <pt idx="62">
                  <v>45200</v>
                </pt>
                <pt idx="63">
                  <v>45231</v>
                </pt>
                <pt idx="64">
                  <v>45261</v>
                </pt>
                <pt idx="65">
                  <v>45292</v>
                </pt>
                <pt idx="66">
                  <v>45323</v>
                </pt>
                <pt idx="67">
                  <v>45352</v>
                </pt>
                <pt idx="68">
                  <v>45383</v>
                </pt>
                <pt idx="69">
                  <v>45413</v>
                </pt>
                <pt idx="70">
                  <v>45444</v>
                </pt>
                <pt idx="71">
                  <v>45474</v>
                </pt>
                <pt idx="72">
                  <v>45505</v>
                </pt>
                <pt idx="73">
                  <v>45536</v>
                </pt>
                <pt idx="74">
                  <v>45566</v>
                </pt>
                <pt idx="75">
                  <v>45597</v>
                </pt>
                <pt idx="76">
                  <v>45627</v>
                </pt>
                <pt idx="77">
                  <v>45658</v>
                </pt>
                <pt idx="78">
                  <v>45689</v>
                </pt>
                <pt idx="79">
                  <v>45717</v>
                </pt>
                <pt idx="80">
                  <v>45748</v>
                </pt>
                <pt idx="81">
                  <v>45778</v>
                </pt>
                <pt idx="82">
                  <v>45809</v>
                </pt>
                <pt idx="83">
                  <v>45839</v>
                </pt>
                <pt idx="84">
                  <v>45870</v>
                </pt>
                <pt idx="85">
                  <v>45901</v>
                </pt>
                <pt idx="86">
                  <v>45931</v>
                </pt>
                <pt idx="87">
                  <v>45962</v>
                </pt>
                <pt idx="88">
                  <v>45992</v>
                </pt>
              </numCache>
            </numRef>
          </cat>
          <val>
            <numRef>
              <f>Charts!$BM$130:$BM$218</f>
              <numCache>
                <formatCode>#,##0_);[Red]\(#,##0\)</formatCode>
                <ptCount val="89"/>
                <pt idx="0">
                  <v>30</v>
                </pt>
                <pt idx="1">
                  <v>32</v>
                </pt>
                <pt idx="2">
                  <v>32</v>
                </pt>
                <pt idx="3">
                  <v>33</v>
                </pt>
                <pt idx="4">
                  <v>36</v>
                </pt>
                <pt idx="5">
                  <v>38</v>
                </pt>
                <pt idx="6">
                  <v>36</v>
                </pt>
                <pt idx="7">
                  <v>32</v>
                </pt>
                <pt idx="8">
                  <v>23</v>
                </pt>
                <pt idx="9">
                  <v>18</v>
                </pt>
                <pt idx="10">
                  <v>18</v>
                </pt>
                <pt idx="11">
                  <v>19</v>
                </pt>
                <pt idx="12">
                  <v>17</v>
                </pt>
                <pt idx="13">
                  <v>15</v>
                </pt>
                <pt idx="14">
                  <v>19</v>
                </pt>
                <pt idx="15">
                  <v>19</v>
                </pt>
                <pt idx="16">
                  <v>18</v>
                </pt>
                <pt idx="17">
                  <v>14</v>
                </pt>
                <pt idx="18">
                  <v>13</v>
                </pt>
                <pt idx="19">
                  <v>13</v>
                </pt>
                <pt idx="20">
                  <v>16</v>
                </pt>
                <pt idx="21">
                  <v>15</v>
                </pt>
                <pt idx="22">
                  <v>15</v>
                </pt>
                <pt idx="23">
                  <v>17</v>
                </pt>
                <pt idx="24">
                  <v>13</v>
                </pt>
                <pt idx="25">
                  <v>13</v>
                </pt>
                <pt idx="26">
                  <v>9</v>
                </pt>
                <pt idx="27">
                  <v>10</v>
                </pt>
                <pt idx="28">
                  <v>13</v>
                </pt>
                <pt idx="29">
                  <v>29</v>
                </pt>
                <pt idx="30">
                  <v>30</v>
                </pt>
                <pt idx="31">
                  <v>30</v>
                </pt>
                <pt idx="32">
                  <v>33</v>
                </pt>
                <pt idx="33">
                  <v>34</v>
                </pt>
                <pt idx="34">
                  <v>34</v>
                </pt>
                <pt idx="35">
                  <v>33</v>
                </pt>
                <pt idx="36">
                  <v>33</v>
                </pt>
                <pt idx="37">
                  <v>33</v>
                </pt>
                <pt idx="38">
                  <v>37</v>
                </pt>
                <pt idx="39">
                  <v>36</v>
                </pt>
                <pt idx="40">
                  <v>32</v>
                </pt>
                <pt idx="41">
                  <v>18</v>
                </pt>
                <pt idx="42">
                  <v>18</v>
                </pt>
                <pt idx="43">
                  <v>19</v>
                </pt>
                <pt idx="44">
                  <v>14</v>
                </pt>
                <pt idx="45">
                  <v>14</v>
                </pt>
                <pt idx="46">
                  <v>19</v>
                </pt>
                <pt idx="47">
                  <v>25</v>
                </pt>
                <pt idx="48">
                  <v>26</v>
                </pt>
                <pt idx="49">
                  <v>26</v>
                </pt>
                <pt idx="50">
                  <v>22</v>
                </pt>
                <pt idx="51">
                  <v>21</v>
                </pt>
                <pt idx="52">
                  <v>20</v>
                </pt>
                <pt idx="53">
                  <v>18</v>
                </pt>
                <pt idx="54">
                  <v>17</v>
                </pt>
                <pt idx="55">
                  <v>18</v>
                </pt>
                <pt idx="56">
                  <v>17</v>
                </pt>
                <pt idx="57">
                  <v>16</v>
                </pt>
                <pt idx="58">
                  <v>11</v>
                </pt>
                <pt idx="59">
                  <v>4</v>
                </pt>
                <pt idx="60">
                  <v>3</v>
                </pt>
                <pt idx="61">
                  <v>4</v>
                </pt>
                <pt idx="62">
                  <v>5</v>
                </pt>
                <pt idx="63">
                  <v>5</v>
                </pt>
                <pt idx="64">
                  <v>5</v>
                </pt>
                <pt idx="65">
                  <v>5</v>
                </pt>
                <pt idx="66">
                  <v>5</v>
                </pt>
                <pt idx="67">
                  <v>3</v>
                </pt>
                <pt idx="68">
                  <v>3</v>
                </pt>
                <pt idx="69">
                  <v>3</v>
                </pt>
                <pt idx="70">
                  <v>3</v>
                </pt>
                <pt idx="71">
                  <v>3</v>
                </pt>
                <pt idx="72">
                  <v>4</v>
                </pt>
                <pt idx="73">
                  <v>3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3</v>
                </pt>
                <pt idx="78">
                  <v>3</v>
                </pt>
                <pt idx="79">
                  <v>3</v>
                </pt>
                <pt idx="80">
                  <v>4</v>
                </pt>
                <pt idx="81">
                  <v>5</v>
                </pt>
                <pt idx="82">
                  <v>6</v>
                </pt>
                <pt idx="83">
                  <v>5</v>
                </pt>
                <pt idx="84">
                  <v>4</v>
                </pt>
                <pt idx="85">
                  <v>4</v>
                </pt>
                <pt idx="86">
                  <v>10</v>
                </pt>
                <pt idx="87">
                  <v>11</v>
                </pt>
                <pt idx="88">
                  <v>11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13"/>
        <overlap val="100"/>
        <axId val="1353774528"/>
        <axId val="1353793248"/>
      </barChart>
      <dateAx>
        <axId val="1353774528"/>
        <scaling>
          <orientation val="minMax"/>
        </scaling>
        <delete val="0"/>
        <axPos val="b"/>
        <numFmt formatCode="[$-409]mmm\-yy;@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54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/>
            </a:r>
            <a:endParaRPr lang="en-US"/>
          </a:p>
        </txPr>
        <crossAx val="1353793248"/>
        <crosses val="autoZero"/>
        <lblOffset val="100"/>
        <baseTimeUnit val="months"/>
      </dateAx>
      <valAx>
        <axId val="1353793248"/>
        <scaling>
          <orientation val="minMax"/>
        </scaling>
        <delete val="0"/>
        <axPos val="r"/>
        <numFmt formatCode="#,##0_);[Red]\(#,##0\)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crossAx val="1353774528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216376493125986"/>
          <y val="0.949204427044934"/>
          <w val="0.567246738091278"/>
          <h val="0.04667444004945391"/>
        </manualLayout>
      </layout>
      <overlay val="0"/>
      <spPr>
        <a:noFill xmlns:a="http://schemas.openxmlformats.org/drawingml/2006/main"/>
        <a:ln xmlns:a="http://schemas.openxmlformats.org/drawingml/2006/main" w="6350">
          <a:noFill/>
          <a:prstDash val="solid"/>
        </a:ln>
      </spPr>
      <txPr>
        <a:bodyPr xmlns:a="http://schemas.openxmlformats.org/drawingml/2006/main" rot="0" vert="horz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335157213817812"/>
          <y val="0.05242889046763891"/>
          <w val="0.9183199239768136"/>
          <h val="0.6908609013463761"/>
        </manualLayout>
      </layout>
      <lineChart>
        <grouping val="standard"/>
        <varyColors val="0"/>
        <ser>
          <idx val="0"/>
          <order val="0"/>
          <tx>
            <strRef>
              <f>Charts!$W$2</f>
              <strCache>
                <ptCount val="1"/>
                <pt idx="0">
                  <v>NM Cap Rate (ttm)</v>
                </pt>
              </strCache>
            </strRef>
          </tx>
          <spPr>
            <a:ln xmlns:a="http://schemas.openxmlformats.org/drawingml/2006/main" w="28575" cap="rnd">
              <a:solidFill>
                <a:srgbClr val="62B5E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-5400000" spcFirstLastPara="1" vertOverflow="ellipsis" wrap="square" anchor="ctr" anchorCtr="1"/>
              <a:lstStyle xmlns:a="http://schemas.openxmlformats.org/drawingml/2006/main"/>
              <a:p xmlns:a="http://schemas.openxmlformats.org/drawingml/2006/main">
                <a:pPr>
                  <a:defRPr sz="700" b="0" i="0" strike="noStrike" kern="1200" baseline="0">
                    <a:solidFill>
                      <a:srgbClr val="9EA9B7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Charts!$B$155:$B$218</f>
              <numCache>
                <formatCode>[$-409]mmm\-yy;@</formatCode>
                <ptCount val="64"/>
                <pt idx="0">
                  <v>44075</v>
                </pt>
                <pt idx="1">
                  <v>44105</v>
                </pt>
                <pt idx="2">
                  <v>44136</v>
                </pt>
                <pt idx="3">
                  <v>44166</v>
                </pt>
                <pt idx="4">
                  <v>44197</v>
                </pt>
                <pt idx="5">
                  <v>44228</v>
                </pt>
                <pt idx="6">
                  <v>44256</v>
                </pt>
                <pt idx="7">
                  <v>44287</v>
                </pt>
                <pt idx="8">
                  <v>44317</v>
                </pt>
                <pt idx="9">
                  <v>44348</v>
                </pt>
                <pt idx="10">
                  <v>44378</v>
                </pt>
                <pt idx="11">
                  <v>44409</v>
                </pt>
                <pt idx="12">
                  <v>44440</v>
                </pt>
                <pt idx="13">
                  <v>44470</v>
                </pt>
                <pt idx="14">
                  <v>44501</v>
                </pt>
                <pt idx="15">
                  <v>44531</v>
                </pt>
                <pt idx="16">
                  <v>44562</v>
                </pt>
                <pt idx="17">
                  <v>44593</v>
                </pt>
                <pt idx="18">
                  <v>44621</v>
                </pt>
                <pt idx="19">
                  <v>44652</v>
                </pt>
                <pt idx="20">
                  <v>44682</v>
                </pt>
                <pt idx="21">
                  <v>44713</v>
                </pt>
                <pt idx="22">
                  <v>44743</v>
                </pt>
                <pt idx="23">
                  <v>44774</v>
                </pt>
                <pt idx="24">
                  <v>44805</v>
                </pt>
                <pt idx="25">
                  <v>44835</v>
                </pt>
                <pt idx="26">
                  <v>44866</v>
                </pt>
                <pt idx="27">
                  <v>44896</v>
                </pt>
                <pt idx="28">
                  <v>44927</v>
                </pt>
                <pt idx="29">
                  <v>44958</v>
                </pt>
                <pt idx="30">
                  <v>44986</v>
                </pt>
                <pt idx="31">
                  <v>45017</v>
                </pt>
                <pt idx="32">
                  <v>45047</v>
                </pt>
                <pt idx="33">
                  <v>45078</v>
                </pt>
                <pt idx="34">
                  <v>45108</v>
                </pt>
                <pt idx="35">
                  <v>45139</v>
                </pt>
                <pt idx="36">
                  <v>45170</v>
                </pt>
                <pt idx="37">
                  <v>45200</v>
                </pt>
                <pt idx="38">
                  <v>45231</v>
                </pt>
                <pt idx="39">
                  <v>45261</v>
                </pt>
                <pt idx="40">
                  <v>45292</v>
                </pt>
                <pt idx="41">
                  <v>45323</v>
                </pt>
                <pt idx="42">
                  <v>45352</v>
                </pt>
                <pt idx="43">
                  <v>45383</v>
                </pt>
                <pt idx="44">
                  <v>45413</v>
                </pt>
                <pt idx="45">
                  <v>45444</v>
                </pt>
                <pt idx="46">
                  <v>45474</v>
                </pt>
                <pt idx="47">
                  <v>45505</v>
                </pt>
                <pt idx="48">
                  <v>45536</v>
                </pt>
                <pt idx="49">
                  <v>45566</v>
                </pt>
                <pt idx="50">
                  <v>45597</v>
                </pt>
                <pt idx="51">
                  <v>45627</v>
                </pt>
                <pt idx="52">
                  <v>45658</v>
                </pt>
                <pt idx="53">
                  <v>45689</v>
                </pt>
                <pt idx="54">
                  <v>45717</v>
                </pt>
                <pt idx="55">
                  <v>45748</v>
                </pt>
                <pt idx="56">
                  <v>45778</v>
                </pt>
                <pt idx="57">
                  <v>45809</v>
                </pt>
                <pt idx="58">
                  <v>45839</v>
                </pt>
                <pt idx="59">
                  <v>45870</v>
                </pt>
                <pt idx="60">
                  <v>45901</v>
                </pt>
                <pt idx="61">
                  <v>45931</v>
                </pt>
                <pt idx="62">
                  <v>45962</v>
                </pt>
                <pt idx="63">
                  <v>45992</v>
                </pt>
              </numCache>
            </numRef>
          </cat>
          <val>
            <numRef>
              <f>Charts!$W$155:$W$218</f>
              <numCache>
                <formatCode>0.00%</formatCode>
                <ptCount val="64"/>
                <pt idx="0">
                  <v>0.05586773378542485</v>
                </pt>
                <pt idx="1">
                  <v>0.0556331171914442</v>
                </pt>
                <pt idx="2">
                  <v>0.05486377352020624</v>
                </pt>
                <pt idx="3">
                  <v>0.05486377352020624</v>
                </pt>
                <pt idx="4">
                  <v>0.05523093006632974</v>
                </pt>
                <pt idx="5">
                  <v>0.05572058369534163</v>
                </pt>
                <pt idx="6">
                  <v>0.05803385058171349</v>
                </pt>
                <pt idx="7">
                  <v>0.05766074581128072</v>
                </pt>
                <pt idx="8">
                  <v>0.05773494453103665</v>
                </pt>
                <pt idx="9">
                  <v>0.05714626051457973</v>
                </pt>
                <pt idx="10">
                  <v>0.05663885492680499</v>
                </pt>
                <pt idx="11">
                  <v>0.05663885492680499</v>
                </pt>
                <pt idx="12">
                  <v>0.05664898922322281</v>
                </pt>
                <pt idx="13">
                  <v>0.05655423351362133</v>
                </pt>
                <pt idx="14">
                  <v>0.05594322795632927</v>
                </pt>
                <pt idx="15">
                  <v>0.05580236915102541</v>
                </pt>
                <pt idx="16">
                  <v>0.05663726328615577</v>
                </pt>
                <pt idx="17">
                  <v>0.05612165144575364</v>
                </pt>
                <pt idx="18">
                  <v>0.05541318489476355</v>
                </pt>
                <pt idx="19">
                  <v>0.05514959332441942</v>
                </pt>
                <pt idx="20">
                  <v>0.05504311746396997</v>
                </pt>
                <pt idx="21">
                  <v>0.05463273657360457</v>
                </pt>
                <pt idx="22">
                  <v>0.05631585379856649</v>
                </pt>
                <pt idx="23">
                  <v>0.05632840218533866</v>
                </pt>
                <pt idx="24">
                  <v>0.05632840218533866</v>
                </pt>
                <pt idx="25">
                  <v>0.0564296165743846</v>
                </pt>
                <pt idx="26">
                  <v>0.0570986110475359</v>
                </pt>
                <pt idx="27">
                  <v>0.05721066652383524</v>
                </pt>
                <pt idx="28">
                  <v>0.05860758873996558</v>
                </pt>
                <pt idx="29">
                  <v>0.05743262730781888</v>
                </pt>
                <pt idx="30">
                  <v>0.05842711421265562</v>
                </pt>
                <pt idx="31">
                  <v>0.05847608099809561</v>
                </pt>
                <pt idx="32">
                  <v>0.05986338816348474</v>
                </pt>
                <pt idx="33">
                  <v>0.06227269256567711</v>
                </pt>
                <pt idx="34">
                  <v>0.0635578628204963</v>
                </pt>
                <pt idx="35">
                  <v>0.05971938615855128</v>
                </pt>
                <pt idx="36">
                  <v>0.06193275524893358</v>
                </pt>
                <pt idx="37">
                  <v>0.06193275524893358</v>
                </pt>
                <pt idx="38">
                  <v>0.06193275524893358</v>
                </pt>
                <pt idx="39">
                  <v>0.06152099529210818</v>
                </pt>
                <pt idx="40">
                  <v>0.06152099529210818</v>
                </pt>
                <pt idx="41">
                  <v>0.06152099529210818</v>
                </pt>
                <pt idx="42">
                  <v>0.06152099529210818</v>
                </pt>
                <pt idx="43">
                  <v>0.06152099529210818</v>
                </pt>
                <pt idx="44">
                  <v>0.06177050523210795</v>
                </pt>
                <pt idx="45">
                  <v>0.06177050523210795</v>
                </pt>
                <pt idx="46">
                  <v>0.05924634867073982</v>
                </pt>
                <pt idx="47">
                  <v>0.05972306516238378</v>
                </pt>
                <pt idx="48">
                  <v>0.06168084397651494</v>
                </pt>
                <pt idx="49">
                  <v>0.06168084397651494</v>
                </pt>
                <pt idx="50">
                  <v>0.06229476401645447</v>
                </pt>
                <pt idx="51">
                  <v>0.06229476401645447</v>
                </pt>
                <pt idx="52">
                  <v>0.06307549248508187</v>
                </pt>
                <pt idx="53">
                  <v>0.06386038987398339</v>
                </pt>
                <pt idx="54">
                  <v>0.06386249410290706</v>
                </pt>
                <pt idx="55">
                  <v>0.06386249410290706</v>
                </pt>
                <pt idx="56">
                  <v>0.06386249410290706</v>
                </pt>
                <pt idx="57">
                  <v>0.06478522298919451</v>
                </pt>
                <pt idx="58">
                  <v>0.06478522298919451</v>
                </pt>
                <pt idx="59">
                  <v>0.06556236098965276</v>
                </pt>
                <pt idx="60">
                  <v>0.06575619537582342</v>
                </pt>
                <pt idx="61">
                  <v>0.06631475461695817</v>
                </pt>
                <pt idx="62">
                  <v>0.06631475461695817</v>
                </pt>
                <pt idx="63">
                  <v>0.06697413513603444</v>
                </pt>
              </numCache>
            </numRef>
          </val>
          <smooth val="0"/>
        </ser>
        <ser>
          <idx val="1"/>
          <order val="1"/>
          <tx>
            <strRef>
              <f>Charts!$X$2</f>
              <strCache>
                <ptCount val="1"/>
                <pt idx="0">
                  <v>Non-NM Cap Rate (ttm)</v>
                </pt>
              </strCache>
            </strRef>
          </tx>
          <spPr>
            <a:ln xmlns:a="http://schemas.openxmlformats.org/drawingml/2006/main" w="28575" cap="rnd">
              <a:solidFill>
                <a:srgbClr val="9EA9B7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-5400000" spcFirstLastPara="1" vertOverflow="ellipsis" wrap="square" anchor="ctr" anchorCtr="1"/>
              <a:lstStyle xmlns:a="http://schemas.openxmlformats.org/drawingml/2006/main"/>
              <a:p xmlns:a="http://schemas.openxmlformats.org/drawingml/2006/main">
                <a:pPr>
                  <a:defRPr sz="700" b="0" i="0" strike="noStrike" kern="1200" baseline="0">
                    <a:solidFill>
                      <a:srgbClr val="9EA9B7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Charts!$B$155:$B$218</f>
              <numCache>
                <formatCode>[$-409]mmm\-yy;@</formatCode>
                <ptCount val="64"/>
                <pt idx="0">
                  <v>44075</v>
                </pt>
                <pt idx="1">
                  <v>44105</v>
                </pt>
                <pt idx="2">
                  <v>44136</v>
                </pt>
                <pt idx="3">
                  <v>44166</v>
                </pt>
                <pt idx="4">
                  <v>44197</v>
                </pt>
                <pt idx="5">
                  <v>44228</v>
                </pt>
                <pt idx="6">
                  <v>44256</v>
                </pt>
                <pt idx="7">
                  <v>44287</v>
                </pt>
                <pt idx="8">
                  <v>44317</v>
                </pt>
                <pt idx="9">
                  <v>44348</v>
                </pt>
                <pt idx="10">
                  <v>44378</v>
                </pt>
                <pt idx="11">
                  <v>44409</v>
                </pt>
                <pt idx="12">
                  <v>44440</v>
                </pt>
                <pt idx="13">
                  <v>44470</v>
                </pt>
                <pt idx="14">
                  <v>44501</v>
                </pt>
                <pt idx="15">
                  <v>44531</v>
                </pt>
                <pt idx="16">
                  <v>44562</v>
                </pt>
                <pt idx="17">
                  <v>44593</v>
                </pt>
                <pt idx="18">
                  <v>44621</v>
                </pt>
                <pt idx="19">
                  <v>44652</v>
                </pt>
                <pt idx="20">
                  <v>44682</v>
                </pt>
                <pt idx="21">
                  <v>44713</v>
                </pt>
                <pt idx="22">
                  <v>44743</v>
                </pt>
                <pt idx="23">
                  <v>44774</v>
                </pt>
                <pt idx="24">
                  <v>44805</v>
                </pt>
                <pt idx="25">
                  <v>44835</v>
                </pt>
                <pt idx="26">
                  <v>44866</v>
                </pt>
                <pt idx="27">
                  <v>44896</v>
                </pt>
                <pt idx="28">
                  <v>44927</v>
                </pt>
                <pt idx="29">
                  <v>44958</v>
                </pt>
                <pt idx="30">
                  <v>44986</v>
                </pt>
                <pt idx="31">
                  <v>45017</v>
                </pt>
                <pt idx="32">
                  <v>45047</v>
                </pt>
                <pt idx="33">
                  <v>45078</v>
                </pt>
                <pt idx="34">
                  <v>45108</v>
                </pt>
                <pt idx="35">
                  <v>45139</v>
                </pt>
                <pt idx="36">
                  <v>45170</v>
                </pt>
                <pt idx="37">
                  <v>45200</v>
                </pt>
                <pt idx="38">
                  <v>45231</v>
                </pt>
                <pt idx="39">
                  <v>45261</v>
                </pt>
                <pt idx="40">
                  <v>45292</v>
                </pt>
                <pt idx="41">
                  <v>45323</v>
                </pt>
                <pt idx="42">
                  <v>45352</v>
                </pt>
                <pt idx="43">
                  <v>45383</v>
                </pt>
                <pt idx="44">
                  <v>45413</v>
                </pt>
                <pt idx="45">
                  <v>45444</v>
                </pt>
                <pt idx="46">
                  <v>45474</v>
                </pt>
                <pt idx="47">
                  <v>45505</v>
                </pt>
                <pt idx="48">
                  <v>45536</v>
                </pt>
                <pt idx="49">
                  <v>45566</v>
                </pt>
                <pt idx="50">
                  <v>45597</v>
                </pt>
                <pt idx="51">
                  <v>45627</v>
                </pt>
                <pt idx="52">
                  <v>45658</v>
                </pt>
                <pt idx="53">
                  <v>45689</v>
                </pt>
                <pt idx="54">
                  <v>45717</v>
                </pt>
                <pt idx="55">
                  <v>45748</v>
                </pt>
                <pt idx="56">
                  <v>45778</v>
                </pt>
                <pt idx="57">
                  <v>45809</v>
                </pt>
                <pt idx="58">
                  <v>45839</v>
                </pt>
                <pt idx="59">
                  <v>45870</v>
                </pt>
                <pt idx="60">
                  <v>45901</v>
                </pt>
                <pt idx="61">
                  <v>45931</v>
                </pt>
                <pt idx="62">
                  <v>45962</v>
                </pt>
                <pt idx="63">
                  <v>45992</v>
                </pt>
              </numCache>
            </numRef>
          </cat>
          <val>
            <numRef>
              <f>Charts!$X$155:$X$218</f>
              <numCache>
                <formatCode>0.00%</formatCode>
                <ptCount val="64"/>
                <pt idx="0">
                  <v>0.07109888415556338</v>
                </pt>
                <pt idx="1">
                  <v>0.07046876576292459</v>
                </pt>
                <pt idx="2">
                  <v>0.07004689027797197</v>
                </pt>
                <pt idx="3">
                  <v>0.07027083172519062</v>
                </pt>
                <pt idx="4">
                  <v>0.0701815739089401</v>
                </pt>
                <pt idx="5">
                  <v>0.06851346992993051</v>
                </pt>
                <pt idx="6">
                  <v>0.06922387451793517</v>
                </pt>
                <pt idx="7">
                  <v>0.06815083375515177</v>
                </pt>
                <pt idx="8">
                  <v>0.06752479872623629</v>
                </pt>
                <pt idx="9">
                  <v>0.06752479872623629</v>
                </pt>
                <pt idx="10">
                  <v>0.06702964055920825</v>
                </pt>
                <pt idx="11">
                  <v>0.06599785971281057</v>
                </pt>
                <pt idx="12">
                  <v>0.06496842234988805</v>
                </pt>
                <pt idx="13">
                  <v>0.06543909722640305</v>
                </pt>
                <pt idx="14">
                  <v>0.06462743678122444</v>
                </pt>
                <pt idx="15">
                  <v>0.06415603263407108</v>
                </pt>
                <pt idx="16">
                  <v>0.0631524030935323</v>
                </pt>
                <pt idx="17">
                  <v>0.06418149514570561</v>
                </pt>
                <pt idx="18">
                  <v>0.06496012697250937</v>
                </pt>
                <pt idx="19">
                  <v>0.06135424284393171</v>
                </pt>
                <pt idx="20">
                  <v>0.06059834866370641</v>
                </pt>
                <pt idx="21">
                  <v>0.06226413675546951</v>
                </pt>
                <pt idx="22">
                  <v>0.06194424062331677</v>
                </pt>
                <pt idx="23">
                  <v>0.06108121406815221</v>
                </pt>
                <pt idx="24">
                  <v>0.06034143522633719</v>
                </pt>
                <pt idx="25">
                  <v>0.06056443971870018</v>
                </pt>
                <pt idx="26">
                  <v>0.06049732618044723</v>
                </pt>
                <pt idx="27">
                  <v>0.06287871771124259</v>
                </pt>
                <pt idx="28">
                  <v>0.06353420957069417</v>
                </pt>
                <pt idx="29">
                  <v>0.06375029086271911</v>
                </pt>
                <pt idx="30">
                  <v>0.06456676137955343</v>
                </pt>
                <pt idx="31">
                  <v>0.06415852047524152</v>
                </pt>
                <pt idx="32">
                  <v>0.06492419134729172</v>
                </pt>
                <pt idx="33">
                  <v>0.06568017872079304</v>
                </pt>
                <pt idx="34">
                  <v>0.06505203713390605</v>
                </pt>
                <pt idx="35">
                  <v>0.06844869033458945</v>
                </pt>
                <pt idx="36">
                  <v>0.07087610661486728</v>
                </pt>
                <pt idx="37">
                  <v>0.07357373817597486</v>
                </pt>
                <pt idx="38">
                  <v>0.07388065649253252</v>
                </pt>
                <pt idx="39">
                  <v>0.07556845674979726</v>
                </pt>
                <pt idx="40">
                  <v>0.07322762777664714</v>
                </pt>
                <pt idx="41">
                  <v>0.07382721372736051</v>
                </pt>
                <pt idx="42">
                  <v>0.07343649657545766</v>
                </pt>
                <pt idx="43">
                  <v>0.07193982990973984</v>
                </pt>
                <pt idx="44">
                  <v>0.07267292685607551</v>
                </pt>
                <pt idx="45">
                  <v>0.07417801053103083</v>
                </pt>
                <pt idx="46">
                  <v>0.07483354281126106</v>
                </pt>
                <pt idx="47">
                  <v>0.07600736887245618</v>
                </pt>
                <pt idx="48">
                  <v>0.07521101235137607</v>
                </pt>
                <pt idx="49">
                  <v>0.07502554793804043</v>
                </pt>
                <pt idx="50">
                  <v>0.07456672174828159</v>
                </pt>
                <pt idx="51">
                  <v>0.07387810840803145</v>
                </pt>
                <pt idx="52">
                  <v>0.07294004971656126</v>
                </pt>
                <pt idx="53">
                  <v>0.07378056890730765</v>
                </pt>
                <pt idx="54">
                  <v>0.07364019117014141</v>
                </pt>
                <pt idx="55">
                  <v>0.07492299323416478</v>
                </pt>
                <pt idx="56">
                  <v>0.07431888724888011</v>
                </pt>
                <pt idx="57">
                  <v>0.07426599021720962</v>
                </pt>
                <pt idx="58">
                  <v>0.07380620969411217</v>
                </pt>
                <pt idx="59">
                  <v>0.07300692619727896</v>
                </pt>
                <pt idx="60">
                  <v>0.07345112203998796</v>
                </pt>
                <pt idx="61">
                  <v>0.07312649711855998</v>
                </pt>
                <pt idx="62">
                  <v>0.07323032296321361</v>
                </pt>
                <pt idx="63">
                  <v>0.07333796013088441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9525" cap="flat" cmpd="sng" algn="ctr">
              <a:solidFill>
                <a:srgbClr val="666666"/>
              </a:solidFill>
              <a:prstDash val="solid"/>
              <a:round/>
            </a:ln>
          </spPr>
        </hiLowLines>
        <smooth val="0"/>
        <axId val="696766248"/>
        <axId val="696758704"/>
      </lineChart>
      <dateAx>
        <axId val="696766248"/>
        <scaling>
          <orientation val="minMax"/>
        </scaling>
        <delete val="0"/>
        <axPos val="b"/>
        <numFmt formatCode="[$-409]m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7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96758704"/>
        <crosses val="autoZero"/>
        <lblOffset val="100"/>
        <baseTimeUnit val="months"/>
        <majorUnit val="1"/>
        <majorTimeUnit val="months"/>
      </dateAx>
      <valAx>
        <axId val="696758704"/>
        <scaling>
          <orientation val="minMax"/>
          <max val="0.07750000000000001"/>
          <min val="0.04750000000000001"/>
        </scaling>
        <delete val="0"/>
        <axPos val="l"/>
        <majorGridlines>
          <spPr>
            <a:ln xmlns:a="http://schemas.openxmlformats.org/drawingml/2006/main" w="317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7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9676624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3175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700" b="0" i="0" strike="noStrike" kern="1200" baseline="0">
              <a:solidFill>
                <a:srgbClr val="9EA9B7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/>
      <doughnutChart>
        <varyColors val="1"/>
        <ser>
          <idx val="0"/>
          <order val="0"/>
          <tx>
            <strRef>
              <f>Charts!$CH$93</f>
              <strCache>
                <ptCount val="1"/>
                <pt idx="0">
                  <v>Count Available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003DA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62B5E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5FA3A8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400" b="0" i="0" strike="noStrike" kern="1200" baseline="0">
                    <a:solidFill>
                      <a:schemeClr val="bg1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Charts!$CG$94:$CG$96</f>
              <strCache>
                <ptCount val="3"/>
                <pt idx="0">
                  <v>DaVita</v>
                </pt>
                <pt idx="1">
                  <v>FMC</v>
                </pt>
                <pt idx="2">
                  <v>US Renal</v>
                </pt>
              </strCache>
            </strRef>
          </cat>
          <val>
            <numRef>
              <f>Charts!$CH$94:$CH$96</f>
              <numCache>
                <formatCode>0</formatCode>
                <ptCount val="3"/>
                <pt idx="0">
                  <v>56</v>
                </pt>
                <pt idx="1">
                  <v>35</v>
                </pt>
                <pt idx="2">
                  <v>10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b"/>
      <legendEntry>
        <idx val="0"/>
        <delete val="0"/>
        <txPr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2697543495111357"/>
          <y val="0.8363989850603275"/>
          <w val="0.4604913009777286"/>
          <h val="0.05270114168238477"/>
        </manualLayout>
      </layout>
      <overlay val="0"/>
      <spPr>
        <a:noFill xmlns:a="http://schemas.openxmlformats.org/drawingml/2006/main"/>
        <a:ln xmlns:a="http://schemas.openxmlformats.org/drawingml/2006/main" w="3175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0" i="0" strike="noStrike" kern="1200" baseline="0">
              <a:solidFill>
                <a:srgbClr val="6A748C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2645646781316702"/>
          <y val="0.07226857630904671"/>
          <w val="0.9692233465717647"/>
          <h val="0.8554628473819066"/>
        </manualLayout>
      </layout>
      <lineChart>
        <grouping val="standard"/>
        <varyColors val="0"/>
        <ser>
          <idx val="0"/>
          <order val="0"/>
          <tx>
            <strRef>
              <f>Charts!$W$2</f>
              <strCache>
                <ptCount val="1"/>
                <pt idx="0">
                  <v>NM Cap Rate (ttm)</v>
                </pt>
              </strCache>
            </strRef>
          </tx>
          <spPr>
            <a:ln xmlns:a="http://schemas.openxmlformats.org/drawingml/2006/main" w="28575" cap="rnd">
              <a:solidFill>
                <a:srgbClr val="62B5E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Charts!$B$155:$B$218</f>
              <numCache>
                <formatCode>[$-409]mmm\-yy;@</formatCode>
                <ptCount val="64"/>
                <pt idx="0">
                  <v>44075</v>
                </pt>
                <pt idx="1">
                  <v>44105</v>
                </pt>
                <pt idx="2">
                  <v>44136</v>
                </pt>
                <pt idx="3">
                  <v>44166</v>
                </pt>
                <pt idx="4">
                  <v>44197</v>
                </pt>
                <pt idx="5">
                  <v>44228</v>
                </pt>
                <pt idx="6">
                  <v>44256</v>
                </pt>
                <pt idx="7">
                  <v>44287</v>
                </pt>
                <pt idx="8">
                  <v>44317</v>
                </pt>
                <pt idx="9">
                  <v>44348</v>
                </pt>
                <pt idx="10">
                  <v>44378</v>
                </pt>
                <pt idx="11">
                  <v>44409</v>
                </pt>
                <pt idx="12">
                  <v>44440</v>
                </pt>
                <pt idx="13">
                  <v>44470</v>
                </pt>
                <pt idx="14">
                  <v>44501</v>
                </pt>
                <pt idx="15">
                  <v>44531</v>
                </pt>
                <pt idx="16">
                  <v>44562</v>
                </pt>
                <pt idx="17">
                  <v>44593</v>
                </pt>
                <pt idx="18">
                  <v>44621</v>
                </pt>
                <pt idx="19">
                  <v>44652</v>
                </pt>
                <pt idx="20">
                  <v>44682</v>
                </pt>
                <pt idx="21">
                  <v>44713</v>
                </pt>
                <pt idx="22">
                  <v>44743</v>
                </pt>
                <pt idx="23">
                  <v>44774</v>
                </pt>
                <pt idx="24">
                  <v>44805</v>
                </pt>
                <pt idx="25">
                  <v>44835</v>
                </pt>
                <pt idx="26">
                  <v>44866</v>
                </pt>
                <pt idx="27">
                  <v>44896</v>
                </pt>
                <pt idx="28">
                  <v>44927</v>
                </pt>
                <pt idx="29">
                  <v>44958</v>
                </pt>
                <pt idx="30">
                  <v>44986</v>
                </pt>
                <pt idx="31">
                  <v>45017</v>
                </pt>
                <pt idx="32">
                  <v>45047</v>
                </pt>
                <pt idx="33">
                  <v>45078</v>
                </pt>
                <pt idx="34">
                  <v>45108</v>
                </pt>
                <pt idx="35">
                  <v>45139</v>
                </pt>
                <pt idx="36">
                  <v>45170</v>
                </pt>
                <pt idx="37">
                  <v>45200</v>
                </pt>
                <pt idx="38">
                  <v>45231</v>
                </pt>
                <pt idx="39">
                  <v>45261</v>
                </pt>
                <pt idx="40">
                  <v>45292</v>
                </pt>
                <pt idx="41">
                  <v>45323</v>
                </pt>
                <pt idx="42">
                  <v>45352</v>
                </pt>
                <pt idx="43">
                  <v>45383</v>
                </pt>
                <pt idx="44">
                  <v>45413</v>
                </pt>
                <pt idx="45">
                  <v>45444</v>
                </pt>
                <pt idx="46">
                  <v>45474</v>
                </pt>
                <pt idx="47">
                  <v>45505</v>
                </pt>
                <pt idx="48">
                  <v>45536</v>
                </pt>
                <pt idx="49">
                  <v>45566</v>
                </pt>
                <pt idx="50">
                  <v>45597</v>
                </pt>
                <pt idx="51">
                  <v>45627</v>
                </pt>
                <pt idx="52">
                  <v>45658</v>
                </pt>
                <pt idx="53">
                  <v>45689</v>
                </pt>
                <pt idx="54">
                  <v>45717</v>
                </pt>
                <pt idx="55">
                  <v>45748</v>
                </pt>
                <pt idx="56">
                  <v>45778</v>
                </pt>
                <pt idx="57">
                  <v>45809</v>
                </pt>
                <pt idx="58">
                  <v>45839</v>
                </pt>
                <pt idx="59">
                  <v>45870</v>
                </pt>
                <pt idx="60">
                  <v>45901</v>
                </pt>
                <pt idx="61">
                  <v>45931</v>
                </pt>
                <pt idx="62">
                  <v>45962</v>
                </pt>
                <pt idx="63">
                  <v>45992</v>
                </pt>
              </numCache>
            </numRef>
          </cat>
          <val>
            <numRef>
              <f>Charts!$W$155:$W$218</f>
              <numCache>
                <formatCode>0.00%</formatCode>
                <ptCount val="64"/>
                <pt idx="0">
                  <v>0.05586773378542485</v>
                </pt>
                <pt idx="1">
                  <v>0.0556331171914442</v>
                </pt>
                <pt idx="2">
                  <v>0.05486377352020624</v>
                </pt>
                <pt idx="3">
                  <v>0.05486377352020624</v>
                </pt>
                <pt idx="4">
                  <v>0.05523093006632974</v>
                </pt>
                <pt idx="5">
                  <v>0.05572058369534163</v>
                </pt>
                <pt idx="6">
                  <v>0.05803385058171349</v>
                </pt>
                <pt idx="7">
                  <v>0.05766074581128072</v>
                </pt>
                <pt idx="8">
                  <v>0.05773494453103665</v>
                </pt>
                <pt idx="9">
                  <v>0.05714626051457973</v>
                </pt>
                <pt idx="10">
                  <v>0.05663885492680499</v>
                </pt>
                <pt idx="11">
                  <v>0.05663885492680499</v>
                </pt>
                <pt idx="12">
                  <v>0.05664898922322281</v>
                </pt>
                <pt idx="13">
                  <v>0.05655423351362133</v>
                </pt>
                <pt idx="14">
                  <v>0.05594322795632927</v>
                </pt>
                <pt idx="15">
                  <v>0.05580236915102541</v>
                </pt>
                <pt idx="16">
                  <v>0.05663726328615577</v>
                </pt>
                <pt idx="17">
                  <v>0.05612165144575364</v>
                </pt>
                <pt idx="18">
                  <v>0.05541318489476355</v>
                </pt>
                <pt idx="19">
                  <v>0.05514959332441942</v>
                </pt>
                <pt idx="20">
                  <v>0.05504311746396997</v>
                </pt>
                <pt idx="21">
                  <v>0.05463273657360457</v>
                </pt>
                <pt idx="22">
                  <v>0.05631585379856649</v>
                </pt>
                <pt idx="23">
                  <v>0.05632840218533866</v>
                </pt>
                <pt idx="24">
                  <v>0.05632840218533866</v>
                </pt>
                <pt idx="25">
                  <v>0.0564296165743846</v>
                </pt>
                <pt idx="26">
                  <v>0.0570986110475359</v>
                </pt>
                <pt idx="27">
                  <v>0.05721066652383524</v>
                </pt>
                <pt idx="28">
                  <v>0.05860758873996558</v>
                </pt>
                <pt idx="29">
                  <v>0.05743262730781888</v>
                </pt>
                <pt idx="30">
                  <v>0.05842711421265562</v>
                </pt>
                <pt idx="31">
                  <v>0.05847608099809561</v>
                </pt>
                <pt idx="32">
                  <v>0.05986338816348474</v>
                </pt>
                <pt idx="33">
                  <v>0.06227269256567711</v>
                </pt>
                <pt idx="34">
                  <v>0.0635578628204963</v>
                </pt>
                <pt idx="35">
                  <v>0.05971938615855128</v>
                </pt>
                <pt idx="36">
                  <v>0.06193275524893358</v>
                </pt>
                <pt idx="37">
                  <v>0.06193275524893358</v>
                </pt>
                <pt idx="38">
                  <v>0.06193275524893358</v>
                </pt>
                <pt idx="39">
                  <v>0.06152099529210818</v>
                </pt>
                <pt idx="40">
                  <v>0.06152099529210818</v>
                </pt>
                <pt idx="41">
                  <v>0.06152099529210818</v>
                </pt>
                <pt idx="42">
                  <v>0.06152099529210818</v>
                </pt>
                <pt idx="43">
                  <v>0.06152099529210818</v>
                </pt>
                <pt idx="44">
                  <v>0.06177050523210795</v>
                </pt>
                <pt idx="45">
                  <v>0.06177050523210795</v>
                </pt>
                <pt idx="46">
                  <v>0.05924634867073982</v>
                </pt>
                <pt idx="47">
                  <v>0.05972306516238378</v>
                </pt>
                <pt idx="48">
                  <v>0.06168084397651494</v>
                </pt>
                <pt idx="49">
                  <v>0.06168084397651494</v>
                </pt>
                <pt idx="50">
                  <v>0.06229476401645447</v>
                </pt>
                <pt idx="51">
                  <v>0.06229476401645447</v>
                </pt>
                <pt idx="52">
                  <v>0.06307549248508187</v>
                </pt>
                <pt idx="53">
                  <v>0.06386038987398339</v>
                </pt>
                <pt idx="54">
                  <v>0.06386249410290706</v>
                </pt>
                <pt idx="55">
                  <v>0.06386249410290706</v>
                </pt>
                <pt idx="56">
                  <v>0.06386249410290706</v>
                </pt>
                <pt idx="57">
                  <v>0.06478522298919451</v>
                </pt>
                <pt idx="58">
                  <v>0.06478522298919451</v>
                </pt>
                <pt idx="59">
                  <v>0.06556236098965276</v>
                </pt>
                <pt idx="60">
                  <v>0.06575619537582342</v>
                </pt>
                <pt idx="61">
                  <v>0.06631475461695817</v>
                </pt>
                <pt idx="62">
                  <v>0.06631475461695817</v>
                </pt>
                <pt idx="63">
                  <v>0.06697413513603444</v>
                </pt>
              </numCache>
            </numRef>
          </val>
          <smooth val="0"/>
        </ser>
        <ser>
          <idx val="1"/>
          <order val="1"/>
          <tx>
            <strRef>
              <f>Charts!$X$2</f>
              <strCache>
                <ptCount val="1"/>
                <pt idx="0">
                  <v>Non-NM Cap Rate (ttm)</v>
                </pt>
              </strCache>
            </strRef>
          </tx>
          <spPr>
            <a:ln xmlns:a="http://schemas.openxmlformats.org/drawingml/2006/main" w="28575" cap="rnd">
              <a:solidFill>
                <a:srgbClr val="66666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Charts!$B$155:$B$218</f>
              <numCache>
                <formatCode>[$-409]mmm\-yy;@</formatCode>
                <ptCount val="64"/>
                <pt idx="0">
                  <v>44075</v>
                </pt>
                <pt idx="1">
                  <v>44105</v>
                </pt>
                <pt idx="2">
                  <v>44136</v>
                </pt>
                <pt idx="3">
                  <v>44166</v>
                </pt>
                <pt idx="4">
                  <v>44197</v>
                </pt>
                <pt idx="5">
                  <v>44228</v>
                </pt>
                <pt idx="6">
                  <v>44256</v>
                </pt>
                <pt idx="7">
                  <v>44287</v>
                </pt>
                <pt idx="8">
                  <v>44317</v>
                </pt>
                <pt idx="9">
                  <v>44348</v>
                </pt>
                <pt idx="10">
                  <v>44378</v>
                </pt>
                <pt idx="11">
                  <v>44409</v>
                </pt>
                <pt idx="12">
                  <v>44440</v>
                </pt>
                <pt idx="13">
                  <v>44470</v>
                </pt>
                <pt idx="14">
                  <v>44501</v>
                </pt>
                <pt idx="15">
                  <v>44531</v>
                </pt>
                <pt idx="16">
                  <v>44562</v>
                </pt>
                <pt idx="17">
                  <v>44593</v>
                </pt>
                <pt idx="18">
                  <v>44621</v>
                </pt>
                <pt idx="19">
                  <v>44652</v>
                </pt>
                <pt idx="20">
                  <v>44682</v>
                </pt>
                <pt idx="21">
                  <v>44713</v>
                </pt>
                <pt idx="22">
                  <v>44743</v>
                </pt>
                <pt idx="23">
                  <v>44774</v>
                </pt>
                <pt idx="24">
                  <v>44805</v>
                </pt>
                <pt idx="25">
                  <v>44835</v>
                </pt>
                <pt idx="26">
                  <v>44866</v>
                </pt>
                <pt idx="27">
                  <v>44896</v>
                </pt>
                <pt idx="28">
                  <v>44927</v>
                </pt>
                <pt idx="29">
                  <v>44958</v>
                </pt>
                <pt idx="30">
                  <v>44986</v>
                </pt>
                <pt idx="31">
                  <v>45017</v>
                </pt>
                <pt idx="32">
                  <v>45047</v>
                </pt>
                <pt idx="33">
                  <v>45078</v>
                </pt>
                <pt idx="34">
                  <v>45108</v>
                </pt>
                <pt idx="35">
                  <v>45139</v>
                </pt>
                <pt idx="36">
                  <v>45170</v>
                </pt>
                <pt idx="37">
                  <v>45200</v>
                </pt>
                <pt idx="38">
                  <v>45231</v>
                </pt>
                <pt idx="39">
                  <v>45261</v>
                </pt>
                <pt idx="40">
                  <v>45292</v>
                </pt>
                <pt idx="41">
                  <v>45323</v>
                </pt>
                <pt idx="42">
                  <v>45352</v>
                </pt>
                <pt idx="43">
                  <v>45383</v>
                </pt>
                <pt idx="44">
                  <v>45413</v>
                </pt>
                <pt idx="45">
                  <v>45444</v>
                </pt>
                <pt idx="46">
                  <v>45474</v>
                </pt>
                <pt idx="47">
                  <v>45505</v>
                </pt>
                <pt idx="48">
                  <v>45536</v>
                </pt>
                <pt idx="49">
                  <v>45566</v>
                </pt>
                <pt idx="50">
                  <v>45597</v>
                </pt>
                <pt idx="51">
                  <v>45627</v>
                </pt>
                <pt idx="52">
                  <v>45658</v>
                </pt>
                <pt idx="53">
                  <v>45689</v>
                </pt>
                <pt idx="54">
                  <v>45717</v>
                </pt>
                <pt idx="55">
                  <v>45748</v>
                </pt>
                <pt idx="56">
                  <v>45778</v>
                </pt>
                <pt idx="57">
                  <v>45809</v>
                </pt>
                <pt idx="58">
                  <v>45839</v>
                </pt>
                <pt idx="59">
                  <v>45870</v>
                </pt>
                <pt idx="60">
                  <v>45901</v>
                </pt>
                <pt idx="61">
                  <v>45931</v>
                </pt>
                <pt idx="62">
                  <v>45962</v>
                </pt>
                <pt idx="63">
                  <v>45992</v>
                </pt>
              </numCache>
            </numRef>
          </cat>
          <val>
            <numRef>
              <f>Charts!$X$155:$X$218</f>
              <numCache>
                <formatCode>0.00%</formatCode>
                <ptCount val="64"/>
                <pt idx="0">
                  <v>0.07109888415556338</v>
                </pt>
                <pt idx="1">
                  <v>0.07046876576292459</v>
                </pt>
                <pt idx="2">
                  <v>0.07004689027797197</v>
                </pt>
                <pt idx="3">
                  <v>0.07027083172519062</v>
                </pt>
                <pt idx="4">
                  <v>0.0701815739089401</v>
                </pt>
                <pt idx="5">
                  <v>0.06851346992993051</v>
                </pt>
                <pt idx="6">
                  <v>0.06922387451793517</v>
                </pt>
                <pt idx="7">
                  <v>0.06815083375515177</v>
                </pt>
                <pt idx="8">
                  <v>0.06752479872623629</v>
                </pt>
                <pt idx="9">
                  <v>0.06752479872623629</v>
                </pt>
                <pt idx="10">
                  <v>0.06702964055920825</v>
                </pt>
                <pt idx="11">
                  <v>0.06599785971281057</v>
                </pt>
                <pt idx="12">
                  <v>0.06496842234988805</v>
                </pt>
                <pt idx="13">
                  <v>0.06543909722640305</v>
                </pt>
                <pt idx="14">
                  <v>0.06462743678122444</v>
                </pt>
                <pt idx="15">
                  <v>0.06415603263407108</v>
                </pt>
                <pt idx="16">
                  <v>0.0631524030935323</v>
                </pt>
                <pt idx="17">
                  <v>0.06418149514570561</v>
                </pt>
                <pt idx="18">
                  <v>0.06496012697250937</v>
                </pt>
                <pt idx="19">
                  <v>0.06135424284393171</v>
                </pt>
                <pt idx="20">
                  <v>0.06059834866370641</v>
                </pt>
                <pt idx="21">
                  <v>0.06226413675546951</v>
                </pt>
                <pt idx="22">
                  <v>0.06194424062331677</v>
                </pt>
                <pt idx="23">
                  <v>0.06108121406815221</v>
                </pt>
                <pt idx="24">
                  <v>0.06034143522633719</v>
                </pt>
                <pt idx="25">
                  <v>0.06056443971870018</v>
                </pt>
                <pt idx="26">
                  <v>0.06049732618044723</v>
                </pt>
                <pt idx="27">
                  <v>0.06287871771124259</v>
                </pt>
                <pt idx="28">
                  <v>0.06353420957069417</v>
                </pt>
                <pt idx="29">
                  <v>0.06375029086271911</v>
                </pt>
                <pt idx="30">
                  <v>0.06456676137955343</v>
                </pt>
                <pt idx="31">
                  <v>0.06415852047524152</v>
                </pt>
                <pt idx="32">
                  <v>0.06492419134729172</v>
                </pt>
                <pt idx="33">
                  <v>0.06568017872079304</v>
                </pt>
                <pt idx="34">
                  <v>0.06505203713390605</v>
                </pt>
                <pt idx="35">
                  <v>0.06844869033458945</v>
                </pt>
                <pt idx="36">
                  <v>0.07087610661486728</v>
                </pt>
                <pt idx="37">
                  <v>0.07357373817597486</v>
                </pt>
                <pt idx="38">
                  <v>0.07388065649253252</v>
                </pt>
                <pt idx="39">
                  <v>0.07556845674979726</v>
                </pt>
                <pt idx="40">
                  <v>0.07322762777664714</v>
                </pt>
                <pt idx="41">
                  <v>0.07382721372736051</v>
                </pt>
                <pt idx="42">
                  <v>0.07343649657545766</v>
                </pt>
                <pt idx="43">
                  <v>0.07193982990973984</v>
                </pt>
                <pt idx="44">
                  <v>0.07267292685607551</v>
                </pt>
                <pt idx="45">
                  <v>0.07417801053103083</v>
                </pt>
                <pt idx="46">
                  <v>0.07483354281126106</v>
                </pt>
                <pt idx="47">
                  <v>0.07600736887245618</v>
                </pt>
                <pt idx="48">
                  <v>0.07521101235137607</v>
                </pt>
                <pt idx="49">
                  <v>0.07502554793804043</v>
                </pt>
                <pt idx="50">
                  <v>0.07456672174828159</v>
                </pt>
                <pt idx="51">
                  <v>0.07387810840803145</v>
                </pt>
                <pt idx="52">
                  <v>0.07294004971656126</v>
                </pt>
                <pt idx="53">
                  <v>0.07378056890730765</v>
                </pt>
                <pt idx="54">
                  <v>0.07364019117014141</v>
                </pt>
                <pt idx="55">
                  <v>0.07492299323416478</v>
                </pt>
                <pt idx="56">
                  <v>0.07431888724888011</v>
                </pt>
                <pt idx="57">
                  <v>0.07426599021720962</v>
                </pt>
                <pt idx="58">
                  <v>0.07380620969411217</v>
                </pt>
                <pt idx="59">
                  <v>0.07300692619727896</v>
                </pt>
                <pt idx="60">
                  <v>0.07345112203998796</v>
                </pt>
                <pt idx="61">
                  <v>0.07312649711855998</v>
                </pt>
                <pt idx="62">
                  <v>0.07323032296321361</v>
                </pt>
                <pt idx="63">
                  <v>0.07333796013088441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6350" cap="flat" cmpd="sng" algn="ctr">
              <a:solidFill>
                <a:srgbClr val="E0E8F4"/>
              </a:solidFill>
              <a:prstDash val="solid"/>
              <a:round/>
            </a:ln>
          </spPr>
        </hiLowLines>
        <smooth val="0"/>
        <axId val="696766248"/>
        <axId val="696758704"/>
      </lineChart>
      <dateAx>
        <axId val="696766248"/>
        <scaling>
          <orientation val="minMax"/>
        </scaling>
        <delete val="1"/>
        <axPos val="b"/>
        <numFmt formatCode="[$-409]mmm\-yy;@" sourceLinked="1"/>
        <majorTickMark val="none"/>
        <minorTickMark val="none"/>
        <tickLblPos val="nextTo"/>
        <crossAx val="696758704"/>
        <crosses val="autoZero"/>
        <lblOffset val="100"/>
        <baseTimeUnit val="months"/>
      </dateAx>
      <valAx>
        <axId val="696758704"/>
        <scaling>
          <orientation val="minMax"/>
          <max val="0.07750000000000001"/>
          <min val="0.04750000000000001"/>
        </scaling>
        <delete val="1"/>
        <axPos val="l"/>
        <majorGridlines>
          <spPr>
            <a:ln xmlns:a="http://schemas.openxmlformats.org/drawingml/2006/main" w="3175" cap="flat" cmpd="sng" algn="ctr">
              <a:noFill/>
              <a:prstDash val="solid"/>
              <a:round/>
            </a:ln>
          </spPr>
        </majorGridlines>
        <numFmt formatCode="0.00%" sourceLinked="1"/>
        <majorTickMark val="out"/>
        <minorTickMark val="none"/>
        <tickLblPos val="nextTo"/>
        <crossAx val="696766248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3"/>
          <order val="0"/>
          <tx>
            <strRef>
              <f>Charts!$AP$2</f>
              <strCache>
                <ptCount val="1"/>
                <pt idx="0">
                  <v>Price Change (ttm)</v>
                </pt>
              </strCache>
            </strRef>
          </tx>
          <spPr>
            <a:solidFill xmlns:a="http://schemas.openxmlformats.org/drawingml/2006/main">
              <a:srgbClr val="5FA3A8"/>
            </a:solidFill>
            <a:ln xmlns:a="http://schemas.openxmlformats.org/drawingml/2006/main" w="25400">
              <a:noFill/>
              <a:prstDash val="solid"/>
            </a:ln>
          </spPr>
          <invertIfNegative val="0"/>
          <cat>
            <numRef>
              <f>Charts!$B$124:$B$218</f>
              <numCache>
                <formatCode>[$-409]mmm\-yy;@</formatCode>
                <ptCount val="95"/>
                <pt idx="0">
                  <v>43132</v>
                </pt>
                <pt idx="1">
                  <v>43160</v>
                </pt>
                <pt idx="2">
                  <v>43191</v>
                </pt>
                <pt idx="3">
                  <v>43221</v>
                </pt>
                <pt idx="4">
                  <v>43252</v>
                </pt>
                <pt idx="5">
                  <v>43282</v>
                </pt>
                <pt idx="6">
                  <v>43313</v>
                </pt>
                <pt idx="7">
                  <v>43344</v>
                </pt>
                <pt idx="8">
                  <v>43374</v>
                </pt>
                <pt idx="9">
                  <v>43405</v>
                </pt>
                <pt idx="10">
                  <v>43435</v>
                </pt>
                <pt idx="11">
                  <v>43466</v>
                </pt>
                <pt idx="12">
                  <v>43497</v>
                </pt>
                <pt idx="13">
                  <v>43525</v>
                </pt>
                <pt idx="14">
                  <v>43556</v>
                </pt>
                <pt idx="15">
                  <v>43586</v>
                </pt>
                <pt idx="16">
                  <v>43617</v>
                </pt>
                <pt idx="17">
                  <v>43647</v>
                </pt>
                <pt idx="18">
                  <v>43678</v>
                </pt>
                <pt idx="19">
                  <v>43709</v>
                </pt>
                <pt idx="20">
                  <v>43739</v>
                </pt>
                <pt idx="21">
                  <v>43770</v>
                </pt>
                <pt idx="22">
                  <v>43800</v>
                </pt>
                <pt idx="23">
                  <v>43831</v>
                </pt>
                <pt idx="24">
                  <v>43862</v>
                </pt>
                <pt idx="25">
                  <v>43891</v>
                </pt>
                <pt idx="26">
                  <v>43922</v>
                </pt>
                <pt idx="27">
                  <v>43952</v>
                </pt>
                <pt idx="28">
                  <v>43983</v>
                </pt>
                <pt idx="29">
                  <v>44013</v>
                </pt>
                <pt idx="30">
                  <v>44044</v>
                </pt>
                <pt idx="31">
                  <v>44075</v>
                </pt>
                <pt idx="32">
                  <v>44105</v>
                </pt>
                <pt idx="33">
                  <v>44136</v>
                </pt>
                <pt idx="34">
                  <v>44166</v>
                </pt>
                <pt idx="35">
                  <v>44197</v>
                </pt>
                <pt idx="36">
                  <v>44228</v>
                </pt>
                <pt idx="37">
                  <v>44256</v>
                </pt>
                <pt idx="38">
                  <v>44287</v>
                </pt>
                <pt idx="39">
                  <v>44317</v>
                </pt>
                <pt idx="40">
                  <v>44348</v>
                </pt>
                <pt idx="41">
                  <v>44378</v>
                </pt>
                <pt idx="42">
                  <v>44409</v>
                </pt>
                <pt idx="43">
                  <v>44440</v>
                </pt>
                <pt idx="44">
                  <v>44470</v>
                </pt>
                <pt idx="45">
                  <v>44501</v>
                </pt>
                <pt idx="46">
                  <v>44531</v>
                </pt>
                <pt idx="47">
                  <v>44562</v>
                </pt>
                <pt idx="48">
                  <v>44593</v>
                </pt>
                <pt idx="49">
                  <v>44621</v>
                </pt>
                <pt idx="50">
                  <v>44652</v>
                </pt>
                <pt idx="51">
                  <v>44682</v>
                </pt>
                <pt idx="52">
                  <v>44713</v>
                </pt>
                <pt idx="53">
                  <v>44743</v>
                </pt>
                <pt idx="54">
                  <v>44774</v>
                </pt>
                <pt idx="55">
                  <v>44805</v>
                </pt>
                <pt idx="56">
                  <v>44835</v>
                </pt>
                <pt idx="57">
                  <v>44866</v>
                </pt>
                <pt idx="58">
                  <v>44896</v>
                </pt>
                <pt idx="59">
                  <v>44927</v>
                </pt>
                <pt idx="60">
                  <v>44958</v>
                </pt>
                <pt idx="61">
                  <v>44986</v>
                </pt>
                <pt idx="62">
                  <v>45017</v>
                </pt>
                <pt idx="63">
                  <v>45047</v>
                </pt>
                <pt idx="64">
                  <v>45078</v>
                </pt>
                <pt idx="65">
                  <v>45108</v>
                </pt>
                <pt idx="66">
                  <v>45139</v>
                </pt>
                <pt idx="67">
                  <v>45170</v>
                </pt>
                <pt idx="68">
                  <v>45200</v>
                </pt>
                <pt idx="69">
                  <v>45231</v>
                </pt>
                <pt idx="70">
                  <v>45261</v>
                </pt>
                <pt idx="71">
                  <v>45292</v>
                </pt>
                <pt idx="72">
                  <v>45323</v>
                </pt>
                <pt idx="73">
                  <v>45352</v>
                </pt>
                <pt idx="74">
                  <v>45383</v>
                </pt>
                <pt idx="75">
                  <v>45413</v>
                </pt>
                <pt idx="76">
                  <v>45444</v>
                </pt>
                <pt idx="77">
                  <v>45474</v>
                </pt>
                <pt idx="78">
                  <v>45505</v>
                </pt>
                <pt idx="79">
                  <v>45536</v>
                </pt>
                <pt idx="80">
                  <v>45566</v>
                </pt>
                <pt idx="81">
                  <v>45597</v>
                </pt>
                <pt idx="82">
                  <v>45627</v>
                </pt>
                <pt idx="83">
                  <v>45658</v>
                </pt>
                <pt idx="84">
                  <v>45689</v>
                </pt>
                <pt idx="85">
                  <v>45717</v>
                </pt>
                <pt idx="86">
                  <v>45748</v>
                </pt>
                <pt idx="87">
                  <v>45778</v>
                </pt>
                <pt idx="88">
                  <v>45809</v>
                </pt>
                <pt idx="89">
                  <v>45839</v>
                </pt>
                <pt idx="90">
                  <v>45870</v>
                </pt>
                <pt idx="91">
                  <v>45901</v>
                </pt>
                <pt idx="92">
                  <v>45931</v>
                </pt>
                <pt idx="93">
                  <v>45962</v>
                </pt>
                <pt idx="94">
                  <v>45992</v>
                </pt>
              </numCache>
            </numRef>
          </cat>
          <val>
            <numRef>
              <f>Charts!$AP$124:$AP$218</f>
              <numCache>
                <formatCode>0%</formatCode>
                <ptCount val="95"/>
                <pt idx="0">
                  <v>0.05472636815920398</v>
                </pt>
                <pt idx="1">
                  <v>0.06756756756756757</v>
                </pt>
                <pt idx="2">
                  <v>0.07834101382488479</v>
                </pt>
                <pt idx="3">
                  <v>0.08658008658008658</v>
                </pt>
                <pt idx="4">
                  <v>0.09623430962343096</v>
                </pt>
                <pt idx="5">
                  <v>0.09274193548387097</v>
                </pt>
                <pt idx="6">
                  <v>0.092</v>
                </pt>
                <pt idx="7">
                  <v>0.0963855421686747</v>
                </pt>
                <pt idx="8">
                  <v>0.1071428571428571</v>
                </pt>
                <pt idx="9">
                  <v>0.1176470588235294</v>
                </pt>
                <pt idx="10">
                  <v>0.1468253968253968</v>
                </pt>
                <pt idx="11">
                  <v>0.1646586345381526</v>
                </pt>
                <pt idx="12">
                  <v>0.1563786008230453</v>
                </pt>
                <pt idx="13">
                  <v>0.1652173913043478</v>
                </pt>
                <pt idx="14">
                  <v>0.1754385964912281</v>
                </pt>
                <pt idx="15">
                  <v>0.1851851851851852</v>
                </pt>
                <pt idx="16">
                  <v>0.1953488372093023</v>
                </pt>
                <pt idx="17">
                  <v>0.2117117117117117</v>
                </pt>
                <pt idx="18">
                  <v>0.2201834862385321</v>
                </pt>
                <pt idx="19">
                  <v>0.2105263157894737</v>
                </pt>
                <pt idx="20">
                  <v>0.2036199095022624</v>
                </pt>
                <pt idx="21">
                  <v>0.2018348623853211</v>
                </pt>
                <pt idx="22">
                  <v>0.2018779342723005</v>
                </pt>
                <pt idx="23">
                  <v>0.1982378854625551</v>
                </pt>
                <pt idx="24">
                  <v>0.1923076923076923</v>
                </pt>
                <pt idx="25">
                  <v>0.1721311475409836</v>
                </pt>
                <pt idx="26">
                  <v>0.1652892561983471</v>
                </pt>
                <pt idx="27">
                  <v>0.1548117154811715</v>
                </pt>
                <pt idx="28">
                  <v>0.1410788381742739</v>
                </pt>
                <pt idx="29">
                  <v>0.1385281385281385</v>
                </pt>
                <pt idx="30">
                  <v>0.1271186440677966</v>
                </pt>
                <pt idx="31">
                  <v>0.1391304347826087</v>
                </pt>
                <pt idx="32">
                  <v>0.1341991341991342</v>
                </pt>
                <pt idx="33">
                  <v>0.1330472103004292</v>
                </pt>
                <pt idx="34">
                  <v>0.1027667984189723</v>
                </pt>
                <pt idx="35">
                  <v>0.08713692946058091</v>
                </pt>
                <pt idx="36">
                  <v>0.09205020920502092</v>
                </pt>
                <pt idx="37">
                  <v>0.08943089430894309</v>
                </pt>
                <pt idx="38">
                  <v>0.07692307692307693</v>
                </pt>
                <pt idx="39">
                  <v>0.07777777777777778</v>
                </pt>
                <pt idx="40">
                  <v>0.07272727272727272</v>
                </pt>
                <pt idx="41">
                  <v>0.06474820143884892</v>
                </pt>
                <pt idx="42">
                  <v>0.06551724137931035</v>
                </pt>
                <pt idx="43">
                  <v>0.0561056105610561</v>
                </pt>
                <pt idx="44">
                  <v>0.05980066445182725</v>
                </pt>
                <pt idx="45">
                  <v>0.05228758169934641</v>
                </pt>
                <pt idx="46">
                  <v>0.06440677966101695</v>
                </pt>
                <pt idx="47">
                  <v>0.06840390879478828</v>
                </pt>
                <pt idx="48">
                  <v>0.06752411575562701</v>
                </pt>
                <pt idx="49">
                  <v>0.06666666666666667</v>
                </pt>
                <pt idx="50">
                  <v>0.06896551724137931</v>
                </pt>
                <pt idx="51">
                  <v>0.06315789473684211</v>
                </pt>
                <pt idx="52">
                  <v>0.06451612903225806</v>
                </pt>
                <pt idx="53">
                  <v>0.06338028169014084</v>
                </pt>
                <pt idx="54">
                  <v>0.06071428571428571</v>
                </pt>
                <pt idx="55">
                  <v>0.0673758865248227</v>
                </pt>
                <pt idx="56">
                  <v>0.06122448979591837</v>
                </pt>
                <pt idx="57">
                  <v>0.06620209059233449</v>
                </pt>
                <pt idx="58">
                  <v>0.0539568345323741</v>
                </pt>
                <pt idx="59">
                  <v>0.05703422053231939</v>
                </pt>
                <pt idx="60">
                  <v>0.06513409961685823</v>
                </pt>
                <pt idx="61">
                  <v>0.07142857142857142</v>
                </pt>
                <pt idx="62">
                  <v>0.0778688524590164</v>
                </pt>
                <pt idx="63">
                  <v>0.08974358974358974</v>
                </pt>
                <pt idx="64">
                  <v>0.09606986899563319</v>
                </pt>
                <pt idx="65">
                  <v>0.1032863849765258</v>
                </pt>
                <pt idx="66">
                  <v>0.1225490196078431</v>
                </pt>
                <pt idx="67">
                  <v>0.1237113402061856</v>
                </pt>
                <pt idx="68">
                  <v>0.1373626373626374</v>
                </pt>
                <pt idx="69">
                  <v>0.1329479768786127</v>
                </pt>
                <pt idx="70">
                  <v>0.1696969696969697</v>
                </pt>
                <pt idx="71">
                  <v>0.175</v>
                </pt>
                <pt idx="72">
                  <v>0.1518987341772152</v>
                </pt>
                <pt idx="73">
                  <v>0.1568627450980392</v>
                </pt>
                <pt idx="74">
                  <v>0.1666666666666667</v>
                </pt>
                <pt idx="75">
                  <v>0.1866666666666667</v>
                </pt>
                <pt idx="76">
                  <v>0.1970802919708029</v>
                </pt>
                <pt idx="77">
                  <v>0.2045454545454546</v>
                </pt>
                <pt idx="78">
                  <v>0.2136752136752137</v>
                </pt>
                <pt idx="79">
                  <v>0.2524271844660194</v>
                </pt>
                <pt idx="80">
                  <v>0.3009708737864077</v>
                </pt>
                <pt idx="81">
                  <v>0.3177570093457944</v>
                </pt>
                <pt idx="82">
                  <v>0.2711864406779661</v>
                </pt>
                <pt idx="83">
                  <v>0.2622950819672131</v>
                </pt>
                <pt idx="84">
                  <v>0.2857142857142857</v>
                </pt>
                <pt idx="85">
                  <v>0.2786885245901639</v>
                </pt>
                <pt idx="86">
                  <v>0.2735042735042735</v>
                </pt>
                <pt idx="87">
                  <v>0.2248062015503876</v>
                </pt>
                <pt idx="88">
                  <v>0.2463768115942029</v>
                </pt>
                <pt idx="89">
                  <v>0.2323943661971831</v>
                </pt>
                <pt idx="90">
                  <v>0.2244897959183673</v>
                </pt>
                <pt idx="91">
                  <v>0.2269938650306748</v>
                </pt>
                <pt idx="92">
                  <v>0.1974522292993631</v>
                </pt>
                <pt idx="93">
                  <v>0.1847133757961783</v>
                </pt>
                <pt idx="94">
                  <v>0.1842105263157895</v>
                </pt>
              </numCache>
            </numRef>
          </val>
        </ser>
        <ser>
          <idx val="4"/>
          <order val="1"/>
          <tx>
            <strRef>
              <f>Charts!$AR$2</f>
              <strCache>
                <ptCount val="1"/>
                <pt idx="0">
                  <v>10+ Year Price Change (ttm)</v>
                </pt>
              </strCache>
            </strRef>
          </tx>
          <spPr>
            <a:solidFill xmlns:a="http://schemas.openxmlformats.org/drawingml/2006/main">
              <a:srgbClr val="9B88A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Charts!$B$124:$B$218</f>
              <numCache>
                <formatCode>[$-409]mmm\-yy;@</formatCode>
                <ptCount val="95"/>
                <pt idx="0">
                  <v>43132</v>
                </pt>
                <pt idx="1">
                  <v>43160</v>
                </pt>
                <pt idx="2">
                  <v>43191</v>
                </pt>
                <pt idx="3">
                  <v>43221</v>
                </pt>
                <pt idx="4">
                  <v>43252</v>
                </pt>
                <pt idx="5">
                  <v>43282</v>
                </pt>
                <pt idx="6">
                  <v>43313</v>
                </pt>
                <pt idx="7">
                  <v>43344</v>
                </pt>
                <pt idx="8">
                  <v>43374</v>
                </pt>
                <pt idx="9">
                  <v>43405</v>
                </pt>
                <pt idx="10">
                  <v>43435</v>
                </pt>
                <pt idx="11">
                  <v>43466</v>
                </pt>
                <pt idx="12">
                  <v>43497</v>
                </pt>
                <pt idx="13">
                  <v>43525</v>
                </pt>
                <pt idx="14">
                  <v>43556</v>
                </pt>
                <pt idx="15">
                  <v>43586</v>
                </pt>
                <pt idx="16">
                  <v>43617</v>
                </pt>
                <pt idx="17">
                  <v>43647</v>
                </pt>
                <pt idx="18">
                  <v>43678</v>
                </pt>
                <pt idx="19">
                  <v>43709</v>
                </pt>
                <pt idx="20">
                  <v>43739</v>
                </pt>
                <pt idx="21">
                  <v>43770</v>
                </pt>
                <pt idx="22">
                  <v>43800</v>
                </pt>
                <pt idx="23">
                  <v>43831</v>
                </pt>
                <pt idx="24">
                  <v>43862</v>
                </pt>
                <pt idx="25">
                  <v>43891</v>
                </pt>
                <pt idx="26">
                  <v>43922</v>
                </pt>
                <pt idx="27">
                  <v>43952</v>
                </pt>
                <pt idx="28">
                  <v>43983</v>
                </pt>
                <pt idx="29">
                  <v>44013</v>
                </pt>
                <pt idx="30">
                  <v>44044</v>
                </pt>
                <pt idx="31">
                  <v>44075</v>
                </pt>
                <pt idx="32">
                  <v>44105</v>
                </pt>
                <pt idx="33">
                  <v>44136</v>
                </pt>
                <pt idx="34">
                  <v>44166</v>
                </pt>
                <pt idx="35">
                  <v>44197</v>
                </pt>
                <pt idx="36">
                  <v>44228</v>
                </pt>
                <pt idx="37">
                  <v>44256</v>
                </pt>
                <pt idx="38">
                  <v>44287</v>
                </pt>
                <pt idx="39">
                  <v>44317</v>
                </pt>
                <pt idx="40">
                  <v>44348</v>
                </pt>
                <pt idx="41">
                  <v>44378</v>
                </pt>
                <pt idx="42">
                  <v>44409</v>
                </pt>
                <pt idx="43">
                  <v>44440</v>
                </pt>
                <pt idx="44">
                  <v>44470</v>
                </pt>
                <pt idx="45">
                  <v>44501</v>
                </pt>
                <pt idx="46">
                  <v>44531</v>
                </pt>
                <pt idx="47">
                  <v>44562</v>
                </pt>
                <pt idx="48">
                  <v>44593</v>
                </pt>
                <pt idx="49">
                  <v>44621</v>
                </pt>
                <pt idx="50">
                  <v>44652</v>
                </pt>
                <pt idx="51">
                  <v>44682</v>
                </pt>
                <pt idx="52">
                  <v>44713</v>
                </pt>
                <pt idx="53">
                  <v>44743</v>
                </pt>
                <pt idx="54">
                  <v>44774</v>
                </pt>
                <pt idx="55">
                  <v>44805</v>
                </pt>
                <pt idx="56">
                  <v>44835</v>
                </pt>
                <pt idx="57">
                  <v>44866</v>
                </pt>
                <pt idx="58">
                  <v>44896</v>
                </pt>
                <pt idx="59">
                  <v>44927</v>
                </pt>
                <pt idx="60">
                  <v>44958</v>
                </pt>
                <pt idx="61">
                  <v>44986</v>
                </pt>
                <pt idx="62">
                  <v>45017</v>
                </pt>
                <pt idx="63">
                  <v>45047</v>
                </pt>
                <pt idx="64">
                  <v>45078</v>
                </pt>
                <pt idx="65">
                  <v>45108</v>
                </pt>
                <pt idx="66">
                  <v>45139</v>
                </pt>
                <pt idx="67">
                  <v>45170</v>
                </pt>
                <pt idx="68">
                  <v>45200</v>
                </pt>
                <pt idx="69">
                  <v>45231</v>
                </pt>
                <pt idx="70">
                  <v>45261</v>
                </pt>
                <pt idx="71">
                  <v>45292</v>
                </pt>
                <pt idx="72">
                  <v>45323</v>
                </pt>
                <pt idx="73">
                  <v>45352</v>
                </pt>
                <pt idx="74">
                  <v>45383</v>
                </pt>
                <pt idx="75">
                  <v>45413</v>
                </pt>
                <pt idx="76">
                  <v>45444</v>
                </pt>
                <pt idx="77">
                  <v>45474</v>
                </pt>
                <pt idx="78">
                  <v>45505</v>
                </pt>
                <pt idx="79">
                  <v>45536</v>
                </pt>
                <pt idx="80">
                  <v>45566</v>
                </pt>
                <pt idx="81">
                  <v>45597</v>
                </pt>
                <pt idx="82">
                  <v>45627</v>
                </pt>
                <pt idx="83">
                  <v>45658</v>
                </pt>
                <pt idx="84">
                  <v>45689</v>
                </pt>
                <pt idx="85">
                  <v>45717</v>
                </pt>
                <pt idx="86">
                  <v>45748</v>
                </pt>
                <pt idx="87">
                  <v>45778</v>
                </pt>
                <pt idx="88">
                  <v>45809</v>
                </pt>
                <pt idx="89">
                  <v>45839</v>
                </pt>
                <pt idx="90">
                  <v>45870</v>
                </pt>
                <pt idx="91">
                  <v>45901</v>
                </pt>
                <pt idx="92">
                  <v>45931</v>
                </pt>
                <pt idx="93">
                  <v>45962</v>
                </pt>
                <pt idx="94">
                  <v>45992</v>
                </pt>
              </numCache>
            </numRef>
          </cat>
          <val>
            <numRef>
              <f>Charts!$AR$124:$AR$218</f>
              <numCache>
                <formatCode>0%</formatCode>
                <ptCount val="95"/>
                <pt idx="0">
                  <v>0.04347826086956522</v>
                </pt>
                <pt idx="1">
                  <v>0.08247422680412371</v>
                </pt>
                <pt idx="2">
                  <v>0.1020408163265306</v>
                </pt>
                <pt idx="3">
                  <v>0.125</v>
                </pt>
                <pt idx="4">
                  <v>0.1363636363636364</v>
                </pt>
                <pt idx="5">
                  <v>0.1363636363636364</v>
                </pt>
                <pt idx="6">
                  <v>0.1327433628318584</v>
                </pt>
                <pt idx="7">
                  <v>0.1403508771929824</v>
                </pt>
                <pt idx="8">
                  <v>0.1666666666666667</v>
                </pt>
                <pt idx="9">
                  <v>0.1727272727272727</v>
                </pt>
                <pt idx="10">
                  <v>0.2222222222222222</v>
                </pt>
                <pt idx="11">
                  <v>0.2432432432432433</v>
                </pt>
                <pt idx="12">
                  <v>0.2407407407407407</v>
                </pt>
                <pt idx="13">
                  <v>0.2380952380952381</v>
                </pt>
                <pt idx="14">
                  <v>0.2407407407407407</v>
                </pt>
                <pt idx="15">
                  <v>0.25</v>
                </pt>
                <pt idx="16">
                  <v>0.2577319587628866</v>
                </pt>
                <pt idx="17">
                  <v>0.2727272727272727</v>
                </pt>
                <pt idx="18">
                  <v>0.2857142857142857</v>
                </pt>
                <pt idx="19">
                  <v>0.2717391304347826</v>
                </pt>
                <pt idx="20">
                  <v>0.2584269662921349</v>
                </pt>
                <pt idx="21">
                  <v>0.2696629213483146</v>
                </pt>
                <pt idx="22">
                  <v>0.2705882352941176</v>
                </pt>
                <pt idx="23">
                  <v>0.2584269662921349</v>
                </pt>
                <pt idx="24">
                  <v>0.2584269662921349</v>
                </pt>
                <pt idx="25">
                  <v>0.2359550561797753</v>
                </pt>
                <pt idx="26">
                  <v>0.2261904761904762</v>
                </pt>
                <pt idx="27">
                  <v>0.2125</v>
                </pt>
                <pt idx="28">
                  <v>0.2023809523809524</v>
                </pt>
                <pt idx="29">
                  <v>0.2051282051282051</v>
                </pt>
                <pt idx="30">
                  <v>0.2048192771084337</v>
                </pt>
                <pt idx="31">
                  <v>0.2168674698795181</v>
                </pt>
                <pt idx="32">
                  <v>0.2048192771084337</v>
                </pt>
                <pt idx="33">
                  <v>0.2025316455696203</v>
                </pt>
                <pt idx="34">
                  <v>0.1538461538461539</v>
                </pt>
                <pt idx="35">
                  <v>0.1184210526315789</v>
                </pt>
                <pt idx="36">
                  <v>0.1066666666666667</v>
                </pt>
                <pt idx="37">
                  <v>0.1066666666666667</v>
                </pt>
                <pt idx="38">
                  <v>0.09090909090909091</v>
                </pt>
                <pt idx="39">
                  <v>0.08235294117647059</v>
                </pt>
                <pt idx="40">
                  <v>0.07407407407407407</v>
                </pt>
                <pt idx="41">
                  <v>0.06172839506172839</v>
                </pt>
                <pt idx="42">
                  <v>0.06172839506172839</v>
                </pt>
                <pt idx="43">
                  <v>0.06329113924050633</v>
                </pt>
                <pt idx="44">
                  <v>0.06578947368421052</v>
                </pt>
                <pt idx="45">
                  <v>0.06493506493506493</v>
                </pt>
                <pt idx="46">
                  <v>0.1038961038961039</v>
                </pt>
                <pt idx="47">
                  <v>0.1081081081081081</v>
                </pt>
                <pt idx="48">
                  <v>0.1216216216216216</v>
                </pt>
                <pt idx="49">
                  <v>0.1194029850746269</v>
                </pt>
                <pt idx="50">
                  <v>0.125</v>
                </pt>
                <pt idx="51">
                  <v>0.1379310344827586</v>
                </pt>
                <pt idx="52">
                  <v>0.1372549019607843</v>
                </pt>
                <pt idx="53">
                  <v>0.1346153846153846</v>
                </pt>
                <pt idx="54">
                  <v>0.12</v>
                </pt>
                <pt idx="55">
                  <v>0.1136363636363636</v>
                </pt>
                <pt idx="56">
                  <v>0.1276595744680851</v>
                </pt>
                <pt idx="57">
                  <v>0.1521739130434783</v>
                </pt>
                <pt idx="58">
                  <v>0.1025641025641026</v>
                </pt>
                <pt idx="59">
                  <v>0.1470588235294118</v>
                </pt>
                <pt idx="60">
                  <v>0.125</v>
                </pt>
                <pt idx="61">
                  <v>0.15625</v>
                </pt>
                <pt idx="62">
                  <v>0.1785714285714286</v>
                </pt>
                <pt idx="63">
                  <v>0.24</v>
                </pt>
                <pt idx="64">
                  <v>0.2307692307692308</v>
                </pt>
                <pt idx="65">
                  <v>0.3043478260869565</v>
                </pt>
                <pt idx="66">
                  <v>0.3809523809523809</v>
                </pt>
                <pt idx="67">
                  <v>0.3809523809523809</v>
                </pt>
                <pt idx="68">
                  <v>0.4375</v>
                </pt>
                <pt idx="69">
                  <v>0.3333333333333333</v>
                </pt>
                <pt idx="70">
                  <v>0.4736842105263158</v>
                </pt>
                <pt idx="71">
                  <v>0.5</v>
                </pt>
                <pt idx="72">
                  <v>0.5263157894736842</v>
                </pt>
                <pt idx="73">
                  <v>0.5</v>
                </pt>
                <pt idx="74">
                  <v>0.5238095238095238</v>
                </pt>
                <pt idx="75">
                  <v>0.5238095238095238</v>
                </pt>
                <pt idx="76">
                  <v>0.55</v>
                </pt>
                <pt idx="77">
                  <v>0.5555555555555556</v>
                </pt>
                <pt idx="78">
                  <v>0.625</v>
                </pt>
                <pt idx="79">
                  <v>0.6666666666666666</v>
                </pt>
                <pt idx="80">
                  <v>0.625</v>
                </pt>
                <pt idx="81">
                  <v>0.5789473684210527</v>
                </pt>
                <pt idx="82">
                  <v>0.5</v>
                </pt>
                <pt idx="83">
                  <v>0.4705882352941176</v>
                </pt>
                <pt idx="84">
                  <v>0.4444444444444444</v>
                </pt>
                <pt idx="85">
                  <v>0.4444444444444444</v>
                </pt>
                <pt idx="86">
                  <v>0.3888888888888889</v>
                </pt>
                <pt idx="87">
                  <v>0.3529411764705883</v>
                </pt>
                <pt idx="88">
                  <v>0.4444444444444444</v>
                </pt>
                <pt idx="89">
                  <v>0.4705882352941176</v>
                </pt>
                <pt idx="90">
                  <v>0.4375</v>
                </pt>
                <pt idx="91">
                  <v>0.3888888888888889</v>
                </pt>
                <pt idx="92">
                  <v>0.4117647058823529</v>
                </pt>
                <pt idx="93">
                  <v>0.4615384615384616</v>
                </pt>
                <pt idx="94">
                  <v>0.4615384615384616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59"/>
        <axId val="1582252848"/>
        <axId val="1582246192"/>
      </barChart>
      <lineChart>
        <grouping val="standard"/>
        <varyColors val="0"/>
        <ser>
          <idx val="5"/>
          <order val="5"/>
          <tx>
            <strRef>
              <f>Charts!$AM$2</f>
              <strCache>
                <ptCount val="1"/>
                <pt idx="0">
                  <v>Last Ask (ttm)</v>
                </pt>
              </strCache>
            </strRef>
          </tx>
          <spPr>
            <a:ln xmlns:a="http://schemas.openxmlformats.org/drawingml/2006/main" w="28575" cap="rnd">
              <a:solidFill>
                <a:srgbClr val="003D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Charts!$B$124:$B$218</f>
              <numCache>
                <formatCode>[$-409]mmm\-yy;@</formatCode>
                <ptCount val="95"/>
                <pt idx="0">
                  <v>43132</v>
                </pt>
                <pt idx="1">
                  <v>43160</v>
                </pt>
                <pt idx="2">
                  <v>43191</v>
                </pt>
                <pt idx="3">
                  <v>43221</v>
                </pt>
                <pt idx="4">
                  <v>43252</v>
                </pt>
                <pt idx="5">
                  <v>43282</v>
                </pt>
                <pt idx="6">
                  <v>43313</v>
                </pt>
                <pt idx="7">
                  <v>43344</v>
                </pt>
                <pt idx="8">
                  <v>43374</v>
                </pt>
                <pt idx="9">
                  <v>43405</v>
                </pt>
                <pt idx="10">
                  <v>43435</v>
                </pt>
                <pt idx="11">
                  <v>43466</v>
                </pt>
                <pt idx="12">
                  <v>43497</v>
                </pt>
                <pt idx="13">
                  <v>43525</v>
                </pt>
                <pt idx="14">
                  <v>43556</v>
                </pt>
                <pt idx="15">
                  <v>43586</v>
                </pt>
                <pt idx="16">
                  <v>43617</v>
                </pt>
                <pt idx="17">
                  <v>43647</v>
                </pt>
                <pt idx="18">
                  <v>43678</v>
                </pt>
                <pt idx="19">
                  <v>43709</v>
                </pt>
                <pt idx="20">
                  <v>43739</v>
                </pt>
                <pt idx="21">
                  <v>43770</v>
                </pt>
                <pt idx="22">
                  <v>43800</v>
                </pt>
                <pt idx="23">
                  <v>43831</v>
                </pt>
                <pt idx="24">
                  <v>43862</v>
                </pt>
                <pt idx="25">
                  <v>43891</v>
                </pt>
                <pt idx="26">
                  <v>43922</v>
                </pt>
                <pt idx="27">
                  <v>43952</v>
                </pt>
                <pt idx="28">
                  <v>43983</v>
                </pt>
                <pt idx="29">
                  <v>44013</v>
                </pt>
                <pt idx="30">
                  <v>44044</v>
                </pt>
                <pt idx="31">
                  <v>44075</v>
                </pt>
                <pt idx="32">
                  <v>44105</v>
                </pt>
                <pt idx="33">
                  <v>44136</v>
                </pt>
                <pt idx="34">
                  <v>44166</v>
                </pt>
                <pt idx="35">
                  <v>44197</v>
                </pt>
                <pt idx="36">
                  <v>44228</v>
                </pt>
                <pt idx="37">
                  <v>44256</v>
                </pt>
                <pt idx="38">
                  <v>44287</v>
                </pt>
                <pt idx="39">
                  <v>44317</v>
                </pt>
                <pt idx="40">
                  <v>44348</v>
                </pt>
                <pt idx="41">
                  <v>44378</v>
                </pt>
                <pt idx="42">
                  <v>44409</v>
                </pt>
                <pt idx="43">
                  <v>44440</v>
                </pt>
                <pt idx="44">
                  <v>44470</v>
                </pt>
                <pt idx="45">
                  <v>44501</v>
                </pt>
                <pt idx="46">
                  <v>44531</v>
                </pt>
                <pt idx="47">
                  <v>44562</v>
                </pt>
                <pt idx="48">
                  <v>44593</v>
                </pt>
                <pt idx="49">
                  <v>44621</v>
                </pt>
                <pt idx="50">
                  <v>44652</v>
                </pt>
                <pt idx="51">
                  <v>44682</v>
                </pt>
                <pt idx="52">
                  <v>44713</v>
                </pt>
                <pt idx="53">
                  <v>44743</v>
                </pt>
                <pt idx="54">
                  <v>44774</v>
                </pt>
                <pt idx="55">
                  <v>44805</v>
                </pt>
                <pt idx="56">
                  <v>44835</v>
                </pt>
                <pt idx="57">
                  <v>44866</v>
                </pt>
                <pt idx="58">
                  <v>44896</v>
                </pt>
                <pt idx="59">
                  <v>44927</v>
                </pt>
                <pt idx="60">
                  <v>44958</v>
                </pt>
                <pt idx="61">
                  <v>44986</v>
                </pt>
                <pt idx="62">
                  <v>45017</v>
                </pt>
                <pt idx="63">
                  <v>45047</v>
                </pt>
                <pt idx="64">
                  <v>45078</v>
                </pt>
                <pt idx="65">
                  <v>45108</v>
                </pt>
                <pt idx="66">
                  <v>45139</v>
                </pt>
                <pt idx="67">
                  <v>45170</v>
                </pt>
                <pt idx="68">
                  <v>45200</v>
                </pt>
                <pt idx="69">
                  <v>45231</v>
                </pt>
                <pt idx="70">
                  <v>45261</v>
                </pt>
                <pt idx="71">
                  <v>45292</v>
                </pt>
                <pt idx="72">
                  <v>45323</v>
                </pt>
                <pt idx="73">
                  <v>45352</v>
                </pt>
                <pt idx="74">
                  <v>45383</v>
                </pt>
                <pt idx="75">
                  <v>45413</v>
                </pt>
                <pt idx="76">
                  <v>45444</v>
                </pt>
                <pt idx="77">
                  <v>45474</v>
                </pt>
                <pt idx="78">
                  <v>45505</v>
                </pt>
                <pt idx="79">
                  <v>45536</v>
                </pt>
                <pt idx="80">
                  <v>45566</v>
                </pt>
                <pt idx="81">
                  <v>45597</v>
                </pt>
                <pt idx="82">
                  <v>45627</v>
                </pt>
                <pt idx="83">
                  <v>45658</v>
                </pt>
                <pt idx="84">
                  <v>45689</v>
                </pt>
                <pt idx="85">
                  <v>45717</v>
                </pt>
                <pt idx="86">
                  <v>45748</v>
                </pt>
                <pt idx="87">
                  <v>45778</v>
                </pt>
                <pt idx="88">
                  <v>45809</v>
                </pt>
                <pt idx="89">
                  <v>45839</v>
                </pt>
                <pt idx="90">
                  <v>45870</v>
                </pt>
                <pt idx="91">
                  <v>45901</v>
                </pt>
                <pt idx="92">
                  <v>45931</v>
                </pt>
                <pt idx="93">
                  <v>45962</v>
                </pt>
                <pt idx="94">
                  <v>45992</v>
                </pt>
              </numCache>
            </numRef>
          </cat>
          <val>
            <numRef>
              <f>Charts!$AM$124:$AM$218</f>
              <numCache>
                <formatCode>0.00%</formatCode>
                <ptCount val="95"/>
                <pt idx="0">
                  <v>0.06419176577430073</v>
                </pt>
                <pt idx="1">
                  <v>0.06389854671060051</v>
                </pt>
                <pt idx="2">
                  <v>0.06413888387231616</v>
                </pt>
                <pt idx="3">
                  <v>0.06309286643845999</v>
                </pt>
                <pt idx="4">
                  <v>0.06377019686865744</v>
                </pt>
                <pt idx="5">
                  <v>0.06335706587533176</v>
                </pt>
                <pt idx="6">
                  <v>0.06335580439135892</v>
                </pt>
                <pt idx="7">
                  <v>0.0628444507034454</v>
                </pt>
                <pt idx="8">
                  <v>0.06293732037732606</v>
                </pt>
                <pt idx="9">
                  <v>0.06340767146193922</v>
                </pt>
                <pt idx="10">
                  <v>0.0637185004618267</v>
                </pt>
                <pt idx="11">
                  <v>0.06365849087175486</v>
                </pt>
                <pt idx="12">
                  <v>0.06308237630491902</v>
                </pt>
                <pt idx="13">
                  <v>0.06308575458516993</v>
                </pt>
                <pt idx="14">
                  <v>0.0629407733585977</v>
                </pt>
                <pt idx="15">
                  <v>0.06323213174164032</v>
                </pt>
                <pt idx="16">
                  <v>0.06342532865900735</v>
                </pt>
                <pt idx="17">
                  <v>0.06446588418297071</v>
                </pt>
                <pt idx="18">
                  <v>0.06433829648458059</v>
                </pt>
                <pt idx="19">
                  <v>0.06445190128567654</v>
                </pt>
                <pt idx="20">
                  <v>0.06422691389006749</v>
                </pt>
                <pt idx="21">
                  <v>0.0643144193472833</v>
                </pt>
                <pt idx="22">
                  <v>0.06345432205986413</v>
                </pt>
                <pt idx="23">
                  <v>0.06324586922320313</v>
                </pt>
                <pt idx="24">
                  <v>0.06320259087592445</v>
                </pt>
                <pt idx="25">
                  <v>0.06345264471562322</v>
                </pt>
                <pt idx="26">
                  <v>0.06333708213112205</v>
                </pt>
                <pt idx="27">
                  <v>0.06337495058673666</v>
                </pt>
                <pt idx="28">
                  <v>0.06258399292100607</v>
                </pt>
                <pt idx="29">
                  <v>0.06192896385595199</v>
                </pt>
                <pt idx="30">
                  <v>0.06253852808941728</v>
                </pt>
                <pt idx="31">
                  <v>0.06220804466505286</v>
                </pt>
                <pt idx="32">
                  <v>0.06358361675689132</v>
                </pt>
                <pt idx="33">
                  <v>0.0631794221736043</v>
                </pt>
                <pt idx="34">
                  <v>0.06348524187193019</v>
                </pt>
                <pt idx="35">
                  <v>0.06387107843908736</v>
                </pt>
                <pt idx="36">
                  <v>0.06377004359957111</v>
                </pt>
                <pt idx="37">
                  <v>0.06346249027074859</v>
                </pt>
                <pt idx="38">
                  <v>0.06339129480154838</v>
                </pt>
                <pt idx="39">
                  <v>0.06298075644721632</v>
                </pt>
                <pt idx="40">
                  <v>0.06262113219695448</v>
                </pt>
                <pt idx="41">
                  <v>0.0627059646501497</v>
                </pt>
                <pt idx="42">
                  <v>0.06196866423351154</v>
                </pt>
                <pt idx="43">
                  <v>0.06237731591106385</v>
                </pt>
                <pt idx="44">
                  <v>0.06130358175788957</v>
                </pt>
                <pt idx="45">
                  <v>0.06115994672350477</v>
                </pt>
                <pt idx="46">
                  <v>0.06062224699441765</v>
                </pt>
                <pt idx="47">
                  <v>0.05974318840580454</v>
                </pt>
                <pt idx="48">
                  <v>0.05934237965807072</v>
                </pt>
                <pt idx="49">
                  <v>0.05907223405299782</v>
                </pt>
                <pt idx="50">
                  <v>0.05876870045850621</v>
                </pt>
                <pt idx="51">
                  <v>0.05871529602761791</v>
                </pt>
                <pt idx="52">
                  <v>0.05886898745306861</v>
                </pt>
                <pt idx="53">
                  <v>0.05821746473301805</v>
                </pt>
                <pt idx="54">
                  <v>0.0584996294215703</v>
                </pt>
                <pt idx="55">
                  <v>0.05748492234154732</v>
                </pt>
                <pt idx="56">
                  <v>0.05731132965655345</v>
                </pt>
                <pt idx="57">
                  <v>0.05708672856413056</v>
                </pt>
                <pt idx="58">
                  <v>0.05701976664422855</v>
                </pt>
                <pt idx="59">
                  <v>0.05843822621844254</v>
                </pt>
                <pt idx="60">
                  <v>0.05874503244252052</v>
                </pt>
                <pt idx="61">
                  <v>0.05941369736743074</v>
                </pt>
                <pt idx="62">
                  <v>0.05973826357359201</v>
                </pt>
                <pt idx="63">
                  <v>0.06014599908778222</v>
                </pt>
                <pt idx="64">
                  <v>0.06037179588223258</v>
                </pt>
                <pt idx="65">
                  <v>0.0609079873694099</v>
                </pt>
                <pt idx="66">
                  <v>0.06080298499923661</v>
                </pt>
                <pt idx="67">
                  <v>0.06176953386570736</v>
                </pt>
                <pt idx="68">
                  <v>0.06245320871316128</v>
                </pt>
                <pt idx="69">
                  <v>0.06355074926241218</v>
                </pt>
                <pt idx="70">
                  <v>0.06378766380879504</v>
                </pt>
                <pt idx="71">
                  <v>0.06307823628884579</v>
                </pt>
                <pt idx="72">
                  <v>0.06342771536461211</v>
                </pt>
                <pt idx="73">
                  <v>0.06328793150947282</v>
                </pt>
                <pt idx="74">
                  <v>0.06303261717442424</v>
                </pt>
                <pt idx="75">
                  <v>0.06369615558252989</v>
                </pt>
                <pt idx="76">
                  <v>0.06446782039517208</v>
                </pt>
                <pt idx="77">
                  <v>0.06502909972667378</v>
                </pt>
                <pt idx="78">
                  <v>0.06562340099423056</v>
                </pt>
                <pt idx="79">
                  <v>0.06589662792249837</v>
                </pt>
                <pt idx="80">
                  <v>0.06507755572586245</v>
                </pt>
                <pt idx="81">
                  <v>0.06615079594045872</v>
                </pt>
                <pt idx="82">
                  <v>0.06610141690510779</v>
                </pt>
                <pt idx="83">
                  <v>0.06741821610234917</v>
                </pt>
                <pt idx="84">
                  <v>0.06781087287305348</v>
                </pt>
                <pt idx="85">
                  <v>0.06789820641146475</v>
                </pt>
                <pt idx="86">
                  <v>0.06830796967588473</v>
                </pt>
                <pt idx="87">
                  <v>0.06886106873469403</v>
                </pt>
                <pt idx="88">
                  <v>0.06844849060779237</v>
                </pt>
                <pt idx="89">
                  <v>0.06869593264902925</v>
                </pt>
                <pt idx="90">
                  <v>0.06883395336180208</v>
                </pt>
                <pt idx="91">
                  <v>0.06877664397327279</v>
                </pt>
                <pt idx="92">
                  <v>0.0688090734598668</v>
                </pt>
                <pt idx="93">
                  <v>0.06822497376202938</v>
                </pt>
                <pt idx="94">
                  <v>0.06877974647073685</v>
                </pt>
              </numCache>
            </numRef>
          </val>
          <smooth val="0"/>
        </ser>
        <ser>
          <idx val="6"/>
          <order val="2"/>
          <tx>
            <strRef>
              <f>Charts!$AQ$2</f>
              <strCache>
                <ptCount val="1"/>
                <pt idx="0">
                  <v>10+ Year Ask (ttm)</v>
                </pt>
              </strCache>
            </strRef>
          </tx>
          <spPr>
            <a:ln xmlns:a="http://schemas.openxmlformats.org/drawingml/2006/main" w="28575" cap="rnd">
              <a:solidFill>
                <a:srgbClr val="62B5E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Charts!$B$124:$B$218</f>
              <numCache>
                <formatCode>[$-409]mmm\-yy;@</formatCode>
                <ptCount val="95"/>
                <pt idx="0">
                  <v>43132</v>
                </pt>
                <pt idx="1">
                  <v>43160</v>
                </pt>
                <pt idx="2">
                  <v>43191</v>
                </pt>
                <pt idx="3">
                  <v>43221</v>
                </pt>
                <pt idx="4">
                  <v>43252</v>
                </pt>
                <pt idx="5">
                  <v>43282</v>
                </pt>
                <pt idx="6">
                  <v>43313</v>
                </pt>
                <pt idx="7">
                  <v>43344</v>
                </pt>
                <pt idx="8">
                  <v>43374</v>
                </pt>
                <pt idx="9">
                  <v>43405</v>
                </pt>
                <pt idx="10">
                  <v>43435</v>
                </pt>
                <pt idx="11">
                  <v>43466</v>
                </pt>
                <pt idx="12">
                  <v>43497</v>
                </pt>
                <pt idx="13">
                  <v>43525</v>
                </pt>
                <pt idx="14">
                  <v>43556</v>
                </pt>
                <pt idx="15">
                  <v>43586</v>
                </pt>
                <pt idx="16">
                  <v>43617</v>
                </pt>
                <pt idx="17">
                  <v>43647</v>
                </pt>
                <pt idx="18">
                  <v>43678</v>
                </pt>
                <pt idx="19">
                  <v>43709</v>
                </pt>
                <pt idx="20">
                  <v>43739</v>
                </pt>
                <pt idx="21">
                  <v>43770</v>
                </pt>
                <pt idx="22">
                  <v>43800</v>
                </pt>
                <pt idx="23">
                  <v>43831</v>
                </pt>
                <pt idx="24">
                  <v>43862</v>
                </pt>
                <pt idx="25">
                  <v>43891</v>
                </pt>
                <pt idx="26">
                  <v>43922</v>
                </pt>
                <pt idx="27">
                  <v>43952</v>
                </pt>
                <pt idx="28">
                  <v>43983</v>
                </pt>
                <pt idx="29">
                  <v>44013</v>
                </pt>
                <pt idx="30">
                  <v>44044</v>
                </pt>
                <pt idx="31">
                  <v>44075</v>
                </pt>
                <pt idx="32">
                  <v>44105</v>
                </pt>
                <pt idx="33">
                  <v>44136</v>
                </pt>
                <pt idx="34">
                  <v>44166</v>
                </pt>
                <pt idx="35">
                  <v>44197</v>
                </pt>
                <pt idx="36">
                  <v>44228</v>
                </pt>
                <pt idx="37">
                  <v>44256</v>
                </pt>
                <pt idx="38">
                  <v>44287</v>
                </pt>
                <pt idx="39">
                  <v>44317</v>
                </pt>
                <pt idx="40">
                  <v>44348</v>
                </pt>
                <pt idx="41">
                  <v>44378</v>
                </pt>
                <pt idx="42">
                  <v>44409</v>
                </pt>
                <pt idx="43">
                  <v>44440</v>
                </pt>
                <pt idx="44">
                  <v>44470</v>
                </pt>
                <pt idx="45">
                  <v>44501</v>
                </pt>
                <pt idx="46">
                  <v>44531</v>
                </pt>
                <pt idx="47">
                  <v>44562</v>
                </pt>
                <pt idx="48">
                  <v>44593</v>
                </pt>
                <pt idx="49">
                  <v>44621</v>
                </pt>
                <pt idx="50">
                  <v>44652</v>
                </pt>
                <pt idx="51">
                  <v>44682</v>
                </pt>
                <pt idx="52">
                  <v>44713</v>
                </pt>
                <pt idx="53">
                  <v>44743</v>
                </pt>
                <pt idx="54">
                  <v>44774</v>
                </pt>
                <pt idx="55">
                  <v>44805</v>
                </pt>
                <pt idx="56">
                  <v>44835</v>
                </pt>
                <pt idx="57">
                  <v>44866</v>
                </pt>
                <pt idx="58">
                  <v>44896</v>
                </pt>
                <pt idx="59">
                  <v>44927</v>
                </pt>
                <pt idx="60">
                  <v>44958</v>
                </pt>
                <pt idx="61">
                  <v>44986</v>
                </pt>
                <pt idx="62">
                  <v>45017</v>
                </pt>
                <pt idx="63">
                  <v>45047</v>
                </pt>
                <pt idx="64">
                  <v>45078</v>
                </pt>
                <pt idx="65">
                  <v>45108</v>
                </pt>
                <pt idx="66">
                  <v>45139</v>
                </pt>
                <pt idx="67">
                  <v>45170</v>
                </pt>
                <pt idx="68">
                  <v>45200</v>
                </pt>
                <pt idx="69">
                  <v>45231</v>
                </pt>
                <pt idx="70">
                  <v>45261</v>
                </pt>
                <pt idx="71">
                  <v>45292</v>
                </pt>
                <pt idx="72">
                  <v>45323</v>
                </pt>
                <pt idx="73">
                  <v>45352</v>
                </pt>
                <pt idx="74">
                  <v>45383</v>
                </pt>
                <pt idx="75">
                  <v>45413</v>
                </pt>
                <pt idx="76">
                  <v>45444</v>
                </pt>
                <pt idx="77">
                  <v>45474</v>
                </pt>
                <pt idx="78">
                  <v>45505</v>
                </pt>
                <pt idx="79">
                  <v>45536</v>
                </pt>
                <pt idx="80">
                  <v>45566</v>
                </pt>
                <pt idx="81">
                  <v>45597</v>
                </pt>
                <pt idx="82">
                  <v>45627</v>
                </pt>
                <pt idx="83">
                  <v>45658</v>
                </pt>
                <pt idx="84">
                  <v>45689</v>
                </pt>
                <pt idx="85">
                  <v>45717</v>
                </pt>
                <pt idx="86">
                  <v>45748</v>
                </pt>
                <pt idx="87">
                  <v>45778</v>
                </pt>
                <pt idx="88">
                  <v>45809</v>
                </pt>
                <pt idx="89">
                  <v>45839</v>
                </pt>
                <pt idx="90">
                  <v>45870</v>
                </pt>
                <pt idx="91">
                  <v>45901</v>
                </pt>
                <pt idx="92">
                  <v>45931</v>
                </pt>
                <pt idx="93">
                  <v>45962</v>
                </pt>
                <pt idx="94">
                  <v>45992</v>
                </pt>
              </numCache>
            </numRef>
          </cat>
          <val>
            <numRef>
              <f>Charts!$AQ$124:$AQ$218</f>
              <numCache>
                <formatCode>0.00%</formatCode>
                <ptCount val="95"/>
                <pt idx="0">
                  <v>0.056468274360569</v>
                </pt>
                <pt idx="1">
                  <v>0.05677252755474186</v>
                </pt>
                <pt idx="2">
                  <v>0.05677820528772035</v>
                </pt>
                <pt idx="3">
                  <v>0.05666402364143391</v>
                </pt>
                <pt idx="4">
                  <v>0.05729712766265274</v>
                </pt>
                <pt idx="5">
                  <v>0.0571649690771762</v>
                </pt>
                <pt idx="6">
                  <v>0.05722129083016885</v>
                </pt>
                <pt idx="7">
                  <v>0.05731548684033855</v>
                </pt>
                <pt idx="8">
                  <v>0.05728129349653232</v>
                </pt>
                <pt idx="9">
                  <v>0.05709638121222758</v>
                </pt>
                <pt idx="10">
                  <v>0.05710110520404301</v>
                </pt>
                <pt idx="11">
                  <v>0.05725774688872909</v>
                </pt>
                <pt idx="12">
                  <v>0.05714555038777324</v>
                </pt>
                <pt idx="13">
                  <v>0.05700960620914917</v>
                </pt>
                <pt idx="14">
                  <v>0.05698303153455471</v>
                </pt>
                <pt idx="15">
                  <v>0.05709278629236728</v>
                </pt>
                <pt idx="16">
                  <v>0.05670301130430461</v>
                </pt>
                <pt idx="17">
                  <v>0.05726764154662747</v>
                </pt>
                <pt idx="18">
                  <v>0.05753456698708441</v>
                </pt>
                <pt idx="19">
                  <v>0.05738376658502578</v>
                </pt>
                <pt idx="20">
                  <v>0.05747764957686784</v>
                </pt>
                <pt idx="21">
                  <v>0.05766142209619039</v>
                </pt>
                <pt idx="22">
                  <v>0.05770359923941538</v>
                </pt>
                <pt idx="23">
                  <v>0.05737787260655373</v>
                </pt>
                <pt idx="24">
                  <v>0.05736428153599236</v>
                </pt>
                <pt idx="25">
                  <v>0.05747019103468714</v>
                </pt>
                <pt idx="26">
                  <v>0.05773288582422311</v>
                </pt>
                <pt idx="27">
                  <v>0.05785655359838674</v>
                </pt>
                <pt idx="28">
                  <v>0.0579376753614996</v>
                </pt>
                <pt idx="29">
                  <v>0.05771474956067047</v>
                </pt>
                <pt idx="30">
                  <v>0.05743893743200681</v>
                </pt>
                <pt idx="31">
                  <v>0.05745367386908267</v>
                </pt>
                <pt idx="32">
                  <v>0.05727502769280041</v>
                </pt>
                <pt idx="33">
                  <v>0.05720019228391677</v>
                </pt>
                <pt idx="34">
                  <v>0.0570911788310597</v>
                </pt>
                <pt idx="35">
                  <v>0.05708637068140681</v>
                </pt>
                <pt idx="36">
                  <v>0.05712231857924725</v>
                </pt>
                <pt idx="37">
                  <v>0.05687829378602998</v>
                </pt>
                <pt idx="38">
                  <v>0.05624291157872843</v>
                </pt>
                <pt idx="39">
                  <v>0.05581163445303427</v>
                </pt>
                <pt idx="40">
                  <v>0.05542567281402903</v>
                </pt>
                <pt idx="41">
                  <v>0.05480216473887592</v>
                </pt>
                <pt idx="42">
                  <v>0.0545931255731071</v>
                </pt>
                <pt idx="43">
                  <v>0.05435521213800171</v>
                </pt>
                <pt idx="44">
                  <v>0.05387424716752191</v>
                </pt>
                <pt idx="45">
                  <v>0.05357533662590546</v>
                </pt>
                <pt idx="46">
                  <v>0.05333338344467624</v>
                </pt>
                <pt idx="47">
                  <v>0.05293493494643731</v>
                </pt>
                <pt idx="48">
                  <v>0.0521777131189985</v>
                </pt>
                <pt idx="49">
                  <v>0.05189165723929471</v>
                </pt>
                <pt idx="50">
                  <v>0.05144919023638039</v>
                </pt>
                <pt idx="51">
                  <v>0.05109212515238561</v>
                </pt>
                <pt idx="52">
                  <v>0.05072363025025751</v>
                </pt>
                <pt idx="53">
                  <v>0.05056859672354997</v>
                </pt>
                <pt idx="54">
                  <v>0.05023424680646137</v>
                </pt>
                <pt idx="55">
                  <v>0.04941219285469401</v>
                </pt>
                <pt idx="56">
                  <v>0.04918974418240915</v>
                </pt>
                <pt idx="57">
                  <v>0.05010707433066687</v>
                </pt>
                <pt idx="58">
                  <v>0.05047594930638578</v>
                </pt>
                <pt idx="59">
                  <v>0.05077646704393176</v>
                </pt>
                <pt idx="60">
                  <v>0.05097577814830036</v>
                </pt>
                <pt idx="61">
                  <v>0.05152587128073283</v>
                </pt>
                <pt idx="62">
                  <v>0.05154931531837553</v>
                </pt>
                <pt idx="63">
                  <v>0.05212744635633243</v>
                </pt>
                <pt idx="64">
                  <v>0.05284517045728786</v>
                </pt>
                <pt idx="65">
                  <v>0.05309867997502162</v>
                </pt>
                <pt idx="66">
                  <v>0.05373209439741197</v>
                </pt>
                <pt idx="67">
                  <v>0.05403089610421622</v>
                </pt>
                <pt idx="68">
                  <v>0.0545054824091392</v>
                </pt>
                <pt idx="69">
                  <v>0.05455894921961369</v>
                </pt>
                <pt idx="70">
                  <v>0.05484115293444013</v>
                </pt>
                <pt idx="71">
                  <v>0.05564508712820743</v>
                </pt>
                <pt idx="72">
                  <v>0.05615652928649036</v>
                </pt>
                <pt idx="73">
                  <v>0.05631278317277708</v>
                </pt>
                <pt idx="74">
                  <v>0.05654625343909019</v>
                </pt>
                <pt idx="75">
                  <v>0.05672802957387491</v>
                </pt>
                <pt idx="76">
                  <v>0.05712277643750646</v>
                </pt>
                <pt idx="77">
                  <v>0.05753033196683472</v>
                </pt>
                <pt idx="78">
                  <v>0.05758468407208851</v>
                </pt>
                <pt idx="79">
                  <v>0.05886177226400243</v>
                </pt>
                <pt idx="80">
                  <v>0.05886177226400243</v>
                </pt>
                <pt idx="81">
                  <v>0.05923922615267469</v>
                </pt>
                <pt idx="82">
                  <v>0.0600182119508161</v>
                </pt>
                <pt idx="83">
                  <v>0.06148540143576247</v>
                </pt>
                <pt idx="84">
                  <v>0.06215080876905074</v>
                </pt>
                <pt idx="85">
                  <v>0.06202429038394945</v>
                </pt>
                <pt idx="86">
                  <v>0.06265749439329714</v>
                </pt>
                <pt idx="87">
                  <v>0.06282358779287821</v>
                </pt>
                <pt idx="88">
                  <v>0.06251181377118617</v>
                </pt>
                <pt idx="89">
                  <v>0.06255675545753817</v>
                </pt>
                <pt idx="90">
                  <v>0.06307328582137403</v>
                </pt>
                <pt idx="91">
                  <v>0.06354518658331393</v>
                </pt>
                <pt idx="92">
                  <v>0.06354518658331393</v>
                </pt>
                <pt idx="93">
                  <v>0.0634321992583602</v>
                </pt>
                <pt idx="94">
                  <v>0.06374291049204756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519553984"/>
        <axId val="1519556480"/>
      </lineChart>
      <dateAx>
        <axId val="1582252848"/>
        <scaling>
          <orientation val="minMax"/>
        </scaling>
        <delete val="1"/>
        <axPos val="b"/>
        <numFmt formatCode="[$-409]mmm\-yy;@" sourceLinked="1"/>
        <majorTickMark val="out"/>
        <minorTickMark val="none"/>
        <tickLblPos val="nextTo"/>
        <crossAx val="1582246192"/>
        <crosses val="autoZero"/>
        <lblOffset val="100"/>
        <baseTimeUnit val="months"/>
        <majorUnit val="1"/>
        <minorUnit val="1"/>
      </dateAx>
      <valAx>
        <axId val="1582246192"/>
        <scaling>
          <orientation val="minMax"/>
        </scaling>
        <delete val="0"/>
        <axPos val="r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9EA9B7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rPr lang="en-US"/>
                  <a:t>Average Portion of Broadly Marketed Deals that Changed Price (ttm)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800" b="0" i="0" strike="noStrike" kern="1200" baseline="0">
                  <a:solidFill>
                    <a:srgbClr val="9EA9B7"/>
                  </a:solidFill>
                  <a:latin typeface="Futura PT Light" panose="020B0402020204020303" pitchFamily="34" charset="0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82252848"/>
        <crosses val="max"/>
        <crossBetween val="between"/>
      </valAx>
      <dateAx>
        <axId val="1519553984"/>
        <scaling>
          <orientation val="minMax"/>
        </scaling>
        <delete val="0"/>
        <axPos val="b"/>
        <numFmt formatCode="[$-409]m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19556480"/>
        <crosses val="autoZero"/>
        <lblOffset val="100"/>
        <baseTimeUnit val="months"/>
        <majorUnit val="2"/>
        <majorTimeUnit val="months"/>
      </dateAx>
      <valAx>
        <axId val="1519556480"/>
        <scaling>
          <orientation val="minMax"/>
          <max val="0.07250000000000001"/>
          <min val="0.04750000000000001"/>
        </scaling>
        <delete val="0"/>
        <axPos val="l"/>
        <majorGridlines>
          <spPr>
            <a:ln xmlns:a="http://schemas.openxmlformats.org/drawingml/2006/main" w="6350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9EA9B7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rPr lang="en-US"/>
                  <a:t>Average Asking Capitalization Rate (ttm)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800" b="0" i="0" strike="noStrike" kern="1200" baseline="0">
                  <a:solidFill>
                    <a:srgbClr val="9EA9B7"/>
                  </a:solidFill>
                  <a:latin typeface="Futura PT Light" panose="020B0402020204020303" pitchFamily="34" charset="0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195539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9EA9B7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213541926140351"/>
          <y val="0.03903903903903904"/>
          <w val="0.9326020654760813"/>
          <h val="0.7448799013759644"/>
        </manualLayout>
      </layout>
      <lineChart>
        <grouping val="standard"/>
        <varyColors val="0"/>
        <ser>
          <idx val="0"/>
          <order val="0"/>
          <tx>
            <strRef>
              <f>Charts!$S$2</f>
              <strCache>
                <ptCount val="1"/>
                <pt idx="0">
                  <v>10-Year Treasury Yields</v>
                </pt>
              </strCache>
            </strRef>
          </tx>
          <spPr>
            <a:ln xmlns:a="http://schemas.openxmlformats.org/drawingml/2006/main" w="28575" cap="rnd">
              <a:solidFill>
                <a:srgbClr val="62B5E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Charts!$B$23:$B$218</f>
              <numCache>
                <formatCode>[$-409]mmm\-yy;@</formatCode>
                <ptCount val="196"/>
                <pt idx="0">
                  <v>40057</v>
                </pt>
                <pt idx="1">
                  <v>40087</v>
                </pt>
                <pt idx="2">
                  <v>40118</v>
                </pt>
                <pt idx="3">
                  <v>40148</v>
                </pt>
                <pt idx="4">
                  <v>40179</v>
                </pt>
                <pt idx="5">
                  <v>40210</v>
                </pt>
                <pt idx="6">
                  <v>40238</v>
                </pt>
                <pt idx="7">
                  <v>40269</v>
                </pt>
                <pt idx="8">
                  <v>40299</v>
                </pt>
                <pt idx="9">
                  <v>40330</v>
                </pt>
                <pt idx="10">
                  <v>40360</v>
                </pt>
                <pt idx="11">
                  <v>40391</v>
                </pt>
                <pt idx="12">
                  <v>40422</v>
                </pt>
                <pt idx="13">
                  <v>40452</v>
                </pt>
                <pt idx="14">
                  <v>40483</v>
                </pt>
                <pt idx="15">
                  <v>40513</v>
                </pt>
                <pt idx="16">
                  <v>40544</v>
                </pt>
                <pt idx="17">
                  <v>40575</v>
                </pt>
                <pt idx="18">
                  <v>40603</v>
                </pt>
                <pt idx="19">
                  <v>40634</v>
                </pt>
                <pt idx="20">
                  <v>40664</v>
                </pt>
                <pt idx="21">
                  <v>40695</v>
                </pt>
                <pt idx="22">
                  <v>40725</v>
                </pt>
                <pt idx="23">
                  <v>40756</v>
                </pt>
                <pt idx="24">
                  <v>40787</v>
                </pt>
                <pt idx="25">
                  <v>40817</v>
                </pt>
                <pt idx="26">
                  <v>40848</v>
                </pt>
                <pt idx="27">
                  <v>40878</v>
                </pt>
                <pt idx="28">
                  <v>40909</v>
                </pt>
                <pt idx="29">
                  <v>40940</v>
                </pt>
                <pt idx="30">
                  <v>40969</v>
                </pt>
                <pt idx="31">
                  <v>41000</v>
                </pt>
                <pt idx="32">
                  <v>41030</v>
                </pt>
                <pt idx="33">
                  <v>41061</v>
                </pt>
                <pt idx="34">
                  <v>41091</v>
                </pt>
                <pt idx="35">
                  <v>41122</v>
                </pt>
                <pt idx="36">
                  <v>41153</v>
                </pt>
                <pt idx="37">
                  <v>41183</v>
                </pt>
                <pt idx="38">
                  <v>41214</v>
                </pt>
                <pt idx="39">
                  <v>41244</v>
                </pt>
                <pt idx="40">
                  <v>41275</v>
                </pt>
                <pt idx="41">
                  <v>41306</v>
                </pt>
                <pt idx="42">
                  <v>41334</v>
                </pt>
                <pt idx="43">
                  <v>41365</v>
                </pt>
                <pt idx="44">
                  <v>41395</v>
                </pt>
                <pt idx="45">
                  <v>41426</v>
                </pt>
                <pt idx="46">
                  <v>41456</v>
                </pt>
                <pt idx="47">
                  <v>41487</v>
                </pt>
                <pt idx="48">
                  <v>41518</v>
                </pt>
                <pt idx="49">
                  <v>41548</v>
                </pt>
                <pt idx="50">
                  <v>41579</v>
                </pt>
                <pt idx="51">
                  <v>41609</v>
                </pt>
                <pt idx="52">
                  <v>41640</v>
                </pt>
                <pt idx="53">
                  <v>41671</v>
                </pt>
                <pt idx="54">
                  <v>41699</v>
                </pt>
                <pt idx="55">
                  <v>41730</v>
                </pt>
                <pt idx="56">
                  <v>41760</v>
                </pt>
                <pt idx="57">
                  <v>41791</v>
                </pt>
                <pt idx="58">
                  <v>41821</v>
                </pt>
                <pt idx="59">
                  <v>41852</v>
                </pt>
                <pt idx="60">
                  <v>41883</v>
                </pt>
                <pt idx="61">
                  <v>41913</v>
                </pt>
                <pt idx="62">
                  <v>41944</v>
                </pt>
                <pt idx="63">
                  <v>41974</v>
                </pt>
                <pt idx="64">
                  <v>42005</v>
                </pt>
                <pt idx="65">
                  <v>42036</v>
                </pt>
                <pt idx="66">
                  <v>42064</v>
                </pt>
                <pt idx="67">
                  <v>42095</v>
                </pt>
                <pt idx="68">
                  <v>42125</v>
                </pt>
                <pt idx="69">
                  <v>42156</v>
                </pt>
                <pt idx="70">
                  <v>42186</v>
                </pt>
                <pt idx="71">
                  <v>42217</v>
                </pt>
                <pt idx="72">
                  <v>42248</v>
                </pt>
                <pt idx="73">
                  <v>42278</v>
                </pt>
                <pt idx="74">
                  <v>42309</v>
                </pt>
                <pt idx="75">
                  <v>42339</v>
                </pt>
                <pt idx="76">
                  <v>42370</v>
                </pt>
                <pt idx="77">
                  <v>42401</v>
                </pt>
                <pt idx="78">
                  <v>42430</v>
                </pt>
                <pt idx="79">
                  <v>42461</v>
                </pt>
                <pt idx="80">
                  <v>42491</v>
                </pt>
                <pt idx="81">
                  <v>42522</v>
                </pt>
                <pt idx="82">
                  <v>42552</v>
                </pt>
                <pt idx="83">
                  <v>42583</v>
                </pt>
                <pt idx="84">
                  <v>42614</v>
                </pt>
                <pt idx="85">
                  <v>42644</v>
                </pt>
                <pt idx="86">
                  <v>42675</v>
                </pt>
                <pt idx="87">
                  <v>42705</v>
                </pt>
                <pt idx="88">
                  <v>42736</v>
                </pt>
                <pt idx="89">
                  <v>42767</v>
                </pt>
                <pt idx="90">
                  <v>42795</v>
                </pt>
                <pt idx="91">
                  <v>42826</v>
                </pt>
                <pt idx="92">
                  <v>42856</v>
                </pt>
                <pt idx="93">
                  <v>42887</v>
                </pt>
                <pt idx="94">
                  <v>42917</v>
                </pt>
                <pt idx="95">
                  <v>42948</v>
                </pt>
                <pt idx="96">
                  <v>42979</v>
                </pt>
                <pt idx="97">
                  <v>43009</v>
                </pt>
                <pt idx="98">
                  <v>43040</v>
                </pt>
                <pt idx="99">
                  <v>43070</v>
                </pt>
                <pt idx="100">
                  <v>43101</v>
                </pt>
                <pt idx="101">
                  <v>43132</v>
                </pt>
                <pt idx="102">
                  <v>43160</v>
                </pt>
                <pt idx="103">
                  <v>43191</v>
                </pt>
                <pt idx="104">
                  <v>43221</v>
                </pt>
                <pt idx="105">
                  <v>43252</v>
                </pt>
                <pt idx="106">
                  <v>43282</v>
                </pt>
                <pt idx="107">
                  <v>43313</v>
                </pt>
                <pt idx="108">
                  <v>43344</v>
                </pt>
                <pt idx="109">
                  <v>43374</v>
                </pt>
                <pt idx="110">
                  <v>43405</v>
                </pt>
                <pt idx="111">
                  <v>43435</v>
                </pt>
                <pt idx="112">
                  <v>43466</v>
                </pt>
                <pt idx="113">
                  <v>43497</v>
                </pt>
                <pt idx="114">
                  <v>43525</v>
                </pt>
                <pt idx="115">
                  <v>43556</v>
                </pt>
                <pt idx="116">
                  <v>43586</v>
                </pt>
                <pt idx="117">
                  <v>43617</v>
                </pt>
                <pt idx="118">
                  <v>43647</v>
                </pt>
                <pt idx="119">
                  <v>43678</v>
                </pt>
                <pt idx="120">
                  <v>43709</v>
                </pt>
                <pt idx="121">
                  <v>43739</v>
                </pt>
                <pt idx="122">
                  <v>43770</v>
                </pt>
                <pt idx="123">
                  <v>43800</v>
                </pt>
                <pt idx="124">
                  <v>43831</v>
                </pt>
                <pt idx="125">
                  <v>43862</v>
                </pt>
                <pt idx="126">
                  <v>43891</v>
                </pt>
                <pt idx="127">
                  <v>43922</v>
                </pt>
                <pt idx="128">
                  <v>43952</v>
                </pt>
                <pt idx="129">
                  <v>43983</v>
                </pt>
                <pt idx="130">
                  <v>44013</v>
                </pt>
                <pt idx="131">
                  <v>44044</v>
                </pt>
                <pt idx="132">
                  <v>44075</v>
                </pt>
                <pt idx="133">
                  <v>44105</v>
                </pt>
                <pt idx="134">
                  <v>44136</v>
                </pt>
                <pt idx="135">
                  <v>44166</v>
                </pt>
                <pt idx="136">
                  <v>44197</v>
                </pt>
                <pt idx="137">
                  <v>44228</v>
                </pt>
                <pt idx="138">
                  <v>44256</v>
                </pt>
                <pt idx="139">
                  <v>44287</v>
                </pt>
                <pt idx="140">
                  <v>44317</v>
                </pt>
                <pt idx="141">
                  <v>44348</v>
                </pt>
                <pt idx="142">
                  <v>44378</v>
                </pt>
                <pt idx="143">
                  <v>44409</v>
                </pt>
                <pt idx="144">
                  <v>44440</v>
                </pt>
                <pt idx="145">
                  <v>44470</v>
                </pt>
                <pt idx="146">
                  <v>44501</v>
                </pt>
                <pt idx="147">
                  <v>44531</v>
                </pt>
                <pt idx="148">
                  <v>44562</v>
                </pt>
                <pt idx="149">
                  <v>44593</v>
                </pt>
                <pt idx="150">
                  <v>44621</v>
                </pt>
                <pt idx="151">
                  <v>44652</v>
                </pt>
                <pt idx="152">
                  <v>44682</v>
                </pt>
                <pt idx="153">
                  <v>44713</v>
                </pt>
                <pt idx="154">
                  <v>44743</v>
                </pt>
                <pt idx="155">
                  <v>44774</v>
                </pt>
                <pt idx="156">
                  <v>44805</v>
                </pt>
                <pt idx="157">
                  <v>44835</v>
                </pt>
                <pt idx="158">
                  <v>44866</v>
                </pt>
                <pt idx="159">
                  <v>44896</v>
                </pt>
                <pt idx="160">
                  <v>44927</v>
                </pt>
                <pt idx="161">
                  <v>44958</v>
                </pt>
                <pt idx="162">
                  <v>44986</v>
                </pt>
                <pt idx="163">
                  <v>45017</v>
                </pt>
                <pt idx="164">
                  <v>45047</v>
                </pt>
                <pt idx="165">
                  <v>45078</v>
                </pt>
                <pt idx="166">
                  <v>45108</v>
                </pt>
                <pt idx="167">
                  <v>45139</v>
                </pt>
                <pt idx="168">
                  <v>45170</v>
                </pt>
                <pt idx="169">
                  <v>45200</v>
                </pt>
                <pt idx="170">
                  <v>45231</v>
                </pt>
                <pt idx="171">
                  <v>45261</v>
                </pt>
                <pt idx="172">
                  <v>45292</v>
                </pt>
                <pt idx="173">
                  <v>45323</v>
                </pt>
                <pt idx="174">
                  <v>45352</v>
                </pt>
                <pt idx="175">
                  <v>45383</v>
                </pt>
                <pt idx="176">
                  <v>45413</v>
                </pt>
                <pt idx="177">
                  <v>45444</v>
                </pt>
                <pt idx="178">
                  <v>45474</v>
                </pt>
                <pt idx="179">
                  <v>45505</v>
                </pt>
                <pt idx="180">
                  <v>45536</v>
                </pt>
                <pt idx="181">
                  <v>45566</v>
                </pt>
                <pt idx="182">
                  <v>45597</v>
                </pt>
                <pt idx="183">
                  <v>45627</v>
                </pt>
                <pt idx="184">
                  <v>45658</v>
                </pt>
                <pt idx="185">
                  <v>45689</v>
                </pt>
                <pt idx="186">
                  <v>45717</v>
                </pt>
                <pt idx="187">
                  <v>45748</v>
                </pt>
                <pt idx="188">
                  <v>45778</v>
                </pt>
                <pt idx="189">
                  <v>45809</v>
                </pt>
                <pt idx="190">
                  <v>45839</v>
                </pt>
                <pt idx="191">
                  <v>45870</v>
                </pt>
                <pt idx="192">
                  <v>45901</v>
                </pt>
                <pt idx="193">
                  <v>45931</v>
                </pt>
                <pt idx="194">
                  <v>45962</v>
                </pt>
                <pt idx="195">
                  <v>45992</v>
                </pt>
              </numCache>
            </numRef>
          </cat>
          <val>
            <numRef>
              <f>Charts!$S$23:$S$218</f>
              <numCache>
                <formatCode>0.00%</formatCode>
                <ptCount val="196"/>
                <pt idx="0">
                  <v>0.03307</v>
                </pt>
                <pt idx="1">
                  <v>0.03392</v>
                </pt>
                <pt idx="2">
                  <v>0.03201</v>
                </pt>
                <pt idx="3">
                  <v>0.03843</v>
                </pt>
                <pt idx="4">
                  <v>0.03609</v>
                </pt>
                <pt idx="5">
                  <v>0.03595</v>
                </pt>
                <pt idx="6">
                  <v>0.03833</v>
                </pt>
                <pt idx="7">
                  <v>0.03663</v>
                </pt>
                <pt idx="8">
                  <v>0.03301</v>
                </pt>
                <pt idx="9">
                  <v>0.02951</v>
                </pt>
                <pt idx="10">
                  <v>0.02907</v>
                </pt>
                <pt idx="11">
                  <v>0.02477</v>
                </pt>
                <pt idx="12">
                  <v>0.02517</v>
                </pt>
                <pt idx="13">
                  <v>0.02612</v>
                </pt>
                <pt idx="14">
                  <v>0.02797</v>
                </pt>
                <pt idx="15">
                  <v>0.03305</v>
                </pt>
                <pt idx="16">
                  <v>0.03378</v>
                </pt>
                <pt idx="17">
                  <v>0.03414</v>
                </pt>
                <pt idx="18">
                  <v>0.03454</v>
                </pt>
                <pt idx="19">
                  <v>0.03296</v>
                </pt>
                <pt idx="20">
                  <v>0.0305</v>
                </pt>
                <pt idx="21">
                  <v>0.03158</v>
                </pt>
                <pt idx="22">
                  <v>0.02805</v>
                </pt>
                <pt idx="23">
                  <v>0.02218</v>
                </pt>
                <pt idx="24">
                  <v>0.01924</v>
                </pt>
                <pt idx="25">
                  <v>0.02175</v>
                </pt>
                <pt idx="26">
                  <v>0.02068</v>
                </pt>
                <pt idx="27">
                  <v>0.01871</v>
                </pt>
                <pt idx="28">
                  <v>0.01799</v>
                </pt>
                <pt idx="29">
                  <v>0.01977</v>
                </pt>
                <pt idx="30">
                  <v>0.02216</v>
                </pt>
                <pt idx="31">
                  <v>0.01915</v>
                </pt>
                <pt idx="32">
                  <v>0.01581</v>
                </pt>
                <pt idx="33">
                  <v>0.01659</v>
                </pt>
                <pt idx="34">
                  <v>0.01492</v>
                </pt>
                <pt idx="35">
                  <v>0.01562</v>
                </pt>
                <pt idx="36">
                  <v>0.01637</v>
                </pt>
                <pt idx="37">
                  <v>0.01686</v>
                </pt>
                <pt idx="38">
                  <v>0.01606</v>
                </pt>
                <pt idx="39">
                  <v>0.01756</v>
                </pt>
                <pt idx="40">
                  <v>0.01985</v>
                </pt>
                <pt idx="41">
                  <v>0.01888</v>
                </pt>
                <pt idx="42">
                  <v>0.01852</v>
                </pt>
                <pt idx="43">
                  <v>0.01675</v>
                </pt>
                <pt idx="44">
                  <v>0.02164</v>
                </pt>
                <pt idx="45">
                  <v>0.02478</v>
                </pt>
                <pt idx="46">
                  <v>0.02593</v>
                </pt>
                <pt idx="47">
                  <v>0.02749</v>
                </pt>
                <pt idx="48">
                  <v>0.02615</v>
                </pt>
                <pt idx="49">
                  <v>0.02542</v>
                </pt>
                <pt idx="50">
                  <v>0.02741</v>
                </pt>
                <pt idx="51">
                  <v>0.03026</v>
                </pt>
                <pt idx="52">
                  <v>0.02668</v>
                </pt>
                <pt idx="53">
                  <v>0.02658</v>
                </pt>
                <pt idx="54">
                  <v>0.02723</v>
                </pt>
                <pt idx="55">
                  <v>0.02648</v>
                </pt>
                <pt idx="56">
                  <v>0.02457</v>
                </pt>
                <pt idx="57">
                  <v>0.02516</v>
                </pt>
                <pt idx="58">
                  <v>0.02556</v>
                </pt>
                <pt idx="59">
                  <v>0.02343</v>
                </pt>
                <pt idx="60">
                  <v>0.02508</v>
                </pt>
                <pt idx="61">
                  <v>0.02335</v>
                </pt>
                <pt idx="62">
                  <v>0.02194</v>
                </pt>
                <pt idx="63">
                  <v>0.0217</v>
                </pt>
                <pt idx="64">
                  <v>0.01675</v>
                </pt>
                <pt idx="65">
                  <v>0.02002</v>
                </pt>
                <pt idx="66">
                  <v>0.01934</v>
                </pt>
                <pt idx="67">
                  <v>0.02046</v>
                </pt>
                <pt idx="68">
                  <v>0.02095</v>
                </pt>
                <pt idx="69">
                  <v>0.02335</v>
                </pt>
                <pt idx="70">
                  <v>0.02205</v>
                </pt>
                <pt idx="71">
                  <v>0.022</v>
                </pt>
                <pt idx="72">
                  <v>0.0206</v>
                </pt>
                <pt idx="73">
                  <v>0.02151</v>
                </pt>
                <pt idx="74">
                  <v>0.02218</v>
                </pt>
                <pt idx="75">
                  <v>0.02269</v>
                </pt>
                <pt idx="76">
                  <v>0.01931</v>
                </pt>
                <pt idx="77">
                  <v>0.0174</v>
                </pt>
                <pt idx="78">
                  <v>0.01786</v>
                </pt>
                <pt idx="79">
                  <v>0.01819</v>
                </pt>
                <pt idx="80">
                  <v>0.01834</v>
                </pt>
                <pt idx="81">
                  <v>0.01488</v>
                </pt>
                <pt idx="82">
                  <v>0.01458</v>
                </pt>
                <pt idx="83">
                  <v>0.01568</v>
                </pt>
                <pt idx="84">
                  <v>0.01608</v>
                </pt>
                <pt idx="85">
                  <v>0.01834</v>
                </pt>
                <pt idx="86">
                  <v>0.02368</v>
                </pt>
                <pt idx="87">
                  <v>0.02446</v>
                </pt>
                <pt idx="88">
                  <v>0.02451</v>
                </pt>
                <pt idx="89">
                  <v>0.02358</v>
                </pt>
                <pt idx="90">
                  <v>0.02396</v>
                </pt>
                <pt idx="91">
                  <v>0.02282</v>
                </pt>
                <pt idx="92">
                  <v>0.02196</v>
                </pt>
                <pt idx="93">
                  <v>0.02302</v>
                </pt>
                <pt idx="94">
                  <v>0.02292</v>
                </pt>
                <pt idx="95">
                  <v>0.02121</v>
                </pt>
                <pt idx="96">
                  <v>0.02326</v>
                </pt>
                <pt idx="97">
                  <v>0.02376</v>
                </pt>
                <pt idx="98">
                  <v>0.02417</v>
                </pt>
                <pt idx="99">
                  <v>0.02405</v>
                </pt>
                <pt idx="100">
                  <v>0.0272</v>
                </pt>
                <pt idx="101">
                  <v>0.02868</v>
                </pt>
                <pt idx="102">
                  <v>0.02741</v>
                </pt>
                <pt idx="103">
                  <v>0.02936</v>
                </pt>
                <pt idx="104">
                  <v>0.02822</v>
                </pt>
                <pt idx="105">
                  <v>0.02849</v>
                </pt>
                <pt idx="106">
                  <v>0.02964</v>
                </pt>
                <pt idx="107">
                  <v>0.02853</v>
                </pt>
                <pt idx="108">
                  <v>0.03056</v>
                </pt>
                <pt idx="109">
                  <v>0.03159</v>
                </pt>
                <pt idx="110">
                  <v>0.03013</v>
                </pt>
                <pt idx="111">
                  <v>0.02686</v>
                </pt>
                <pt idx="112">
                  <v>0.02635</v>
                </pt>
                <pt idx="113">
                  <v>0.02711</v>
                </pt>
                <pt idx="114">
                  <v>0.02414</v>
                </pt>
                <pt idx="115">
                  <v>0.02509</v>
                </pt>
                <pt idx="116">
                  <v>0.02142</v>
                </pt>
                <pt idx="117">
                  <v>0.02</v>
                </pt>
                <pt idx="118">
                  <v>0.02021</v>
                </pt>
                <pt idx="119">
                  <v>0.01506</v>
                </pt>
                <pt idx="120">
                  <v>0.01675</v>
                </pt>
                <pt idx="121">
                  <v>0.01691</v>
                </pt>
                <pt idx="122">
                  <v>0.01776</v>
                </pt>
                <pt idx="123">
                  <v>0.01919</v>
                </pt>
                <pt idx="124">
                  <v>0.0152</v>
                </pt>
                <pt idx="125">
                  <v>0.01127</v>
                </pt>
                <pt idx="126">
                  <v>0.00698</v>
                </pt>
                <pt idx="127">
                  <v>0.00622</v>
                </pt>
                <pt idx="128">
                  <v>0.006480000000000001</v>
                </pt>
                <pt idx="129">
                  <v>0.00653</v>
                </pt>
                <pt idx="130">
                  <v>0.00536</v>
                </pt>
                <pt idx="131">
                  <v>0.00693</v>
                </pt>
                <pt idx="132">
                  <v>0.006770000000000001</v>
                </pt>
                <pt idx="133">
                  <v>0.0086</v>
                </pt>
                <pt idx="134">
                  <v>0.00844</v>
                </pt>
                <pt idx="135">
                  <v>0.009170000000000001</v>
                </pt>
                <pt idx="136">
                  <v>0.01093</v>
                </pt>
                <pt idx="137">
                  <v>0.0146</v>
                </pt>
                <pt idx="138">
                  <v>0.01746</v>
                </pt>
                <pt idx="139">
                  <v>0.01631</v>
                </pt>
                <pt idx="140">
                  <v>0.01581</v>
                </pt>
                <pt idx="141">
                  <v>0.01443</v>
                </pt>
                <pt idx="142">
                  <v>0.01239</v>
                </pt>
                <pt idx="143">
                  <v>0.01304</v>
                </pt>
                <pt idx="144">
                  <v>0.01529</v>
                </pt>
                <pt idx="145">
                  <v>0.01557</v>
                </pt>
                <pt idx="146">
                  <v>0.01443</v>
                </pt>
                <pt idx="147">
                  <v>0.01512</v>
                </pt>
                <pt idx="148">
                  <v>0.01782</v>
                </pt>
                <pt idx="149">
                  <v>0.01839</v>
                </pt>
                <pt idx="150">
                  <v>0.02327</v>
                </pt>
                <pt idx="151">
                  <v>0.02887</v>
                </pt>
                <pt idx="152">
                  <v>0.02844</v>
                </pt>
                <pt idx="153">
                  <v>0.02972</v>
                </pt>
                <pt idx="154">
                  <v>0.02642</v>
                </pt>
                <pt idx="155">
                  <v>0.0266</v>
                </pt>
                <pt idx="156">
                  <v>0.0379</v>
                </pt>
                <pt idx="157">
                  <v>0.0424</v>
                </pt>
                <pt idx="158">
                  <v>0.037</v>
                </pt>
                <pt idx="159">
                  <v>0.0387</v>
                </pt>
                <pt idx="160">
                  <v>0.0353</v>
                </pt>
                <pt idx="161">
                  <v>0.0392</v>
                </pt>
                <pt idx="162">
                  <v>0.035</v>
                </pt>
                <pt idx="163">
                  <v>0.0352</v>
                </pt>
                <pt idx="164">
                  <v>0.0385</v>
                </pt>
                <pt idx="165">
                  <v>0.0395</v>
                </pt>
                <pt idx="166">
                  <v>0.0397</v>
                </pt>
                <pt idx="167">
                  <v>0.0409</v>
                </pt>
                <pt idx="168">
                  <v>0.0457</v>
                </pt>
                <pt idx="169">
                  <v>0.0492</v>
                </pt>
                <pt idx="170">
                  <v>0.0466</v>
                </pt>
                <pt idx="171">
                  <v>0.0402</v>
                </pt>
                <pt idx="172">
                  <v>0.03967</v>
                </pt>
                <pt idx="173">
                  <v>0.0425</v>
                </pt>
                <pt idx="174">
                  <v>0.0428</v>
                </pt>
                <pt idx="175">
                  <v>0.0465</v>
                </pt>
                <pt idx="176">
                  <v>0.0445</v>
                </pt>
                <pt idx="177">
                  <v>0.0435</v>
                </pt>
                <pt idx="178">
                  <v>0.04109</v>
                </pt>
                <pt idx="179">
                  <v>0.0391</v>
                </pt>
                <pt idx="180">
                  <v>0.0365</v>
                </pt>
                <pt idx="181">
                  <v>0.04284</v>
                </pt>
                <pt idx="182">
                  <v>0.0418</v>
                </pt>
                <pt idx="183">
                  <v>0.0439</v>
                </pt>
                <pt idx="184">
                  <v>0.04569</v>
                </pt>
                <pt idx="185">
                  <v>0.0423</v>
                </pt>
                <pt idx="186">
                  <v>0.04246</v>
                </pt>
                <pt idx="187">
                  <v>0.04177</v>
                </pt>
                <pt idx="188">
                  <v>0.04469</v>
                </pt>
                <pt idx="189">
                  <v>0.04253</v>
                </pt>
                <pt idx="190">
                  <v>0.044</v>
                </pt>
                <pt idx="191">
                  <v>0.04281</v>
                </pt>
                <pt idx="192">
                  <v>0.0415</v>
                </pt>
                <pt idx="193">
                  <v>0.0402</v>
                </pt>
                <pt idx="194">
                  <v>0.04056</v>
                </pt>
                <pt idx="195">
                  <v>0.04116</v>
                </pt>
              </numCache>
            </numRef>
          </val>
          <smooth val="0"/>
        </ser>
        <ser>
          <idx val="1"/>
          <order val="1"/>
          <tx>
            <strRef>
              <f>Charts!$T$2</f>
              <strCache>
                <ptCount val="1"/>
                <pt idx="0">
                  <v>Low Assumed Loan Constant</v>
                </pt>
              </strCache>
            </strRef>
          </tx>
          <spPr>
            <a:ln xmlns:a="http://schemas.openxmlformats.org/drawingml/2006/main" w="28575" cap="rnd">
              <a:solidFill>
                <a:srgbClr val="62B5E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Charts!$B$23:$B$218</f>
              <numCache>
                <formatCode>[$-409]mmm\-yy;@</formatCode>
                <ptCount val="196"/>
                <pt idx="0">
                  <v>40057</v>
                </pt>
                <pt idx="1">
                  <v>40087</v>
                </pt>
                <pt idx="2">
                  <v>40118</v>
                </pt>
                <pt idx="3">
                  <v>40148</v>
                </pt>
                <pt idx="4">
                  <v>40179</v>
                </pt>
                <pt idx="5">
                  <v>40210</v>
                </pt>
                <pt idx="6">
                  <v>40238</v>
                </pt>
                <pt idx="7">
                  <v>40269</v>
                </pt>
                <pt idx="8">
                  <v>40299</v>
                </pt>
                <pt idx="9">
                  <v>40330</v>
                </pt>
                <pt idx="10">
                  <v>40360</v>
                </pt>
                <pt idx="11">
                  <v>40391</v>
                </pt>
                <pt idx="12">
                  <v>40422</v>
                </pt>
                <pt idx="13">
                  <v>40452</v>
                </pt>
                <pt idx="14">
                  <v>40483</v>
                </pt>
                <pt idx="15">
                  <v>40513</v>
                </pt>
                <pt idx="16">
                  <v>40544</v>
                </pt>
                <pt idx="17">
                  <v>40575</v>
                </pt>
                <pt idx="18">
                  <v>40603</v>
                </pt>
                <pt idx="19">
                  <v>40634</v>
                </pt>
                <pt idx="20">
                  <v>40664</v>
                </pt>
                <pt idx="21">
                  <v>40695</v>
                </pt>
                <pt idx="22">
                  <v>40725</v>
                </pt>
                <pt idx="23">
                  <v>40756</v>
                </pt>
                <pt idx="24">
                  <v>40787</v>
                </pt>
                <pt idx="25">
                  <v>40817</v>
                </pt>
                <pt idx="26">
                  <v>40848</v>
                </pt>
                <pt idx="27">
                  <v>40878</v>
                </pt>
                <pt idx="28">
                  <v>40909</v>
                </pt>
                <pt idx="29">
                  <v>40940</v>
                </pt>
                <pt idx="30">
                  <v>40969</v>
                </pt>
                <pt idx="31">
                  <v>41000</v>
                </pt>
                <pt idx="32">
                  <v>41030</v>
                </pt>
                <pt idx="33">
                  <v>41061</v>
                </pt>
                <pt idx="34">
                  <v>41091</v>
                </pt>
                <pt idx="35">
                  <v>41122</v>
                </pt>
                <pt idx="36">
                  <v>41153</v>
                </pt>
                <pt idx="37">
                  <v>41183</v>
                </pt>
                <pt idx="38">
                  <v>41214</v>
                </pt>
                <pt idx="39">
                  <v>41244</v>
                </pt>
                <pt idx="40">
                  <v>41275</v>
                </pt>
                <pt idx="41">
                  <v>41306</v>
                </pt>
                <pt idx="42">
                  <v>41334</v>
                </pt>
                <pt idx="43">
                  <v>41365</v>
                </pt>
                <pt idx="44">
                  <v>41395</v>
                </pt>
                <pt idx="45">
                  <v>41426</v>
                </pt>
                <pt idx="46">
                  <v>41456</v>
                </pt>
                <pt idx="47">
                  <v>41487</v>
                </pt>
                <pt idx="48">
                  <v>41518</v>
                </pt>
                <pt idx="49">
                  <v>41548</v>
                </pt>
                <pt idx="50">
                  <v>41579</v>
                </pt>
                <pt idx="51">
                  <v>41609</v>
                </pt>
                <pt idx="52">
                  <v>41640</v>
                </pt>
                <pt idx="53">
                  <v>41671</v>
                </pt>
                <pt idx="54">
                  <v>41699</v>
                </pt>
                <pt idx="55">
                  <v>41730</v>
                </pt>
                <pt idx="56">
                  <v>41760</v>
                </pt>
                <pt idx="57">
                  <v>41791</v>
                </pt>
                <pt idx="58">
                  <v>41821</v>
                </pt>
                <pt idx="59">
                  <v>41852</v>
                </pt>
                <pt idx="60">
                  <v>41883</v>
                </pt>
                <pt idx="61">
                  <v>41913</v>
                </pt>
                <pt idx="62">
                  <v>41944</v>
                </pt>
                <pt idx="63">
                  <v>41974</v>
                </pt>
                <pt idx="64">
                  <v>42005</v>
                </pt>
                <pt idx="65">
                  <v>42036</v>
                </pt>
                <pt idx="66">
                  <v>42064</v>
                </pt>
                <pt idx="67">
                  <v>42095</v>
                </pt>
                <pt idx="68">
                  <v>42125</v>
                </pt>
                <pt idx="69">
                  <v>42156</v>
                </pt>
                <pt idx="70">
                  <v>42186</v>
                </pt>
                <pt idx="71">
                  <v>42217</v>
                </pt>
                <pt idx="72">
                  <v>42248</v>
                </pt>
                <pt idx="73">
                  <v>42278</v>
                </pt>
                <pt idx="74">
                  <v>42309</v>
                </pt>
                <pt idx="75">
                  <v>42339</v>
                </pt>
                <pt idx="76">
                  <v>42370</v>
                </pt>
                <pt idx="77">
                  <v>42401</v>
                </pt>
                <pt idx="78">
                  <v>42430</v>
                </pt>
                <pt idx="79">
                  <v>42461</v>
                </pt>
                <pt idx="80">
                  <v>42491</v>
                </pt>
                <pt idx="81">
                  <v>42522</v>
                </pt>
                <pt idx="82">
                  <v>42552</v>
                </pt>
                <pt idx="83">
                  <v>42583</v>
                </pt>
                <pt idx="84">
                  <v>42614</v>
                </pt>
                <pt idx="85">
                  <v>42644</v>
                </pt>
                <pt idx="86">
                  <v>42675</v>
                </pt>
                <pt idx="87">
                  <v>42705</v>
                </pt>
                <pt idx="88">
                  <v>42736</v>
                </pt>
                <pt idx="89">
                  <v>42767</v>
                </pt>
                <pt idx="90">
                  <v>42795</v>
                </pt>
                <pt idx="91">
                  <v>42826</v>
                </pt>
                <pt idx="92">
                  <v>42856</v>
                </pt>
                <pt idx="93">
                  <v>42887</v>
                </pt>
                <pt idx="94">
                  <v>42917</v>
                </pt>
                <pt idx="95">
                  <v>42948</v>
                </pt>
                <pt idx="96">
                  <v>42979</v>
                </pt>
                <pt idx="97">
                  <v>43009</v>
                </pt>
                <pt idx="98">
                  <v>43040</v>
                </pt>
                <pt idx="99">
                  <v>43070</v>
                </pt>
                <pt idx="100">
                  <v>43101</v>
                </pt>
                <pt idx="101">
                  <v>43132</v>
                </pt>
                <pt idx="102">
                  <v>43160</v>
                </pt>
                <pt idx="103">
                  <v>43191</v>
                </pt>
                <pt idx="104">
                  <v>43221</v>
                </pt>
                <pt idx="105">
                  <v>43252</v>
                </pt>
                <pt idx="106">
                  <v>43282</v>
                </pt>
                <pt idx="107">
                  <v>43313</v>
                </pt>
                <pt idx="108">
                  <v>43344</v>
                </pt>
                <pt idx="109">
                  <v>43374</v>
                </pt>
                <pt idx="110">
                  <v>43405</v>
                </pt>
                <pt idx="111">
                  <v>43435</v>
                </pt>
                <pt idx="112">
                  <v>43466</v>
                </pt>
                <pt idx="113">
                  <v>43497</v>
                </pt>
                <pt idx="114">
                  <v>43525</v>
                </pt>
                <pt idx="115">
                  <v>43556</v>
                </pt>
                <pt idx="116">
                  <v>43586</v>
                </pt>
                <pt idx="117">
                  <v>43617</v>
                </pt>
                <pt idx="118">
                  <v>43647</v>
                </pt>
                <pt idx="119">
                  <v>43678</v>
                </pt>
                <pt idx="120">
                  <v>43709</v>
                </pt>
                <pt idx="121">
                  <v>43739</v>
                </pt>
                <pt idx="122">
                  <v>43770</v>
                </pt>
                <pt idx="123">
                  <v>43800</v>
                </pt>
                <pt idx="124">
                  <v>43831</v>
                </pt>
                <pt idx="125">
                  <v>43862</v>
                </pt>
                <pt idx="126">
                  <v>43891</v>
                </pt>
                <pt idx="127">
                  <v>43922</v>
                </pt>
                <pt idx="128">
                  <v>43952</v>
                </pt>
                <pt idx="129">
                  <v>43983</v>
                </pt>
                <pt idx="130">
                  <v>44013</v>
                </pt>
                <pt idx="131">
                  <v>44044</v>
                </pt>
                <pt idx="132">
                  <v>44075</v>
                </pt>
                <pt idx="133">
                  <v>44105</v>
                </pt>
                <pt idx="134">
                  <v>44136</v>
                </pt>
                <pt idx="135">
                  <v>44166</v>
                </pt>
                <pt idx="136">
                  <v>44197</v>
                </pt>
                <pt idx="137">
                  <v>44228</v>
                </pt>
                <pt idx="138">
                  <v>44256</v>
                </pt>
                <pt idx="139">
                  <v>44287</v>
                </pt>
                <pt idx="140">
                  <v>44317</v>
                </pt>
                <pt idx="141">
                  <v>44348</v>
                </pt>
                <pt idx="142">
                  <v>44378</v>
                </pt>
                <pt idx="143">
                  <v>44409</v>
                </pt>
                <pt idx="144">
                  <v>44440</v>
                </pt>
                <pt idx="145">
                  <v>44470</v>
                </pt>
                <pt idx="146">
                  <v>44501</v>
                </pt>
                <pt idx="147">
                  <v>44531</v>
                </pt>
                <pt idx="148">
                  <v>44562</v>
                </pt>
                <pt idx="149">
                  <v>44593</v>
                </pt>
                <pt idx="150">
                  <v>44621</v>
                </pt>
                <pt idx="151">
                  <v>44652</v>
                </pt>
                <pt idx="152">
                  <v>44682</v>
                </pt>
                <pt idx="153">
                  <v>44713</v>
                </pt>
                <pt idx="154">
                  <v>44743</v>
                </pt>
                <pt idx="155">
                  <v>44774</v>
                </pt>
                <pt idx="156">
                  <v>44805</v>
                </pt>
                <pt idx="157">
                  <v>44835</v>
                </pt>
                <pt idx="158">
                  <v>44866</v>
                </pt>
                <pt idx="159">
                  <v>44896</v>
                </pt>
                <pt idx="160">
                  <v>44927</v>
                </pt>
                <pt idx="161">
                  <v>44958</v>
                </pt>
                <pt idx="162">
                  <v>44986</v>
                </pt>
                <pt idx="163">
                  <v>45017</v>
                </pt>
                <pt idx="164">
                  <v>45047</v>
                </pt>
                <pt idx="165">
                  <v>45078</v>
                </pt>
                <pt idx="166">
                  <v>45108</v>
                </pt>
                <pt idx="167">
                  <v>45139</v>
                </pt>
                <pt idx="168">
                  <v>45170</v>
                </pt>
                <pt idx="169">
                  <v>45200</v>
                </pt>
                <pt idx="170">
                  <v>45231</v>
                </pt>
                <pt idx="171">
                  <v>45261</v>
                </pt>
                <pt idx="172">
                  <v>45292</v>
                </pt>
                <pt idx="173">
                  <v>45323</v>
                </pt>
                <pt idx="174">
                  <v>45352</v>
                </pt>
                <pt idx="175">
                  <v>45383</v>
                </pt>
                <pt idx="176">
                  <v>45413</v>
                </pt>
                <pt idx="177">
                  <v>45444</v>
                </pt>
                <pt idx="178">
                  <v>45474</v>
                </pt>
                <pt idx="179">
                  <v>45505</v>
                </pt>
                <pt idx="180">
                  <v>45536</v>
                </pt>
                <pt idx="181">
                  <v>45566</v>
                </pt>
                <pt idx="182">
                  <v>45597</v>
                </pt>
                <pt idx="183">
                  <v>45627</v>
                </pt>
                <pt idx="184">
                  <v>45658</v>
                </pt>
                <pt idx="185">
                  <v>45689</v>
                </pt>
                <pt idx="186">
                  <v>45717</v>
                </pt>
                <pt idx="187">
                  <v>45748</v>
                </pt>
                <pt idx="188">
                  <v>45778</v>
                </pt>
                <pt idx="189">
                  <v>45809</v>
                </pt>
                <pt idx="190">
                  <v>45839</v>
                </pt>
                <pt idx="191">
                  <v>45870</v>
                </pt>
                <pt idx="192">
                  <v>45901</v>
                </pt>
                <pt idx="193">
                  <v>45931</v>
                </pt>
                <pt idx="194">
                  <v>45962</v>
                </pt>
                <pt idx="195">
                  <v>45992</v>
                </pt>
              </numCache>
            </numRef>
          </cat>
          <val>
            <numRef>
              <f>Charts!$S$23:$S$218</f>
              <numCache>
                <formatCode>0.00%</formatCode>
                <ptCount val="196"/>
                <pt idx="0">
                  <v>0.03307</v>
                </pt>
                <pt idx="1">
                  <v>0.03392</v>
                </pt>
                <pt idx="2">
                  <v>0.03201</v>
                </pt>
                <pt idx="3">
                  <v>0.03843</v>
                </pt>
                <pt idx="4">
                  <v>0.03609</v>
                </pt>
                <pt idx="5">
                  <v>0.03595</v>
                </pt>
                <pt idx="6">
                  <v>0.03833</v>
                </pt>
                <pt idx="7">
                  <v>0.03663</v>
                </pt>
                <pt idx="8">
                  <v>0.03301</v>
                </pt>
                <pt idx="9">
                  <v>0.02951</v>
                </pt>
                <pt idx="10">
                  <v>0.02907</v>
                </pt>
                <pt idx="11">
                  <v>0.02477</v>
                </pt>
                <pt idx="12">
                  <v>0.02517</v>
                </pt>
                <pt idx="13">
                  <v>0.02612</v>
                </pt>
                <pt idx="14">
                  <v>0.02797</v>
                </pt>
                <pt idx="15">
                  <v>0.03305</v>
                </pt>
                <pt idx="16">
                  <v>0.03378</v>
                </pt>
                <pt idx="17">
                  <v>0.03414</v>
                </pt>
                <pt idx="18">
                  <v>0.03454</v>
                </pt>
                <pt idx="19">
                  <v>0.03296</v>
                </pt>
                <pt idx="20">
                  <v>0.0305</v>
                </pt>
                <pt idx="21">
                  <v>0.03158</v>
                </pt>
                <pt idx="22">
                  <v>0.02805</v>
                </pt>
                <pt idx="23">
                  <v>0.02218</v>
                </pt>
                <pt idx="24">
                  <v>0.01924</v>
                </pt>
                <pt idx="25">
                  <v>0.02175</v>
                </pt>
                <pt idx="26">
                  <v>0.02068</v>
                </pt>
                <pt idx="27">
                  <v>0.01871</v>
                </pt>
                <pt idx="28">
                  <v>0.01799</v>
                </pt>
                <pt idx="29">
                  <v>0.01977</v>
                </pt>
                <pt idx="30">
                  <v>0.02216</v>
                </pt>
                <pt idx="31">
                  <v>0.01915</v>
                </pt>
                <pt idx="32">
                  <v>0.01581</v>
                </pt>
                <pt idx="33">
                  <v>0.01659</v>
                </pt>
                <pt idx="34">
                  <v>0.01492</v>
                </pt>
                <pt idx="35">
                  <v>0.01562</v>
                </pt>
                <pt idx="36">
                  <v>0.01637</v>
                </pt>
                <pt idx="37">
                  <v>0.01686</v>
                </pt>
                <pt idx="38">
                  <v>0.01606</v>
                </pt>
                <pt idx="39">
                  <v>0.01756</v>
                </pt>
                <pt idx="40">
                  <v>0.01985</v>
                </pt>
                <pt idx="41">
                  <v>0.01888</v>
                </pt>
                <pt idx="42">
                  <v>0.01852</v>
                </pt>
                <pt idx="43">
                  <v>0.01675</v>
                </pt>
                <pt idx="44">
                  <v>0.02164</v>
                </pt>
                <pt idx="45">
                  <v>0.02478</v>
                </pt>
                <pt idx="46">
                  <v>0.02593</v>
                </pt>
                <pt idx="47">
                  <v>0.02749</v>
                </pt>
                <pt idx="48">
                  <v>0.02615</v>
                </pt>
                <pt idx="49">
                  <v>0.02542</v>
                </pt>
                <pt idx="50">
                  <v>0.02741</v>
                </pt>
                <pt idx="51">
                  <v>0.03026</v>
                </pt>
                <pt idx="52">
                  <v>0.02668</v>
                </pt>
                <pt idx="53">
                  <v>0.02658</v>
                </pt>
                <pt idx="54">
                  <v>0.02723</v>
                </pt>
                <pt idx="55">
                  <v>0.02648</v>
                </pt>
                <pt idx="56">
                  <v>0.02457</v>
                </pt>
                <pt idx="57">
                  <v>0.02516</v>
                </pt>
                <pt idx="58">
                  <v>0.02556</v>
                </pt>
                <pt idx="59">
                  <v>0.02343</v>
                </pt>
                <pt idx="60">
                  <v>0.02508</v>
                </pt>
                <pt idx="61">
                  <v>0.02335</v>
                </pt>
                <pt idx="62">
                  <v>0.02194</v>
                </pt>
                <pt idx="63">
                  <v>0.0217</v>
                </pt>
                <pt idx="64">
                  <v>0.01675</v>
                </pt>
                <pt idx="65">
                  <v>0.02002</v>
                </pt>
                <pt idx="66">
                  <v>0.01934</v>
                </pt>
                <pt idx="67">
                  <v>0.02046</v>
                </pt>
                <pt idx="68">
                  <v>0.02095</v>
                </pt>
                <pt idx="69">
                  <v>0.02335</v>
                </pt>
                <pt idx="70">
                  <v>0.02205</v>
                </pt>
                <pt idx="71">
                  <v>0.022</v>
                </pt>
                <pt idx="72">
                  <v>0.0206</v>
                </pt>
                <pt idx="73">
                  <v>0.02151</v>
                </pt>
                <pt idx="74">
                  <v>0.02218</v>
                </pt>
                <pt idx="75">
                  <v>0.02269</v>
                </pt>
                <pt idx="76">
                  <v>0.01931</v>
                </pt>
                <pt idx="77">
                  <v>0.0174</v>
                </pt>
                <pt idx="78">
                  <v>0.01786</v>
                </pt>
                <pt idx="79">
                  <v>0.01819</v>
                </pt>
                <pt idx="80">
                  <v>0.01834</v>
                </pt>
                <pt idx="81">
                  <v>0.01488</v>
                </pt>
                <pt idx="82">
                  <v>0.01458</v>
                </pt>
                <pt idx="83">
                  <v>0.01568</v>
                </pt>
                <pt idx="84">
                  <v>0.01608</v>
                </pt>
                <pt idx="85">
                  <v>0.01834</v>
                </pt>
                <pt idx="86">
                  <v>0.02368</v>
                </pt>
                <pt idx="87">
                  <v>0.02446</v>
                </pt>
                <pt idx="88">
                  <v>0.02451</v>
                </pt>
                <pt idx="89">
                  <v>0.02358</v>
                </pt>
                <pt idx="90">
                  <v>0.02396</v>
                </pt>
                <pt idx="91">
                  <v>0.02282</v>
                </pt>
                <pt idx="92">
                  <v>0.02196</v>
                </pt>
                <pt idx="93">
                  <v>0.02302</v>
                </pt>
                <pt idx="94">
                  <v>0.02292</v>
                </pt>
                <pt idx="95">
                  <v>0.02121</v>
                </pt>
                <pt idx="96">
                  <v>0.02326</v>
                </pt>
                <pt idx="97">
                  <v>0.02376</v>
                </pt>
                <pt idx="98">
                  <v>0.02417</v>
                </pt>
                <pt idx="99">
                  <v>0.02405</v>
                </pt>
                <pt idx="100">
                  <v>0.0272</v>
                </pt>
                <pt idx="101">
                  <v>0.02868</v>
                </pt>
                <pt idx="102">
                  <v>0.02741</v>
                </pt>
                <pt idx="103">
                  <v>0.02936</v>
                </pt>
                <pt idx="104">
                  <v>0.02822</v>
                </pt>
                <pt idx="105">
                  <v>0.02849</v>
                </pt>
                <pt idx="106">
                  <v>0.02964</v>
                </pt>
                <pt idx="107">
                  <v>0.02853</v>
                </pt>
                <pt idx="108">
                  <v>0.03056</v>
                </pt>
                <pt idx="109">
                  <v>0.03159</v>
                </pt>
                <pt idx="110">
                  <v>0.03013</v>
                </pt>
                <pt idx="111">
                  <v>0.02686</v>
                </pt>
                <pt idx="112">
                  <v>0.02635</v>
                </pt>
                <pt idx="113">
                  <v>0.02711</v>
                </pt>
                <pt idx="114">
                  <v>0.02414</v>
                </pt>
                <pt idx="115">
                  <v>0.02509</v>
                </pt>
                <pt idx="116">
                  <v>0.02142</v>
                </pt>
                <pt idx="117">
                  <v>0.02</v>
                </pt>
                <pt idx="118">
                  <v>0.02021</v>
                </pt>
                <pt idx="119">
                  <v>0.01506</v>
                </pt>
                <pt idx="120">
                  <v>0.01675</v>
                </pt>
                <pt idx="121">
                  <v>0.01691</v>
                </pt>
                <pt idx="122">
                  <v>0.01776</v>
                </pt>
                <pt idx="123">
                  <v>0.01919</v>
                </pt>
                <pt idx="124">
                  <v>0.0152</v>
                </pt>
                <pt idx="125">
                  <v>0.01127</v>
                </pt>
                <pt idx="126">
                  <v>0.00698</v>
                </pt>
                <pt idx="127">
                  <v>0.00622</v>
                </pt>
                <pt idx="128">
                  <v>0.006480000000000001</v>
                </pt>
                <pt idx="129">
                  <v>0.00653</v>
                </pt>
                <pt idx="130">
                  <v>0.00536</v>
                </pt>
                <pt idx="131">
                  <v>0.00693</v>
                </pt>
                <pt idx="132">
                  <v>0.006770000000000001</v>
                </pt>
                <pt idx="133">
                  <v>0.0086</v>
                </pt>
                <pt idx="134">
                  <v>0.00844</v>
                </pt>
                <pt idx="135">
                  <v>0.009170000000000001</v>
                </pt>
                <pt idx="136">
                  <v>0.01093</v>
                </pt>
                <pt idx="137">
                  <v>0.0146</v>
                </pt>
                <pt idx="138">
                  <v>0.01746</v>
                </pt>
                <pt idx="139">
                  <v>0.01631</v>
                </pt>
                <pt idx="140">
                  <v>0.01581</v>
                </pt>
                <pt idx="141">
                  <v>0.01443</v>
                </pt>
                <pt idx="142">
                  <v>0.01239</v>
                </pt>
                <pt idx="143">
                  <v>0.01304</v>
                </pt>
                <pt idx="144">
                  <v>0.01529</v>
                </pt>
                <pt idx="145">
                  <v>0.01557</v>
                </pt>
                <pt idx="146">
                  <v>0.01443</v>
                </pt>
                <pt idx="147">
                  <v>0.01512</v>
                </pt>
                <pt idx="148">
                  <v>0.01782</v>
                </pt>
                <pt idx="149">
                  <v>0.01839</v>
                </pt>
                <pt idx="150">
                  <v>0.02327</v>
                </pt>
                <pt idx="151">
                  <v>0.02887</v>
                </pt>
                <pt idx="152">
                  <v>0.02844</v>
                </pt>
                <pt idx="153">
                  <v>0.02972</v>
                </pt>
                <pt idx="154">
                  <v>0.02642</v>
                </pt>
                <pt idx="155">
                  <v>0.0266</v>
                </pt>
                <pt idx="156">
                  <v>0.0379</v>
                </pt>
                <pt idx="157">
                  <v>0.0424</v>
                </pt>
                <pt idx="158">
                  <v>0.037</v>
                </pt>
                <pt idx="159">
                  <v>0.0387</v>
                </pt>
                <pt idx="160">
                  <v>0.0353</v>
                </pt>
                <pt idx="161">
                  <v>0.0392</v>
                </pt>
                <pt idx="162">
                  <v>0.035</v>
                </pt>
                <pt idx="163">
                  <v>0.0352</v>
                </pt>
                <pt idx="164">
                  <v>0.0385</v>
                </pt>
                <pt idx="165">
                  <v>0.0395</v>
                </pt>
                <pt idx="166">
                  <v>0.0397</v>
                </pt>
                <pt idx="167">
                  <v>0.0409</v>
                </pt>
                <pt idx="168">
                  <v>0.0457</v>
                </pt>
                <pt idx="169">
                  <v>0.0492</v>
                </pt>
                <pt idx="170">
                  <v>0.0466</v>
                </pt>
                <pt idx="171">
                  <v>0.0402</v>
                </pt>
                <pt idx="172">
                  <v>0.03967</v>
                </pt>
                <pt idx="173">
                  <v>0.0425</v>
                </pt>
                <pt idx="174">
                  <v>0.0428</v>
                </pt>
                <pt idx="175">
                  <v>0.0465</v>
                </pt>
                <pt idx="176">
                  <v>0.0445</v>
                </pt>
                <pt idx="177">
                  <v>0.0435</v>
                </pt>
                <pt idx="178">
                  <v>0.04109</v>
                </pt>
                <pt idx="179">
                  <v>0.0391</v>
                </pt>
                <pt idx="180">
                  <v>0.0365</v>
                </pt>
                <pt idx="181">
                  <v>0.04284</v>
                </pt>
                <pt idx="182">
                  <v>0.0418</v>
                </pt>
                <pt idx="183">
                  <v>0.0439</v>
                </pt>
                <pt idx="184">
                  <v>0.04569</v>
                </pt>
                <pt idx="185">
                  <v>0.0423</v>
                </pt>
                <pt idx="186">
                  <v>0.04246</v>
                </pt>
                <pt idx="187">
                  <v>0.04177</v>
                </pt>
                <pt idx="188">
                  <v>0.04469</v>
                </pt>
                <pt idx="189">
                  <v>0.04253</v>
                </pt>
                <pt idx="190">
                  <v>0.044</v>
                </pt>
                <pt idx="191">
                  <v>0.04281</v>
                </pt>
                <pt idx="192">
                  <v>0.0415</v>
                </pt>
                <pt idx="193">
                  <v>0.0402</v>
                </pt>
                <pt idx="194">
                  <v>0.04056</v>
                </pt>
                <pt idx="195">
                  <v>0.04116</v>
                </pt>
              </numCache>
            </numRef>
          </val>
          <smooth val="0"/>
        </ser>
        <ser>
          <idx val="2"/>
          <order val="2"/>
          <tx>
            <strRef>
              <f>Charts!$U$2</f>
              <strCache>
                <ptCount val="1"/>
                <pt idx="0">
                  <v>High Assumed Loan Constant</v>
                </pt>
              </strCache>
            </strRef>
          </tx>
          <spPr>
            <a:ln xmlns:a="http://schemas.openxmlformats.org/drawingml/2006/main" w="28575" cap="rnd">
              <a:noFill/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errBars>
            <errDir val="y"/>
            <errBarType val="both"/>
            <errValType val="percentage"/>
            <noEndCap val="0"/>
            <val val="5"/>
            <spPr>
              <a:noFill xmlns:a="http://schemas.openxmlformats.org/drawingml/2006/main"/>
              <a:ln xmlns:a="http://schemas.openxmlformats.org/drawingml/2006/main" w="6350" cap="flat" cmpd="sng" algn="ctr">
                <a:solidFill>
                  <a:srgbClr val="5FA3A8"/>
                </a:solidFill>
                <a:prstDash val="solid"/>
                <a:round/>
              </a:ln>
            </spPr>
          </errBars>
          <cat>
            <numRef>
              <f>Charts!$B$23:$B$218</f>
              <numCache>
                <formatCode>[$-409]mmm\-yy;@</formatCode>
                <ptCount val="196"/>
                <pt idx="0">
                  <v>40057</v>
                </pt>
                <pt idx="1">
                  <v>40087</v>
                </pt>
                <pt idx="2">
                  <v>40118</v>
                </pt>
                <pt idx="3">
                  <v>40148</v>
                </pt>
                <pt idx="4">
                  <v>40179</v>
                </pt>
                <pt idx="5">
                  <v>40210</v>
                </pt>
                <pt idx="6">
                  <v>40238</v>
                </pt>
                <pt idx="7">
                  <v>40269</v>
                </pt>
                <pt idx="8">
                  <v>40299</v>
                </pt>
                <pt idx="9">
                  <v>40330</v>
                </pt>
                <pt idx="10">
                  <v>40360</v>
                </pt>
                <pt idx="11">
                  <v>40391</v>
                </pt>
                <pt idx="12">
                  <v>40422</v>
                </pt>
                <pt idx="13">
                  <v>40452</v>
                </pt>
                <pt idx="14">
                  <v>40483</v>
                </pt>
                <pt idx="15">
                  <v>40513</v>
                </pt>
                <pt idx="16">
                  <v>40544</v>
                </pt>
                <pt idx="17">
                  <v>40575</v>
                </pt>
                <pt idx="18">
                  <v>40603</v>
                </pt>
                <pt idx="19">
                  <v>40634</v>
                </pt>
                <pt idx="20">
                  <v>40664</v>
                </pt>
                <pt idx="21">
                  <v>40695</v>
                </pt>
                <pt idx="22">
                  <v>40725</v>
                </pt>
                <pt idx="23">
                  <v>40756</v>
                </pt>
                <pt idx="24">
                  <v>40787</v>
                </pt>
                <pt idx="25">
                  <v>40817</v>
                </pt>
                <pt idx="26">
                  <v>40848</v>
                </pt>
                <pt idx="27">
                  <v>40878</v>
                </pt>
                <pt idx="28">
                  <v>40909</v>
                </pt>
                <pt idx="29">
                  <v>40940</v>
                </pt>
                <pt idx="30">
                  <v>40969</v>
                </pt>
                <pt idx="31">
                  <v>41000</v>
                </pt>
                <pt idx="32">
                  <v>41030</v>
                </pt>
                <pt idx="33">
                  <v>41061</v>
                </pt>
                <pt idx="34">
                  <v>41091</v>
                </pt>
                <pt idx="35">
                  <v>41122</v>
                </pt>
                <pt idx="36">
                  <v>41153</v>
                </pt>
                <pt idx="37">
                  <v>41183</v>
                </pt>
                <pt idx="38">
                  <v>41214</v>
                </pt>
                <pt idx="39">
                  <v>41244</v>
                </pt>
                <pt idx="40">
                  <v>41275</v>
                </pt>
                <pt idx="41">
                  <v>41306</v>
                </pt>
                <pt idx="42">
                  <v>41334</v>
                </pt>
                <pt idx="43">
                  <v>41365</v>
                </pt>
                <pt idx="44">
                  <v>41395</v>
                </pt>
                <pt idx="45">
                  <v>41426</v>
                </pt>
                <pt idx="46">
                  <v>41456</v>
                </pt>
                <pt idx="47">
                  <v>41487</v>
                </pt>
                <pt idx="48">
                  <v>41518</v>
                </pt>
                <pt idx="49">
                  <v>41548</v>
                </pt>
                <pt idx="50">
                  <v>41579</v>
                </pt>
                <pt idx="51">
                  <v>41609</v>
                </pt>
                <pt idx="52">
                  <v>41640</v>
                </pt>
                <pt idx="53">
                  <v>41671</v>
                </pt>
                <pt idx="54">
                  <v>41699</v>
                </pt>
                <pt idx="55">
                  <v>41730</v>
                </pt>
                <pt idx="56">
                  <v>41760</v>
                </pt>
                <pt idx="57">
                  <v>41791</v>
                </pt>
                <pt idx="58">
                  <v>41821</v>
                </pt>
                <pt idx="59">
                  <v>41852</v>
                </pt>
                <pt idx="60">
                  <v>41883</v>
                </pt>
                <pt idx="61">
                  <v>41913</v>
                </pt>
                <pt idx="62">
                  <v>41944</v>
                </pt>
                <pt idx="63">
                  <v>41974</v>
                </pt>
                <pt idx="64">
                  <v>42005</v>
                </pt>
                <pt idx="65">
                  <v>42036</v>
                </pt>
                <pt idx="66">
                  <v>42064</v>
                </pt>
                <pt idx="67">
                  <v>42095</v>
                </pt>
                <pt idx="68">
                  <v>42125</v>
                </pt>
                <pt idx="69">
                  <v>42156</v>
                </pt>
                <pt idx="70">
                  <v>42186</v>
                </pt>
                <pt idx="71">
                  <v>42217</v>
                </pt>
                <pt idx="72">
                  <v>42248</v>
                </pt>
                <pt idx="73">
                  <v>42278</v>
                </pt>
                <pt idx="74">
                  <v>42309</v>
                </pt>
                <pt idx="75">
                  <v>42339</v>
                </pt>
                <pt idx="76">
                  <v>42370</v>
                </pt>
                <pt idx="77">
                  <v>42401</v>
                </pt>
                <pt idx="78">
                  <v>42430</v>
                </pt>
                <pt idx="79">
                  <v>42461</v>
                </pt>
                <pt idx="80">
                  <v>42491</v>
                </pt>
                <pt idx="81">
                  <v>42522</v>
                </pt>
                <pt idx="82">
                  <v>42552</v>
                </pt>
                <pt idx="83">
                  <v>42583</v>
                </pt>
                <pt idx="84">
                  <v>42614</v>
                </pt>
                <pt idx="85">
                  <v>42644</v>
                </pt>
                <pt idx="86">
                  <v>42675</v>
                </pt>
                <pt idx="87">
                  <v>42705</v>
                </pt>
                <pt idx="88">
                  <v>42736</v>
                </pt>
                <pt idx="89">
                  <v>42767</v>
                </pt>
                <pt idx="90">
                  <v>42795</v>
                </pt>
                <pt idx="91">
                  <v>42826</v>
                </pt>
                <pt idx="92">
                  <v>42856</v>
                </pt>
                <pt idx="93">
                  <v>42887</v>
                </pt>
                <pt idx="94">
                  <v>42917</v>
                </pt>
                <pt idx="95">
                  <v>42948</v>
                </pt>
                <pt idx="96">
                  <v>42979</v>
                </pt>
                <pt idx="97">
                  <v>43009</v>
                </pt>
                <pt idx="98">
                  <v>43040</v>
                </pt>
                <pt idx="99">
                  <v>43070</v>
                </pt>
                <pt idx="100">
                  <v>43101</v>
                </pt>
                <pt idx="101">
                  <v>43132</v>
                </pt>
                <pt idx="102">
                  <v>43160</v>
                </pt>
                <pt idx="103">
                  <v>43191</v>
                </pt>
                <pt idx="104">
                  <v>43221</v>
                </pt>
                <pt idx="105">
                  <v>43252</v>
                </pt>
                <pt idx="106">
                  <v>43282</v>
                </pt>
                <pt idx="107">
                  <v>43313</v>
                </pt>
                <pt idx="108">
                  <v>43344</v>
                </pt>
                <pt idx="109">
                  <v>43374</v>
                </pt>
                <pt idx="110">
                  <v>43405</v>
                </pt>
                <pt idx="111">
                  <v>43435</v>
                </pt>
                <pt idx="112">
                  <v>43466</v>
                </pt>
                <pt idx="113">
                  <v>43497</v>
                </pt>
                <pt idx="114">
                  <v>43525</v>
                </pt>
                <pt idx="115">
                  <v>43556</v>
                </pt>
                <pt idx="116">
                  <v>43586</v>
                </pt>
                <pt idx="117">
                  <v>43617</v>
                </pt>
                <pt idx="118">
                  <v>43647</v>
                </pt>
                <pt idx="119">
                  <v>43678</v>
                </pt>
                <pt idx="120">
                  <v>43709</v>
                </pt>
                <pt idx="121">
                  <v>43739</v>
                </pt>
                <pt idx="122">
                  <v>43770</v>
                </pt>
                <pt idx="123">
                  <v>43800</v>
                </pt>
                <pt idx="124">
                  <v>43831</v>
                </pt>
                <pt idx="125">
                  <v>43862</v>
                </pt>
                <pt idx="126">
                  <v>43891</v>
                </pt>
                <pt idx="127">
                  <v>43922</v>
                </pt>
                <pt idx="128">
                  <v>43952</v>
                </pt>
                <pt idx="129">
                  <v>43983</v>
                </pt>
                <pt idx="130">
                  <v>44013</v>
                </pt>
                <pt idx="131">
                  <v>44044</v>
                </pt>
                <pt idx="132">
                  <v>44075</v>
                </pt>
                <pt idx="133">
                  <v>44105</v>
                </pt>
                <pt idx="134">
                  <v>44136</v>
                </pt>
                <pt idx="135">
                  <v>44166</v>
                </pt>
                <pt idx="136">
                  <v>44197</v>
                </pt>
                <pt idx="137">
                  <v>44228</v>
                </pt>
                <pt idx="138">
                  <v>44256</v>
                </pt>
                <pt idx="139">
                  <v>44287</v>
                </pt>
                <pt idx="140">
                  <v>44317</v>
                </pt>
                <pt idx="141">
                  <v>44348</v>
                </pt>
                <pt idx="142">
                  <v>44378</v>
                </pt>
                <pt idx="143">
                  <v>44409</v>
                </pt>
                <pt idx="144">
                  <v>44440</v>
                </pt>
                <pt idx="145">
                  <v>44470</v>
                </pt>
                <pt idx="146">
                  <v>44501</v>
                </pt>
                <pt idx="147">
                  <v>44531</v>
                </pt>
                <pt idx="148">
                  <v>44562</v>
                </pt>
                <pt idx="149">
                  <v>44593</v>
                </pt>
                <pt idx="150">
                  <v>44621</v>
                </pt>
                <pt idx="151">
                  <v>44652</v>
                </pt>
                <pt idx="152">
                  <v>44682</v>
                </pt>
                <pt idx="153">
                  <v>44713</v>
                </pt>
                <pt idx="154">
                  <v>44743</v>
                </pt>
                <pt idx="155">
                  <v>44774</v>
                </pt>
                <pt idx="156">
                  <v>44805</v>
                </pt>
                <pt idx="157">
                  <v>44835</v>
                </pt>
                <pt idx="158">
                  <v>44866</v>
                </pt>
                <pt idx="159">
                  <v>44896</v>
                </pt>
                <pt idx="160">
                  <v>44927</v>
                </pt>
                <pt idx="161">
                  <v>44958</v>
                </pt>
                <pt idx="162">
                  <v>44986</v>
                </pt>
                <pt idx="163">
                  <v>45017</v>
                </pt>
                <pt idx="164">
                  <v>45047</v>
                </pt>
                <pt idx="165">
                  <v>45078</v>
                </pt>
                <pt idx="166">
                  <v>45108</v>
                </pt>
                <pt idx="167">
                  <v>45139</v>
                </pt>
                <pt idx="168">
                  <v>45170</v>
                </pt>
                <pt idx="169">
                  <v>45200</v>
                </pt>
                <pt idx="170">
                  <v>45231</v>
                </pt>
                <pt idx="171">
                  <v>45261</v>
                </pt>
                <pt idx="172">
                  <v>45292</v>
                </pt>
                <pt idx="173">
                  <v>45323</v>
                </pt>
                <pt idx="174">
                  <v>45352</v>
                </pt>
                <pt idx="175">
                  <v>45383</v>
                </pt>
                <pt idx="176">
                  <v>45413</v>
                </pt>
                <pt idx="177">
                  <v>45444</v>
                </pt>
                <pt idx="178">
                  <v>45474</v>
                </pt>
                <pt idx="179">
                  <v>45505</v>
                </pt>
                <pt idx="180">
                  <v>45536</v>
                </pt>
                <pt idx="181">
                  <v>45566</v>
                </pt>
                <pt idx="182">
                  <v>45597</v>
                </pt>
                <pt idx="183">
                  <v>45627</v>
                </pt>
                <pt idx="184">
                  <v>45658</v>
                </pt>
                <pt idx="185">
                  <v>45689</v>
                </pt>
                <pt idx="186">
                  <v>45717</v>
                </pt>
                <pt idx="187">
                  <v>45748</v>
                </pt>
                <pt idx="188">
                  <v>45778</v>
                </pt>
                <pt idx="189">
                  <v>45809</v>
                </pt>
                <pt idx="190">
                  <v>45839</v>
                </pt>
                <pt idx="191">
                  <v>45870</v>
                </pt>
                <pt idx="192">
                  <v>45901</v>
                </pt>
                <pt idx="193">
                  <v>45931</v>
                </pt>
                <pt idx="194">
                  <v>45962</v>
                </pt>
                <pt idx="195">
                  <v>45992</v>
                </pt>
              </numCache>
            </numRef>
          </cat>
          <val>
            <numRef>
              <f>Charts!$U$23:$U$218</f>
              <numCache>
                <formatCode>0.00%</formatCode>
                <ptCount val="196"/>
                <pt idx="0">
                  <v>0.06818739231449142</v>
                </pt>
                <pt idx="1">
                  <v>0.06882895443281559</v>
                </pt>
                <pt idx="2">
                  <v>0.06739118588596807</v>
                </pt>
                <pt idx="3">
                  <v>0.07227814429177537</v>
                </pt>
                <pt idx="4">
                  <v>0.07047915493874188</v>
                </pt>
                <pt idx="5">
                  <v>0.07037216065513061</v>
                </pt>
                <pt idx="6">
                  <v>0.07220085636535026</v>
                </pt>
                <pt idx="7">
                  <v>0.07089252552784475</v>
                </pt>
                <pt idx="8">
                  <v>0.0681422093257603</v>
                </pt>
                <pt idx="9">
                  <v>0.0655305406389083</v>
                </pt>
                <pt idx="10">
                  <v>0.06520559778795335</v>
                </pt>
                <pt idx="11">
                  <v>0.06207075454676031</v>
                </pt>
                <pt idx="12">
                  <v>0.06235921125446568</v>
                </pt>
                <pt idx="13">
                  <v>0.06304691257470123</v>
                </pt>
                <pt idx="14">
                  <v>0.06439659488832625</v>
                </pt>
                <pt idx="15">
                  <v>0.06817232979391513</v>
                </pt>
                <pt idx="16">
                  <v>0.06872309696402362</v>
                </pt>
                <pt idx="17">
                  <v>0.0689954514954839</v>
                </pt>
                <pt idx="18">
                  <v>0.06929864076529862</v>
                </pt>
                <pt idx="19">
                  <v>0.06810456731792</v>
                </pt>
                <pt idx="20">
                  <v>0.06626444425702779</v>
                </pt>
                <pt idx="21">
                  <v>0.06706942679174804</v>
                </pt>
                <pt idx="22">
                  <v>0.06445526919578441</v>
                </pt>
                <pt idx="23">
                  <v>0.06021896784829543</v>
                </pt>
                <pt idx="24">
                  <v>0.05815099622644228</v>
                </pt>
                <pt idx="25">
                  <v>0.0599142309282218</v>
                </pt>
                <pt idx="26">
                  <v>0.0591593080175009</v>
                </pt>
                <pt idx="27">
                  <v>0.05778211075207531</v>
                </pt>
                <pt idx="28">
                  <v>0.05728291752059197</v>
                </pt>
                <pt idx="29">
                  <v>0.05852108389041411</v>
                </pt>
                <pt idx="30">
                  <v>0.0602047768557368</v>
                </pt>
                <pt idx="31">
                  <v>0.05808827042937952</v>
                </pt>
                <pt idx="32">
                  <v>0.05578516874299552</v>
                </pt>
                <pt idx="33">
                  <v>0.05631868286557469</v>
                </pt>
                <pt idx="34">
                  <v>0.05517967428109329</v>
                </pt>
                <pt idx="35">
                  <v>0.05565561363289111</v>
                </pt>
                <pt idx="36">
                  <v>0.05616793527869411</v>
                </pt>
                <pt idx="37">
                  <v>0.05650397970849502</v>
                </pt>
                <pt idx="38">
                  <v>0.05595587708646609</v>
                </pt>
                <pt idx="39">
                  <v>0.05698585523811449</v>
                </pt>
                <pt idx="40">
                  <v>0.05857705031543682</v>
                </pt>
                <pt idx="41">
                  <v>0.05790030126345619</v>
                </pt>
                <pt idx="42">
                  <v>0.05765016241470459</v>
                </pt>
                <pt idx="43">
                  <v>0.05642845006396072</v>
                </pt>
                <pt idx="44">
                  <v>0.05983639960611718</v>
                </pt>
                <pt idx="45">
                  <v>0.06207795797800712</v>
                </pt>
                <pt idx="46">
                  <v>0.0629090786421598</v>
                </pt>
                <pt idx="47">
                  <v>0.06404508603260273</v>
                </pt>
                <pt idx="48">
                  <v>0.06306868921307551</v>
                </pt>
                <pt idx="49">
                  <v>0.06253982888113449</v>
                </pt>
                <pt idx="50">
                  <v>0.06398659088707179</v>
                </pt>
                <pt idx="51">
                  <v>0.06608617574385989</v>
                </pt>
                <pt idx="52">
                  <v>0.06345401051631808</v>
                </pt>
                <pt idx="53">
                  <v>0.06338122146888088</v>
                </pt>
                <pt idx="54">
                  <v>0.06385507067584485</v>
                </pt>
                <pt idx="55">
                  <v>0.06330847280926119</v>
                </pt>
                <pt idx="56">
                  <v>0.06192677207092893</v>
                </pt>
                <pt idx="57">
                  <v>0.06235199185864641</v>
                </pt>
                <pt idx="58">
                  <v>0.06264108612318359</v>
                </pt>
                <pt idx="59">
                  <v>0.06110921682495871</v>
                </pt>
                <pt idx="60">
                  <v>0.06229425140840164</v>
                </pt>
                <pt idx="61">
                  <v>0.06105204622552586</v>
                </pt>
                <pt idx="62">
                  <v>0.06004878652065328</v>
                </pt>
                <pt idx="63">
                  <v>0.05987884675210213</v>
                </pt>
                <pt idx="64">
                  <v>0.05642845006396072</v>
                </pt>
                <pt idx="65">
                  <v>0.05869606948700534</v>
                </pt>
                <pt idx="66">
                  <v>0.05822073221351357</v>
                </pt>
                <pt idx="67">
                  <v>0.05900468978184206</v>
                </pt>
                <pt idx="68">
                  <v>0.0593493468249341</v>
                </pt>
                <pt idx="69">
                  <v>0.06105204622552586</v>
                </pt>
                <pt idx="70">
                  <v>0.06012675633771573</v>
                </pt>
                <pt idx="71">
                  <v>0.06009130922393476</v>
                </pt>
                <pt idx="72">
                  <v>0.0591030594745902</v>
                </pt>
                <pt idx="73">
                  <v>0.05974448271182588</v>
                </pt>
                <pt idx="74">
                  <v>0.06021896784829543</v>
                </pt>
                <pt idx="75">
                  <v>0.06058140316710672</v>
                </pt>
                <pt idx="76">
                  <v>0.05819980692547438</v>
                </pt>
                <pt idx="77">
                  <v>0.05687552475815585</v>
                </pt>
                <pt idx="78">
                  <v>0.0571930236715261</v>
                </pt>
                <pt idx="79">
                  <v>0.05742135823624923</v>
                </pt>
                <pt idx="80">
                  <v>0.05752530198542975</v>
                </pt>
                <pt idx="81">
                  <v>0.05515254292254466</v>
                </pt>
                <pt idx="82">
                  <v>0.05494928284045888</v>
                </pt>
                <pt idx="83">
                  <v>0.05569650866262676</v>
                </pt>
                <pt idx="84">
                  <v>0.05596954557718704</v>
                </pt>
                <pt idx="85">
                  <v>0.05752530198542975</v>
                </pt>
                <pt idx="86">
                  <v>0.06128804584775922</v>
                </pt>
                <pt idx="87">
                  <v>0.06184765171512129</v>
                </pt>
                <pt idx="88">
                  <v>0.06188360934997966</v>
                </pt>
                <pt idx="89">
                  <v>0.06121648318503083</v>
                </pt>
                <pt idx="90">
                  <v>0.06148864126518044</v>
                </pt>
                <pt idx="91">
                  <v>0.06067396225448006</v>
                </pt>
                <pt idx="92">
                  <v>0.06006295907793231</v>
                </pt>
                <pt idx="93">
                  <v>0.06081649827018674</v>
                </pt>
                <pt idx="94">
                  <v>0.06074520945375322</v>
                </pt>
                <pt idx="95">
                  <v>0.05953263831366765</v>
                </pt>
                <pt idx="96">
                  <v>0.0609877610306989</v>
                </pt>
                <pt idx="97">
                  <v>0.06134532576314591</v>
                </pt>
                <pt idx="98">
                  <v>0.06163930021800949</v>
                </pt>
                <pt idx="99">
                  <v>0.06155318711835937</v>
                </pt>
                <pt idx="100">
                  <v>0.06383316328698851</v>
                </pt>
                <pt idx="101">
                  <v>0.06491821986712344</v>
                </pt>
                <pt idx="102">
                  <v>0.06398659088707179</v>
                </pt>
                <pt idx="103">
                  <v>0.06541967888740731</v>
                </pt>
                <pt idx="104">
                  <v>0.06458003682301558</v>
                </pt>
                <pt idx="105">
                  <v>0.06477843364204015</v>
                </pt>
                <pt idx="106">
                  <v>0.06562669248068989</v>
                </pt>
                <pt idx="107">
                  <v>0.06480785041085604</v>
                </pt>
                <pt idx="108">
                  <v>0.06630904652222561</v>
                </pt>
                <pt idx="109">
                  <v>0.06707690145911206</v>
                </pt>
                <pt idx="110">
                  <v>0.06598970764840502</v>
                </pt>
                <pt idx="111">
                  <v>0.06358513246956171</v>
                </pt>
                <pt idx="112">
                  <v>0.0632139599878547</v>
                </pt>
                <pt idx="113">
                  <v>0.06376746281849657</v>
                </pt>
                <pt idx="114">
                  <v>0.06161776637843203</v>
                </pt>
                <pt idx="115">
                  <v>0.06230146753361503</v>
                </pt>
                <pt idx="116">
                  <v>0.05968088959039856</v>
                </pt>
                <pt idx="117">
                  <v>0.05868206084562314</v>
                </pt>
                <pt idx="118">
                  <v>0.05882923643696041</v>
                </pt>
                <pt idx="119">
                  <v>0.05527468959216462</v>
                </pt>
                <pt idx="120">
                  <v>0.05642845006396072</v>
                </pt>
                <pt idx="121">
                  <v>0.05653832877871903</v>
                </pt>
                <pt idx="122">
                  <v>0.05712392426167867</v>
                </pt>
                <pt idx="123">
                  <v>0.05811614428016053</v>
                </pt>
                <pt idx="124">
                  <v>0.05536979126304556</v>
                </pt>
                <pt idx="125">
                  <v>0.05273322465321255</v>
                </pt>
                <pt idx="126">
                  <v>0.04993474695158076</v>
                </pt>
                <pt idx="127">
                  <v>0.04944779356064537</v>
                </pt>
                <pt idx="128">
                  <v>0.04961408175571397</v>
                </pt>
                <pt idx="129">
                  <v>0.04964609618575335</v>
                </pt>
                <pt idx="130">
                  <v>0.04890000065054038</v>
                </pt>
                <pt idx="131">
                  <v>0.04990262837859236</v>
                </pt>
                <pt idx="132">
                  <v>0.04979992663891071</v>
                </pt>
                <pt idx="133">
                  <v>0.05098162425523787</v>
                </pt>
                <pt idx="134">
                  <v>0.05087769200895036</v>
                </pt>
                <pt idx="135">
                  <v>0.05135283552145593</v>
                </pt>
                <pt idx="136">
                  <v>0.05250837644592757</v>
                </pt>
                <pt idx="137">
                  <v>0.05496282114512875</v>
                </pt>
                <pt idx="138">
                  <v>0.05691688568537612</v>
                </pt>
                <pt idx="139">
                  <v>0.05612685897393492</v>
                </pt>
                <pt idx="140">
                  <v>0.05578516874299552</v>
                </pt>
                <pt idx="141">
                  <v>0.05484780192686307</v>
                </pt>
                <pt idx="142">
                  <v>0.0534775847674741</v>
                </pt>
                <pt idx="143">
                  <v>0.05391216017648055</v>
                </pt>
                <pt idx="144">
                  <v>0.05543097361749974</v>
                </pt>
                <pt idx="145">
                  <v>0.05562154651288051</v>
                </pt>
                <pt idx="146">
                  <v>0.05484780192686307</v>
                </pt>
                <pt idx="147">
                  <v>0.05531543688110661</v>
                </pt>
                <pt idx="148">
                  <v>0.05716537871891743</v>
                </pt>
                <pt idx="149">
                  <v>0.05755997144558437</v>
                </pt>
                <pt idx="150">
                  <v>0.06099490217035856</v>
                </pt>
                <pt idx="151">
                  <v>0.06505814926803445</v>
                </pt>
                <pt idx="152">
                  <v>0.06474167161991573</v>
                </pt>
                <pt idx="153">
                  <v>0.06568589588188847</v>
                </pt>
                <pt idx="154">
                  <v>0.06326484301388924</v>
                </pt>
                <pt idx="155">
                  <v>0.06339577604843936</v>
                </pt>
                <pt idx="156">
                  <v>0.07186893087561441</v>
                </pt>
                <pt idx="157">
                  <v>0.07537527518357851</v>
                </pt>
                <pt idx="158">
                  <v>0.07117638076670493</v>
                </pt>
                <pt idx="159">
                  <v>0.07248700205828951</v>
                </pt>
                <pt idx="160">
                  <v>0.06987635429068538</v>
                </pt>
                <pt idx="161">
                  <v>0.0728744687218624</v>
                </pt>
                <pt idx="162">
                  <v>0.06964805130791352</v>
                </pt>
                <pt idx="163">
                  <v>0.06980021596097834</v>
                </pt>
                <pt idx="164">
                  <v>0.07233226733997557</v>
                </pt>
                <pt idx="165">
                  <v>0.07310737913780654</v>
                </pt>
                <pt idx="166">
                  <v>0.07326283146700573</v>
                </pt>
                <pt idx="167">
                  <v>0.07419853010972546</v>
                </pt>
                <pt idx="168">
                  <v>0.07799137183794826</v>
                </pt>
                <pt idx="169">
                  <v>0.08080572922478248</v>
                </pt>
                <pt idx="170">
                  <v>0.07871122163151814</v>
                </pt>
                <pt idx="171">
                  <v>0.07365208562439642</v>
                </pt>
                <pt idx="172">
                  <v>0.07323950451790577</v>
                </pt>
                <pt idx="173">
                  <v>0.07545400340264111</v>
                </pt>
                <pt idx="174">
                  <v>0.07569039553916262</v>
                </pt>
                <pt idx="175">
                  <v>0.07863110560092504</v>
                </pt>
                <pt idx="176">
                  <v>0.07703578464553777</v>
                </pt>
                <pt idx="177">
                  <v>0.07624318264593839</v>
                </pt>
                <pt idx="178">
                  <v>0.07434714896969549</v>
                </pt>
                <pt idx="179">
                  <v>0.07279690355335458</v>
                </pt>
                <pt idx="180">
                  <v>0.07079291210151427</v>
                </pt>
                <pt idx="181">
                  <v>0.07572193796741407</v>
                </pt>
                <pt idx="182">
                  <v>0.0749036346849275</v>
                </pt>
                <pt idx="183">
                  <v>0.07655981483105676</v>
                </pt>
                <pt idx="184">
                  <v>0.07798338865042091</v>
                </pt>
                <pt idx="185">
                  <v>0.07529658160723479</v>
                </pt>
                <pt idx="186">
                  <v>0.07542250796030198</v>
                </pt>
                <pt idx="187">
                  <v>0.07488008554330765</v>
                </pt>
                <pt idx="188">
                  <v>0.07718676284855197</v>
                </pt>
                <pt idx="189">
                  <v>0.0754776286180551</v>
                </pt>
                <pt idx="190">
                  <v>0.07663905816295843</v>
                </pt>
                <pt idx="191">
                  <v>0.07569828062894141</v>
                </pt>
                <pt idx="192">
                  <v>0.07466828465451823</v>
                </pt>
                <pt idx="193">
                  <v>0.07365208562439642</v>
                </pt>
                <pt idx="194">
                  <v>0.07393289795446317</v>
                </pt>
                <pt idx="195">
                  <v>0.07440193527360026</v>
                </pt>
              </numCache>
            </numRef>
          </val>
          <smooth val="0"/>
        </ser>
        <ser>
          <idx val="3"/>
          <order val="3"/>
          <tx>
            <strRef>
              <f>Charts!$O$2</f>
              <strCache>
                <ptCount val="1"/>
                <pt idx="0">
                  <v>Cap (ttm)</v>
                </pt>
              </strCache>
            </strRef>
          </tx>
          <spPr>
            <a:ln xmlns:a="http://schemas.openxmlformats.org/drawingml/2006/main" w="28575" cap="rnd">
              <a:solidFill>
                <a:srgbClr val="003D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Charts!$B$23:$B$218</f>
              <numCache>
                <formatCode>[$-409]mmm\-yy;@</formatCode>
                <ptCount val="196"/>
                <pt idx="0">
                  <v>40057</v>
                </pt>
                <pt idx="1">
                  <v>40087</v>
                </pt>
                <pt idx="2">
                  <v>40118</v>
                </pt>
                <pt idx="3">
                  <v>40148</v>
                </pt>
                <pt idx="4">
                  <v>40179</v>
                </pt>
                <pt idx="5">
                  <v>40210</v>
                </pt>
                <pt idx="6">
                  <v>40238</v>
                </pt>
                <pt idx="7">
                  <v>40269</v>
                </pt>
                <pt idx="8">
                  <v>40299</v>
                </pt>
                <pt idx="9">
                  <v>40330</v>
                </pt>
                <pt idx="10">
                  <v>40360</v>
                </pt>
                <pt idx="11">
                  <v>40391</v>
                </pt>
                <pt idx="12">
                  <v>40422</v>
                </pt>
                <pt idx="13">
                  <v>40452</v>
                </pt>
                <pt idx="14">
                  <v>40483</v>
                </pt>
                <pt idx="15">
                  <v>40513</v>
                </pt>
                <pt idx="16">
                  <v>40544</v>
                </pt>
                <pt idx="17">
                  <v>40575</v>
                </pt>
                <pt idx="18">
                  <v>40603</v>
                </pt>
                <pt idx="19">
                  <v>40634</v>
                </pt>
                <pt idx="20">
                  <v>40664</v>
                </pt>
                <pt idx="21">
                  <v>40695</v>
                </pt>
                <pt idx="22">
                  <v>40725</v>
                </pt>
                <pt idx="23">
                  <v>40756</v>
                </pt>
                <pt idx="24">
                  <v>40787</v>
                </pt>
                <pt idx="25">
                  <v>40817</v>
                </pt>
                <pt idx="26">
                  <v>40848</v>
                </pt>
                <pt idx="27">
                  <v>40878</v>
                </pt>
                <pt idx="28">
                  <v>40909</v>
                </pt>
                <pt idx="29">
                  <v>40940</v>
                </pt>
                <pt idx="30">
                  <v>40969</v>
                </pt>
                <pt idx="31">
                  <v>41000</v>
                </pt>
                <pt idx="32">
                  <v>41030</v>
                </pt>
                <pt idx="33">
                  <v>41061</v>
                </pt>
                <pt idx="34">
                  <v>41091</v>
                </pt>
                <pt idx="35">
                  <v>41122</v>
                </pt>
                <pt idx="36">
                  <v>41153</v>
                </pt>
                <pt idx="37">
                  <v>41183</v>
                </pt>
                <pt idx="38">
                  <v>41214</v>
                </pt>
                <pt idx="39">
                  <v>41244</v>
                </pt>
                <pt idx="40">
                  <v>41275</v>
                </pt>
                <pt idx="41">
                  <v>41306</v>
                </pt>
                <pt idx="42">
                  <v>41334</v>
                </pt>
                <pt idx="43">
                  <v>41365</v>
                </pt>
                <pt idx="44">
                  <v>41395</v>
                </pt>
                <pt idx="45">
                  <v>41426</v>
                </pt>
                <pt idx="46">
                  <v>41456</v>
                </pt>
                <pt idx="47">
                  <v>41487</v>
                </pt>
                <pt idx="48">
                  <v>41518</v>
                </pt>
                <pt idx="49">
                  <v>41548</v>
                </pt>
                <pt idx="50">
                  <v>41579</v>
                </pt>
                <pt idx="51">
                  <v>41609</v>
                </pt>
                <pt idx="52">
                  <v>41640</v>
                </pt>
                <pt idx="53">
                  <v>41671</v>
                </pt>
                <pt idx="54">
                  <v>41699</v>
                </pt>
                <pt idx="55">
                  <v>41730</v>
                </pt>
                <pt idx="56">
                  <v>41760</v>
                </pt>
                <pt idx="57">
                  <v>41791</v>
                </pt>
                <pt idx="58">
                  <v>41821</v>
                </pt>
                <pt idx="59">
                  <v>41852</v>
                </pt>
                <pt idx="60">
                  <v>41883</v>
                </pt>
                <pt idx="61">
                  <v>41913</v>
                </pt>
                <pt idx="62">
                  <v>41944</v>
                </pt>
                <pt idx="63">
                  <v>41974</v>
                </pt>
                <pt idx="64">
                  <v>42005</v>
                </pt>
                <pt idx="65">
                  <v>42036</v>
                </pt>
                <pt idx="66">
                  <v>42064</v>
                </pt>
                <pt idx="67">
                  <v>42095</v>
                </pt>
                <pt idx="68">
                  <v>42125</v>
                </pt>
                <pt idx="69">
                  <v>42156</v>
                </pt>
                <pt idx="70">
                  <v>42186</v>
                </pt>
                <pt idx="71">
                  <v>42217</v>
                </pt>
                <pt idx="72">
                  <v>42248</v>
                </pt>
                <pt idx="73">
                  <v>42278</v>
                </pt>
                <pt idx="74">
                  <v>42309</v>
                </pt>
                <pt idx="75">
                  <v>42339</v>
                </pt>
                <pt idx="76">
                  <v>42370</v>
                </pt>
                <pt idx="77">
                  <v>42401</v>
                </pt>
                <pt idx="78">
                  <v>42430</v>
                </pt>
                <pt idx="79">
                  <v>42461</v>
                </pt>
                <pt idx="80">
                  <v>42491</v>
                </pt>
                <pt idx="81">
                  <v>42522</v>
                </pt>
                <pt idx="82">
                  <v>42552</v>
                </pt>
                <pt idx="83">
                  <v>42583</v>
                </pt>
                <pt idx="84">
                  <v>42614</v>
                </pt>
                <pt idx="85">
                  <v>42644</v>
                </pt>
                <pt idx="86">
                  <v>42675</v>
                </pt>
                <pt idx="87">
                  <v>42705</v>
                </pt>
                <pt idx="88">
                  <v>42736</v>
                </pt>
                <pt idx="89">
                  <v>42767</v>
                </pt>
                <pt idx="90">
                  <v>42795</v>
                </pt>
                <pt idx="91">
                  <v>42826</v>
                </pt>
                <pt idx="92">
                  <v>42856</v>
                </pt>
                <pt idx="93">
                  <v>42887</v>
                </pt>
                <pt idx="94">
                  <v>42917</v>
                </pt>
                <pt idx="95">
                  <v>42948</v>
                </pt>
                <pt idx="96">
                  <v>42979</v>
                </pt>
                <pt idx="97">
                  <v>43009</v>
                </pt>
                <pt idx="98">
                  <v>43040</v>
                </pt>
                <pt idx="99">
                  <v>43070</v>
                </pt>
                <pt idx="100">
                  <v>43101</v>
                </pt>
                <pt idx="101">
                  <v>43132</v>
                </pt>
                <pt idx="102">
                  <v>43160</v>
                </pt>
                <pt idx="103">
                  <v>43191</v>
                </pt>
                <pt idx="104">
                  <v>43221</v>
                </pt>
                <pt idx="105">
                  <v>43252</v>
                </pt>
                <pt idx="106">
                  <v>43282</v>
                </pt>
                <pt idx="107">
                  <v>43313</v>
                </pt>
                <pt idx="108">
                  <v>43344</v>
                </pt>
                <pt idx="109">
                  <v>43374</v>
                </pt>
                <pt idx="110">
                  <v>43405</v>
                </pt>
                <pt idx="111">
                  <v>43435</v>
                </pt>
                <pt idx="112">
                  <v>43466</v>
                </pt>
                <pt idx="113">
                  <v>43497</v>
                </pt>
                <pt idx="114">
                  <v>43525</v>
                </pt>
                <pt idx="115">
                  <v>43556</v>
                </pt>
                <pt idx="116">
                  <v>43586</v>
                </pt>
                <pt idx="117">
                  <v>43617</v>
                </pt>
                <pt idx="118">
                  <v>43647</v>
                </pt>
                <pt idx="119">
                  <v>43678</v>
                </pt>
                <pt idx="120">
                  <v>43709</v>
                </pt>
                <pt idx="121">
                  <v>43739</v>
                </pt>
                <pt idx="122">
                  <v>43770</v>
                </pt>
                <pt idx="123">
                  <v>43800</v>
                </pt>
                <pt idx="124">
                  <v>43831</v>
                </pt>
                <pt idx="125">
                  <v>43862</v>
                </pt>
                <pt idx="126">
                  <v>43891</v>
                </pt>
                <pt idx="127">
                  <v>43922</v>
                </pt>
                <pt idx="128">
                  <v>43952</v>
                </pt>
                <pt idx="129">
                  <v>43983</v>
                </pt>
                <pt idx="130">
                  <v>44013</v>
                </pt>
                <pt idx="131">
                  <v>44044</v>
                </pt>
                <pt idx="132">
                  <v>44075</v>
                </pt>
                <pt idx="133">
                  <v>44105</v>
                </pt>
                <pt idx="134">
                  <v>44136</v>
                </pt>
                <pt idx="135">
                  <v>44166</v>
                </pt>
                <pt idx="136">
                  <v>44197</v>
                </pt>
                <pt idx="137">
                  <v>44228</v>
                </pt>
                <pt idx="138">
                  <v>44256</v>
                </pt>
                <pt idx="139">
                  <v>44287</v>
                </pt>
                <pt idx="140">
                  <v>44317</v>
                </pt>
                <pt idx="141">
                  <v>44348</v>
                </pt>
                <pt idx="142">
                  <v>44378</v>
                </pt>
                <pt idx="143">
                  <v>44409</v>
                </pt>
                <pt idx="144">
                  <v>44440</v>
                </pt>
                <pt idx="145">
                  <v>44470</v>
                </pt>
                <pt idx="146">
                  <v>44501</v>
                </pt>
                <pt idx="147">
                  <v>44531</v>
                </pt>
                <pt idx="148">
                  <v>44562</v>
                </pt>
                <pt idx="149">
                  <v>44593</v>
                </pt>
                <pt idx="150">
                  <v>44621</v>
                </pt>
                <pt idx="151">
                  <v>44652</v>
                </pt>
                <pt idx="152">
                  <v>44682</v>
                </pt>
                <pt idx="153">
                  <v>44713</v>
                </pt>
                <pt idx="154">
                  <v>44743</v>
                </pt>
                <pt idx="155">
                  <v>44774</v>
                </pt>
                <pt idx="156">
                  <v>44805</v>
                </pt>
                <pt idx="157">
                  <v>44835</v>
                </pt>
                <pt idx="158">
                  <v>44866</v>
                </pt>
                <pt idx="159">
                  <v>44896</v>
                </pt>
                <pt idx="160">
                  <v>44927</v>
                </pt>
                <pt idx="161">
                  <v>44958</v>
                </pt>
                <pt idx="162">
                  <v>44986</v>
                </pt>
                <pt idx="163">
                  <v>45017</v>
                </pt>
                <pt idx="164">
                  <v>45047</v>
                </pt>
                <pt idx="165">
                  <v>45078</v>
                </pt>
                <pt idx="166">
                  <v>45108</v>
                </pt>
                <pt idx="167">
                  <v>45139</v>
                </pt>
                <pt idx="168">
                  <v>45170</v>
                </pt>
                <pt idx="169">
                  <v>45200</v>
                </pt>
                <pt idx="170">
                  <v>45231</v>
                </pt>
                <pt idx="171">
                  <v>45261</v>
                </pt>
                <pt idx="172">
                  <v>45292</v>
                </pt>
                <pt idx="173">
                  <v>45323</v>
                </pt>
                <pt idx="174">
                  <v>45352</v>
                </pt>
                <pt idx="175">
                  <v>45383</v>
                </pt>
                <pt idx="176">
                  <v>45413</v>
                </pt>
                <pt idx="177">
                  <v>45444</v>
                </pt>
                <pt idx="178">
                  <v>45474</v>
                </pt>
                <pt idx="179">
                  <v>45505</v>
                </pt>
                <pt idx="180">
                  <v>45536</v>
                </pt>
                <pt idx="181">
                  <v>45566</v>
                </pt>
                <pt idx="182">
                  <v>45597</v>
                </pt>
                <pt idx="183">
                  <v>45627</v>
                </pt>
                <pt idx="184">
                  <v>45658</v>
                </pt>
                <pt idx="185">
                  <v>45689</v>
                </pt>
                <pt idx="186">
                  <v>45717</v>
                </pt>
                <pt idx="187">
                  <v>45748</v>
                </pt>
                <pt idx="188">
                  <v>45778</v>
                </pt>
                <pt idx="189">
                  <v>45809</v>
                </pt>
                <pt idx="190">
                  <v>45839</v>
                </pt>
                <pt idx="191">
                  <v>45870</v>
                </pt>
                <pt idx="192">
                  <v>45901</v>
                </pt>
                <pt idx="193">
                  <v>45931</v>
                </pt>
                <pt idx="194">
                  <v>45962</v>
                </pt>
                <pt idx="195">
                  <v>45992</v>
                </pt>
              </numCache>
            </numRef>
          </cat>
          <val>
            <numRef>
              <f>Charts!$O$23:$O$218</f>
              <numCache>
                <formatCode>0.00%</formatCode>
                <ptCount val="196"/>
                <pt idx="0">
                  <v>0.08985198675898103</v>
                </pt>
                <pt idx="1">
                  <v>0.08985198675898103</v>
                </pt>
                <pt idx="2">
                  <v>0.09232018814618169</v>
                </pt>
                <pt idx="3">
                  <v>0.09173551824058548</v>
                </pt>
                <pt idx="4">
                  <v>0.09080589501550125</v>
                </pt>
                <pt idx="5">
                  <v>0.09000107451247974</v>
                </pt>
                <pt idx="6">
                  <v>0.0892942574619381</v>
                </pt>
                <pt idx="7">
                  <v>0.09209348840102756</v>
                </pt>
                <pt idx="8">
                  <v>0.09267156346462879</v>
                </pt>
                <pt idx="9">
                  <v>0.09173459208213007</v>
                </pt>
                <pt idx="10">
                  <v>0.09076784347564078</v>
                </pt>
                <pt idx="11">
                  <v>0.0888684468869932</v>
                </pt>
                <pt idx="12">
                  <v>0.08801621075574242</v>
                </pt>
                <pt idx="13">
                  <v>0.08801621075574242</v>
                </pt>
                <pt idx="14">
                  <v>0.08733572216030426</v>
                </pt>
                <pt idx="15">
                  <v>0.08734960031852868</v>
                </pt>
                <pt idx="16">
                  <v>0.08667209925203101</v>
                </pt>
                <pt idx="17">
                  <v>0.08619848471691517</v>
                </pt>
                <pt idx="18">
                  <v>0.08600187953131301</v>
                </pt>
                <pt idx="19">
                  <v>0.08385004037211771</v>
                </pt>
                <pt idx="20">
                  <v>0.08068313970246388</v>
                </pt>
                <pt idx="21">
                  <v>0.08091101062622551</v>
                </pt>
                <pt idx="22">
                  <v>0.08146033085134817</v>
                </pt>
                <pt idx="23">
                  <v>0.07959263540862814</v>
                </pt>
                <pt idx="24">
                  <v>0.07922929962497</v>
                </pt>
                <pt idx="25">
                  <v>0.07989329514792497</v>
                </pt>
                <pt idx="26">
                  <v>0.0823068039608479</v>
                </pt>
                <pt idx="27">
                  <v>0.08288759821632556</v>
                </pt>
                <pt idx="28">
                  <v>0.0832337416452265</v>
                </pt>
                <pt idx="29">
                  <v>0.08387163116167722</v>
                </pt>
                <pt idx="30">
                  <v>0.08234287718350282</v>
                </pt>
                <pt idx="31">
                  <v>0.08288747709946355</v>
                </pt>
                <pt idx="32">
                  <v>0.08263391048871174</v>
                </pt>
                <pt idx="33">
                  <v>0.08320252710539765</v>
                </pt>
                <pt idx="34">
                  <v>0.08365502710539764</v>
                </pt>
                <pt idx="35">
                  <v>0.08428015074611651</v>
                </pt>
                <pt idx="36">
                  <v>0.08474808085089458</v>
                </pt>
                <pt idx="37">
                  <v>0.08516580883422908</v>
                </pt>
                <pt idx="38">
                  <v>0.08388891841989096</v>
                </pt>
                <pt idx="39">
                  <v>0.08358850197495728</v>
                </pt>
                <pt idx="40">
                  <v>0.0825893104366828</v>
                </pt>
                <pt idx="41">
                  <v>0.08360681443836417</v>
                </pt>
                <pt idx="42">
                  <v>0.08657550509144164</v>
                </pt>
                <pt idx="43">
                  <v>0.08515081177365326</v>
                </pt>
                <pt idx="44">
                  <v>0.08587725779516087</v>
                </pt>
                <pt idx="45">
                  <v>0.08258673989403187</v>
                </pt>
                <pt idx="46">
                  <v>0.0799694508608866</v>
                </pt>
                <pt idx="47">
                  <v>0.07945012046467277</v>
                </pt>
                <pt idx="48">
                  <v>0.07866939860367991</v>
                </pt>
                <pt idx="49">
                  <v>0.07722834870135463</v>
                </pt>
                <pt idx="50">
                  <v>0.07771044579193213</v>
                </pt>
                <pt idx="51">
                  <v>0.07735376250449995</v>
                </pt>
                <pt idx="52">
                  <v>0.07712018846626133</v>
                </pt>
                <pt idx="53">
                  <v>0.07536899656322379</v>
                </pt>
                <pt idx="54">
                  <v>0.07516869705195682</v>
                </pt>
                <pt idx="55">
                  <v>0.07573462505009405</v>
                </pt>
                <pt idx="56">
                  <v>0.07572988234560674</v>
                </pt>
                <pt idx="57">
                  <v>0.07547970592667851</v>
                </pt>
                <pt idx="58">
                  <v>0.07570954982703806</v>
                </pt>
                <pt idx="59">
                  <v>0.07483594350407741</v>
                </pt>
                <pt idx="60">
                  <v>0.07522178758122013</v>
                </pt>
                <pt idx="61">
                  <v>0.07674188653603817</v>
                </pt>
                <pt idx="62">
                  <v>0.07651500120826121</v>
                </pt>
                <pt idx="63">
                  <v>0.07578944811142714</v>
                </pt>
                <pt idx="64">
                  <v>0.07450822623790057</v>
                </pt>
                <pt idx="65">
                  <v>0.0748212130163661</v>
                </pt>
                <pt idx="66">
                  <v>0.07447425807346346</v>
                </pt>
                <pt idx="67">
                  <v>0.07431879660813705</v>
                </pt>
                <pt idx="68">
                  <v>0.07395649127093133</v>
                </pt>
                <pt idx="69">
                  <v>0.07376579026901599</v>
                </pt>
                <pt idx="70">
                  <v>0.07444402444708222</v>
                </pt>
                <pt idx="71">
                  <v>0.07407061474846265</v>
                </pt>
                <pt idx="72">
                  <v>0.07377138182079936</v>
                </pt>
                <pt idx="73">
                  <v>0.07219740719728061</v>
                </pt>
                <pt idx="74">
                  <v>0.07278183707486016</v>
                </pt>
                <pt idx="75">
                  <v>0.07248550875479116</v>
                </pt>
                <pt idx="76">
                  <v>0.07368732842518112</v>
                </pt>
                <pt idx="77">
                  <v>0.07269789273557897</v>
                </pt>
                <pt idx="78">
                  <v>0.07274847467426293</v>
                </pt>
                <pt idx="79">
                  <v>0.07232024419439242</v>
                </pt>
                <pt idx="80">
                  <v>0.07213949064475951</v>
                </pt>
                <pt idx="81">
                  <v>0.07243831872765109</v>
                </pt>
                <pt idx="82">
                  <v>0.0718744353800746</v>
                </pt>
                <pt idx="83">
                  <v>0.07200063740510393</v>
                </pt>
                <pt idx="84">
                  <v>0.07128023235046271</v>
                </pt>
                <pt idx="85">
                  <v>0.0715512194989136</v>
                </pt>
                <pt idx="86">
                  <v>0.07041557969325238</v>
                </pt>
                <pt idx="87">
                  <v>0.07020398551158774</v>
                </pt>
                <pt idx="88">
                  <v>0.06923234112072375</v>
                </pt>
                <pt idx="89">
                  <v>0.06932853499538837</v>
                </pt>
                <pt idx="90">
                  <v>0.06923941036643801</v>
                </pt>
                <pt idx="91">
                  <v>0.06835581196593991</v>
                </pt>
                <pt idx="92">
                  <v>0.06857404418206207</v>
                </pt>
                <pt idx="93">
                  <v>0.06750235031800444</v>
                </pt>
                <pt idx="94">
                  <v>0.06669880172521735</v>
                </pt>
                <pt idx="95">
                  <v>0.06642241087247849</v>
                </pt>
                <pt idx="96">
                  <v>0.06694895432054268</v>
                </pt>
                <pt idx="97">
                  <v>0.06615594798175241</v>
                </pt>
                <pt idx="98">
                  <v>0.06525222911368257</v>
                </pt>
                <pt idx="99">
                  <v>0.06608462134072861</v>
                </pt>
                <pt idx="100">
                  <v>0.0668390277203094</v>
                </pt>
                <pt idx="101">
                  <v>0.06731239684323154</v>
                </pt>
                <pt idx="102">
                  <v>0.06707871764517764</v>
                </pt>
                <pt idx="103">
                  <v>0.06757194328125563</v>
                </pt>
                <pt idx="104">
                  <v>0.06709199324361101</v>
                </pt>
                <pt idx="105">
                  <v>0.06785217716473922</v>
                </pt>
                <pt idx="106">
                  <v>0.06749849396894056</v>
                </pt>
                <pt idx="107">
                  <v>0.06748711923169888</v>
                </pt>
                <pt idx="108">
                  <v>0.06741824607167178</v>
                </pt>
                <pt idx="109">
                  <v>0.06771948720514523</v>
                </pt>
                <pt idx="110">
                  <v>0.06798373044990387</v>
                </pt>
                <pt idx="111">
                  <v>0.0683879371231329</v>
                </pt>
                <pt idx="112">
                  <v>0.0677908251366976</v>
                </pt>
                <pt idx="113">
                  <v>0.0674439970848166</v>
                </pt>
                <pt idx="114">
                  <v>0.06770484588265294</v>
                </pt>
                <pt idx="115">
                  <v>0.06740550229920654</v>
                </pt>
                <pt idx="116">
                  <v>0.06748575348070879</v>
                </pt>
                <pt idx="117">
                  <v>0.06772911733217046</v>
                </pt>
                <pt idx="118">
                  <v>0.06864841476110145</v>
                </pt>
                <pt idx="119">
                  <v>0.06856459026697614</v>
                </pt>
                <pt idx="120">
                  <v>0.06856385990028772</v>
                </pt>
                <pt idx="121">
                  <v>0.06845057541756258</v>
                </pt>
                <pt idx="122">
                  <v>0.06907082310996231</v>
                </pt>
                <pt idx="123">
                  <v>0.06796765570071588</v>
                </pt>
                <pt idx="124">
                  <v>0.06793735017703435</v>
                </pt>
                <pt idx="125">
                  <v>0.06790814711936694</v>
                </pt>
                <pt idx="126">
                  <v>0.06796839592790678</v>
                </pt>
                <pt idx="127">
                  <v>0.06825116978453064</v>
                </pt>
                <pt idx="128">
                  <v>0.06850984905495079</v>
                </pt>
                <pt idx="129">
                  <v>0.06799111157999896</v>
                </pt>
                <pt idx="130">
                  <v>0.06761381853641917</v>
                </pt>
                <pt idx="131">
                  <v>0.06810909813358677</v>
                </pt>
                <pt idx="132">
                  <v>0.06767559504289941</v>
                </pt>
                <pt idx="133">
                  <v>0.06715470361753413</v>
                </pt>
                <pt idx="134">
                  <v>0.06675297879827767</v>
                </pt>
                <pt idx="135">
                  <v>0.06691854263676829</v>
                </pt>
                <pt idx="136">
                  <v>0.06721528827717387</v>
                </pt>
                <pt idx="137">
                  <v>0.0670016126929578</v>
                </pt>
                <pt idx="138">
                  <v>0.06664335207146974</v>
                </pt>
                <pt idx="139">
                  <v>0.06640436345153757</v>
                </pt>
                <pt idx="140">
                  <v>0.06641782212926005</v>
                </pt>
                <pt idx="141">
                  <v>0.06586278523147038</v>
                </pt>
                <pt idx="142">
                  <v>0.06554782215978457</v>
                </pt>
                <pt idx="143">
                  <v>0.06473700820923996</v>
                </pt>
                <pt idx="144">
                  <v>0.06464702772909438</v>
                </pt>
                <pt idx="145">
                  <v>0.06465933203855226</v>
                </pt>
                <pt idx="146">
                  <v>0.06414848323805783</v>
                </pt>
                <pt idx="147">
                  <v>0.06365503690673245</v>
                </pt>
                <pt idx="148">
                  <v>0.06292517746819148</v>
                </pt>
                <pt idx="149">
                  <v>0.06270783040301148</v>
                </pt>
                <pt idx="150">
                  <v>0.06251294350005461</v>
                </pt>
                <pt idx="151">
                  <v>0.06196223754029977</v>
                </pt>
                <pt idx="152">
                  <v>0.0611219150111189</v>
                </pt>
                <pt idx="153">
                  <v>0.06098750001853061</v>
                </pt>
                <pt idx="154">
                  <v>0.06067955218894338</v>
                </pt>
                <pt idx="155">
                  <v>0.06061497222932025</v>
                </pt>
                <pt idx="156">
                  <v>0.05972276366061087</v>
                </pt>
                <pt idx="157">
                  <v>0.05958662909321532</v>
                </pt>
                <pt idx="158">
                  <v>0.05976627815029072</v>
                </pt>
                <pt idx="159">
                  <v>0.05975421046592588</v>
                </pt>
                <pt idx="160">
                  <v>0.06068193557155058</v>
                </pt>
                <pt idx="161">
                  <v>0.06061565199454341</v>
                </pt>
                <pt idx="162">
                  <v>0.06090543413917997</v>
                </pt>
                <pt idx="163">
                  <v>0.06131357676180284</v>
                </pt>
                <pt idx="164">
                  <v>0.06184145854783223</v>
                </pt>
                <pt idx="165">
                  <v>0.0626425499822308</v>
                </pt>
                <pt idx="166">
                  <v>0.06298828847378626</v>
                </pt>
                <pt idx="167">
                  <v>0.06333728386511216</v>
                </pt>
                <pt idx="168">
                  <v>0.06577295700445765</v>
                </pt>
                <pt idx="169">
                  <v>0.06761934706891123</v>
                </pt>
                <pt idx="170">
                  <v>0.06822110438808224</v>
                </pt>
                <pt idx="171">
                  <v>0.06857331700864777</v>
                </pt>
                <pt idx="172">
                  <v>0.06804480592904615</v>
                </pt>
                <pt idx="173">
                  <v>0.06839395205582059</v>
                </pt>
                <pt idx="174">
                  <v>0.06855739401812153</v>
                </pt>
                <pt idx="175">
                  <v>0.06800970308277683</v>
                </pt>
                <pt idx="176">
                  <v>0.06889906108129741</v>
                </pt>
                <pt idx="177">
                  <v>0.06903774307629906</v>
                </pt>
                <pt idx="178">
                  <v>0.07009922595924239</v>
                </pt>
                <pt idx="179">
                  <v>0.07126942509260983</v>
                </pt>
                <pt idx="180">
                  <v>0.07081808643886894</v>
                </pt>
                <pt idx="181">
                  <v>0.07140708014331382</v>
                </pt>
                <pt idx="182">
                  <v>0.07212328935856348</v>
                </pt>
                <pt idx="183">
                  <v>0.07223199812456563</v>
                </pt>
                <pt idx="184">
                  <v>0.07314327329104096</v>
                </pt>
                <pt idx="185">
                  <v>0.07303608365278089</v>
                </pt>
                <pt idx="186">
                  <v>0.07338222713650767</v>
                </pt>
                <pt idx="187">
                  <v>0.07395566174542396</v>
                </pt>
                <pt idx="188">
                  <v>0.07451977969528215</v>
                </pt>
                <pt idx="189">
                  <v>0.073996329254925</v>
                </pt>
                <pt idx="190">
                  <v>0.07617727027486344</v>
                </pt>
                <pt idx="191">
                  <v>0.07634352008136983</v>
                </pt>
                <pt idx="192">
                  <v>0.07637743563308891</v>
                </pt>
                <pt idx="193">
                  <v>0.07554695432914431</v>
                </pt>
                <pt idx="194">
                  <v>0.0755048885769085</v>
                </pt>
                <pt idx="195">
                  <v>0.075689339818898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2512144"/>
        <axId val="182522960"/>
      </lineChart>
      <dateAx>
        <axId val="182512144"/>
        <scaling>
          <orientation val="minMax"/>
        </scaling>
        <delete val="0"/>
        <axPos val="b"/>
        <numFmt formatCode="[$-409]m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2522960"/>
        <crosses val="autoZero"/>
        <lblOffset val="100"/>
        <baseTimeUnit val="months"/>
        <majorUnit val="3"/>
      </dateAx>
      <valAx>
        <axId val="18252296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2512144"/>
        <crosses val="autoZero"/>
        <crossBetween val="between"/>
      </valAx>
    </plotArea>
    <legend>
      <legendPos val="b"/>
      <legendEntry>
        <idx val="1"/>
        <delete val="1"/>
      </legendEntry>
      <legendEntry>
        <idx val="2"/>
        <delete val="1"/>
      </legendEntry>
      <layout>
        <manualLayout>
          <xMode val="edge"/>
          <yMode val="edge"/>
          <wMode val="factor"/>
          <hMode val="factor"/>
          <x val="0.3641107361579802"/>
          <y val="0.8850151332434798"/>
          <w val="0.2717785276840395"/>
          <h val="0.107477359249012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9EA9B7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60" b="0" i="0" strike="noStrike" kern="1200" spc="0" baseline="0">
                <a:solidFill>
                  <a:srgbClr val="003DA5"/>
                </a:solidFill>
                <a:latin typeface="Futura PT Heavy" panose="020B0802020204020303" pitchFamily="34" charset="0"/>
                <a:ea typeface="+mn-ea"/>
                <a:cs typeface="+mn-cs"/>
              </a:defRPr>
            </a:pPr>
            <a:r>
              <a:rPr lang="en-US" b="0">
                <a:solidFill>
                  <a:srgbClr val="003DA5"/>
                </a:solidFill>
                <a:latin typeface="Futura PT Heavy" panose="020B0802020204020303" pitchFamily="34" charset="0"/>
              </a:rPr>
              <a:t>Y-O-Y Change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60" b="0" i="0" strike="noStrike" kern="1200" spc="0" baseline="0">
              <a:solidFill>
                <a:srgbClr val="003DA5"/>
              </a:solidFill>
              <a:latin typeface="Futura PT Heavy" panose="020B08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4139744480469353"/>
          <y val="0.1500452223877421"/>
          <w val="0.9492461573430773"/>
          <h val="0.6542167167167167"/>
        </manualLayout>
      </layout>
      <lineChart>
        <grouping val="standard"/>
        <varyColors val="0"/>
        <ser>
          <idx val="0"/>
          <order val="0"/>
          <tx>
            <strRef>
              <f>Charts!$G$2</f>
              <strCache>
                <ptCount val="1"/>
                <pt idx="0">
                  <v>Y-O-Y Change (%)</v>
                </pt>
              </strCache>
            </strRef>
          </tx>
          <spPr>
            <a:ln xmlns:a="http://schemas.openxmlformats.org/drawingml/2006/main" w="28575" cap="rnd">
              <a:solidFill>
                <a:srgbClr val="003D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9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27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4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5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69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7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80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003DA5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Charts!$B$38:$B$218</f>
              <numCache>
                <formatCode>[$-409]mmm\-yy;@</formatCode>
                <ptCount val="181"/>
                <pt idx="0">
                  <v>40513</v>
                </pt>
                <pt idx="1">
                  <v>40544</v>
                </pt>
                <pt idx="2">
                  <v>40575</v>
                </pt>
                <pt idx="3">
                  <v>40603</v>
                </pt>
                <pt idx="4">
                  <v>40634</v>
                </pt>
                <pt idx="5">
                  <v>40664</v>
                </pt>
                <pt idx="6">
                  <v>40695</v>
                </pt>
                <pt idx="7">
                  <v>40725</v>
                </pt>
                <pt idx="8">
                  <v>40756</v>
                </pt>
                <pt idx="9">
                  <v>40787</v>
                </pt>
                <pt idx="10">
                  <v>40817</v>
                </pt>
                <pt idx="11">
                  <v>40848</v>
                </pt>
                <pt idx="12">
                  <v>40878</v>
                </pt>
                <pt idx="13">
                  <v>40909</v>
                </pt>
                <pt idx="14">
                  <v>40940</v>
                </pt>
                <pt idx="15">
                  <v>40969</v>
                </pt>
                <pt idx="16">
                  <v>41000</v>
                </pt>
                <pt idx="17">
                  <v>41030</v>
                </pt>
                <pt idx="18">
                  <v>41061</v>
                </pt>
                <pt idx="19">
                  <v>41091</v>
                </pt>
                <pt idx="20">
                  <v>41122</v>
                </pt>
                <pt idx="21">
                  <v>41153</v>
                </pt>
                <pt idx="22">
                  <v>41183</v>
                </pt>
                <pt idx="23">
                  <v>41214</v>
                </pt>
                <pt idx="24">
                  <v>41244</v>
                </pt>
                <pt idx="25">
                  <v>41275</v>
                </pt>
                <pt idx="26">
                  <v>41306</v>
                </pt>
                <pt idx="27">
                  <v>41334</v>
                </pt>
                <pt idx="28">
                  <v>41365</v>
                </pt>
                <pt idx="29">
                  <v>41395</v>
                </pt>
                <pt idx="30">
                  <v>41426</v>
                </pt>
                <pt idx="31">
                  <v>41456</v>
                </pt>
                <pt idx="32">
                  <v>41487</v>
                </pt>
                <pt idx="33">
                  <v>41518</v>
                </pt>
                <pt idx="34">
                  <v>41548</v>
                </pt>
                <pt idx="35">
                  <v>41579</v>
                </pt>
                <pt idx="36">
                  <v>41609</v>
                </pt>
                <pt idx="37">
                  <v>41640</v>
                </pt>
                <pt idx="38">
                  <v>41671</v>
                </pt>
                <pt idx="39">
                  <v>41699</v>
                </pt>
                <pt idx="40">
                  <v>41730</v>
                </pt>
                <pt idx="41">
                  <v>41760</v>
                </pt>
                <pt idx="42">
                  <v>41791</v>
                </pt>
                <pt idx="43">
                  <v>41821</v>
                </pt>
                <pt idx="44">
                  <v>41852</v>
                </pt>
                <pt idx="45">
                  <v>41883</v>
                </pt>
                <pt idx="46">
                  <v>41913</v>
                </pt>
                <pt idx="47">
                  <v>41944</v>
                </pt>
                <pt idx="48">
                  <v>41974</v>
                </pt>
                <pt idx="49">
                  <v>42005</v>
                </pt>
                <pt idx="50">
                  <v>42036</v>
                </pt>
                <pt idx="51">
                  <v>42064</v>
                </pt>
                <pt idx="52">
                  <v>42095</v>
                </pt>
                <pt idx="53">
                  <v>42125</v>
                </pt>
                <pt idx="54">
                  <v>42156</v>
                </pt>
                <pt idx="55">
                  <v>42186</v>
                </pt>
                <pt idx="56">
                  <v>42217</v>
                </pt>
                <pt idx="57">
                  <v>42248</v>
                </pt>
                <pt idx="58">
                  <v>42278</v>
                </pt>
                <pt idx="59">
                  <v>42309</v>
                </pt>
                <pt idx="60">
                  <v>42339</v>
                </pt>
                <pt idx="61">
                  <v>42370</v>
                </pt>
                <pt idx="62">
                  <v>42401</v>
                </pt>
                <pt idx="63">
                  <v>42430</v>
                </pt>
                <pt idx="64">
                  <v>42461</v>
                </pt>
                <pt idx="65">
                  <v>42491</v>
                </pt>
                <pt idx="66">
                  <v>42522</v>
                </pt>
                <pt idx="67">
                  <v>42552</v>
                </pt>
                <pt idx="68">
                  <v>42583</v>
                </pt>
                <pt idx="69">
                  <v>42614</v>
                </pt>
                <pt idx="70">
                  <v>42644</v>
                </pt>
                <pt idx="71">
                  <v>42675</v>
                </pt>
                <pt idx="72">
                  <v>42705</v>
                </pt>
                <pt idx="73">
                  <v>42736</v>
                </pt>
                <pt idx="74">
                  <v>42767</v>
                </pt>
                <pt idx="75">
                  <v>42795</v>
                </pt>
                <pt idx="76">
                  <v>42826</v>
                </pt>
                <pt idx="77">
                  <v>42856</v>
                </pt>
                <pt idx="78">
                  <v>42887</v>
                </pt>
                <pt idx="79">
                  <v>42917</v>
                </pt>
                <pt idx="80">
                  <v>42948</v>
                </pt>
                <pt idx="81">
                  <v>42979</v>
                </pt>
                <pt idx="82">
                  <v>43009</v>
                </pt>
                <pt idx="83">
                  <v>43040</v>
                </pt>
                <pt idx="84">
                  <v>43070</v>
                </pt>
                <pt idx="85">
                  <v>43101</v>
                </pt>
                <pt idx="86">
                  <v>43132</v>
                </pt>
                <pt idx="87">
                  <v>43160</v>
                </pt>
                <pt idx="88">
                  <v>43191</v>
                </pt>
                <pt idx="89">
                  <v>43221</v>
                </pt>
                <pt idx="90">
                  <v>43252</v>
                </pt>
                <pt idx="91">
                  <v>43282</v>
                </pt>
                <pt idx="92">
                  <v>43313</v>
                </pt>
                <pt idx="93">
                  <v>43344</v>
                </pt>
                <pt idx="94">
                  <v>43374</v>
                </pt>
                <pt idx="95">
                  <v>43405</v>
                </pt>
                <pt idx="96">
                  <v>43435</v>
                </pt>
                <pt idx="97">
                  <v>43466</v>
                </pt>
                <pt idx="98">
                  <v>43497</v>
                </pt>
                <pt idx="99">
                  <v>43525</v>
                </pt>
                <pt idx="100">
                  <v>43556</v>
                </pt>
                <pt idx="101">
                  <v>43586</v>
                </pt>
                <pt idx="102">
                  <v>43617</v>
                </pt>
                <pt idx="103">
                  <v>43647</v>
                </pt>
                <pt idx="104">
                  <v>43678</v>
                </pt>
                <pt idx="105">
                  <v>43709</v>
                </pt>
                <pt idx="106">
                  <v>43739</v>
                </pt>
                <pt idx="107">
                  <v>43770</v>
                </pt>
                <pt idx="108">
                  <v>43800</v>
                </pt>
                <pt idx="109">
                  <v>43831</v>
                </pt>
                <pt idx="110">
                  <v>43862</v>
                </pt>
                <pt idx="111">
                  <v>43891</v>
                </pt>
                <pt idx="112">
                  <v>43922</v>
                </pt>
                <pt idx="113">
                  <v>43952</v>
                </pt>
                <pt idx="114">
                  <v>43983</v>
                </pt>
                <pt idx="115">
                  <v>44013</v>
                </pt>
                <pt idx="116">
                  <v>44044</v>
                </pt>
                <pt idx="117">
                  <v>44075</v>
                </pt>
                <pt idx="118">
                  <v>44105</v>
                </pt>
                <pt idx="119">
                  <v>44136</v>
                </pt>
                <pt idx="120">
                  <v>44166</v>
                </pt>
                <pt idx="121">
                  <v>44197</v>
                </pt>
                <pt idx="122">
                  <v>44228</v>
                </pt>
                <pt idx="123">
                  <v>44256</v>
                </pt>
                <pt idx="124">
                  <v>44287</v>
                </pt>
                <pt idx="125">
                  <v>44317</v>
                </pt>
                <pt idx="126">
                  <v>44348</v>
                </pt>
                <pt idx="127">
                  <v>44378</v>
                </pt>
                <pt idx="128">
                  <v>44409</v>
                </pt>
                <pt idx="129">
                  <v>44440</v>
                </pt>
                <pt idx="130">
                  <v>44470</v>
                </pt>
                <pt idx="131">
                  <v>44501</v>
                </pt>
                <pt idx="132">
                  <v>44531</v>
                </pt>
                <pt idx="133">
                  <v>44562</v>
                </pt>
                <pt idx="134">
                  <v>44593</v>
                </pt>
                <pt idx="135">
                  <v>44621</v>
                </pt>
                <pt idx="136">
                  <v>44652</v>
                </pt>
                <pt idx="137">
                  <v>44682</v>
                </pt>
                <pt idx="138">
                  <v>44713</v>
                </pt>
                <pt idx="139">
                  <v>44743</v>
                </pt>
                <pt idx="140">
                  <v>44774</v>
                </pt>
                <pt idx="141">
                  <v>44805</v>
                </pt>
                <pt idx="142">
                  <v>44835</v>
                </pt>
                <pt idx="143">
                  <v>44866</v>
                </pt>
                <pt idx="144">
                  <v>44896</v>
                </pt>
                <pt idx="145">
                  <v>44927</v>
                </pt>
                <pt idx="146">
                  <v>44958</v>
                </pt>
                <pt idx="147">
                  <v>44986</v>
                </pt>
                <pt idx="148">
                  <v>45017</v>
                </pt>
                <pt idx="149">
                  <v>45047</v>
                </pt>
                <pt idx="150">
                  <v>45078</v>
                </pt>
                <pt idx="151">
                  <v>45108</v>
                </pt>
                <pt idx="152">
                  <v>45139</v>
                </pt>
                <pt idx="153">
                  <v>45170</v>
                </pt>
                <pt idx="154">
                  <v>45200</v>
                </pt>
                <pt idx="155">
                  <v>45231</v>
                </pt>
                <pt idx="156">
                  <v>45261</v>
                </pt>
                <pt idx="157">
                  <v>45292</v>
                </pt>
                <pt idx="158">
                  <v>45323</v>
                </pt>
                <pt idx="159">
                  <v>45352</v>
                </pt>
                <pt idx="160">
                  <v>45383</v>
                </pt>
                <pt idx="161">
                  <v>45413</v>
                </pt>
                <pt idx="162">
                  <v>45444</v>
                </pt>
                <pt idx="163">
                  <v>45474</v>
                </pt>
                <pt idx="164">
                  <v>45505</v>
                </pt>
                <pt idx="165">
                  <v>45536</v>
                </pt>
                <pt idx="166">
                  <v>45566</v>
                </pt>
                <pt idx="167">
                  <v>45597</v>
                </pt>
                <pt idx="168">
                  <v>45627</v>
                </pt>
                <pt idx="169">
                  <v>45658</v>
                </pt>
                <pt idx="170">
                  <v>45689</v>
                </pt>
                <pt idx="171">
                  <v>45717</v>
                </pt>
                <pt idx="172">
                  <v>45748</v>
                </pt>
                <pt idx="173">
                  <v>45778</v>
                </pt>
                <pt idx="174">
                  <v>45809</v>
                </pt>
                <pt idx="175">
                  <v>45839</v>
                </pt>
                <pt idx="176">
                  <v>45870</v>
                </pt>
                <pt idx="177">
                  <v>45901</v>
                </pt>
                <pt idx="178">
                  <v>45931</v>
                </pt>
                <pt idx="179">
                  <v>45962</v>
                </pt>
                <pt idx="180">
                  <v>45992</v>
                </pt>
              </numCache>
            </numRef>
          </cat>
          <val>
            <numRef>
              <f>Charts!$G$38:$G$218</f>
              <numCache>
                <formatCode>0%</formatCode>
                <ptCount val="181"/>
                <pt idx="0">
                  <v>1.783800177362211</v>
                </pt>
                <pt idx="1">
                  <v>1.447473016110753</v>
                </pt>
                <pt idx="2">
                  <v>1.124415972635407</v>
                </pt>
                <pt idx="3">
                  <v>0.7057681140682746</v>
                </pt>
                <pt idx="4">
                  <v>0.8346452983521117</v>
                </pt>
                <pt idx="5">
                  <v>1.060240775322568</v>
                </pt>
                <pt idx="6">
                  <v>0.9575793010269495</v>
                </pt>
                <pt idx="7">
                  <v>0.2885778437894487</v>
                </pt>
                <pt idx="8">
                  <v>0.3225706453909896</v>
                </pt>
                <pt idx="9">
                  <v>0.3088895277098627</v>
                </pt>
                <pt idx="10">
                  <v>0.416043487874628</v>
                </pt>
                <pt idx="11">
                  <v>0.4069969826955261</v>
                </pt>
                <pt idx="12">
                  <v>0.6745122113400702</v>
                </pt>
                <pt idx="13">
                  <v>0.6967661934106145</v>
                </pt>
                <pt idx="14">
                  <v>0.9128383255963072</v>
                </pt>
                <pt idx="15">
                  <v>1.074743331336943</v>
                </pt>
                <pt idx="16">
                  <v>0.9479908379919347</v>
                </pt>
                <pt idx="17">
                  <v>0.8218231890541956</v>
                </pt>
                <pt idx="18">
                  <v>0.8864625250823256</v>
                </pt>
                <pt idx="19">
                  <v>0.7211596888831976</v>
                </pt>
                <pt idx="20">
                  <v>0.573172600888731</v>
                </pt>
                <pt idx="21">
                  <v>0.4495934336251485</v>
                </pt>
                <pt idx="22">
                  <v>0.2289206467848073</v>
                </pt>
                <pt idx="23">
                  <v>0.03853139486507147</v>
                </pt>
                <pt idx="24">
                  <v>-0.1093892500587296</v>
                </pt>
                <pt idx="25">
                  <v>-0.131402296670506</v>
                </pt>
                <pt idx="26">
                  <v>-0.2150299636567825</v>
                </pt>
                <pt idx="27">
                  <v>-0.2247675435391485</v>
                </pt>
                <pt idx="28">
                  <v>-0.2791109440027075</v>
                </pt>
                <pt idx="29">
                  <v>-0.2074176868791798</v>
                </pt>
                <pt idx="30">
                  <v>-0.08073854711321674</v>
                </pt>
                <pt idx="31">
                  <v>0.1022541234317345</v>
                </pt>
                <pt idx="32">
                  <v>0.2093598082839095</v>
                </pt>
                <pt idx="33">
                  <v>0.2778878817406194</v>
                </pt>
                <pt idx="34">
                  <v>0.3761524939755929</v>
                </pt>
                <pt idx="35">
                  <v>0.6537257735414961</v>
                </pt>
                <pt idx="36">
                  <v>0.6918442352640173</v>
                </pt>
                <pt idx="37">
                  <v>0.7402157559887205</v>
                </pt>
                <pt idx="38">
                  <v>0.8085387902841487</v>
                </pt>
                <pt idx="39">
                  <v>0.8012987759192789</v>
                </pt>
                <pt idx="40">
                  <v>0.8178351465015927</v>
                </pt>
                <pt idx="41">
                  <v>0.6408649242403046</v>
                </pt>
                <pt idx="42">
                  <v>0.5269383407166517</v>
                </pt>
                <pt idx="43">
                  <v>0.3794810329331565</v>
                </pt>
                <pt idx="44">
                  <v>0.4183154243337539</v>
                </pt>
                <pt idx="45">
                  <v>0.4579871105317277</v>
                </pt>
                <pt idx="46">
                  <v>0.3592833901867978</v>
                </pt>
                <pt idx="47">
                  <v>0.275116449285731</v>
                </pt>
                <pt idx="48">
                  <v>0.549899873583481</v>
                </pt>
                <pt idx="49">
                  <v>0.6951370977164381</v>
                </pt>
                <pt idx="50">
                  <v>0.6424327437137278</v>
                </pt>
                <pt idx="51">
                  <v>0.6540436336517267</v>
                </pt>
                <pt idx="52">
                  <v>0.7190317104407028</v>
                </pt>
                <pt idx="53">
                  <v>0.5480733092051651</v>
                </pt>
                <pt idx="54">
                  <v>0.5799724762790728</v>
                </pt>
                <pt idx="55">
                  <v>0.4960369089781262</v>
                </pt>
                <pt idx="56">
                  <v>0.5078229560264589</v>
                </pt>
                <pt idx="57">
                  <v>0.453721119810699</v>
                </pt>
                <pt idx="58">
                  <v>0.5281284287363739</v>
                </pt>
                <pt idx="59">
                  <v>0.3452583502281377</v>
                </pt>
                <pt idx="60">
                  <v>0.1616833069806378</v>
                </pt>
                <pt idx="61">
                  <v>0.1512167207215599</v>
                </pt>
                <pt idx="62">
                  <v>0.1586022403985991</v>
                </pt>
                <pt idx="63">
                  <v>0.1602862795315241</v>
                </pt>
                <pt idx="64">
                  <v>0.2096843561687387</v>
                </pt>
                <pt idx="65">
                  <v>0.3605256972067007</v>
                </pt>
                <pt idx="66">
                  <v>0.4088813335443988</v>
                </pt>
                <pt idx="67">
                  <v>0.3417636728589574</v>
                </pt>
                <pt idx="68">
                  <v>0.2928779952284174</v>
                </pt>
                <pt idx="69">
                  <v>0.2806653587200659</v>
                </pt>
                <pt idx="70">
                  <v>0.4001806286808112</v>
                </pt>
                <pt idx="71">
                  <v>0.491979452967758</v>
                </pt>
                <pt idx="72">
                  <v>0.5024308442058378</v>
                </pt>
                <pt idx="73">
                  <v>0.5473166718957323</v>
                </pt>
                <pt idx="74">
                  <v>0.498513755015334</v>
                </pt>
                <pt idx="75">
                  <v>0.5045542411591549</v>
                </pt>
                <pt idx="76">
                  <v>0.4663119993543026</v>
                </pt>
                <pt idx="77">
                  <v>0.4615992555254756</v>
                </pt>
                <pt idx="78">
                  <v>0.4818138495952938</v>
                </pt>
                <pt idx="79">
                  <v>0.6207147016504393</v>
                </pt>
                <pt idx="80">
                  <v>0.6417861606350169</v>
                </pt>
                <pt idx="81">
                  <v>0.4948222734396466</v>
                </pt>
                <pt idx="82">
                  <v>0.3243003302639582</v>
                </pt>
                <pt idx="83">
                  <v>0.39249284869148</v>
                </pt>
                <pt idx="84">
                  <v>0.365514969172603</v>
                </pt>
                <pt idx="85">
                  <v>0.3001034818394815</v>
                </pt>
                <pt idx="86">
                  <v>0.3147948613785069</v>
                </pt>
                <pt idx="87">
                  <v>0.2512985491371524</v>
                </pt>
                <pt idx="88">
                  <v>0.1759802210572724</v>
                </pt>
                <pt idx="89">
                  <v>0.191275633404811</v>
                </pt>
                <pt idx="90">
                  <v>0.4069843238612094</v>
                </pt>
                <pt idx="91">
                  <v>0.3531058033697972</v>
                </pt>
                <pt idx="92">
                  <v>0.3638035366999461</v>
                </pt>
                <pt idx="93">
                  <v>0.3738479634147236</v>
                </pt>
                <pt idx="94">
                  <v>0.3990906461484948</v>
                </pt>
                <pt idx="95">
                  <v>0.3019028856138732</v>
                </pt>
                <pt idx="96">
                  <v>0.2905895976340386</v>
                </pt>
                <pt idx="97">
                  <v>0.3981480157162935</v>
                </pt>
                <pt idx="98">
                  <v>0.3113162882391534</v>
                </pt>
                <pt idx="99">
                  <v>0.3064517866693317</v>
                </pt>
                <pt idx="100">
                  <v>0.2673855436213828</v>
                </pt>
                <pt idx="101">
                  <v>-0.02051522427995274</v>
                </pt>
                <pt idx="102">
                  <v>-0.1470541783638765</v>
                </pt>
                <pt idx="103">
                  <v>-0.1135968674834067</v>
                </pt>
                <pt idx="104">
                  <v>-0.08895699334336539</v>
                </pt>
                <pt idx="105">
                  <v>-0.0449562480116935</v>
                </pt>
                <pt idx="106">
                  <v>0.06853407684096978</v>
                </pt>
                <pt idx="107">
                  <v>0.0837608394853378</v>
                </pt>
                <pt idx="108">
                  <v>0.007502390814584371</v>
                </pt>
                <pt idx="109">
                  <v>-0.02212608383655796</v>
                </pt>
                <pt idx="110">
                  <v>0.005308673083022907</v>
                </pt>
                <pt idx="111">
                  <v>0.03748226438958491</v>
                </pt>
                <pt idx="112">
                  <v>0.05069595393551968</v>
                </pt>
                <pt idx="113">
                  <v>0.2177265256442935</v>
                </pt>
                <pt idx="114">
                  <v>0.1722661863431794</v>
                </pt>
                <pt idx="115">
                  <v>0.1240810855652475</v>
                </pt>
                <pt idx="116">
                  <v>0.04085441788792033</v>
                </pt>
                <pt idx="117">
                  <v>-0.04486427987643522</v>
                </pt>
                <pt idx="118">
                  <v>-0.1548972598249087</v>
                </pt>
                <pt idx="119">
                  <v>-0.1468710231262865</v>
                </pt>
                <pt idx="120">
                  <v>-0.05562909683337237</v>
                </pt>
                <pt idx="121">
                  <v>-0.1178249980849139</v>
                </pt>
                <pt idx="122">
                  <v>-0.1594293953875456</v>
                </pt>
                <pt idx="123">
                  <v>-0.1193616194129672</v>
                </pt>
                <pt idx="124">
                  <v>-0.09159803775843117</v>
                </pt>
                <pt idx="125">
                  <v>-0.09041568931195713</v>
                </pt>
                <pt idx="126">
                  <v>-0.06465880849061766</v>
                </pt>
                <pt idx="127">
                  <v>-0.05248558102599891</v>
                </pt>
                <pt idx="128">
                  <v>-0.006205611293776912</v>
                </pt>
                <pt idx="129">
                  <v>0.1262518119154229</v>
                </pt>
                <pt idx="130">
                  <v>0.09813109065645252</v>
                </pt>
                <pt idx="131">
                  <v>0.04344567127033228</v>
                </pt>
                <pt idx="132">
                  <v>0.09640329940839268</v>
                </pt>
                <pt idx="133">
                  <v>0.1976134702464063</v>
                </pt>
                <pt idx="134">
                  <v>0.316300284181573</v>
                </pt>
                <pt idx="135">
                  <v>0.2172413317869785</v>
                </pt>
                <pt idx="136">
                  <v>0.1973422783593444</v>
                </pt>
                <pt idx="137">
                  <v>0.1944578131192901</v>
                </pt>
                <pt idx="138">
                  <v>0.163207600540826</v>
                </pt>
                <pt idx="139">
                  <v>0.1225124977208318</v>
                </pt>
                <pt idx="140">
                  <v>0.1298938653141934</v>
                </pt>
                <pt idx="141">
                  <v>0.1679284637439208</v>
                </pt>
                <pt idx="142">
                  <v>0.1993547630358357</v>
                </pt>
                <pt idx="143">
                  <v>0.2122174235850487</v>
                </pt>
                <pt idx="144">
                  <v>0.07123633047036108</v>
                </pt>
                <pt idx="145">
                  <v>-0.1141736428859004</v>
                </pt>
                <pt idx="146">
                  <v>-0.1672845928994423</v>
                </pt>
                <pt idx="147">
                  <v>-0.2086320241657827</v>
                </pt>
                <pt idx="148">
                  <v>-0.2305973320150861</v>
                </pt>
                <pt idx="149">
                  <v>-0.236629902223209</v>
                </pt>
                <pt idx="150">
                  <v>-0.2758815459535025</v>
                </pt>
                <pt idx="151">
                  <v>-0.3434141318108182</v>
                </pt>
                <pt idx="152">
                  <v>-0.4048572509344828</v>
                </pt>
                <pt idx="153">
                  <v>-0.4802433447678422</v>
                </pt>
                <pt idx="154">
                  <v>-0.5257410488463093</v>
                </pt>
                <pt idx="155">
                  <v>-0.5224369357306583</v>
                </pt>
                <pt idx="156">
                  <v>-0.4977783771205643</v>
                </pt>
                <pt idx="157">
                  <v>-0.4370892651118288</v>
                </pt>
                <pt idx="158">
                  <v>-0.3748874830747769</v>
                </pt>
                <pt idx="159">
                  <v>-0.3617665681965477</v>
                </pt>
                <pt idx="160">
                  <v>-0.3252711435357136</v>
                </pt>
                <pt idx="161">
                  <v>-0.3640403132435956</v>
                </pt>
                <pt idx="162">
                  <v>-0.3364265659671829</v>
                </pt>
                <pt idx="163">
                  <v>-0.3023703826286174</v>
                </pt>
                <pt idx="164">
                  <v>-0.3273309665807525</v>
                </pt>
                <pt idx="165">
                  <v>-0.3098124225238825</v>
                </pt>
                <pt idx="166">
                  <v>-0.2776753435790417</v>
                </pt>
                <pt idx="167">
                  <v>-0.2978338999634719</v>
                </pt>
                <pt idx="168">
                  <v>-0.2129725941260556</v>
                </pt>
                <pt idx="169">
                  <v>-0.2209537462157841</v>
                </pt>
                <pt idx="170">
                  <v>-0.2682752419476624</v>
                </pt>
                <pt idx="171">
                  <v>-0.2753398010328424</v>
                </pt>
                <pt idx="172">
                  <v>-0.2629017722256243</v>
                </pt>
                <pt idx="173">
                  <v>-0.1306895829262724</v>
                </pt>
                <pt idx="174">
                  <v>-0.03683465837914743</v>
                </pt>
                <pt idx="175">
                  <v>0.1185956153423241</v>
                </pt>
                <pt idx="176">
                  <v>0.2512358756357175</v>
                </pt>
                <pt idx="177">
                  <v>0.3324524498159449</v>
                </pt>
                <pt idx="178">
                  <v>0.3772743712047399</v>
                </pt>
                <pt idx="179">
                  <v>0.2318515646267449</v>
                </pt>
                <pt idx="180">
                  <v>0.1162548702244534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0934255"/>
        <axId val="140950895"/>
      </lineChart>
      <dateAx>
        <axId val="140934255"/>
        <scaling>
          <orientation val="minMax"/>
        </scaling>
        <delete val="0"/>
        <axPos val="b"/>
        <numFmt formatCode="[$-409]mmm\-yy;@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6350" cap="flat" cmpd="sng" algn="ctr">
            <a:solidFill>
              <a:srgbClr val="9EA9B7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0950895"/>
        <crosses val="autoZero"/>
        <lblOffset val="100"/>
        <baseTimeUnit val="months"/>
        <majorUnit val="3"/>
      </dateAx>
      <valAx>
        <axId val="14095089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0934255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60" b="0" i="0" strike="noStrike" kern="1200" spc="0" baseline="0">
              <a:solidFill>
                <a:srgbClr val="003DA5"/>
              </a:solidFill>
              <a:latin typeface="Futura PT Heavy" panose="020B08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5325580878585395"/>
          <y val="0.1429045601755921"/>
          <w val="0.9374767988413799"/>
          <h val="0.6578333410078127"/>
        </manualLayout>
      </layout>
      <barChart>
        <barDir val="col"/>
        <grouping val="clustered"/>
        <varyColors val="0"/>
        <ser>
          <idx val="0"/>
          <order val="0"/>
          <tx>
            <strRef>
              <f>Charts!$I$2</f>
              <strCache>
                <ptCount val="1"/>
                <pt idx="0">
                  <v>Quarterly Volume</v>
                </pt>
              </strCache>
            </strRef>
          </tx>
          <spPr>
            <a:solidFill xmlns:a="http://schemas.openxmlformats.org/drawingml/2006/main">
              <a:srgbClr val="003DA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Charts!$B$38:$B$218</f>
              <numCache>
                <formatCode>[$-409]mmm\-yy;@</formatCode>
                <ptCount val="181"/>
                <pt idx="0">
                  <v>40513</v>
                </pt>
                <pt idx="1">
                  <v>40544</v>
                </pt>
                <pt idx="2">
                  <v>40575</v>
                </pt>
                <pt idx="3">
                  <v>40603</v>
                </pt>
                <pt idx="4">
                  <v>40634</v>
                </pt>
                <pt idx="5">
                  <v>40664</v>
                </pt>
                <pt idx="6">
                  <v>40695</v>
                </pt>
                <pt idx="7">
                  <v>40725</v>
                </pt>
                <pt idx="8">
                  <v>40756</v>
                </pt>
                <pt idx="9">
                  <v>40787</v>
                </pt>
                <pt idx="10">
                  <v>40817</v>
                </pt>
                <pt idx="11">
                  <v>40848</v>
                </pt>
                <pt idx="12">
                  <v>40878</v>
                </pt>
                <pt idx="13">
                  <v>40909</v>
                </pt>
                <pt idx="14">
                  <v>40940</v>
                </pt>
                <pt idx="15">
                  <v>40969</v>
                </pt>
                <pt idx="16">
                  <v>41000</v>
                </pt>
                <pt idx="17">
                  <v>41030</v>
                </pt>
                <pt idx="18">
                  <v>41061</v>
                </pt>
                <pt idx="19">
                  <v>41091</v>
                </pt>
                <pt idx="20">
                  <v>41122</v>
                </pt>
                <pt idx="21">
                  <v>41153</v>
                </pt>
                <pt idx="22">
                  <v>41183</v>
                </pt>
                <pt idx="23">
                  <v>41214</v>
                </pt>
                <pt idx="24">
                  <v>41244</v>
                </pt>
                <pt idx="25">
                  <v>41275</v>
                </pt>
                <pt idx="26">
                  <v>41306</v>
                </pt>
                <pt idx="27">
                  <v>41334</v>
                </pt>
                <pt idx="28">
                  <v>41365</v>
                </pt>
                <pt idx="29">
                  <v>41395</v>
                </pt>
                <pt idx="30">
                  <v>41426</v>
                </pt>
                <pt idx="31">
                  <v>41456</v>
                </pt>
                <pt idx="32">
                  <v>41487</v>
                </pt>
                <pt idx="33">
                  <v>41518</v>
                </pt>
                <pt idx="34">
                  <v>41548</v>
                </pt>
                <pt idx="35">
                  <v>41579</v>
                </pt>
                <pt idx="36">
                  <v>41609</v>
                </pt>
                <pt idx="37">
                  <v>41640</v>
                </pt>
                <pt idx="38">
                  <v>41671</v>
                </pt>
                <pt idx="39">
                  <v>41699</v>
                </pt>
                <pt idx="40">
                  <v>41730</v>
                </pt>
                <pt idx="41">
                  <v>41760</v>
                </pt>
                <pt idx="42">
                  <v>41791</v>
                </pt>
                <pt idx="43">
                  <v>41821</v>
                </pt>
                <pt idx="44">
                  <v>41852</v>
                </pt>
                <pt idx="45">
                  <v>41883</v>
                </pt>
                <pt idx="46">
                  <v>41913</v>
                </pt>
                <pt idx="47">
                  <v>41944</v>
                </pt>
                <pt idx="48">
                  <v>41974</v>
                </pt>
                <pt idx="49">
                  <v>42005</v>
                </pt>
                <pt idx="50">
                  <v>42036</v>
                </pt>
                <pt idx="51">
                  <v>42064</v>
                </pt>
                <pt idx="52">
                  <v>42095</v>
                </pt>
                <pt idx="53">
                  <v>42125</v>
                </pt>
                <pt idx="54">
                  <v>42156</v>
                </pt>
                <pt idx="55">
                  <v>42186</v>
                </pt>
                <pt idx="56">
                  <v>42217</v>
                </pt>
                <pt idx="57">
                  <v>42248</v>
                </pt>
                <pt idx="58">
                  <v>42278</v>
                </pt>
                <pt idx="59">
                  <v>42309</v>
                </pt>
                <pt idx="60">
                  <v>42339</v>
                </pt>
                <pt idx="61">
                  <v>42370</v>
                </pt>
                <pt idx="62">
                  <v>42401</v>
                </pt>
                <pt idx="63">
                  <v>42430</v>
                </pt>
                <pt idx="64">
                  <v>42461</v>
                </pt>
                <pt idx="65">
                  <v>42491</v>
                </pt>
                <pt idx="66">
                  <v>42522</v>
                </pt>
                <pt idx="67">
                  <v>42552</v>
                </pt>
                <pt idx="68">
                  <v>42583</v>
                </pt>
                <pt idx="69">
                  <v>42614</v>
                </pt>
                <pt idx="70">
                  <v>42644</v>
                </pt>
                <pt idx="71">
                  <v>42675</v>
                </pt>
                <pt idx="72">
                  <v>42705</v>
                </pt>
                <pt idx="73">
                  <v>42736</v>
                </pt>
                <pt idx="74">
                  <v>42767</v>
                </pt>
                <pt idx="75">
                  <v>42795</v>
                </pt>
                <pt idx="76">
                  <v>42826</v>
                </pt>
                <pt idx="77">
                  <v>42856</v>
                </pt>
                <pt idx="78">
                  <v>42887</v>
                </pt>
                <pt idx="79">
                  <v>42917</v>
                </pt>
                <pt idx="80">
                  <v>42948</v>
                </pt>
                <pt idx="81">
                  <v>42979</v>
                </pt>
                <pt idx="82">
                  <v>43009</v>
                </pt>
                <pt idx="83">
                  <v>43040</v>
                </pt>
                <pt idx="84">
                  <v>43070</v>
                </pt>
                <pt idx="85">
                  <v>43101</v>
                </pt>
                <pt idx="86">
                  <v>43132</v>
                </pt>
                <pt idx="87">
                  <v>43160</v>
                </pt>
                <pt idx="88">
                  <v>43191</v>
                </pt>
                <pt idx="89">
                  <v>43221</v>
                </pt>
                <pt idx="90">
                  <v>43252</v>
                </pt>
                <pt idx="91">
                  <v>43282</v>
                </pt>
                <pt idx="92">
                  <v>43313</v>
                </pt>
                <pt idx="93">
                  <v>43344</v>
                </pt>
                <pt idx="94">
                  <v>43374</v>
                </pt>
                <pt idx="95">
                  <v>43405</v>
                </pt>
                <pt idx="96">
                  <v>43435</v>
                </pt>
                <pt idx="97">
                  <v>43466</v>
                </pt>
                <pt idx="98">
                  <v>43497</v>
                </pt>
                <pt idx="99">
                  <v>43525</v>
                </pt>
                <pt idx="100">
                  <v>43556</v>
                </pt>
                <pt idx="101">
                  <v>43586</v>
                </pt>
                <pt idx="102">
                  <v>43617</v>
                </pt>
                <pt idx="103">
                  <v>43647</v>
                </pt>
                <pt idx="104">
                  <v>43678</v>
                </pt>
                <pt idx="105">
                  <v>43709</v>
                </pt>
                <pt idx="106">
                  <v>43739</v>
                </pt>
                <pt idx="107">
                  <v>43770</v>
                </pt>
                <pt idx="108">
                  <v>43800</v>
                </pt>
                <pt idx="109">
                  <v>43831</v>
                </pt>
                <pt idx="110">
                  <v>43862</v>
                </pt>
                <pt idx="111">
                  <v>43891</v>
                </pt>
                <pt idx="112">
                  <v>43922</v>
                </pt>
                <pt idx="113">
                  <v>43952</v>
                </pt>
                <pt idx="114">
                  <v>43983</v>
                </pt>
                <pt idx="115">
                  <v>44013</v>
                </pt>
                <pt idx="116">
                  <v>44044</v>
                </pt>
                <pt idx="117">
                  <v>44075</v>
                </pt>
                <pt idx="118">
                  <v>44105</v>
                </pt>
                <pt idx="119">
                  <v>44136</v>
                </pt>
                <pt idx="120">
                  <v>44166</v>
                </pt>
                <pt idx="121">
                  <v>44197</v>
                </pt>
                <pt idx="122">
                  <v>44228</v>
                </pt>
                <pt idx="123">
                  <v>44256</v>
                </pt>
                <pt idx="124">
                  <v>44287</v>
                </pt>
                <pt idx="125">
                  <v>44317</v>
                </pt>
                <pt idx="126">
                  <v>44348</v>
                </pt>
                <pt idx="127">
                  <v>44378</v>
                </pt>
                <pt idx="128">
                  <v>44409</v>
                </pt>
                <pt idx="129">
                  <v>44440</v>
                </pt>
                <pt idx="130">
                  <v>44470</v>
                </pt>
                <pt idx="131">
                  <v>44501</v>
                </pt>
                <pt idx="132">
                  <v>44531</v>
                </pt>
                <pt idx="133">
                  <v>44562</v>
                </pt>
                <pt idx="134">
                  <v>44593</v>
                </pt>
                <pt idx="135">
                  <v>44621</v>
                </pt>
                <pt idx="136">
                  <v>44652</v>
                </pt>
                <pt idx="137">
                  <v>44682</v>
                </pt>
                <pt idx="138">
                  <v>44713</v>
                </pt>
                <pt idx="139">
                  <v>44743</v>
                </pt>
                <pt idx="140">
                  <v>44774</v>
                </pt>
                <pt idx="141">
                  <v>44805</v>
                </pt>
                <pt idx="142">
                  <v>44835</v>
                </pt>
                <pt idx="143">
                  <v>44866</v>
                </pt>
                <pt idx="144">
                  <v>44896</v>
                </pt>
                <pt idx="145">
                  <v>44927</v>
                </pt>
                <pt idx="146">
                  <v>44958</v>
                </pt>
                <pt idx="147">
                  <v>44986</v>
                </pt>
                <pt idx="148">
                  <v>45017</v>
                </pt>
                <pt idx="149">
                  <v>45047</v>
                </pt>
                <pt idx="150">
                  <v>45078</v>
                </pt>
                <pt idx="151">
                  <v>45108</v>
                </pt>
                <pt idx="152">
                  <v>45139</v>
                </pt>
                <pt idx="153">
                  <v>45170</v>
                </pt>
                <pt idx="154">
                  <v>45200</v>
                </pt>
                <pt idx="155">
                  <v>45231</v>
                </pt>
                <pt idx="156">
                  <v>45261</v>
                </pt>
                <pt idx="157">
                  <v>45292</v>
                </pt>
                <pt idx="158">
                  <v>45323</v>
                </pt>
                <pt idx="159">
                  <v>45352</v>
                </pt>
                <pt idx="160">
                  <v>45383</v>
                </pt>
                <pt idx="161">
                  <v>45413</v>
                </pt>
                <pt idx="162">
                  <v>45444</v>
                </pt>
                <pt idx="163">
                  <v>45474</v>
                </pt>
                <pt idx="164">
                  <v>45505</v>
                </pt>
                <pt idx="165">
                  <v>45536</v>
                </pt>
                <pt idx="166">
                  <v>45566</v>
                </pt>
                <pt idx="167">
                  <v>45597</v>
                </pt>
                <pt idx="168">
                  <v>45627</v>
                </pt>
                <pt idx="169">
                  <v>45658</v>
                </pt>
                <pt idx="170">
                  <v>45689</v>
                </pt>
                <pt idx="171">
                  <v>45717</v>
                </pt>
                <pt idx="172">
                  <v>45748</v>
                </pt>
                <pt idx="173">
                  <v>45778</v>
                </pt>
                <pt idx="174">
                  <v>45809</v>
                </pt>
                <pt idx="175">
                  <v>45839</v>
                </pt>
                <pt idx="176">
                  <v>45870</v>
                </pt>
                <pt idx="177">
                  <v>45901</v>
                </pt>
                <pt idx="178">
                  <v>45931</v>
                </pt>
                <pt idx="179">
                  <v>45962</v>
                </pt>
                <pt idx="180">
                  <v>45992</v>
                </pt>
              </numCache>
            </numRef>
          </cat>
          <val>
            <numRef>
              <f>Charts!$I$38:$I$218</f>
              <numCache>
                <formatCode>"$"#,##0_);[Red]\("$"#,##0\)</formatCode>
                <ptCount val="181"/>
                <pt idx="0">
                  <v>9635000</v>
                </pt>
                <pt idx="1">
                  <v>7000000</v>
                </pt>
                <pt idx="2">
                  <v>16460922</v>
                </pt>
                <pt idx="3">
                  <v>11853922</v>
                </pt>
                <pt idx="4">
                  <v>12258922</v>
                </pt>
                <pt idx="5">
                  <v>5945800</v>
                </pt>
                <pt idx="6">
                  <v>14781800</v>
                </pt>
                <pt idx="7">
                  <v>22911800</v>
                </pt>
                <pt idx="8">
                  <v>36637143</v>
                </pt>
                <pt idx="9">
                  <v>33938143</v>
                </pt>
                <pt idx="10">
                  <v>37288374</v>
                </pt>
                <pt idx="11">
                  <v>31755231</v>
                </pt>
                <pt idx="12">
                  <v>51404231</v>
                </pt>
                <pt idx="13">
                  <v>40260000</v>
                </pt>
                <pt idx="14">
                  <v>43913733.33333333</v>
                </pt>
                <pt idx="15">
                  <v>23765733.33333334</v>
                </pt>
                <pt idx="16">
                  <v>29743347.33333333</v>
                </pt>
                <pt idx="17">
                  <v>25619413</v>
                </pt>
                <pt idx="18">
                  <v>21453413</v>
                </pt>
                <pt idx="19">
                  <v>20750719</v>
                </pt>
                <pt idx="20">
                  <v>22294713</v>
                </pt>
                <pt idx="21">
                  <v>24631713</v>
                </pt>
                <pt idx="22">
                  <v>26181093</v>
                </pt>
                <pt idx="23">
                  <v>16967300</v>
                </pt>
                <pt idx="24">
                  <v>23705242</v>
                </pt>
                <pt idx="25">
                  <v>19736258.8</v>
                </pt>
                <pt idx="26">
                  <v>23898258.8</v>
                </pt>
                <pt idx="27">
                  <v>24216774.8</v>
                </pt>
                <pt idx="28">
                  <v>25955478</v>
                </pt>
                <pt idx="29">
                  <v>36479117</v>
                </pt>
                <pt idx="30">
                  <v>41668659</v>
                </pt>
                <pt idx="31">
                  <v>63745035</v>
                </pt>
                <pt idx="32">
                  <v>52615416</v>
                </pt>
                <pt idx="33">
                  <v>43315416</v>
                </pt>
                <pt idx="34">
                  <v>30141973</v>
                </pt>
                <pt idx="35">
                  <v>42134429</v>
                </pt>
                <pt idx="36">
                  <v>59664571</v>
                </pt>
                <pt idx="37">
                  <v>51423118</v>
                </pt>
                <pt idx="38">
                  <v>50822843.3</v>
                </pt>
                <pt idx="39">
                  <v>36410301.3</v>
                </pt>
                <pt idx="40">
                  <v>40835703.3</v>
                </pt>
                <pt idx="41">
                  <v>43343956</v>
                </pt>
                <pt idx="42">
                  <v>51123356</v>
                </pt>
                <pt idx="43">
                  <v>70187392.46153846</v>
                </pt>
                <pt idx="44">
                  <v>70537648.46153846</v>
                </pt>
                <pt idx="45">
                  <v>69142140.46153846</v>
                </pt>
                <pt idx="46">
                  <v>64327302</v>
                </pt>
                <pt idx="47">
                  <v>70221462</v>
                </pt>
                <pt idx="48">
                  <v>107442977</v>
                </pt>
                <pt idx="49">
                  <v>125080063.5</v>
                </pt>
                <pt idx="50">
                  <v>103316193.5</v>
                </pt>
                <pt idx="51">
                  <v>66287451.49999999</v>
                </pt>
                <pt idx="52">
                  <v>42179265</v>
                </pt>
                <pt idx="53">
                  <v>61492265</v>
                </pt>
                <pt idx="54">
                  <v>62836892</v>
                </pt>
                <pt idx="55">
                  <v>89135010.3</v>
                </pt>
                <pt idx="56">
                  <v>94028761.3</v>
                </pt>
                <pt idx="57">
                  <v>95385525.3</v>
                </pt>
                <pt idx="58">
                  <v>89113318</v>
                </pt>
                <pt idx="59">
                  <v>86047158</v>
                </pt>
                <pt idx="60">
                  <v>118854980.1</v>
                </pt>
                <pt idx="61">
                  <v>108403167.1</v>
                </pt>
                <pt idx="62">
                  <v>95121131.09999999</v>
                </pt>
                <pt idx="63">
                  <v>96997417.66666666</v>
                </pt>
                <pt idx="64">
                  <v>116548311.6666667</v>
                </pt>
                <pt idx="65">
                  <v>145762759.6666667</v>
                </pt>
                <pt idx="66">
                  <v>123495853</v>
                </pt>
                <pt idx="67">
                  <v>109867637</v>
                </pt>
                <pt idx="68">
                  <v>101503634</v>
                </pt>
                <pt idx="69">
                  <v>91599076</v>
                </pt>
                <pt idx="70">
                  <v>131405956</v>
                </pt>
                <pt idx="71">
                  <v>161397873</v>
                </pt>
                <pt idx="72">
                  <v>201786103.3333333</v>
                </pt>
                <pt idx="73">
                  <v>185810339.3333333</v>
                </pt>
                <pt idx="74">
                  <v>176845770.3333333</v>
                </pt>
                <pt idx="75">
                  <v>139552840</v>
                </pt>
                <pt idx="76">
                  <v>169361729</v>
                </pt>
                <pt idx="77">
                  <v>185172141</v>
                </pt>
                <pt idx="78">
                  <v>218350429</v>
                </pt>
                <pt idx="79">
                  <v>171114861</v>
                </pt>
                <pt idx="80">
                  <v>155180624</v>
                </pt>
                <pt idx="81">
                  <v>132501732</v>
                </pt>
                <pt idx="82">
                  <v>150484868</v>
                </pt>
                <pt idx="83">
                  <v>133600872</v>
                </pt>
                <pt idx="84">
                  <v>180678062.4</v>
                </pt>
                <pt idx="85">
                  <v>167794766.5</v>
                </pt>
                <pt idx="86">
                  <v>178036376.5</v>
                </pt>
                <pt idx="87">
                  <v>159877482.62</v>
                </pt>
                <pt idx="88">
                  <v>172312069.52</v>
                </pt>
                <pt idx="89">
                  <v>373737330.52</v>
                </pt>
                <pt idx="90">
                  <v>382677944</v>
                </pt>
                <pt idx="91">
                  <v>382741828</v>
                </pt>
                <pt idx="92">
                  <v>179210846.7</v>
                </pt>
                <pt idx="93">
                  <v>140922673.7</v>
                </pt>
                <pt idx="94">
                  <v>149764224.7</v>
                </pt>
                <pt idx="95">
                  <v>139087808</v>
                </pt>
                <pt idx="96">
                  <v>258851079.483871</v>
                </pt>
                <pt idx="97">
                  <v>247396468.483871</v>
                </pt>
                <pt idx="98">
                  <v>248973785.483871</v>
                </pt>
                <pt idx="99">
                  <v>163151053</v>
                </pt>
                <pt idx="100">
                  <v>158405233</v>
                </pt>
                <pt idx="101">
                  <v>209890295</v>
                </pt>
                <pt idx="102">
                  <v>194775779</v>
                </pt>
                <pt idx="103">
                  <v>247872153</v>
                </pt>
                <pt idx="104">
                  <v>215731014</v>
                </pt>
                <pt idx="105">
                  <v>361281467</v>
                </pt>
                <pt idx="106">
                  <v>289042690</v>
                </pt>
                <pt idx="107">
                  <v>297805783.3333334</v>
                </pt>
                <pt idx="108">
                  <v>158139404.3333333</v>
                </pt>
                <pt idx="109">
                  <v>203812103.0433334</v>
                </pt>
                <pt idx="110">
                  <v>211002402.71</v>
                </pt>
                <pt idx="111">
                  <v>217018479.71</v>
                </pt>
                <pt idx="112">
                  <v>203726744.8</v>
                </pt>
                <pt idx="113">
                  <v>194836740.8</v>
                </pt>
                <pt idx="114">
                  <v>213524566.8</v>
                </pt>
                <pt idx="115">
                  <v>199149779</v>
                </pt>
                <pt idx="116">
                  <v>247837150</v>
                </pt>
                <pt idx="117">
                  <v>217997279</v>
                </pt>
                <pt idx="118">
                  <v>219185167</v>
                </pt>
                <pt idx="119">
                  <v>159776951.7</v>
                </pt>
                <pt idx="120">
                  <v>200506575</v>
                </pt>
                <pt idx="121">
                  <v>183624774</v>
                </pt>
                <pt idx="122">
                  <v>171527568.3</v>
                </pt>
                <pt idx="123">
                  <v>172040018</v>
                </pt>
                <pt idx="124">
                  <v>216439858</v>
                </pt>
                <pt idx="125">
                  <v>247930204</v>
                </pt>
                <pt idx="126">
                  <v>255073965</v>
                </pt>
                <pt idx="127">
                  <v>223297012</v>
                </pt>
                <pt idx="128">
                  <v>258579697</v>
                </pt>
                <pt idx="129">
                  <v>243650485</v>
                </pt>
                <pt idx="130">
                  <v>236782864</v>
                </pt>
                <pt idx="131">
                  <v>197267541</v>
                </pt>
                <pt idx="132">
                  <v>208649603.4814815</v>
                </pt>
                <pt idx="133">
                  <v>325894889.4814815</v>
                </pt>
                <pt idx="134">
                  <v>323501092.9814815</v>
                </pt>
                <pt idx="135">
                  <v>287956143.5</v>
                </pt>
                <pt idx="136">
                  <v>194849403.69</v>
                </pt>
                <pt idx="137">
                  <v>192236326.27</v>
                </pt>
                <pt idx="138">
                  <v>220714848.45</v>
                </pt>
                <pt idx="139">
                  <v>249699265.36</v>
                </pt>
                <pt idx="140">
                  <v>292595572.28</v>
                </pt>
                <pt idx="141">
                  <v>301231579.0047619</v>
                </pt>
                <pt idx="142">
                  <v>281961591.9047619</v>
                </pt>
                <pt idx="143">
                  <v>218621884.9047619</v>
                </pt>
                <pt idx="144">
                  <v>150672446</v>
                </pt>
                <pt idx="145">
                  <v>95983275</v>
                </pt>
                <pt idx="146">
                  <v>86969262</v>
                </pt>
                <pt idx="147">
                  <v>86009966.99790137</v>
                </pt>
                <pt idx="148">
                  <v>114152418.9979014</v>
                </pt>
                <pt idx="149">
                  <v>104580918.9979014</v>
                </pt>
                <pt idx="150">
                  <v>125634385</v>
                </pt>
                <pt idx="151">
                  <v>117131407</v>
                </pt>
                <pt idx="152">
                  <v>151097621.06</v>
                </pt>
                <pt idx="153">
                  <v>148803223.06</v>
                </pt>
                <pt idx="154">
                  <v>161675961.06</v>
                </pt>
                <pt idx="155">
                  <v>119368797</v>
                </pt>
                <pt idx="156">
                  <v>106436194.4135977</v>
                </pt>
                <pt idx="157">
                  <v>105906132.4135977</v>
                </pt>
                <pt idx="158">
                  <v>132372084.4135977</v>
                </pt>
                <pt idx="159">
                  <v>111008227</v>
                </pt>
                <pt idx="160">
                  <v>96089494</v>
                </pt>
                <pt idx="161">
                  <v>84051271</v>
                </pt>
                <pt idx="162">
                  <v>89063896</v>
                </pt>
                <pt idx="163">
                  <v>70860625</v>
                </pt>
                <pt idx="164">
                  <v>65745142.8</v>
                </pt>
                <pt idx="165">
                  <v>52532517.8</v>
                </pt>
                <pt idx="166">
                  <v>52489031.8</v>
                </pt>
                <pt idx="167">
                  <v>73192231.87</v>
                </pt>
                <pt idx="168">
                  <v>130356358.87</v>
                </pt>
                <pt idx="169">
                  <v>150699123.87</v>
                </pt>
                <pt idx="170">
                  <v>126560836.9236641</v>
                </pt>
                <pt idx="171">
                  <v>85519858.92366412</v>
                </pt>
                <pt idx="172">
                  <v>70685858.92366412</v>
                </pt>
                <pt idx="173">
                  <v>116153749</v>
                </pt>
                <pt idx="174">
                  <v>138870103</v>
                </pt>
                <pt idx="175">
                  <v>138509010</v>
                </pt>
                <pt idx="176">
                  <v>101405380</v>
                </pt>
                <pt idx="177">
                  <v>104974521</v>
                </pt>
                <pt idx="178">
                  <v>94615786.4137931</v>
                </pt>
                <pt idx="179">
                  <v>90486816.4137931</v>
                </pt>
                <pt idx="180">
                  <v>97469349.4137931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0874351"/>
        <axId val="140898063"/>
      </barChart>
      <dateAx>
        <axId val="140874351"/>
        <scaling>
          <orientation val="minMax"/>
        </scaling>
        <delete val="0"/>
        <axPos val="b"/>
        <numFmt formatCode="[$-409]m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0898063"/>
        <crosses val="autoZero"/>
        <lblOffset val="100"/>
        <baseTimeUnit val="months"/>
        <majorUnit val="3"/>
      </dateAx>
      <valAx>
        <axId val="14089806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&quot;$&quot;#,##0,,&quot;M&quot;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0874351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898531761825114"/>
          <y val="0.0352835514498332"/>
          <w val="0.8914653290984811"/>
          <h val="0.7680817467100677"/>
        </manualLayout>
      </layout>
      <barChart>
        <barDir val="col"/>
        <grouping val="clustered"/>
        <varyColors val="0"/>
        <ser>
          <idx val="1"/>
          <order val="0"/>
          <tx>
            <strRef>
              <f>Charts!$BE$2</f>
              <strCache>
                <ptCount val="1"/>
                <pt idx="0">
                  <v>YOY Change (%)</v>
                </pt>
              </strCache>
            </strRef>
          </tx>
          <spPr>
            <a:solidFill xmlns:a="http://schemas.openxmlformats.org/drawingml/2006/main">
              <a:srgbClr val="D4DEF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dLbl>
              <idx val="1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7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9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2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4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6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79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85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 xmlns:a="http://schemas.openxmlformats.org/drawingml/2006/main">
                <a:srgbClr val="E0E8F4"/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rgbClr val="003DA5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Charts!$B$32:$B$218</f>
              <numCache>
                <formatCode>[$-409]mmm\-yy;@</formatCode>
                <ptCount val="187"/>
                <pt idx="0">
                  <v>40330</v>
                </pt>
                <pt idx="1">
                  <v>40360</v>
                </pt>
                <pt idx="2">
                  <v>40391</v>
                </pt>
                <pt idx="3">
                  <v>40422</v>
                </pt>
                <pt idx="4">
                  <v>40452</v>
                </pt>
                <pt idx="5">
                  <v>40483</v>
                </pt>
                <pt idx="6">
                  <v>40513</v>
                </pt>
                <pt idx="7">
                  <v>40544</v>
                </pt>
                <pt idx="8">
                  <v>40575</v>
                </pt>
                <pt idx="9">
                  <v>40603</v>
                </pt>
                <pt idx="10">
                  <v>40634</v>
                </pt>
                <pt idx="11">
                  <v>40664</v>
                </pt>
                <pt idx="12">
                  <v>40695</v>
                </pt>
                <pt idx="13">
                  <v>40725</v>
                </pt>
                <pt idx="14">
                  <v>40756</v>
                </pt>
                <pt idx="15">
                  <v>40787</v>
                </pt>
                <pt idx="16">
                  <v>40817</v>
                </pt>
                <pt idx="17">
                  <v>40848</v>
                </pt>
                <pt idx="18">
                  <v>40878</v>
                </pt>
                <pt idx="19">
                  <v>40909</v>
                </pt>
                <pt idx="20">
                  <v>40940</v>
                </pt>
                <pt idx="21">
                  <v>40969</v>
                </pt>
                <pt idx="22">
                  <v>41000</v>
                </pt>
                <pt idx="23">
                  <v>41030</v>
                </pt>
                <pt idx="24">
                  <v>41061</v>
                </pt>
                <pt idx="25">
                  <v>41091</v>
                </pt>
                <pt idx="26">
                  <v>41122</v>
                </pt>
                <pt idx="27">
                  <v>41153</v>
                </pt>
                <pt idx="28">
                  <v>41183</v>
                </pt>
                <pt idx="29">
                  <v>41214</v>
                </pt>
                <pt idx="30">
                  <v>41244</v>
                </pt>
                <pt idx="31">
                  <v>41275</v>
                </pt>
                <pt idx="32">
                  <v>41306</v>
                </pt>
                <pt idx="33">
                  <v>41334</v>
                </pt>
                <pt idx="34">
                  <v>41365</v>
                </pt>
                <pt idx="35">
                  <v>41395</v>
                </pt>
                <pt idx="36">
                  <v>41426</v>
                </pt>
                <pt idx="37">
                  <v>41456</v>
                </pt>
                <pt idx="38">
                  <v>41487</v>
                </pt>
                <pt idx="39">
                  <v>41518</v>
                </pt>
                <pt idx="40">
                  <v>41548</v>
                </pt>
                <pt idx="41">
                  <v>41579</v>
                </pt>
                <pt idx="42">
                  <v>41609</v>
                </pt>
                <pt idx="43">
                  <v>41640</v>
                </pt>
                <pt idx="44">
                  <v>41671</v>
                </pt>
                <pt idx="45">
                  <v>41699</v>
                </pt>
                <pt idx="46">
                  <v>41730</v>
                </pt>
                <pt idx="47">
                  <v>41760</v>
                </pt>
                <pt idx="48">
                  <v>41791</v>
                </pt>
                <pt idx="49">
                  <v>41821</v>
                </pt>
                <pt idx="50">
                  <v>41852</v>
                </pt>
                <pt idx="51">
                  <v>41883</v>
                </pt>
                <pt idx="52">
                  <v>41913</v>
                </pt>
                <pt idx="53">
                  <v>41944</v>
                </pt>
                <pt idx="54">
                  <v>41974</v>
                </pt>
                <pt idx="55">
                  <v>42005</v>
                </pt>
                <pt idx="56">
                  <v>42036</v>
                </pt>
                <pt idx="57">
                  <v>42064</v>
                </pt>
                <pt idx="58">
                  <v>42095</v>
                </pt>
                <pt idx="59">
                  <v>42125</v>
                </pt>
                <pt idx="60">
                  <v>42156</v>
                </pt>
                <pt idx="61">
                  <v>42186</v>
                </pt>
                <pt idx="62">
                  <v>42217</v>
                </pt>
                <pt idx="63">
                  <v>42248</v>
                </pt>
                <pt idx="64">
                  <v>42278</v>
                </pt>
                <pt idx="65">
                  <v>42309</v>
                </pt>
                <pt idx="66">
                  <v>42339</v>
                </pt>
                <pt idx="67">
                  <v>42370</v>
                </pt>
                <pt idx="68">
                  <v>42401</v>
                </pt>
                <pt idx="69">
                  <v>42430</v>
                </pt>
                <pt idx="70">
                  <v>42461</v>
                </pt>
                <pt idx="71">
                  <v>42491</v>
                </pt>
                <pt idx="72">
                  <v>42522</v>
                </pt>
                <pt idx="73">
                  <v>42552</v>
                </pt>
                <pt idx="74">
                  <v>42583</v>
                </pt>
                <pt idx="75">
                  <v>42614</v>
                </pt>
                <pt idx="76">
                  <v>42644</v>
                </pt>
                <pt idx="77">
                  <v>42675</v>
                </pt>
                <pt idx="78">
                  <v>42705</v>
                </pt>
                <pt idx="79">
                  <v>42736</v>
                </pt>
                <pt idx="80">
                  <v>42767</v>
                </pt>
                <pt idx="81">
                  <v>42795</v>
                </pt>
                <pt idx="82">
                  <v>42826</v>
                </pt>
                <pt idx="83">
                  <v>42856</v>
                </pt>
                <pt idx="84">
                  <v>42887</v>
                </pt>
                <pt idx="85">
                  <v>42917</v>
                </pt>
                <pt idx="86">
                  <v>42948</v>
                </pt>
                <pt idx="87">
                  <v>42979</v>
                </pt>
                <pt idx="88">
                  <v>43009</v>
                </pt>
                <pt idx="89">
                  <v>43040</v>
                </pt>
                <pt idx="90">
                  <v>43070</v>
                </pt>
                <pt idx="91">
                  <v>43101</v>
                </pt>
                <pt idx="92">
                  <v>43132</v>
                </pt>
                <pt idx="93">
                  <v>43160</v>
                </pt>
                <pt idx="94">
                  <v>43191</v>
                </pt>
                <pt idx="95">
                  <v>43221</v>
                </pt>
                <pt idx="96">
                  <v>43252</v>
                </pt>
                <pt idx="97">
                  <v>43282</v>
                </pt>
                <pt idx="98">
                  <v>43313</v>
                </pt>
                <pt idx="99">
                  <v>43344</v>
                </pt>
                <pt idx="100">
                  <v>43374</v>
                </pt>
                <pt idx="101">
                  <v>43405</v>
                </pt>
                <pt idx="102">
                  <v>43435</v>
                </pt>
                <pt idx="103">
                  <v>43466</v>
                </pt>
                <pt idx="104">
                  <v>43497</v>
                </pt>
                <pt idx="105">
                  <v>43525</v>
                </pt>
                <pt idx="106">
                  <v>43556</v>
                </pt>
                <pt idx="107">
                  <v>43586</v>
                </pt>
                <pt idx="108">
                  <v>43617</v>
                </pt>
                <pt idx="109">
                  <v>43647</v>
                </pt>
                <pt idx="110">
                  <v>43678</v>
                </pt>
                <pt idx="111">
                  <v>43709</v>
                </pt>
                <pt idx="112">
                  <v>43739</v>
                </pt>
                <pt idx="113">
                  <v>43770</v>
                </pt>
                <pt idx="114">
                  <v>43800</v>
                </pt>
                <pt idx="115">
                  <v>43831</v>
                </pt>
                <pt idx="116">
                  <v>43862</v>
                </pt>
                <pt idx="117">
                  <v>43891</v>
                </pt>
                <pt idx="118">
                  <v>43922</v>
                </pt>
                <pt idx="119">
                  <v>43952</v>
                </pt>
                <pt idx="120">
                  <v>43983</v>
                </pt>
                <pt idx="121">
                  <v>44013</v>
                </pt>
                <pt idx="122">
                  <v>44044</v>
                </pt>
                <pt idx="123">
                  <v>44075</v>
                </pt>
                <pt idx="124">
                  <v>44105</v>
                </pt>
                <pt idx="125">
                  <v>44136</v>
                </pt>
                <pt idx="126">
                  <v>44166</v>
                </pt>
                <pt idx="127">
                  <v>44197</v>
                </pt>
                <pt idx="128">
                  <v>44228</v>
                </pt>
                <pt idx="129">
                  <v>44256</v>
                </pt>
                <pt idx="130">
                  <v>44287</v>
                </pt>
                <pt idx="131">
                  <v>44317</v>
                </pt>
                <pt idx="132">
                  <v>44348</v>
                </pt>
                <pt idx="133">
                  <v>44378</v>
                </pt>
                <pt idx="134">
                  <v>44409</v>
                </pt>
                <pt idx="135">
                  <v>44440</v>
                </pt>
                <pt idx="136">
                  <v>44470</v>
                </pt>
                <pt idx="137">
                  <v>44501</v>
                </pt>
                <pt idx="138">
                  <v>44531</v>
                </pt>
                <pt idx="139">
                  <v>44562</v>
                </pt>
                <pt idx="140">
                  <v>44593</v>
                </pt>
                <pt idx="141">
                  <v>44621</v>
                </pt>
                <pt idx="142">
                  <v>44652</v>
                </pt>
                <pt idx="143">
                  <v>44682</v>
                </pt>
                <pt idx="144">
                  <v>44713</v>
                </pt>
                <pt idx="145">
                  <v>44743</v>
                </pt>
                <pt idx="146">
                  <v>44774</v>
                </pt>
                <pt idx="147">
                  <v>44805</v>
                </pt>
                <pt idx="148">
                  <v>44835</v>
                </pt>
                <pt idx="149">
                  <v>44866</v>
                </pt>
                <pt idx="150">
                  <v>44896</v>
                </pt>
                <pt idx="151">
                  <v>44927</v>
                </pt>
                <pt idx="152">
                  <v>44958</v>
                </pt>
                <pt idx="153">
                  <v>44986</v>
                </pt>
                <pt idx="154">
                  <v>45017</v>
                </pt>
                <pt idx="155">
                  <v>45047</v>
                </pt>
                <pt idx="156">
                  <v>45078</v>
                </pt>
                <pt idx="157">
                  <v>45108</v>
                </pt>
                <pt idx="158">
                  <v>45139</v>
                </pt>
                <pt idx="159">
                  <v>45170</v>
                </pt>
                <pt idx="160">
                  <v>45200</v>
                </pt>
                <pt idx="161">
                  <v>45231</v>
                </pt>
                <pt idx="162">
                  <v>45261</v>
                </pt>
                <pt idx="163">
                  <v>45292</v>
                </pt>
                <pt idx="164">
                  <v>45323</v>
                </pt>
                <pt idx="165">
                  <v>45352</v>
                </pt>
                <pt idx="166">
                  <v>45383</v>
                </pt>
                <pt idx="167">
                  <v>45413</v>
                </pt>
                <pt idx="168">
                  <v>45444</v>
                </pt>
                <pt idx="169">
                  <v>45474</v>
                </pt>
                <pt idx="170">
                  <v>45505</v>
                </pt>
                <pt idx="171">
                  <v>45536</v>
                </pt>
                <pt idx="172">
                  <v>45566</v>
                </pt>
                <pt idx="173">
                  <v>45597</v>
                </pt>
                <pt idx="174">
                  <v>45627</v>
                </pt>
                <pt idx="175">
                  <v>45658</v>
                </pt>
                <pt idx="176">
                  <v>45689</v>
                </pt>
                <pt idx="177">
                  <v>45717</v>
                </pt>
                <pt idx="178">
                  <v>45748</v>
                </pt>
                <pt idx="179">
                  <v>45778</v>
                </pt>
                <pt idx="180">
                  <v>45809</v>
                </pt>
                <pt idx="181">
                  <v>45839</v>
                </pt>
                <pt idx="182">
                  <v>45870</v>
                </pt>
                <pt idx="183">
                  <v>45901</v>
                </pt>
                <pt idx="184">
                  <v>45931</v>
                </pt>
                <pt idx="185">
                  <v>45962</v>
                </pt>
                <pt idx="186">
                  <v>45992</v>
                </pt>
              </numCache>
            </numRef>
          </cat>
          <val>
            <numRef>
              <f>Charts!$BE$32:$BE$218</f>
              <numCache>
                <formatCode>0%</formatCode>
                <ptCount val="187"/>
                <pt idx="0">
                  <v>0.003569040255130665</v>
                </pt>
                <pt idx="1">
                  <v>-0.03653187603018495</v>
                </pt>
                <pt idx="2">
                  <v>0.03154174107491973</v>
                </pt>
                <pt idx="3">
                  <v>0.05529523456582326</v>
                </pt>
                <pt idx="4">
                  <v>0.0663475865890135</v>
                </pt>
                <pt idx="5">
                  <v>0.1148041154681961</v>
                </pt>
                <pt idx="6">
                  <v>0.1247993090454916</v>
                </pt>
                <pt idx="7">
                  <v>0.1244301364085253</v>
                </pt>
                <pt idx="8">
                  <v>0.1207523488520159</v>
                </pt>
                <pt idx="9">
                  <v>0.1114490502097121</v>
                </pt>
                <pt idx="10">
                  <v>0.1647357825471722</v>
                </pt>
                <pt idx="11">
                  <v>0.2211360550058787</v>
                </pt>
                <pt idx="12">
                  <v>0.2015752365173316</v>
                </pt>
                <pt idx="13">
                  <v>0.1808905216704831</v>
                </pt>
                <pt idx="14">
                  <v>0.1869334736226736</v>
                </pt>
                <pt idx="15">
                  <v>0.1718600396878127</v>
                </pt>
                <pt idx="16">
                  <v>0.1575747424048947</v>
                </pt>
                <pt idx="17">
                  <v>0.1239693675044457</v>
                </pt>
                <pt idx="18">
                  <v>0.1032114249637621</v>
                </pt>
                <pt idx="19">
                  <v>0.07744700388066844</v>
                </pt>
                <pt idx="20">
                  <v>0.06305347461436683</v>
                </pt>
                <pt idx="21">
                  <v>0.07088853050888801</v>
                </pt>
                <pt idx="22">
                  <v>0.04551954210279702</v>
                </pt>
                <pt idx="23">
                  <v>0.0006444401221082022</v>
                </pt>
                <pt idx="24">
                  <v>-0.002323554701173206</v>
                </pt>
                <pt idx="25">
                  <v>-0.0001874518880532106</v>
                </pt>
                <pt idx="26">
                  <v>-0.03797419315390313</v>
                </pt>
                <pt idx="27">
                  <v>-0.046828866666296</v>
                </pt>
                <pt idx="28">
                  <v>-0.04762354893569243</v>
                </pt>
                <pt idx="29">
                  <v>-0.01756586583854127</v>
                </pt>
                <pt idx="30">
                  <v>-0.0005363720588630731</v>
                </pt>
                <pt idx="31">
                  <v>0.02044725595395382</v>
                </pt>
                <pt idx="32">
                  <v>0.01157011136747568</v>
                </pt>
                <pt idx="33">
                  <v>-0.04619737311005463</v>
                </pt>
                <pt idx="34">
                  <v>-0.03164845403431602</v>
                </pt>
                <pt idx="35">
                  <v>-0.04493510480466042</v>
                </pt>
                <pt idx="36">
                  <v>-0.00799283230858296</v>
                </pt>
                <pt idx="37">
                  <v>0.02457602648805549</v>
                </pt>
                <pt idx="38">
                  <v>0.0404780641725111</v>
                </pt>
                <pt idx="39">
                  <v>0.05425277923804558</v>
                </pt>
                <pt idx="40">
                  <v>0.0742485681357842</v>
                </pt>
                <pt idx="41">
                  <v>0.05472189455593263</v>
                </pt>
                <pt idx="42">
                  <v>0.05329661001111539</v>
                </pt>
                <pt idx="43">
                  <v>0.04292807954388675</v>
                </pt>
                <pt idx="44">
                  <v>0.07200014127330093</v>
                </pt>
                <pt idx="45">
                  <v>0.1191252328191466</v>
                </pt>
                <pt idx="46">
                  <v>0.1004842255711894</v>
                </pt>
                <pt idx="47">
                  <v>0.1118253251929383</v>
                </pt>
                <pt idx="48">
                  <v>0.07606729214143014</v>
                </pt>
                <pt idx="49">
                  <v>0.04021377830153412</v>
                </pt>
                <pt idx="50">
                  <v>0.04239917057702212</v>
                </pt>
                <pt idx="51">
                  <v>0.03099844225961581</v>
                </pt>
                <pt idx="52">
                  <v>0.005823897384400423</v>
                </pt>
                <pt idx="53">
                  <v>0.01209506179509989</v>
                </pt>
                <pt idx="54">
                  <v>0.01447090291325259</v>
                </pt>
                <pt idx="55">
                  <v>0.02979816991846742</v>
                </pt>
                <pt idx="56">
                  <v>0.009732374800936408</v>
                </pt>
                <pt idx="57">
                  <v>0.01286318381095243</v>
                </pt>
                <pt idx="58">
                  <v>0.01846541623848394</v>
                </pt>
                <pt idx="59">
                  <v>0.02487999445843548</v>
                </pt>
                <pt idx="60">
                  <v>0.02678744465075272</v>
                </pt>
                <pt idx="61">
                  <v>0.02723210801400628</v>
                </pt>
                <pt idx="62">
                  <v>0.0247256355448909</v>
                </pt>
                <pt idx="63">
                  <v>0.02831050009461417</v>
                </pt>
                <pt idx="64">
                  <v>0.0604896793741827</v>
                </pt>
                <pt idx="65">
                  <v>0.05513696369216371</v>
                </pt>
                <pt idx="66">
                  <v>0.05223287924590917</v>
                </pt>
                <pt idx="67">
                  <v>0.01887690828119318</v>
                </pt>
                <pt idx="68">
                  <v>0.03826440024588067</v>
                </pt>
                <pt idx="69">
                  <v>0.02922628921724549</v>
                </pt>
                <pt idx="70">
                  <v>0.03574633786044843</v>
                </pt>
                <pt idx="71">
                  <v>0.03816460745447799</v>
                </pt>
                <pt idx="72">
                  <v>0.02618757318953645</v>
                </pt>
                <pt idx="73">
                  <v>0.04045245732629258</v>
                </pt>
                <pt idx="74">
                  <v>0.03415643146670209</v>
                </pt>
                <pt idx="75">
                  <v>0.04267929774917811</v>
                </pt>
                <pt idx="76">
                  <v>0.02043101178917921</v>
                </pt>
                <pt idx="77">
                  <v>0.04188107001810819</v>
                </pt>
                <pt idx="78">
                  <v>0.04288216012233811</v>
                </pt>
                <pt idx="79">
                  <v>0.07581473960300188</v>
                </pt>
                <pt idx="80">
                  <v>0.05822426723518397</v>
                </pt>
                <pt idx="81">
                  <v>0.06202554104360836</v>
                </pt>
                <pt idx="82">
                  <v>0.07088146013384214</v>
                </pt>
                <pt idx="83">
                  <v>0.05645492755242192</v>
                </pt>
                <pt idx="84">
                  <v>0.0924068158875172</v>
                </pt>
                <pt idx="85">
                  <v>0.09554988831582212</v>
                </pt>
                <pt idx="86">
                  <v>0.1021918058536119</v>
                </pt>
                <pt idx="87">
                  <v>0.08251996725693984</v>
                </pt>
                <pt idx="88">
                  <v>0.1036390936280532</v>
                </pt>
                <pt idx="89">
                  <v>0.1028092951226164</v>
                </pt>
                <pt idx="90">
                  <v>0.0850361073697366</v>
                </pt>
                <pt idx="91">
                  <v>0.05778394074268475</v>
                </pt>
                <pt idx="92">
                  <v>0.05443052929619749</v>
                </pt>
                <pt idx="93">
                  <v>0.05783321288088989</v>
                </pt>
                <pt idx="94">
                  <v>0.03585264211348274</v>
                </pt>
                <pt idx="95">
                  <v>0.05076661590853803</v>
                </pt>
                <pt idx="96">
                  <v>0.01344327337666177</v>
                </pt>
                <pt idx="97">
                  <v>0.01247666449536567</v>
                </pt>
                <pt idx="98">
                  <v>0.005945228752523738</v>
                </pt>
                <pt idx="99">
                  <v>0.01404239569712353</v>
                </pt>
                <pt idx="100">
                  <v>-0.004091423843937857</v>
                </pt>
                <pt idx="101">
                  <v>-0.02256927959029602</v>
                </pt>
                <pt idx="102">
                  <v>-0.01918667365034651</v>
                </pt>
                <pt idx="103">
                  <v>0.002295480144267204</v>
                </pt>
                <pt idx="104">
                  <v>0.01127066690863473</v>
                </pt>
                <pt idx="105">
                  <v>0.004072499153542527</v>
                </pt>
                <pt idx="106">
                  <v>0.01132158731362348</v>
                </pt>
                <pt idx="107">
                  <v>0.006028474269130376</v>
                </pt>
                <pt idx="108">
                  <v>0.01622663630862403</v>
                </pt>
                <pt idx="109">
                  <v>-0.01247458577612304</v>
                </pt>
                <pt idx="110">
                  <v>-0.005994069461863314</v>
                </pt>
                <pt idx="111">
                  <v>-0.007243569394634671</v>
                </pt>
                <pt idx="112">
                  <v>-0.001869441322157468</v>
                </pt>
                <pt idx="113">
                  <v>-0.009139994432789927</v>
                </pt>
                <pt idx="114">
                  <v>0.01599610661792195</v>
                </pt>
                <pt idx="115">
                  <v>0.007779867351677136</v>
                </pt>
                <pt idx="116">
                  <v>0.003076379107784142</v>
                </pt>
                <pt idx="117">
                  <v>0.00428408639138667</v>
                </pt>
                <pt idx="118">
                  <v>-0.001626982738288678</v>
                </pt>
                <pt idx="119">
                  <v>-0.01038035418914115</v>
                </pt>
                <pt idx="120">
                  <v>-0.002811961253180047</v>
                </pt>
                <pt idx="121">
                  <v>0.01449282629757845</v>
                </pt>
                <pt idx="122">
                  <v>0.002113305457726198</v>
                </pt>
                <pt idx="123">
                  <v>0.008538794446084274</v>
                </pt>
                <pt idx="124">
                  <v>0.0141238632821367</v>
                </pt>
                <pt idx="125">
                  <v>0.02985938598119698</v>
                </pt>
                <pt idx="126">
                  <v>0.009671497621346364</v>
                </pt>
                <pt idx="127">
                  <v>0.001189021665406488</v>
                </pt>
                <pt idx="128">
                  <v>0.004897904516875158</v>
                </pt>
                <pt idx="129">
                  <v>0.009075247325893761</v>
                </pt>
                <pt idx="130">
                  <v>0.01717053575999902</v>
                </pt>
                <pt idx="131">
                  <v>0.02686686670854545</v>
                </pt>
                <pt idx="132">
                  <v>0.02881840230842404</v>
                </pt>
                <pt idx="133">
                  <v>0.03188827425081248</v>
                </pt>
                <pt idx="134">
                  <v>0.0531679258675523</v>
                </pt>
                <pt idx="135">
                  <v>0.0536875535569153</v>
                </pt>
                <pt idx="136">
                  <v>0.04624265300883079</v>
                </pt>
                <pt idx="137">
                  <v>0.0507790826910429</v>
                </pt>
                <pt idx="138">
                  <v>0.0589748087963379</v>
                </pt>
                <pt idx="139">
                  <v>0.07886472038308844</v>
                </pt>
                <pt idx="140">
                  <v>0.08073399599791535</v>
                </pt>
                <pt idx="141">
                  <v>0.0812947444867968</v>
                </pt>
                <pt idx="142">
                  <v>0.08403685875675547</v>
                </pt>
                <pt idx="143">
                  <v>0.09328795831919953</v>
                </pt>
                <pt idx="144">
                  <v>0.08587869055092669</v>
                </pt>
                <pt idx="145">
                  <v>0.09132941684911071</v>
                </pt>
                <pt idx="146">
                  <v>0.07806649393974946</v>
                </pt>
                <pt idx="147">
                  <v>0.08355721673307115</v>
                </pt>
                <pt idx="148">
                  <v>0.08311467032544184</v>
                </pt>
                <pt idx="149">
                  <v>0.0717829568278839</v>
                </pt>
                <pt idx="150">
                  <v>0.070929922369668</v>
                </pt>
                <pt idx="151">
                  <v>0.0450785767909938</v>
                </pt>
                <pt idx="152">
                  <v>0.04260555065333332</v>
                </pt>
                <pt idx="153">
                  <v>0.03115786429707923</v>
                </pt>
                <pt idx="154">
                  <v>0.0179993323711856</v>
                </pt>
                <pt idx="155">
                  <v>-0.003194207412572742</v>
                </pt>
                <pt idx="156">
                  <v>-0.01591590608538485</v>
                </pt>
                <pt idx="157">
                  <v>-0.03076873866452089</v>
                </pt>
                <pt idx="158">
                  <v>-0.0410158459249399</v>
                </pt>
                <pt idx="159">
                  <v>-0.07952583131713059</v>
                </pt>
                <pt idx="160">
                  <v>-0.1023117571055652</v>
                </pt>
                <pt idx="161">
                  <v>-0.1089424963389053</v>
                </pt>
                <pt idx="162">
                  <v>-0.1142328061435442</v>
                </pt>
                <pt idx="163">
                  <v>-0.09967416200826701</v>
                </pt>
                <pt idx="164">
                  <v>-0.1044966093488437</v>
                </pt>
                <pt idx="165">
                  <v>-0.09659827335768248</v>
                </pt>
                <pt idx="166">
                  <v>-0.08448911559605445</v>
                </pt>
                <pt idx="167">
                  <v>-0.08802587551401522</v>
                </pt>
                <pt idx="168">
                  <v>-0.07872376128473377</v>
                </pt>
                <pt idx="169">
                  <v>-0.08429208579168794</v>
                </pt>
                <pt idx="170">
                  <v>-0.09995792335643061</v>
                </pt>
                <pt idx="171">
                  <v>-0.07301051815549989</v>
                </pt>
                <pt idx="172">
                  <v>-0.06809464786824407</v>
                </pt>
                <pt idx="173">
                  <v>-0.06772928747438225</v>
                </pt>
                <pt idx="174">
                  <v>-0.0685283825194466</v>
                </pt>
                <pt idx="175">
                  <v>-0.08409200456951922</v>
                </pt>
                <pt idx="176">
                  <v>-0.08100799368282648</v>
                </pt>
                <pt idx="177">
                  <v>-0.08294483523982633</v>
                </pt>
                <pt idx="178">
                  <v>-0.09688576537266207</v>
                </pt>
                <pt idx="179">
                  <v>-0.09086727467393253</v>
                </pt>
                <pt idx="180">
                  <v>-0.07971241832469546</v>
                </pt>
                <pt idx="181">
                  <v>-0.08488344176503375</v>
                </pt>
                <pt idx="182">
                  <v>-0.05857422690322812</v>
                </pt>
                <pt idx="183">
                  <v>-0.05677111589712724</v>
                </pt>
                <pt idx="184">
                  <v>-0.02878052511498252</v>
                </pt>
                <pt idx="185">
                  <v>-0.01910991577767251</v>
                </pt>
                <pt idx="186">
                  <v>-0.01712319020702854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692158368"/>
        <axId val="692157840"/>
      </barChart>
      <lineChart>
        <grouping val="standard"/>
        <varyColors val="0"/>
        <ser>
          <idx val="2"/>
          <order val="2"/>
          <tx>
            <strRef>
              <f>Charts!$BD$2</f>
              <strCache>
                <ptCount val="1"/>
                <pt idx="0">
                  <v>Valuation Index</v>
                </pt>
              </strCache>
            </strRef>
          </tx>
          <spPr>
            <a:ln xmlns:a="http://schemas.openxmlformats.org/drawingml/2006/main" w="28575" cap="rnd">
              <a:solidFill>
                <a:srgbClr val="003D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5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86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rgbClr val="003DA5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Charts!$B$32:$B$218</f>
              <numCache>
                <formatCode>[$-409]mmm\-yy;@</formatCode>
                <ptCount val="187"/>
                <pt idx="0">
                  <v>40330</v>
                </pt>
                <pt idx="1">
                  <v>40360</v>
                </pt>
                <pt idx="2">
                  <v>40391</v>
                </pt>
                <pt idx="3">
                  <v>40422</v>
                </pt>
                <pt idx="4">
                  <v>40452</v>
                </pt>
                <pt idx="5">
                  <v>40483</v>
                </pt>
                <pt idx="6">
                  <v>40513</v>
                </pt>
                <pt idx="7">
                  <v>40544</v>
                </pt>
                <pt idx="8">
                  <v>40575</v>
                </pt>
                <pt idx="9">
                  <v>40603</v>
                </pt>
                <pt idx="10">
                  <v>40634</v>
                </pt>
                <pt idx="11">
                  <v>40664</v>
                </pt>
                <pt idx="12">
                  <v>40695</v>
                </pt>
                <pt idx="13">
                  <v>40725</v>
                </pt>
                <pt idx="14">
                  <v>40756</v>
                </pt>
                <pt idx="15">
                  <v>40787</v>
                </pt>
                <pt idx="16">
                  <v>40817</v>
                </pt>
                <pt idx="17">
                  <v>40848</v>
                </pt>
                <pt idx="18">
                  <v>40878</v>
                </pt>
                <pt idx="19">
                  <v>40909</v>
                </pt>
                <pt idx="20">
                  <v>40940</v>
                </pt>
                <pt idx="21">
                  <v>40969</v>
                </pt>
                <pt idx="22">
                  <v>41000</v>
                </pt>
                <pt idx="23">
                  <v>41030</v>
                </pt>
                <pt idx="24">
                  <v>41061</v>
                </pt>
                <pt idx="25">
                  <v>41091</v>
                </pt>
                <pt idx="26">
                  <v>41122</v>
                </pt>
                <pt idx="27">
                  <v>41153</v>
                </pt>
                <pt idx="28">
                  <v>41183</v>
                </pt>
                <pt idx="29">
                  <v>41214</v>
                </pt>
                <pt idx="30">
                  <v>41244</v>
                </pt>
                <pt idx="31">
                  <v>41275</v>
                </pt>
                <pt idx="32">
                  <v>41306</v>
                </pt>
                <pt idx="33">
                  <v>41334</v>
                </pt>
                <pt idx="34">
                  <v>41365</v>
                </pt>
                <pt idx="35">
                  <v>41395</v>
                </pt>
                <pt idx="36">
                  <v>41426</v>
                </pt>
                <pt idx="37">
                  <v>41456</v>
                </pt>
                <pt idx="38">
                  <v>41487</v>
                </pt>
                <pt idx="39">
                  <v>41518</v>
                </pt>
                <pt idx="40">
                  <v>41548</v>
                </pt>
                <pt idx="41">
                  <v>41579</v>
                </pt>
                <pt idx="42">
                  <v>41609</v>
                </pt>
                <pt idx="43">
                  <v>41640</v>
                </pt>
                <pt idx="44">
                  <v>41671</v>
                </pt>
                <pt idx="45">
                  <v>41699</v>
                </pt>
                <pt idx="46">
                  <v>41730</v>
                </pt>
                <pt idx="47">
                  <v>41760</v>
                </pt>
                <pt idx="48">
                  <v>41791</v>
                </pt>
                <pt idx="49">
                  <v>41821</v>
                </pt>
                <pt idx="50">
                  <v>41852</v>
                </pt>
                <pt idx="51">
                  <v>41883</v>
                </pt>
                <pt idx="52">
                  <v>41913</v>
                </pt>
                <pt idx="53">
                  <v>41944</v>
                </pt>
                <pt idx="54">
                  <v>41974</v>
                </pt>
                <pt idx="55">
                  <v>42005</v>
                </pt>
                <pt idx="56">
                  <v>42036</v>
                </pt>
                <pt idx="57">
                  <v>42064</v>
                </pt>
                <pt idx="58">
                  <v>42095</v>
                </pt>
                <pt idx="59">
                  <v>42125</v>
                </pt>
                <pt idx="60">
                  <v>42156</v>
                </pt>
                <pt idx="61">
                  <v>42186</v>
                </pt>
                <pt idx="62">
                  <v>42217</v>
                </pt>
                <pt idx="63">
                  <v>42248</v>
                </pt>
                <pt idx="64">
                  <v>42278</v>
                </pt>
                <pt idx="65">
                  <v>42309</v>
                </pt>
                <pt idx="66">
                  <v>42339</v>
                </pt>
                <pt idx="67">
                  <v>42370</v>
                </pt>
                <pt idx="68">
                  <v>42401</v>
                </pt>
                <pt idx="69">
                  <v>42430</v>
                </pt>
                <pt idx="70">
                  <v>42461</v>
                </pt>
                <pt idx="71">
                  <v>42491</v>
                </pt>
                <pt idx="72">
                  <v>42522</v>
                </pt>
                <pt idx="73">
                  <v>42552</v>
                </pt>
                <pt idx="74">
                  <v>42583</v>
                </pt>
                <pt idx="75">
                  <v>42614</v>
                </pt>
                <pt idx="76">
                  <v>42644</v>
                </pt>
                <pt idx="77">
                  <v>42675</v>
                </pt>
                <pt idx="78">
                  <v>42705</v>
                </pt>
                <pt idx="79">
                  <v>42736</v>
                </pt>
                <pt idx="80">
                  <v>42767</v>
                </pt>
                <pt idx="81">
                  <v>42795</v>
                </pt>
                <pt idx="82">
                  <v>42826</v>
                </pt>
                <pt idx="83">
                  <v>42856</v>
                </pt>
                <pt idx="84">
                  <v>42887</v>
                </pt>
                <pt idx="85">
                  <v>42917</v>
                </pt>
                <pt idx="86">
                  <v>42948</v>
                </pt>
                <pt idx="87">
                  <v>42979</v>
                </pt>
                <pt idx="88">
                  <v>43009</v>
                </pt>
                <pt idx="89">
                  <v>43040</v>
                </pt>
                <pt idx="90">
                  <v>43070</v>
                </pt>
                <pt idx="91">
                  <v>43101</v>
                </pt>
                <pt idx="92">
                  <v>43132</v>
                </pt>
                <pt idx="93">
                  <v>43160</v>
                </pt>
                <pt idx="94">
                  <v>43191</v>
                </pt>
                <pt idx="95">
                  <v>43221</v>
                </pt>
                <pt idx="96">
                  <v>43252</v>
                </pt>
                <pt idx="97">
                  <v>43282</v>
                </pt>
                <pt idx="98">
                  <v>43313</v>
                </pt>
                <pt idx="99">
                  <v>43344</v>
                </pt>
                <pt idx="100">
                  <v>43374</v>
                </pt>
                <pt idx="101">
                  <v>43405</v>
                </pt>
                <pt idx="102">
                  <v>43435</v>
                </pt>
                <pt idx="103">
                  <v>43466</v>
                </pt>
                <pt idx="104">
                  <v>43497</v>
                </pt>
                <pt idx="105">
                  <v>43525</v>
                </pt>
                <pt idx="106">
                  <v>43556</v>
                </pt>
                <pt idx="107">
                  <v>43586</v>
                </pt>
                <pt idx="108">
                  <v>43617</v>
                </pt>
                <pt idx="109">
                  <v>43647</v>
                </pt>
                <pt idx="110">
                  <v>43678</v>
                </pt>
                <pt idx="111">
                  <v>43709</v>
                </pt>
                <pt idx="112">
                  <v>43739</v>
                </pt>
                <pt idx="113">
                  <v>43770</v>
                </pt>
                <pt idx="114">
                  <v>43800</v>
                </pt>
                <pt idx="115">
                  <v>43831</v>
                </pt>
                <pt idx="116">
                  <v>43862</v>
                </pt>
                <pt idx="117">
                  <v>43891</v>
                </pt>
                <pt idx="118">
                  <v>43922</v>
                </pt>
                <pt idx="119">
                  <v>43952</v>
                </pt>
                <pt idx="120">
                  <v>43983</v>
                </pt>
                <pt idx="121">
                  <v>44013</v>
                </pt>
                <pt idx="122">
                  <v>44044</v>
                </pt>
                <pt idx="123">
                  <v>44075</v>
                </pt>
                <pt idx="124">
                  <v>44105</v>
                </pt>
                <pt idx="125">
                  <v>44136</v>
                </pt>
                <pt idx="126">
                  <v>44166</v>
                </pt>
                <pt idx="127">
                  <v>44197</v>
                </pt>
                <pt idx="128">
                  <v>44228</v>
                </pt>
                <pt idx="129">
                  <v>44256</v>
                </pt>
                <pt idx="130">
                  <v>44287</v>
                </pt>
                <pt idx="131">
                  <v>44317</v>
                </pt>
                <pt idx="132">
                  <v>44348</v>
                </pt>
                <pt idx="133">
                  <v>44378</v>
                </pt>
                <pt idx="134">
                  <v>44409</v>
                </pt>
                <pt idx="135">
                  <v>44440</v>
                </pt>
                <pt idx="136">
                  <v>44470</v>
                </pt>
                <pt idx="137">
                  <v>44501</v>
                </pt>
                <pt idx="138">
                  <v>44531</v>
                </pt>
                <pt idx="139">
                  <v>44562</v>
                </pt>
                <pt idx="140">
                  <v>44593</v>
                </pt>
                <pt idx="141">
                  <v>44621</v>
                </pt>
                <pt idx="142">
                  <v>44652</v>
                </pt>
                <pt idx="143">
                  <v>44682</v>
                </pt>
                <pt idx="144">
                  <v>44713</v>
                </pt>
                <pt idx="145">
                  <v>44743</v>
                </pt>
                <pt idx="146">
                  <v>44774</v>
                </pt>
                <pt idx="147">
                  <v>44805</v>
                </pt>
                <pt idx="148">
                  <v>44835</v>
                </pt>
                <pt idx="149">
                  <v>44866</v>
                </pt>
                <pt idx="150">
                  <v>44896</v>
                </pt>
                <pt idx="151">
                  <v>44927</v>
                </pt>
                <pt idx="152">
                  <v>44958</v>
                </pt>
                <pt idx="153">
                  <v>44986</v>
                </pt>
                <pt idx="154">
                  <v>45017</v>
                </pt>
                <pt idx="155">
                  <v>45047</v>
                </pt>
                <pt idx="156">
                  <v>45078</v>
                </pt>
                <pt idx="157">
                  <v>45108</v>
                </pt>
                <pt idx="158">
                  <v>45139</v>
                </pt>
                <pt idx="159">
                  <v>45170</v>
                </pt>
                <pt idx="160">
                  <v>45200</v>
                </pt>
                <pt idx="161">
                  <v>45231</v>
                </pt>
                <pt idx="162">
                  <v>45261</v>
                </pt>
                <pt idx="163">
                  <v>45292</v>
                </pt>
                <pt idx="164">
                  <v>45323</v>
                </pt>
                <pt idx="165">
                  <v>45352</v>
                </pt>
                <pt idx="166">
                  <v>45383</v>
                </pt>
                <pt idx="167">
                  <v>45413</v>
                </pt>
                <pt idx="168">
                  <v>45444</v>
                </pt>
                <pt idx="169">
                  <v>45474</v>
                </pt>
                <pt idx="170">
                  <v>45505</v>
                </pt>
                <pt idx="171">
                  <v>45536</v>
                </pt>
                <pt idx="172">
                  <v>45566</v>
                </pt>
                <pt idx="173">
                  <v>45597</v>
                </pt>
                <pt idx="174">
                  <v>45627</v>
                </pt>
                <pt idx="175">
                  <v>45658</v>
                </pt>
                <pt idx="176">
                  <v>45689</v>
                </pt>
                <pt idx="177">
                  <v>45717</v>
                </pt>
                <pt idx="178">
                  <v>45748</v>
                </pt>
                <pt idx="179">
                  <v>45778</v>
                </pt>
                <pt idx="180">
                  <v>45809</v>
                </pt>
                <pt idx="181">
                  <v>45839</v>
                </pt>
                <pt idx="182">
                  <v>45870</v>
                </pt>
                <pt idx="183">
                  <v>45901</v>
                </pt>
                <pt idx="184">
                  <v>45931</v>
                </pt>
                <pt idx="185">
                  <v>45962</v>
                </pt>
                <pt idx="186">
                  <v>45992</v>
                </pt>
              </numCache>
            </numRef>
          </cat>
          <val>
            <numRef>
              <f>Charts!$BD$32:$BD$218</f>
              <numCache>
                <formatCode>#,##0.0_);[Red]\(#,##0.0\)</formatCode>
                <ptCount val="187"/>
                <pt idx="0">
                  <v>216.4655216741169</v>
                </pt>
                <pt idx="1">
                  <v>219.2062828474719</v>
                </pt>
                <pt idx="2">
                  <v>224.6290039587739</v>
                </pt>
                <pt idx="3">
                  <v>228.7570582263739</v>
                </pt>
                <pt idx="4">
                  <v>230.2733366188064</v>
                </pt>
                <pt idx="5">
                  <v>232.9794601903816</v>
                </pt>
                <pt idx="6">
                  <v>234.4208624907371</v>
                </pt>
                <pt idx="7">
                  <v>237.7460588781001</v>
                </pt>
                <pt idx="8">
                  <v>240.065424791012</v>
                </pt>
                <pt idx="9">
                  <v>243.0422491656232</v>
                </pt>
                <pt idx="10">
                  <v>248.4589080057004</v>
                </pt>
                <pt idx="11">
                  <v>260.3082167833223</v>
                </pt>
                <pt idx="12">
                  <v>260.0996104034245</v>
                </pt>
                <pt idx="13">
                  <v>258.8586217051985</v>
                </pt>
                <pt idx="14">
                  <v>266.6196839451889</v>
                </pt>
                <pt idx="15">
                  <v>268.0712553320258</v>
                </pt>
                <pt idx="16">
                  <v>266.5585983192304</v>
                </pt>
                <pt idx="17">
                  <v>261.8617765117104</v>
                </pt>
                <pt idx="18">
                  <v>258.6157737496403</v>
                </pt>
                <pt idx="19">
                  <v>256.1587788226459</v>
                </pt>
                <pt idx="20">
                  <v>255.2023839588593</v>
                </pt>
                <pt idx="21">
                  <v>260.2711570605492</v>
                </pt>
                <pt idx="22">
                  <v>259.7686437294808</v>
                </pt>
                <pt idx="23">
                  <v>260.4759698423319</v>
                </pt>
                <pt idx="24">
                  <v>259.4952547308984</v>
                </pt>
                <pt idx="25">
                  <v>258.810098167821</v>
                </pt>
                <pt idx="26">
                  <v>256.4950165684216</v>
                </pt>
                <pt idx="27">
                  <v>255.5177822590157</v>
                </pt>
                <pt idx="28">
                  <v>253.8641318679449</v>
                </pt>
                <pt idx="29">
                  <v>257.2619476772636</v>
                </pt>
                <pt idx="30">
                  <v>258.4770594746197</v>
                </pt>
                <pt idx="31">
                  <v>261.3965229380848</v>
                </pt>
                <pt idx="32">
                  <v>258.1551039625086</v>
                </pt>
                <pt idx="33">
                  <v>248.2473133080374</v>
                </pt>
                <pt idx="34">
                  <v>251.5473677488517</v>
                </pt>
                <pt idx="35">
                  <v>248.7714548383711</v>
                </pt>
                <pt idx="36">
                  <v>257.4211526749613</v>
                </pt>
                <pt idx="37">
                  <v>265.1706219957696</v>
                </pt>
                <pt idx="38">
                  <v>266.8774383090075</v>
                </pt>
                <pt idx="39">
                  <v>269.3803320913091</v>
                </pt>
                <pt idx="40">
                  <v>272.7131801601737</v>
                </pt>
                <pt idx="41">
                  <v>271.3398088513127</v>
                </pt>
                <pt idx="42">
                  <v>272.2530105102584</v>
                </pt>
                <pt idx="43">
                  <v>272.6177736672663</v>
                </pt>
                <pt idx="44">
                  <v>276.7423079182329</v>
                </pt>
                <pt idx="45">
                  <v>277.819832302585</v>
                </pt>
                <pt idx="46">
                  <v>276.8239101915663</v>
                </pt>
                <pt idx="47">
                  <v>276.5904036743923</v>
                </pt>
                <pt idx="48">
                  <v>277.0024826988712</v>
                </pt>
                <pt idx="49">
                  <v>275.8341346007874</v>
                </pt>
                <pt idx="50">
                  <v>278.1928203390298</v>
                </pt>
                <pt idx="51">
                  <v>277.7307027615177</v>
                </pt>
                <pt idx="52">
                  <v>274.3014337368001</v>
                </pt>
                <pt idx="53">
                  <v>274.6216806068399</v>
                </pt>
                <pt idx="54">
                  <v>276.1927573931931</v>
                </pt>
                <pt idx="55">
                  <v>280.7412844097978</v>
                </pt>
                <pt idx="56">
                  <v>279.4356677821693</v>
                </pt>
                <pt idx="57">
                  <v>281.3934798718211</v>
                </pt>
                <pt idx="58">
                  <v>281.9355789180182</v>
                </pt>
                <pt idx="59">
                  <v>283.4719713850677</v>
                </pt>
                <pt idx="60">
                  <v>284.4226713722883</v>
                </pt>
                <pt idx="61">
                  <v>283.345679548186</v>
                </pt>
                <pt idx="62">
                  <v>285.071314625938</v>
                </pt>
                <pt idx="63">
                  <v>285.5933978483249</v>
                </pt>
                <pt idx="64">
                  <v>290.8938395154178</v>
                </pt>
                <pt idx="65">
                  <v>289.7634862395402</v>
                </pt>
                <pt idx="66">
                  <v>290.6191003387064</v>
                </pt>
                <pt idx="67">
                  <v>286.0408118863459</v>
                </pt>
                <pt idx="68">
                  <v>290.1281060171611</v>
                </pt>
                <pt idx="69">
                  <v>289.6175670984021</v>
                </pt>
                <pt idx="70">
                  <v>292.0137433769028</v>
                </pt>
                <pt idx="71">
                  <v>294.2905678973258</v>
                </pt>
                <pt idx="72">
                  <v>291.8710108956136</v>
                </pt>
                <pt idx="73">
                  <v>294.8077085586984</v>
                </pt>
                <pt idx="74">
                  <v>294.8083334470815</v>
                </pt>
                <pt idx="75">
                  <v>297.7823235102931</v>
                </pt>
                <pt idx="76">
                  <v>296.8370949799569</v>
                </pt>
                <pt idx="77">
                  <v>301.8990910954295</v>
                </pt>
                <pt idx="78">
                  <v>303.0814751340407</v>
                </pt>
                <pt idx="79">
                  <v>307.7269215553405</v>
                </pt>
                <pt idx="80">
                  <v>307.0206023943421</v>
                </pt>
                <pt idx="81">
                  <v>307.581253393414</v>
                </pt>
                <pt idx="82">
                  <v>312.7121038866068</v>
                </pt>
                <pt idx="83">
                  <v>310.9047205873304</v>
                </pt>
                <pt idx="84">
                  <v>318.8418816623481</v>
                </pt>
                <pt idx="85">
                  <v>322.9765521861254</v>
                </pt>
                <pt idx="86">
                  <v>324.9353294227325</v>
                </pt>
                <pt idx="87">
                  <v>322.3553110960579</v>
                </pt>
                <pt idx="88">
                  <v>327.601022458864</v>
                </pt>
                <pt idx="89">
                  <v>332.9371238491092</v>
                </pt>
                <pt idx="90">
                  <v>328.8543439953171</v>
                </pt>
                <pt idx="91">
                  <v>325.5085957554231</v>
                </pt>
                <pt idx="92">
                  <v>323.7318962875036</v>
                </pt>
                <pt idx="93">
                  <v>325.3696654990863</v>
                </pt>
                <pt idx="94">
                  <v>323.9236590318075</v>
                </pt>
                <pt idx="95">
                  <v>326.6883011215388</v>
                </pt>
                <pt idx="96">
                  <v>323.1281602414643</v>
                </pt>
                <pt idx="97">
                  <v>327.0062222676217</v>
                </pt>
                <pt idx="98">
                  <v>326.8671442859273</v>
                </pt>
                <pt idx="99">
                  <v>326.8819519295381</v>
                </pt>
                <pt idx="100">
                  <v>326.2606678242773</v>
                </pt>
                <pt idx="101">
                  <v>325.4229728149696</v>
                </pt>
                <pt idx="102">
                  <v>322.5447230185802</v>
                </pt>
                <pt idx="103">
                  <v>326.2557942737679</v>
                </pt>
                <pt idx="104">
                  <v>327.3805706582607</v>
                </pt>
                <pt idx="105">
                  <v>326.6947331864197</v>
                </pt>
                <pt idx="106">
                  <v>327.5909890204845</v>
                </pt>
                <pt idx="107">
                  <v>328.6577331388759</v>
                </pt>
                <pt idx="108">
                  <v>328.3714433787773</v>
                </pt>
                <pt idx="109">
                  <v>322.9269550986183</v>
                </pt>
                <pt idx="110">
                  <v>324.9078799182766</v>
                </pt>
                <pt idx="111">
                  <v>324.5141598268829</v>
                </pt>
                <pt idx="112">
                  <v>325.6507426500519</v>
                </pt>
                <pt idx="113">
                  <v>322.4486086551389</v>
                </pt>
                <pt idx="114">
                  <v>327.7041827970335</v>
                </pt>
                <pt idx="115">
                  <v>328.7940210759339</v>
                </pt>
                <pt idx="116">
                  <v>328.3877174061282</v>
                </pt>
                <pt idx="117">
                  <v>328.0943216470014</v>
                </pt>
                <pt idx="118">
                  <v>327.0580041361293</v>
                </pt>
                <pt idx="119">
                  <v>325.2461494618941</v>
                </pt>
                <pt idx="120">
                  <v>327.4480756033454</v>
                </pt>
                <pt idx="121">
                  <v>327.6070793656685</v>
                </pt>
                <pt idx="122">
                  <v>325.5945095141661</v>
                </pt>
                <pt idx="123">
                  <v>327.2851195324884</v>
                </pt>
                <pt idx="124">
                  <v>330.2501892169676</v>
                </pt>
                <pt idx="125">
                  <v>332.0767261200726</v>
                </pt>
                <pt idx="126">
                  <v>330.8735730214602</v>
                </pt>
                <pt idx="127">
                  <v>329.1849642904493</v>
                </pt>
                <pt idx="128">
                  <v>329.996129090498</v>
                </pt>
                <pt idx="129">
                  <v>331.0718587621693</v>
                </pt>
                <pt idx="130">
                  <v>332.6737652917426</v>
                </pt>
                <pt idx="131">
                  <v>333.9844944069545</v>
                </pt>
                <pt idx="132">
                  <v>336.8846059812018</v>
                </pt>
                <pt idx="133">
                  <v>338.0539037589886</v>
                </pt>
                <pt idx="134">
                  <v>342.9056942588974</v>
                </pt>
                <pt idx="135">
                  <v>344.8562569157702</v>
                </pt>
                <pt idx="136">
                  <v>345.5218341230285</v>
                </pt>
                <pt idx="137">
                  <v>348.9392776554945</v>
                </pt>
                <pt idx="138">
                  <v>350.386778726162</v>
                </pt>
                <pt idx="139">
                  <v>355.1460444535326</v>
                </pt>
                <pt idx="140">
                  <v>356.6380352558178</v>
                </pt>
                <pt idx="141">
                  <v>357.9862609270087</v>
                </pt>
                <pt idx="142">
                  <v>360.6306235176428</v>
                </pt>
                <pt idx="143">
                  <v>365.1412260004494</v>
                </pt>
                <pt idx="144">
                  <v>365.8158148096323</v>
                </pt>
                <pt idx="145">
                  <v>368.9281696528624</v>
                </pt>
                <pt idx="146">
                  <v>369.6751395616652</v>
                </pt>
                <pt idx="147">
                  <v>373.6714859166369</v>
                </pt>
                <pt idx="148">
                  <v>374.239767456406</v>
                </pt>
                <pt idx="149">
                  <v>373.9871707589919</v>
                </pt>
                <pt idx="150">
                  <v>375.2396857405667</v>
                </pt>
                <pt idx="151">
                  <v>371.1555226904488</v>
                </pt>
                <pt idx="152">
                  <v>371.8327951318149</v>
                </pt>
                <pt idx="153">
                  <v>369.1403482651912</v>
                </pt>
                <pt idx="154">
                  <v>367.1217339735647</v>
                </pt>
                <pt idx="155">
                  <v>363.9748891897228</v>
                </pt>
                <pt idx="156">
                  <v>359.9935246565737</v>
                </pt>
                <pt idx="157">
                  <v>357.5767152148335</v>
                </pt>
                <pt idx="158">
                  <v>354.5126009951233</v>
                </pt>
                <pt idx="159">
                  <v>343.9549503596089</v>
                </pt>
                <pt idx="160">
                  <v>335.950639269163</v>
                </pt>
                <pt idx="161">
                  <v>333.2440747777829</v>
                </pt>
                <pt idx="162">
                  <v>332.3750034620001</v>
                </pt>
                <pt idx="163">
                  <v>334.160906991538</v>
                </pt>
                <pt idx="164">
                  <v>332.977528795837</v>
                </pt>
                <pt idx="165">
                  <v>333.4820279961202</v>
                </pt>
                <pt idx="166">
                  <v>336.1039433540483</v>
                </pt>
                <pt idx="167">
                  <v>331.9356809036808</v>
                </pt>
                <pt idx="168">
                  <v>331.6534803574597</v>
                </pt>
                <pt idx="169">
                  <v>327.4358280588348</v>
                </pt>
                <pt idx="170">
                  <v>319.0762575959639</v>
                </pt>
                <pt idx="171">
                  <v>318.8426212117046</v>
                </pt>
                <pt idx="172">
                  <v>313.0741987870178</v>
                </pt>
                <pt idx="173">
                  <v>310.6736910380239</v>
                </pt>
                <pt idx="174">
                  <v>309.5978820848538</v>
                </pt>
                <pt idx="175">
                  <v>306.0606464738509</v>
                </pt>
                <pt idx="176">
                  <v>306.0036872466206</v>
                </pt>
                <pt idx="177">
                  <v>305.8214161285388</v>
                </pt>
                <pt idx="178">
                  <v>303.5402555574215</v>
                </pt>
                <pt idx="179">
                  <v>301.7735902129272</v>
                </pt>
                <pt idx="180">
                  <v>305.2165793923647</v>
                </pt>
                <pt idx="181">
                  <v>299.6419480160171</v>
                </pt>
                <pt idx="182">
                  <v>300.386612484105</v>
                </pt>
                <pt idx="183">
                  <v>300.7415698099511</v>
                </pt>
                <pt idx="184">
                  <v>304.0637589459751</v>
                </pt>
                <pt idx="185">
                  <v>304.7367429679486</v>
                </pt>
                <pt idx="186">
                  <v>304.2965786622216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42669856"/>
        <axId val="2142672496"/>
      </lineChart>
      <dateAx>
        <axId val="692158368"/>
        <scaling>
          <orientation val="minMax"/>
        </scaling>
        <delete val="1"/>
        <axPos val="b"/>
        <numFmt formatCode="[$-409]mmm\-yy;@" sourceLinked="1"/>
        <majorTickMark val="out"/>
        <minorTickMark val="none"/>
        <tickLblPos val="nextTo"/>
        <crossAx val="692157840"/>
        <crosses val="autoZero"/>
        <lblOffset val="100"/>
        <baseTimeUnit val="months"/>
      </dateAx>
      <valAx>
        <axId val="69215784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92158368"/>
        <crosses val="max"/>
        <crossBetween val="between"/>
      </valAx>
      <dateAx>
        <axId val="2142669856"/>
        <scaling>
          <orientation val="minMax"/>
        </scaling>
        <delete val="0"/>
        <axPos val="b"/>
        <numFmt formatCode="[$-409]m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142672496"/>
        <crosses val="autoZero"/>
        <lblOffset val="100"/>
        <baseTimeUnit val="months"/>
        <majorUnit val="6"/>
        <majorTimeUnit val="months"/>
      </dateAx>
      <valAx>
        <axId val="2142672496"/>
        <scaling>
          <orientation val="minMax"/>
          <min val="2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#,##0.0_);[Red]\(#,##0.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1426698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9EA9B7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9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Charts!$BF$2</f>
              <strCache>
                <ptCount val="1"/>
                <pt idx="0">
                  <v>Cash Return Index</v>
                </pt>
              </strCache>
            </strRef>
          </tx>
          <spPr>
            <a:ln xmlns:a="http://schemas.openxmlformats.org/drawingml/2006/main">
              <a:solidFill>
                <a:srgbClr val="003DA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Charts!$B$22:$B$218</f>
              <numCache>
                <formatCode>[$-409]mmm\-yy;@</formatCode>
                <ptCount val="197"/>
                <pt idx="0">
                  <v>40026</v>
                </pt>
                <pt idx="1">
                  <v>40057</v>
                </pt>
                <pt idx="2">
                  <v>40087</v>
                </pt>
                <pt idx="3">
                  <v>40118</v>
                </pt>
                <pt idx="4">
                  <v>40148</v>
                </pt>
                <pt idx="5">
                  <v>40179</v>
                </pt>
                <pt idx="6">
                  <v>40210</v>
                </pt>
                <pt idx="7">
                  <v>40238</v>
                </pt>
                <pt idx="8">
                  <v>40269</v>
                </pt>
                <pt idx="9">
                  <v>40299</v>
                </pt>
                <pt idx="10">
                  <v>40330</v>
                </pt>
                <pt idx="11">
                  <v>40360</v>
                </pt>
                <pt idx="12">
                  <v>40391</v>
                </pt>
                <pt idx="13">
                  <v>40422</v>
                </pt>
                <pt idx="14">
                  <v>40452</v>
                </pt>
                <pt idx="15">
                  <v>40483</v>
                </pt>
                <pt idx="16">
                  <v>40513</v>
                </pt>
                <pt idx="17">
                  <v>40544</v>
                </pt>
                <pt idx="18">
                  <v>40575</v>
                </pt>
                <pt idx="19">
                  <v>40603</v>
                </pt>
                <pt idx="20">
                  <v>40634</v>
                </pt>
                <pt idx="21">
                  <v>40664</v>
                </pt>
                <pt idx="22">
                  <v>40695</v>
                </pt>
                <pt idx="23">
                  <v>40725</v>
                </pt>
                <pt idx="24">
                  <v>40756</v>
                </pt>
                <pt idx="25">
                  <v>40787</v>
                </pt>
                <pt idx="26">
                  <v>40817</v>
                </pt>
                <pt idx="27">
                  <v>40848</v>
                </pt>
                <pt idx="28">
                  <v>40878</v>
                </pt>
                <pt idx="29">
                  <v>40909</v>
                </pt>
                <pt idx="30">
                  <v>40940</v>
                </pt>
                <pt idx="31">
                  <v>40969</v>
                </pt>
                <pt idx="32">
                  <v>41000</v>
                </pt>
                <pt idx="33">
                  <v>41030</v>
                </pt>
                <pt idx="34">
                  <v>41061</v>
                </pt>
                <pt idx="35">
                  <v>41091</v>
                </pt>
                <pt idx="36">
                  <v>41122</v>
                </pt>
                <pt idx="37">
                  <v>41153</v>
                </pt>
                <pt idx="38">
                  <v>41183</v>
                </pt>
                <pt idx="39">
                  <v>41214</v>
                </pt>
                <pt idx="40">
                  <v>41244</v>
                </pt>
                <pt idx="41">
                  <v>41275</v>
                </pt>
                <pt idx="42">
                  <v>41306</v>
                </pt>
                <pt idx="43">
                  <v>41334</v>
                </pt>
                <pt idx="44">
                  <v>41365</v>
                </pt>
                <pt idx="45">
                  <v>41395</v>
                </pt>
                <pt idx="46">
                  <v>41426</v>
                </pt>
                <pt idx="47">
                  <v>41456</v>
                </pt>
                <pt idx="48">
                  <v>41487</v>
                </pt>
                <pt idx="49">
                  <v>41518</v>
                </pt>
                <pt idx="50">
                  <v>41548</v>
                </pt>
                <pt idx="51">
                  <v>41579</v>
                </pt>
                <pt idx="52">
                  <v>41609</v>
                </pt>
                <pt idx="53">
                  <v>41640</v>
                </pt>
                <pt idx="54">
                  <v>41671</v>
                </pt>
                <pt idx="55">
                  <v>41699</v>
                </pt>
                <pt idx="56">
                  <v>41730</v>
                </pt>
                <pt idx="57">
                  <v>41760</v>
                </pt>
                <pt idx="58">
                  <v>41791</v>
                </pt>
                <pt idx="59">
                  <v>41821</v>
                </pt>
                <pt idx="60">
                  <v>41852</v>
                </pt>
                <pt idx="61">
                  <v>41883</v>
                </pt>
                <pt idx="62">
                  <v>41913</v>
                </pt>
                <pt idx="63">
                  <v>41944</v>
                </pt>
                <pt idx="64">
                  <v>41974</v>
                </pt>
                <pt idx="65">
                  <v>42005</v>
                </pt>
                <pt idx="66">
                  <v>42036</v>
                </pt>
                <pt idx="67">
                  <v>42064</v>
                </pt>
                <pt idx="68">
                  <v>42095</v>
                </pt>
                <pt idx="69">
                  <v>42125</v>
                </pt>
                <pt idx="70">
                  <v>42156</v>
                </pt>
                <pt idx="71">
                  <v>42186</v>
                </pt>
                <pt idx="72">
                  <v>42217</v>
                </pt>
                <pt idx="73">
                  <v>42248</v>
                </pt>
                <pt idx="74">
                  <v>42278</v>
                </pt>
                <pt idx="75">
                  <v>42309</v>
                </pt>
                <pt idx="76">
                  <v>42339</v>
                </pt>
                <pt idx="77">
                  <v>42370</v>
                </pt>
                <pt idx="78">
                  <v>42401</v>
                </pt>
                <pt idx="79">
                  <v>42430</v>
                </pt>
                <pt idx="80">
                  <v>42461</v>
                </pt>
                <pt idx="81">
                  <v>42491</v>
                </pt>
                <pt idx="82">
                  <v>42522</v>
                </pt>
                <pt idx="83">
                  <v>42552</v>
                </pt>
                <pt idx="84">
                  <v>42583</v>
                </pt>
                <pt idx="85">
                  <v>42614</v>
                </pt>
                <pt idx="86">
                  <v>42644</v>
                </pt>
                <pt idx="87">
                  <v>42675</v>
                </pt>
                <pt idx="88">
                  <v>42705</v>
                </pt>
                <pt idx="89">
                  <v>42736</v>
                </pt>
                <pt idx="90">
                  <v>42767</v>
                </pt>
                <pt idx="91">
                  <v>42795</v>
                </pt>
                <pt idx="92">
                  <v>42826</v>
                </pt>
                <pt idx="93">
                  <v>42856</v>
                </pt>
                <pt idx="94">
                  <v>42887</v>
                </pt>
                <pt idx="95">
                  <v>42917</v>
                </pt>
                <pt idx="96">
                  <v>42948</v>
                </pt>
                <pt idx="97">
                  <v>42979</v>
                </pt>
                <pt idx="98">
                  <v>43009</v>
                </pt>
                <pt idx="99">
                  <v>43040</v>
                </pt>
                <pt idx="100">
                  <v>43070</v>
                </pt>
                <pt idx="101">
                  <v>43101</v>
                </pt>
                <pt idx="102">
                  <v>43132</v>
                </pt>
                <pt idx="103">
                  <v>43160</v>
                </pt>
                <pt idx="104">
                  <v>43191</v>
                </pt>
                <pt idx="105">
                  <v>43221</v>
                </pt>
                <pt idx="106">
                  <v>43252</v>
                </pt>
                <pt idx="107">
                  <v>43282</v>
                </pt>
                <pt idx="108">
                  <v>43313</v>
                </pt>
                <pt idx="109">
                  <v>43344</v>
                </pt>
                <pt idx="110">
                  <v>43374</v>
                </pt>
                <pt idx="111">
                  <v>43405</v>
                </pt>
                <pt idx="112">
                  <v>43435</v>
                </pt>
                <pt idx="113">
                  <v>43466</v>
                </pt>
                <pt idx="114">
                  <v>43497</v>
                </pt>
                <pt idx="115">
                  <v>43525</v>
                </pt>
                <pt idx="116">
                  <v>43556</v>
                </pt>
                <pt idx="117">
                  <v>43586</v>
                </pt>
                <pt idx="118">
                  <v>43617</v>
                </pt>
                <pt idx="119">
                  <v>43647</v>
                </pt>
                <pt idx="120">
                  <v>43678</v>
                </pt>
                <pt idx="121">
                  <v>43709</v>
                </pt>
                <pt idx="122">
                  <v>43739</v>
                </pt>
                <pt idx="123">
                  <v>43770</v>
                </pt>
                <pt idx="124">
                  <v>43800</v>
                </pt>
                <pt idx="125">
                  <v>43831</v>
                </pt>
                <pt idx="126">
                  <v>43862</v>
                </pt>
                <pt idx="127">
                  <v>43891</v>
                </pt>
                <pt idx="128">
                  <v>43922</v>
                </pt>
                <pt idx="129">
                  <v>43952</v>
                </pt>
                <pt idx="130">
                  <v>43983</v>
                </pt>
                <pt idx="131">
                  <v>44013</v>
                </pt>
                <pt idx="132">
                  <v>44044</v>
                </pt>
                <pt idx="133">
                  <v>44075</v>
                </pt>
                <pt idx="134">
                  <v>44105</v>
                </pt>
                <pt idx="135">
                  <v>44136</v>
                </pt>
                <pt idx="136">
                  <v>44166</v>
                </pt>
                <pt idx="137">
                  <v>44197</v>
                </pt>
                <pt idx="138">
                  <v>44228</v>
                </pt>
                <pt idx="139">
                  <v>44256</v>
                </pt>
                <pt idx="140">
                  <v>44287</v>
                </pt>
                <pt idx="141">
                  <v>44317</v>
                </pt>
                <pt idx="142">
                  <v>44348</v>
                </pt>
                <pt idx="143">
                  <v>44378</v>
                </pt>
                <pt idx="144">
                  <v>44409</v>
                </pt>
                <pt idx="145">
                  <v>44440</v>
                </pt>
                <pt idx="146">
                  <v>44470</v>
                </pt>
                <pt idx="147">
                  <v>44501</v>
                </pt>
                <pt idx="148">
                  <v>44531</v>
                </pt>
                <pt idx="149">
                  <v>44562</v>
                </pt>
                <pt idx="150">
                  <v>44593</v>
                </pt>
                <pt idx="151">
                  <v>44621</v>
                </pt>
                <pt idx="152">
                  <v>44652</v>
                </pt>
                <pt idx="153">
                  <v>44682</v>
                </pt>
                <pt idx="154">
                  <v>44713</v>
                </pt>
                <pt idx="155">
                  <v>44743</v>
                </pt>
                <pt idx="156">
                  <v>44774</v>
                </pt>
                <pt idx="157">
                  <v>44805</v>
                </pt>
                <pt idx="158">
                  <v>44835</v>
                </pt>
                <pt idx="159">
                  <v>44866</v>
                </pt>
                <pt idx="160">
                  <v>44896</v>
                </pt>
                <pt idx="161">
                  <v>44927</v>
                </pt>
                <pt idx="162">
                  <v>44958</v>
                </pt>
                <pt idx="163">
                  <v>44986</v>
                </pt>
                <pt idx="164">
                  <v>45017</v>
                </pt>
                <pt idx="165">
                  <v>45047</v>
                </pt>
                <pt idx="166">
                  <v>45078</v>
                </pt>
                <pt idx="167">
                  <v>45108</v>
                </pt>
                <pt idx="168">
                  <v>45139</v>
                </pt>
                <pt idx="169">
                  <v>45170</v>
                </pt>
                <pt idx="170">
                  <v>45200</v>
                </pt>
                <pt idx="171">
                  <v>45231</v>
                </pt>
                <pt idx="172">
                  <v>45261</v>
                </pt>
                <pt idx="173">
                  <v>45292</v>
                </pt>
                <pt idx="174">
                  <v>45323</v>
                </pt>
                <pt idx="175">
                  <v>45352</v>
                </pt>
                <pt idx="176">
                  <v>45383</v>
                </pt>
                <pt idx="177">
                  <v>45413</v>
                </pt>
                <pt idx="178">
                  <v>45444</v>
                </pt>
                <pt idx="179">
                  <v>45474</v>
                </pt>
                <pt idx="180">
                  <v>45505</v>
                </pt>
                <pt idx="181">
                  <v>45536</v>
                </pt>
                <pt idx="182">
                  <v>45566</v>
                </pt>
                <pt idx="183">
                  <v>45597</v>
                </pt>
                <pt idx="184">
                  <v>45627</v>
                </pt>
                <pt idx="185">
                  <v>45658</v>
                </pt>
                <pt idx="186">
                  <v>45689</v>
                </pt>
                <pt idx="187">
                  <v>45717</v>
                </pt>
                <pt idx="188">
                  <v>45748</v>
                </pt>
                <pt idx="189">
                  <v>45778</v>
                </pt>
                <pt idx="190">
                  <v>45809</v>
                </pt>
                <pt idx="191">
                  <v>45839</v>
                </pt>
                <pt idx="192">
                  <v>45870</v>
                </pt>
                <pt idx="193">
                  <v>45901</v>
                </pt>
                <pt idx="194">
                  <v>45931</v>
                </pt>
                <pt idx="195">
                  <v>45962</v>
                </pt>
                <pt idx="196">
                  <v>45992</v>
                </pt>
              </numCache>
            </numRef>
          </cat>
          <val>
            <numRef>
              <f>Charts!$BF$19:$BF$218</f>
              <numCache>
                <formatCode>0.00%</formatCode>
                <ptCount val="200"/>
                <pt idx="0">
                  <v>0.08835845712925472</v>
                </pt>
                <pt idx="1">
                  <v>0.09009536395721057</v>
                </pt>
                <pt idx="2">
                  <v>0.0860360071592238</v>
                </pt>
                <pt idx="3">
                  <v>0.08929583253401605</v>
                </pt>
                <pt idx="4">
                  <v>0.08929583253401605</v>
                </pt>
                <pt idx="5">
                  <v>0.08929583253401605</v>
                </pt>
                <pt idx="6">
                  <v>0.09191030910518772</v>
                </pt>
                <pt idx="7">
                  <v>0.09202033786475552</v>
                </pt>
                <pt idx="8">
                  <v>0.09075592425776982</v>
                </pt>
                <pt idx="9">
                  <v>0.090159191596536</v>
                </pt>
                <pt idx="10">
                  <v>0.08882838148639001</v>
                </pt>
                <pt idx="11">
                  <v>0.09147050499685389</v>
                </pt>
                <pt idx="12">
                  <v>0.09194096623963637</v>
                </pt>
                <pt idx="13">
                  <v>0.09061302478159877</v>
                </pt>
                <pt idx="14">
                  <v>0.08981579443765905</v>
                </pt>
                <pt idx="15">
                  <v>0.08812236873589925</v>
                </pt>
                <pt idx="16">
                  <v>0.08717098480129939</v>
                </pt>
                <pt idx="17">
                  <v>0.08717098480129939</v>
                </pt>
                <pt idx="18">
                  <v>0.08675135956346862</v>
                </pt>
                <pt idx="19">
                  <v>0.0868126667401983</v>
                </pt>
                <pt idx="20">
                  <v>0.08616399724398796</v>
                </pt>
                <pt idx="21">
                  <v>0.08574582207403637</v>
                </pt>
                <pt idx="22">
                  <v>0.0851649938725382</v>
                </pt>
                <pt idx="23">
                  <v>0.08378978038725746</v>
                </pt>
                <pt idx="24">
                  <v>0.08033104324854602</v>
                </pt>
                <pt idx="25">
                  <v>0.0807378911693713</v>
                </pt>
                <pt idx="26">
                  <v>0.08139054743901553</v>
                </pt>
                <pt idx="27">
                  <v>0.07929753896324772</v>
                </pt>
                <pt idx="28">
                  <v>0.07894718499407322</v>
                </pt>
                <pt idx="29">
                  <v>0.07941979113831892</v>
                </pt>
                <pt idx="30">
                  <v>0.08097410128112324</v>
                </pt>
                <pt idx="31">
                  <v>0.08206096328726725</v>
                </pt>
                <pt idx="32">
                  <v>0.08288912503967151</v>
                </pt>
                <pt idx="33">
                  <v>0.08328278807240802</v>
                </pt>
                <pt idx="34">
                  <v>0.08183525137713954</v>
                </pt>
                <pt idx="35">
                  <v>0.08208814494242583</v>
                </pt>
                <pt idx="36">
                  <v>0.081939996289132</v>
                </pt>
                <pt idx="37">
                  <v>0.08232321448260582</v>
                </pt>
                <pt idx="38">
                  <v>0.08254946448260583</v>
                </pt>
                <pt idx="39">
                  <v>0.08321751646724213</v>
                </pt>
                <pt idx="40">
                  <v>0.08365327850638604</v>
                </pt>
                <pt idx="41">
                  <v>0.08419324196985717</v>
                </pt>
                <pt idx="42">
                  <v>0.08291723926498801</v>
                </pt>
                <pt idx="43">
                  <v>0.08239550627516667</v>
                </pt>
                <pt idx="44">
                  <v>0.08139335740992792</v>
                </pt>
                <pt idx="45">
                  <v>0.08235572689526777</v>
                </pt>
                <pt idx="46">
                  <v>0.08554440476406588</v>
                </pt>
                <pt idx="47">
                  <v>0.08414942442465084</v>
                </pt>
                <pt idx="48">
                  <v>0.08493064328159951</v>
                </pt>
                <pt idx="49">
                  <v>0.08179338359330415</v>
                </pt>
                <pt idx="50">
                  <v>0.0794431377678719</v>
                </pt>
                <pt idx="51">
                  <v>0.07869778083183471</v>
                </pt>
                <pt idx="52">
                  <v>0.07786887858067959</v>
                </pt>
                <pt idx="53">
                  <v>0.07688229538145407</v>
                </pt>
                <pt idx="54">
                  <v>0.07722105093700173</v>
                </pt>
                <pt idx="55">
                  <v>0.07689958565620529</v>
                </pt>
                <pt idx="56">
                  <v>0.07669999096506476</v>
                </pt>
                <pt idx="57">
                  <v>0.07549699654407617</v>
                </pt>
                <pt idx="58">
                  <v>0.07519684852597841</v>
                </pt>
                <pt idx="59">
                  <v>0.07544231252504703</v>
                </pt>
                <pt idx="60">
                  <v>0.07545244117280336</v>
                </pt>
                <pt idx="61">
                  <v>0.07528985296333926</v>
                </pt>
                <pt idx="62">
                  <v>0.0755048090665245</v>
                </pt>
                <pt idx="63">
                  <v>0.07486800696330631</v>
                </pt>
                <pt idx="64">
                  <v>0.07498593063086478</v>
                </pt>
                <pt idx="65">
                  <v>0.07589567953662943</v>
                </pt>
                <pt idx="66">
                  <v>0.07577202560118088</v>
                </pt>
                <pt idx="67">
                  <v>0.07539488286744409</v>
                </pt>
                <pt idx="68">
                  <v>0.07420413482323271</v>
                </pt>
                <pt idx="69">
                  <v>0.0746703794995008</v>
                </pt>
                <pt idx="70">
                  <v>0.07418714835538906</v>
                </pt>
                <pt idx="71">
                  <v>0.07414156098909401</v>
                </pt>
                <pt idx="72">
                  <v>0.07376517929116742</v>
                </pt>
                <pt idx="73">
                  <v>0.07358177093750586</v>
                </pt>
                <pt idx="74">
                  <v>0.07399184383238672</v>
                </pt>
                <pt idx="75">
                  <v>0.07357025361079046</v>
                </pt>
                <pt idx="76">
                  <v>0.07341190811837615</v>
                </pt>
                <pt idx="77">
                  <v>0.07201373709277686</v>
                </pt>
                <pt idx="78">
                  <v>0.07232599084005392</v>
                </pt>
                <pt idx="79">
                  <v>0.0721177102545576</v>
                </pt>
                <pt idx="80">
                  <v>0.0734145180311742</v>
                </pt>
                <pt idx="81">
                  <v>0.07230158675743989</v>
                </pt>
                <pt idx="82">
                  <v>0.07244940700532115</v>
                </pt>
                <pt idx="83">
                  <v>0.07183099099703429</v>
                </pt>
                <pt idx="84">
                  <v>0.07154491310761465</v>
                </pt>
                <pt idx="85">
                  <v>0.0722390903368737</v>
                </pt>
                <pt idx="86">
                  <v>0.07157214139394383</v>
                </pt>
                <pt idx="87">
                  <v>0.07173776096151965</v>
                </pt>
                <pt idx="88">
                  <v>0.07114006652292632</v>
                </pt>
                <pt idx="89">
                  <v>0.07161746358108384</v>
                </pt>
                <pt idx="90">
                  <v>0.07043251793651384</v>
                </pt>
                <pt idx="91">
                  <v>0.07014861151848555</v>
                </pt>
                <pt idx="92">
                  <v>0.06907178436093991</v>
                </pt>
                <pt idx="93">
                  <v>0.06940176749769418</v>
                </pt>
                <pt idx="94">
                  <v>0.06939666260080143</v>
                </pt>
                <pt idx="95">
                  <v>0.0683262279174669</v>
                </pt>
                <pt idx="96">
                  <v>0.06884385013746658</v>
                </pt>
                <pt idx="97">
                  <v>0.06706014296294863</v>
                </pt>
                <pt idx="98">
                  <v>0.06624230080244464</v>
                </pt>
                <pt idx="99">
                  <v>0.06598684062721535</v>
                </pt>
                <pt idx="100">
                  <v>0.06675058371220206</v>
                </pt>
                <pt idx="101">
                  <v>0.06571985899207863</v>
                </pt>
                <pt idx="102">
                  <v>0.0646923223721166</v>
                </pt>
                <pt idx="103">
                  <v>0.0657209473528179</v>
                </pt>
                <pt idx="104">
                  <v>0.06660298762930222</v>
                </pt>
                <pt idx="105">
                  <v>0.06711082647317036</v>
                </pt>
                <pt idx="106">
                  <v>0.06681201687796648</v>
                </pt>
                <pt idx="107">
                  <v>0.06722136537530048</v>
                </pt>
                <pt idx="108">
                  <v>0.06662589787946059</v>
                </pt>
                <pt idx="109">
                  <v>0.06729730890621571</v>
                </pt>
                <pt idx="110">
                  <v>0.06646072830164994</v>
                </pt>
                <pt idx="111">
                  <v>0.06646533617994516</v>
                </pt>
                <pt idx="112">
                  <v>0.06645912329280852</v>
                </pt>
                <pt idx="113">
                  <v>0.06660974463046317</v>
                </pt>
                <pt idx="114">
                  <v>0.06679768922035345</v>
                </pt>
                <pt idx="115">
                  <v>0.06750962332347121</v>
                </pt>
                <pt idx="116">
                  <v>0.06664541359623935</v>
                </pt>
                <pt idx="117">
                  <v>0.06641692291048412</v>
                </pt>
                <pt idx="118">
                  <v>0.06657450086340438</v>
                </pt>
                <pt idx="119">
                  <v>0.06639703271978534</v>
                </pt>
                <pt idx="120">
                  <v>0.06625288784800673</v>
                </pt>
                <pt idx="121">
                  <v>0.06636204931489374</v>
                </pt>
                <pt idx="122">
                  <v>0.06763934862348858</v>
                </pt>
                <pt idx="123">
                  <v>0.06710736139540346</v>
                </pt>
                <pt idx="124">
                  <v>0.06730829456360132</v>
                </pt>
                <pt idx="125">
                  <v>0.06703211500262043</v>
                </pt>
                <pt idx="126">
                  <v>0.06782341741297468</v>
                </pt>
                <pt idx="127">
                  <v>0.06666263150889452</v>
                </pt>
                <pt idx="128">
                  <v>0.0665524029170243</v>
                </pt>
                <pt idx="129">
                  <v>0.06663118509599303</v>
                </pt>
                <pt idx="130">
                  <v>0.06673422668377649</v>
                </pt>
                <pt idx="131">
                  <v>0.06695063180978497</v>
                </pt>
                <pt idx="132">
                  <v>0.06738896390789435</v>
                </pt>
                <pt idx="133">
                  <v>0.06692462764627202</v>
                </pt>
                <pt idx="134">
                  <v>0.06685981620082258</v>
                </pt>
                <pt idx="135">
                  <v>0.06733232350288361</v>
                </pt>
                <pt idx="136">
                  <v>0.06699515152374702</v>
                </pt>
                <pt idx="137">
                  <v>0.06647070655826051</v>
                </pt>
                <pt idx="138">
                  <v>0.0660487223470609</v>
                </pt>
                <pt idx="139">
                  <v>0.06637917618732354</v>
                </pt>
                <pt idx="140">
                  <v>0.06669061267700907</v>
                </pt>
                <pt idx="141">
                  <v>0.06654528021745003</v>
                </pt>
                <pt idx="142">
                  <v>0.06632505392170229</v>
                </pt>
                <pt idx="143">
                  <v>0.06605974915547336</v>
                </pt>
                <pt idx="144">
                  <v>0.06583882721953294</v>
                </pt>
                <pt idx="145">
                  <v>0.06527529641360727</v>
                </pt>
                <pt idx="146">
                  <v>0.0650457341890463</v>
                </pt>
                <pt idx="147">
                  <v>0.06414929267952545</v>
                </pt>
                <pt idx="148">
                  <v>0.06382540924668204</v>
                </pt>
                <pt idx="149">
                  <v>0.06375274467591778</v>
                </pt>
                <pt idx="150">
                  <v>0.06321166322414579</v>
                </pt>
                <pt idx="151">
                  <v>0.06289953373303901</v>
                </pt>
                <pt idx="152">
                  <v>0.06199279191715586</v>
                </pt>
                <pt idx="153">
                  <v>0.06181892836772339</v>
                </pt>
                <pt idx="154">
                  <v>0.06161383018793298</v>
                </pt>
                <pt idx="155">
                  <v>0.06118315855179345</v>
                </pt>
                <pt idx="156">
                  <v>0.06046576335085251</v>
                </pt>
                <pt idx="157">
                  <v>0.06039855585455837</v>
                </pt>
                <pt idx="158">
                  <v>0.05991729243315595</v>
                </pt>
                <pt idx="159">
                  <v>0.05983594988729721</v>
                </pt>
                <pt idx="160">
                  <v>0.05921138293174719</v>
                </pt>
                <pt idx="161">
                  <v>0.05916907856555269</v>
                </pt>
                <pt idx="162">
                  <v>0.05925989295447488</v>
                </pt>
                <pt idx="163">
                  <v>0.05908669176750889</v>
                </pt>
                <pt idx="164">
                  <v>0.0598295830597436</v>
                </pt>
                <pt idx="165">
                  <v>0.05971138889101655</v>
                </pt>
                <pt idx="166">
                  <v>0.06015885041946115</v>
                </pt>
                <pt idx="167">
                  <v>0.06053870201323716</v>
                </pt>
                <pt idx="168">
                  <v>0.0610682862976222</v>
                </pt>
                <pt idx="169">
                  <v>0.06175974490686417</v>
                </pt>
                <pt idx="170">
                  <v>0.06215686907134445</v>
                </pt>
                <pt idx="171">
                  <v>0.06261050592499892</v>
                </pt>
                <pt idx="172">
                  <v>0.06448891476054416</v>
                </pt>
                <pt idx="173">
                  <v>0.06603213512225049</v>
                </pt>
                <pt idx="174">
                  <v>0.06655650149821607</v>
                </pt>
                <pt idx="175">
                  <v>0.06675469690591601</v>
                </pt>
                <pt idx="176">
                  <v>0.06642881134037118</v>
                </pt>
                <pt idx="177">
                  <v>0.06665550429436728</v>
                </pt>
                <pt idx="178">
                  <v>0.06659763970175345</v>
                </pt>
                <pt idx="179">
                  <v>0.06608278745691624</v>
                </pt>
                <pt idx="180">
                  <v>0.06694831530886063</v>
                </pt>
                <pt idx="181">
                  <v>0.06704639999820486</v>
                </pt>
                <pt idx="182">
                  <v>0.06802500980501802</v>
                </pt>
                <pt idx="183">
                  <v>0.06988198554094072</v>
                </pt>
                <pt idx="184">
                  <v>0.06993481899306471</v>
                </pt>
                <pt idx="185">
                  <v>0.07140184108025385</v>
                </pt>
                <pt idx="186">
                  <v>0.07193664641043429</v>
                </pt>
                <pt idx="187">
                  <v>0.07215839061468118</v>
                </pt>
                <pt idx="188">
                  <v>0.07297281101158569</v>
                </pt>
                <pt idx="189">
                  <v>0.0729977391309892</v>
                </pt>
                <pt idx="190">
                  <v>0.07311919233465794</v>
                </pt>
                <pt idx="191">
                  <v>0.07368969272177704</v>
                </pt>
                <pt idx="192">
                  <v>0.07418712531305163</v>
                </pt>
                <pt idx="193">
                  <v>0.07348138037094659</v>
                </pt>
                <pt idx="194">
                  <v>0.07487076503650678</v>
                </pt>
                <pt idx="195">
                  <v>0.07480323578215466</v>
                </pt>
                <pt idx="196">
                  <v>0.07475598164419095</v>
                </pt>
                <pt idx="197">
                  <v>0.07393264351185552</v>
                </pt>
                <pt idx="198">
                  <v>0.07382287149093891</v>
                </pt>
                <pt idx="199">
                  <v>0.07396621053139388</v>
                </pt>
              </numCache>
            </numRef>
          </val>
          <smooth val="0"/>
        </ser>
        <ser>
          <idx val="1"/>
          <order val="1"/>
          <tx>
            <strRef>
              <f>Charts!$BG$2</f>
              <strCache>
                <ptCount val="1"/>
                <pt idx="0">
                  <v>Leveraged Return Index</v>
                </pt>
              </strCache>
            </strRef>
          </tx>
          <spPr>
            <a:ln xmlns:a="http://schemas.openxmlformats.org/drawingml/2006/main">
              <a:solidFill>
                <a:srgbClr val="62B5E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Charts!$B$22:$B$218</f>
              <numCache>
                <formatCode>[$-409]mmm\-yy;@</formatCode>
                <ptCount val="197"/>
                <pt idx="0">
                  <v>40026</v>
                </pt>
                <pt idx="1">
                  <v>40057</v>
                </pt>
                <pt idx="2">
                  <v>40087</v>
                </pt>
                <pt idx="3">
                  <v>40118</v>
                </pt>
                <pt idx="4">
                  <v>40148</v>
                </pt>
                <pt idx="5">
                  <v>40179</v>
                </pt>
                <pt idx="6">
                  <v>40210</v>
                </pt>
                <pt idx="7">
                  <v>40238</v>
                </pt>
                <pt idx="8">
                  <v>40269</v>
                </pt>
                <pt idx="9">
                  <v>40299</v>
                </pt>
                <pt idx="10">
                  <v>40330</v>
                </pt>
                <pt idx="11">
                  <v>40360</v>
                </pt>
                <pt idx="12">
                  <v>40391</v>
                </pt>
                <pt idx="13">
                  <v>40422</v>
                </pt>
                <pt idx="14">
                  <v>40452</v>
                </pt>
                <pt idx="15">
                  <v>40483</v>
                </pt>
                <pt idx="16">
                  <v>40513</v>
                </pt>
                <pt idx="17">
                  <v>40544</v>
                </pt>
                <pt idx="18">
                  <v>40575</v>
                </pt>
                <pt idx="19">
                  <v>40603</v>
                </pt>
                <pt idx="20">
                  <v>40634</v>
                </pt>
                <pt idx="21">
                  <v>40664</v>
                </pt>
                <pt idx="22">
                  <v>40695</v>
                </pt>
                <pt idx="23">
                  <v>40725</v>
                </pt>
                <pt idx="24">
                  <v>40756</v>
                </pt>
                <pt idx="25">
                  <v>40787</v>
                </pt>
                <pt idx="26">
                  <v>40817</v>
                </pt>
                <pt idx="27">
                  <v>40848</v>
                </pt>
                <pt idx="28">
                  <v>40878</v>
                </pt>
                <pt idx="29">
                  <v>40909</v>
                </pt>
                <pt idx="30">
                  <v>40940</v>
                </pt>
                <pt idx="31">
                  <v>40969</v>
                </pt>
                <pt idx="32">
                  <v>41000</v>
                </pt>
                <pt idx="33">
                  <v>41030</v>
                </pt>
                <pt idx="34">
                  <v>41061</v>
                </pt>
                <pt idx="35">
                  <v>41091</v>
                </pt>
                <pt idx="36">
                  <v>41122</v>
                </pt>
                <pt idx="37">
                  <v>41153</v>
                </pt>
                <pt idx="38">
                  <v>41183</v>
                </pt>
                <pt idx="39">
                  <v>41214</v>
                </pt>
                <pt idx="40">
                  <v>41244</v>
                </pt>
                <pt idx="41">
                  <v>41275</v>
                </pt>
                <pt idx="42">
                  <v>41306</v>
                </pt>
                <pt idx="43">
                  <v>41334</v>
                </pt>
                <pt idx="44">
                  <v>41365</v>
                </pt>
                <pt idx="45">
                  <v>41395</v>
                </pt>
                <pt idx="46">
                  <v>41426</v>
                </pt>
                <pt idx="47">
                  <v>41456</v>
                </pt>
                <pt idx="48">
                  <v>41487</v>
                </pt>
                <pt idx="49">
                  <v>41518</v>
                </pt>
                <pt idx="50">
                  <v>41548</v>
                </pt>
                <pt idx="51">
                  <v>41579</v>
                </pt>
                <pt idx="52">
                  <v>41609</v>
                </pt>
                <pt idx="53">
                  <v>41640</v>
                </pt>
                <pt idx="54">
                  <v>41671</v>
                </pt>
                <pt idx="55">
                  <v>41699</v>
                </pt>
                <pt idx="56">
                  <v>41730</v>
                </pt>
                <pt idx="57">
                  <v>41760</v>
                </pt>
                <pt idx="58">
                  <v>41791</v>
                </pt>
                <pt idx="59">
                  <v>41821</v>
                </pt>
                <pt idx="60">
                  <v>41852</v>
                </pt>
                <pt idx="61">
                  <v>41883</v>
                </pt>
                <pt idx="62">
                  <v>41913</v>
                </pt>
                <pt idx="63">
                  <v>41944</v>
                </pt>
                <pt idx="64">
                  <v>41974</v>
                </pt>
                <pt idx="65">
                  <v>42005</v>
                </pt>
                <pt idx="66">
                  <v>42036</v>
                </pt>
                <pt idx="67">
                  <v>42064</v>
                </pt>
                <pt idx="68">
                  <v>42095</v>
                </pt>
                <pt idx="69">
                  <v>42125</v>
                </pt>
                <pt idx="70">
                  <v>42156</v>
                </pt>
                <pt idx="71">
                  <v>42186</v>
                </pt>
                <pt idx="72">
                  <v>42217</v>
                </pt>
                <pt idx="73">
                  <v>42248</v>
                </pt>
                <pt idx="74">
                  <v>42278</v>
                </pt>
                <pt idx="75">
                  <v>42309</v>
                </pt>
                <pt idx="76">
                  <v>42339</v>
                </pt>
                <pt idx="77">
                  <v>42370</v>
                </pt>
                <pt idx="78">
                  <v>42401</v>
                </pt>
                <pt idx="79">
                  <v>42430</v>
                </pt>
                <pt idx="80">
                  <v>42461</v>
                </pt>
                <pt idx="81">
                  <v>42491</v>
                </pt>
                <pt idx="82">
                  <v>42522</v>
                </pt>
                <pt idx="83">
                  <v>42552</v>
                </pt>
                <pt idx="84">
                  <v>42583</v>
                </pt>
                <pt idx="85">
                  <v>42614</v>
                </pt>
                <pt idx="86">
                  <v>42644</v>
                </pt>
                <pt idx="87">
                  <v>42675</v>
                </pt>
                <pt idx="88">
                  <v>42705</v>
                </pt>
                <pt idx="89">
                  <v>42736</v>
                </pt>
                <pt idx="90">
                  <v>42767</v>
                </pt>
                <pt idx="91">
                  <v>42795</v>
                </pt>
                <pt idx="92">
                  <v>42826</v>
                </pt>
                <pt idx="93">
                  <v>42856</v>
                </pt>
                <pt idx="94">
                  <v>42887</v>
                </pt>
                <pt idx="95">
                  <v>42917</v>
                </pt>
                <pt idx="96">
                  <v>42948</v>
                </pt>
                <pt idx="97">
                  <v>42979</v>
                </pt>
                <pt idx="98">
                  <v>43009</v>
                </pt>
                <pt idx="99">
                  <v>43040</v>
                </pt>
                <pt idx="100">
                  <v>43070</v>
                </pt>
                <pt idx="101">
                  <v>43101</v>
                </pt>
                <pt idx="102">
                  <v>43132</v>
                </pt>
                <pt idx="103">
                  <v>43160</v>
                </pt>
                <pt idx="104">
                  <v>43191</v>
                </pt>
                <pt idx="105">
                  <v>43221</v>
                </pt>
                <pt idx="106">
                  <v>43252</v>
                </pt>
                <pt idx="107">
                  <v>43282</v>
                </pt>
                <pt idx="108">
                  <v>43313</v>
                </pt>
                <pt idx="109">
                  <v>43344</v>
                </pt>
                <pt idx="110">
                  <v>43374</v>
                </pt>
                <pt idx="111">
                  <v>43405</v>
                </pt>
                <pt idx="112">
                  <v>43435</v>
                </pt>
                <pt idx="113">
                  <v>43466</v>
                </pt>
                <pt idx="114">
                  <v>43497</v>
                </pt>
                <pt idx="115">
                  <v>43525</v>
                </pt>
                <pt idx="116">
                  <v>43556</v>
                </pt>
                <pt idx="117">
                  <v>43586</v>
                </pt>
                <pt idx="118">
                  <v>43617</v>
                </pt>
                <pt idx="119">
                  <v>43647</v>
                </pt>
                <pt idx="120">
                  <v>43678</v>
                </pt>
                <pt idx="121">
                  <v>43709</v>
                </pt>
                <pt idx="122">
                  <v>43739</v>
                </pt>
                <pt idx="123">
                  <v>43770</v>
                </pt>
                <pt idx="124">
                  <v>43800</v>
                </pt>
                <pt idx="125">
                  <v>43831</v>
                </pt>
                <pt idx="126">
                  <v>43862</v>
                </pt>
                <pt idx="127">
                  <v>43891</v>
                </pt>
                <pt idx="128">
                  <v>43922</v>
                </pt>
                <pt idx="129">
                  <v>43952</v>
                </pt>
                <pt idx="130">
                  <v>43983</v>
                </pt>
                <pt idx="131">
                  <v>44013</v>
                </pt>
                <pt idx="132">
                  <v>44044</v>
                </pt>
                <pt idx="133">
                  <v>44075</v>
                </pt>
                <pt idx="134">
                  <v>44105</v>
                </pt>
                <pt idx="135">
                  <v>44136</v>
                </pt>
                <pt idx="136">
                  <v>44166</v>
                </pt>
                <pt idx="137">
                  <v>44197</v>
                </pt>
                <pt idx="138">
                  <v>44228</v>
                </pt>
                <pt idx="139">
                  <v>44256</v>
                </pt>
                <pt idx="140">
                  <v>44287</v>
                </pt>
                <pt idx="141">
                  <v>44317</v>
                </pt>
                <pt idx="142">
                  <v>44348</v>
                </pt>
                <pt idx="143">
                  <v>44378</v>
                </pt>
                <pt idx="144">
                  <v>44409</v>
                </pt>
                <pt idx="145">
                  <v>44440</v>
                </pt>
                <pt idx="146">
                  <v>44470</v>
                </pt>
                <pt idx="147">
                  <v>44501</v>
                </pt>
                <pt idx="148">
                  <v>44531</v>
                </pt>
                <pt idx="149">
                  <v>44562</v>
                </pt>
                <pt idx="150">
                  <v>44593</v>
                </pt>
                <pt idx="151">
                  <v>44621</v>
                </pt>
                <pt idx="152">
                  <v>44652</v>
                </pt>
                <pt idx="153">
                  <v>44682</v>
                </pt>
                <pt idx="154">
                  <v>44713</v>
                </pt>
                <pt idx="155">
                  <v>44743</v>
                </pt>
                <pt idx="156">
                  <v>44774</v>
                </pt>
                <pt idx="157">
                  <v>44805</v>
                </pt>
                <pt idx="158">
                  <v>44835</v>
                </pt>
                <pt idx="159">
                  <v>44866</v>
                </pt>
                <pt idx="160">
                  <v>44896</v>
                </pt>
                <pt idx="161">
                  <v>44927</v>
                </pt>
                <pt idx="162">
                  <v>44958</v>
                </pt>
                <pt idx="163">
                  <v>44986</v>
                </pt>
                <pt idx="164">
                  <v>45017</v>
                </pt>
                <pt idx="165">
                  <v>45047</v>
                </pt>
                <pt idx="166">
                  <v>45078</v>
                </pt>
                <pt idx="167">
                  <v>45108</v>
                </pt>
                <pt idx="168">
                  <v>45139</v>
                </pt>
                <pt idx="169">
                  <v>45170</v>
                </pt>
                <pt idx="170">
                  <v>45200</v>
                </pt>
                <pt idx="171">
                  <v>45231</v>
                </pt>
                <pt idx="172">
                  <v>45261</v>
                </pt>
                <pt idx="173">
                  <v>45292</v>
                </pt>
                <pt idx="174">
                  <v>45323</v>
                </pt>
                <pt idx="175">
                  <v>45352</v>
                </pt>
                <pt idx="176">
                  <v>45383</v>
                </pt>
                <pt idx="177">
                  <v>45413</v>
                </pt>
                <pt idx="178">
                  <v>45444</v>
                </pt>
                <pt idx="179">
                  <v>45474</v>
                </pt>
                <pt idx="180">
                  <v>45505</v>
                </pt>
                <pt idx="181">
                  <v>45536</v>
                </pt>
                <pt idx="182">
                  <v>45566</v>
                </pt>
                <pt idx="183">
                  <v>45597</v>
                </pt>
                <pt idx="184">
                  <v>45627</v>
                </pt>
                <pt idx="185">
                  <v>45658</v>
                </pt>
                <pt idx="186">
                  <v>45689</v>
                </pt>
                <pt idx="187">
                  <v>45717</v>
                </pt>
                <pt idx="188">
                  <v>45748</v>
                </pt>
                <pt idx="189">
                  <v>45778</v>
                </pt>
                <pt idx="190">
                  <v>45809</v>
                </pt>
                <pt idx="191">
                  <v>45839</v>
                </pt>
                <pt idx="192">
                  <v>45870</v>
                </pt>
                <pt idx="193">
                  <v>45901</v>
                </pt>
                <pt idx="194">
                  <v>45931</v>
                </pt>
                <pt idx="195">
                  <v>45962</v>
                </pt>
                <pt idx="196">
                  <v>45992</v>
                </pt>
              </numCache>
            </numRef>
          </cat>
          <val>
            <numRef>
              <f>Charts!$BG$19:$BG$218</f>
              <numCache>
                <formatCode>0.00%</formatCode>
                <ptCount val="200"/>
                <pt idx="0">
                  <v>0.1088378644967128</v>
                </pt>
                <pt idx="1">
                  <v>0.1118751725989113</v>
                </pt>
                <pt idx="2">
                  <v>0.1039221810793653</v>
                </pt>
                <pt idx="3">
                  <v>0.1111927832268742</v>
                </pt>
                <pt idx="4">
                  <v>0.1118951700168097</v>
                </pt>
                <pt idx="5">
                  <v>0.1112601806649446</v>
                </pt>
                <pt idx="6">
                  <v>0.1179120608421395</v>
                </pt>
                <pt idx="7">
                  <v>0.1132940017327742</v>
                </pt>
                <pt idx="8">
                  <v>0.1125467077317219</v>
                </pt>
                <pt idx="9">
                  <v>0.1114591796206902</v>
                </pt>
                <pt idx="10">
                  <v>0.1069866391354215</v>
                </pt>
                <pt idx="11">
                  <v>0.1135665625270215</v>
                </pt>
                <pt idx="12">
                  <v>0.1172301545068965</v>
                </pt>
                <pt idx="13">
                  <v>0.1171583224176712</v>
                </pt>
                <pt idx="14">
                  <v>0.1158852721352585</v>
                </pt>
                <pt idx="15">
                  <v>0.1155980501884873</v>
                </pt>
                <pt idx="16">
                  <v>0.1134101534489961</v>
                </pt>
                <pt idx="17">
                  <v>0.1127303133678583</v>
                </pt>
                <pt idx="18">
                  <v>0.1105565159946909</v>
                </pt>
                <pt idx="19">
                  <v>0.1069437456749631</v>
                </pt>
                <pt idx="20">
                  <v>0.105101288536977</v>
                </pt>
                <pt idx="21">
                  <v>0.1039953554387948</v>
                </pt>
                <pt idx="22">
                  <v>0.1025335785923383</v>
                </pt>
                <pt idx="23">
                  <v>0.1009650363557967</v>
                </pt>
                <pt idx="24">
                  <v>0.09586835471432043</v>
                </pt>
                <pt idx="25">
                  <v>0.09588560707910809</v>
                </pt>
                <pt idx="26">
                  <v>0.09977686672095916</v>
                </pt>
                <pt idx="27">
                  <v>0.09977837795149941</v>
                </pt>
                <pt idx="28">
                  <v>0.101120382365016</v>
                </pt>
                <pt idx="29">
                  <v>0.1003239584629138</v>
                </pt>
                <pt idx="30">
                  <v>0.1041783419606581</v>
                </pt>
                <pt idx="31">
                  <v>0.1077122144916196</v>
                </pt>
                <pt idx="32">
                  <v>0.1098614417074854</v>
                </pt>
                <pt idx="33">
                  <v>0.1094260937876786</v>
                </pt>
                <pt idx="34">
                  <v>0.1048678237632019</v>
                </pt>
                <pt idx="35">
                  <v>0.1074642464342303</v>
                </pt>
                <pt idx="36">
                  <v>0.1094417040776813</v>
                </pt>
                <pt idx="37">
                  <v>0.1096815380602377</v>
                </pt>
                <pt idx="38">
                  <v>0.1112582062391106</v>
                </pt>
                <pt idx="39">
                  <v>0.1121246106585067</v>
                </pt>
                <pt idx="40">
                  <v>0.112490467770226</v>
                </pt>
                <pt idx="41">
                  <v>0.1132386805507338</v>
                </pt>
                <pt idx="42">
                  <v>0.1112277007739638</v>
                </pt>
                <pt idx="43">
                  <v>0.1091674955456425</v>
                </pt>
                <pt idx="44">
                  <v>0.1055919578237858</v>
                </pt>
                <pt idx="45">
                  <v>0.1081850316975351</v>
                </pt>
                <pt idx="46">
                  <v>0.1148093890530474</v>
                </pt>
                <pt idx="47">
                  <v>0.1132256042089157</v>
                </pt>
                <pt idx="48">
                  <v>0.1114225557254309</v>
                </pt>
                <pt idx="49">
                  <v>0.1029329597961395</v>
                </pt>
                <pt idx="50">
                  <v>0.09741088577913493</v>
                </pt>
                <pt idx="51">
                  <v>0.09479696255535631</v>
                </pt>
                <pt idx="52">
                  <v>0.09410457156110709</v>
                </pt>
                <pt idx="53">
                  <v>0.09265423152714161</v>
                </pt>
                <pt idx="54">
                  <v>0.09190134558671693</v>
                </pt>
                <pt idx="55">
                  <v>0.08918179939451858</v>
                </pt>
                <pt idx="56">
                  <v>0.09138583359453173</v>
                </pt>
                <pt idx="57">
                  <v>0.08905181286832971</v>
                </pt>
                <pt idx="58">
                  <v>0.08798299166295402</v>
                </pt>
                <pt idx="59">
                  <v>0.08901437188778606</v>
                </pt>
                <pt idx="60">
                  <v>0.09040050967967779</v>
                </pt>
                <pt idx="61">
                  <v>0.08965502610131561</v>
                </pt>
                <pt idx="62">
                  <v>0.08979916159543869</v>
                </pt>
                <pt idx="63">
                  <v>0.0900396399300239</v>
                </pt>
                <pt idx="64">
                  <v>0.08910425710870755</v>
                </pt>
                <pt idx="65">
                  <v>0.09215148187804564</v>
                </pt>
                <pt idx="66">
                  <v>0.09289549078072767</v>
                </pt>
                <pt idx="67">
                  <v>0.09230909967067967</v>
                </pt>
                <pt idx="68">
                  <v>0.09333502500607938</v>
                </pt>
                <pt idx="69">
                  <v>0.09202845157684413</v>
                </pt>
                <pt idx="70">
                  <v>0.0915314409971844</v>
                </pt>
                <pt idx="71">
                  <v>0.09066598748010195</v>
                </pt>
                <pt idx="72">
                  <v>0.0895727772361601</v>
                </pt>
                <pt idx="73">
                  <v>0.0875236646797985</v>
                </pt>
                <pt idx="74">
                  <v>0.08925809369150366</v>
                </pt>
                <pt idx="75">
                  <v>0.088449934881686</v>
                </pt>
                <pt idx="76">
                  <v>0.08910951647642382</v>
                </pt>
                <pt idx="77">
                  <v>0.08567955030698067</v>
                </pt>
                <pt idx="78">
                  <v>0.0858352817051118</v>
                </pt>
                <pt idx="79">
                  <v>0.08506061185254711</v>
                </pt>
                <pt idx="80">
                  <v>0.09000684533143367</v>
                </pt>
                <pt idx="81">
                  <v>0.08908858107931114</v>
                </pt>
                <pt idx="82">
                  <v>0.08907076059518945</v>
                </pt>
                <pt idx="83">
                  <v>0.087608483093114</v>
                </pt>
                <pt idx="84">
                  <v>0.0869336946447125</v>
                </pt>
                <pt idx="85">
                  <v>0.0906642319154586</v>
                </pt>
                <pt idx="86">
                  <v>0.0895309108391321</v>
                </pt>
                <pt idx="87">
                  <v>0.08912473817096092</v>
                </pt>
                <pt idx="88">
                  <v>0.08765986417205912</v>
                </pt>
                <pt idx="89">
                  <v>0.08707879559165087</v>
                </pt>
                <pt idx="90">
                  <v>0.08099193581103672</v>
                </pt>
                <pt idx="91">
                  <v>0.07987105228848944</v>
                </pt>
                <pt idx="92">
                  <v>0.07768185790861436</v>
                </pt>
                <pt idx="93">
                  <v>0.07900115689757965</v>
                </pt>
                <pt idx="94">
                  <v>0.07872198023391681</v>
                </pt>
                <pt idx="95">
                  <v>0.07738618830912883</v>
                </pt>
                <pt idx="96">
                  <v>0.0790251375829593</v>
                </pt>
                <pt idx="97">
                  <v>0.07471317291709792</v>
                </pt>
                <pt idx="98">
                  <v>0.07314793246629196</v>
                </pt>
                <pt idx="99">
                  <v>0.07383503634194402</v>
                </pt>
                <pt idx="100">
                  <v>0.07392481690854169</v>
                </pt>
                <pt idx="101">
                  <v>0.07151001009989608</v>
                </pt>
                <pt idx="102">
                  <v>0.06916440036794945</v>
                </pt>
                <pt idx="103">
                  <v>0.0713067583262309</v>
                </pt>
                <pt idx="104">
                  <v>0.07081693216012165</v>
                </pt>
                <pt idx="105">
                  <v>0.07075957195251854</v>
                </pt>
                <pt idx="106">
                  <v>0.07108327746864646</v>
                </pt>
                <pt idx="107">
                  <v>0.07048466261461327</v>
                </pt>
                <pt idx="108">
                  <v>0.07012417825201081</v>
                </pt>
                <pt idx="109">
                  <v>0.07127078845985084</v>
                </pt>
                <pt idx="110">
                  <v>0.06875861873419388</v>
                </pt>
                <pt idx="111">
                  <v>0.06957774951425601</v>
                </pt>
                <pt idx="112">
                  <v>0.06808038907208666</v>
                </pt>
                <pt idx="113">
                  <v>0.06762191801657441</v>
                </pt>
                <pt idx="114">
                  <v>0.06907343909212729</v>
                </pt>
                <pt idx="115">
                  <v>0.07287545234314838</v>
                </pt>
                <pt idx="116">
                  <v>0.07151401776778642</v>
                </pt>
                <pt idx="117">
                  <v>0.07050976753148983</v>
                </pt>
                <pt idx="118">
                  <v>0.07295004000224713</v>
                </pt>
                <pt idx="119">
                  <v>0.07191932828163337</v>
                </pt>
                <pt idx="120">
                  <v>0.07422067590100079</v>
                </pt>
                <pt idx="121">
                  <v>0.07542562714730164</v>
                </pt>
                <pt idx="122">
                  <v>0.07783486231681752</v>
                </pt>
                <pt idx="123">
                  <v>0.0802802349167437</v>
                </pt>
                <pt idx="124">
                  <v>0.0795433444868166</v>
                </pt>
                <pt idx="125">
                  <v>0.07888251863029709</v>
                </pt>
                <pt idx="126">
                  <v>0.07988700406916477</v>
                </pt>
                <pt idx="127">
                  <v>0.07658569316556554</v>
                </pt>
                <pt idx="128">
                  <v>0.07907646535397896</v>
                </pt>
                <pt idx="129">
                  <v>0.08183512663035404</v>
                </pt>
                <pt idx="130">
                  <v>0.08480006453423383</v>
                </pt>
                <pt idx="131">
                  <v>0.08571271778540814</v>
                </pt>
                <pt idx="132">
                  <v>0.08642552922780757</v>
                </pt>
                <pt idx="133">
                  <v>0.08546531027983678</v>
                </pt>
                <pt idx="134">
                  <v>0.08607080237798964</v>
                </pt>
                <pt idx="135">
                  <v>0.08602790976272977</v>
                </pt>
                <pt idx="136">
                  <v>0.08545477243211758</v>
                </pt>
                <pt idx="137">
                  <v>0.08324121429907676</v>
                </pt>
                <pt idx="138">
                  <v>0.08249969550565225</v>
                </pt>
                <pt idx="139">
                  <v>0.08269221409051573</v>
                </pt>
                <pt idx="140">
                  <v>0.08217572294175816</v>
                </pt>
                <pt idx="141">
                  <v>0.07946382922199975</v>
                </pt>
                <pt idx="142">
                  <v>0.07709468187328287</v>
                </pt>
                <pt idx="143">
                  <v>0.07734395418296232</v>
                </pt>
                <pt idx="144">
                  <v>0.07723936593848318</v>
                </pt>
                <pt idx="145">
                  <v>0.07703735828139352</v>
                </pt>
                <pt idx="146">
                  <v>0.07793005736646406</v>
                </pt>
                <pt idx="147">
                  <v>0.07570848402476267</v>
                </pt>
                <pt idx="148">
                  <v>0.07356209804772322</v>
                </pt>
                <pt idx="149">
                  <v>0.07322868941199155</v>
                </pt>
                <pt idx="150">
                  <v>0.07291009190247057</v>
                </pt>
                <pt idx="151">
                  <v>0.07182436775125117</v>
                </pt>
                <pt idx="152">
                  <v>0.06818482474187038</v>
                </pt>
                <pt idx="153">
                  <v>0.06744749243341938</v>
                </pt>
                <pt idx="154">
                  <v>0.06364425302558269</v>
                </pt>
                <pt idx="155">
                  <v>0.05876583881725359</v>
                </pt>
                <pt idx="156">
                  <v>0.05764405512256168</v>
                </pt>
                <pt idx="157">
                  <v>0.0565757105455774</v>
                </pt>
                <pt idx="158">
                  <v>0.05800746821661821</v>
                </pt>
                <pt idx="159">
                  <v>0.05771532921520555</v>
                </pt>
                <pt idx="160">
                  <v>0.04808138672563975</v>
                </pt>
                <pt idx="161">
                  <v>0.04452304248007589</v>
                </pt>
                <pt idx="162">
                  <v>0.0488642554447771</v>
                </pt>
                <pt idx="163">
                  <v>0.04721984005925157</v>
                </pt>
                <pt idx="164">
                  <v>0.05129084242743885</v>
                </pt>
                <pt idx="165">
                  <v>0.04808543544061273</v>
                </pt>
                <pt idx="166">
                  <v>0.05217539604111336</v>
                </pt>
                <pt idx="167">
                  <v>0.05278445802479556</v>
                </pt>
                <pt idx="168">
                  <v>0.05133629154860502</v>
                </pt>
                <pt idx="169">
                  <v>0.05195142885821191</v>
                </pt>
                <pt idx="170">
                  <v>0.05259168235481698</v>
                </pt>
                <pt idx="171">
                  <v>0.05257194001288795</v>
                </pt>
                <pt idx="172">
                  <v>0.05256956872414347</v>
                </pt>
                <pt idx="173">
                  <v>0.05286509446270497</v>
                </pt>
                <pt idx="174">
                  <v>0.05599100906730856</v>
                </pt>
                <pt idx="175">
                  <v>0.06140171462414073</v>
                </pt>
                <pt idx="176">
                  <v>0.06115867540650067</v>
                </pt>
                <pt idx="177">
                  <v>0.05941787321742623</v>
                </pt>
                <pt idx="178">
                  <v>0.05906786989360525</v>
                </pt>
                <pt idx="179">
                  <v>0.05512302041204942</v>
                </pt>
                <pt idx="180">
                  <v>0.05843570626936886</v>
                </pt>
                <pt idx="181">
                  <v>0.05941751910453724</v>
                </pt>
                <pt idx="182">
                  <v>0.0632536938278731</v>
                </pt>
                <pt idx="183">
                  <v>0.06850346182794766</v>
                </pt>
                <pt idx="184">
                  <v>0.0705938275411146</v>
                </pt>
                <pt idx="185">
                  <v>0.06864501211202234</v>
                </pt>
                <pt idx="186">
                  <v>0.07052555794834585</v>
                </pt>
                <pt idx="187">
                  <v>0.06932766060270554</v>
                </pt>
                <pt idx="188">
                  <v>0.06954527610682634</v>
                </pt>
                <pt idx="189">
                  <v>0.07225834893917099</v>
                </pt>
                <pt idx="190">
                  <v>0.07237646183076922</v>
                </pt>
                <pt idx="191">
                  <v>0.07405498596948709</v>
                </pt>
                <pt idx="192">
                  <v>0.07276366168237201</v>
                </pt>
                <pt idx="193">
                  <v>0.07304621225864895</v>
                </pt>
                <pt idx="194">
                  <v>0.07467386234595631</v>
                </pt>
                <pt idx="195">
                  <v>0.07547124744830067</v>
                </pt>
                <pt idx="196">
                  <v>0.07639743798710329</v>
                </pt>
                <pt idx="197">
                  <v>0.07575760783601976</v>
                </pt>
                <pt idx="198">
                  <v>0.07525985410642733</v>
                </pt>
                <pt idx="199">
                  <v>0.075081811161451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96034224"/>
        <axId val="2096027888"/>
      </lineChart>
      <dateAx>
        <axId val="2096034224"/>
        <scaling>
          <orientation val="minMax"/>
        </scaling>
        <delete val="0"/>
        <axPos val="b"/>
        <numFmt formatCode="[$-409]m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/>
            </a:r>
            <a:endParaRPr lang="en-US"/>
          </a:p>
        </txPr>
        <crossAx val="2096027888"/>
        <crosses val="autoZero"/>
        <lblOffset val="100"/>
        <baseTimeUnit val="months"/>
        <majorUnit val="4"/>
        <majorTimeUnit val="months"/>
      </dateAx>
      <valAx>
        <axId val="2096027888"/>
        <scaling>
          <orientation val="minMax"/>
          <max val="0.13"/>
          <min val="0.04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0.0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/>
            </a:r>
            <a:endParaRPr lang="en-US"/>
          </a:p>
        </txPr>
        <crossAx val="209603422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vert="horz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Moving Average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Charts!$Q$2</f>
              <strCache>
                <ptCount val="1"/>
                <pt idx="0">
                  <v>Cap (90 day)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4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9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43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Charts!$B$75:$B$218</f>
              <numCache>
                <formatCode>[$-409]mmm\-yy;@</formatCode>
                <ptCount val="144"/>
                <pt idx="0">
                  <v>41640</v>
                </pt>
                <pt idx="1">
                  <v>41671</v>
                </pt>
                <pt idx="2">
                  <v>41699</v>
                </pt>
                <pt idx="3">
                  <v>41730</v>
                </pt>
                <pt idx="4">
                  <v>41760</v>
                </pt>
                <pt idx="5">
                  <v>41791</v>
                </pt>
                <pt idx="6">
                  <v>41821</v>
                </pt>
                <pt idx="7">
                  <v>41852</v>
                </pt>
                <pt idx="8">
                  <v>41883</v>
                </pt>
                <pt idx="9">
                  <v>41913</v>
                </pt>
                <pt idx="10">
                  <v>41944</v>
                </pt>
                <pt idx="11">
                  <v>41974</v>
                </pt>
                <pt idx="12">
                  <v>42005</v>
                </pt>
                <pt idx="13">
                  <v>42036</v>
                </pt>
                <pt idx="14">
                  <v>42064</v>
                </pt>
                <pt idx="15">
                  <v>42095</v>
                </pt>
                <pt idx="16">
                  <v>42125</v>
                </pt>
                <pt idx="17">
                  <v>42156</v>
                </pt>
                <pt idx="18">
                  <v>42186</v>
                </pt>
                <pt idx="19">
                  <v>42217</v>
                </pt>
                <pt idx="20">
                  <v>42248</v>
                </pt>
                <pt idx="21">
                  <v>42278</v>
                </pt>
                <pt idx="22">
                  <v>42309</v>
                </pt>
                <pt idx="23">
                  <v>42339</v>
                </pt>
                <pt idx="24">
                  <v>42370</v>
                </pt>
                <pt idx="25">
                  <v>42401</v>
                </pt>
                <pt idx="26">
                  <v>42430</v>
                </pt>
                <pt idx="27">
                  <v>42461</v>
                </pt>
                <pt idx="28">
                  <v>42491</v>
                </pt>
                <pt idx="29">
                  <v>42522</v>
                </pt>
                <pt idx="30">
                  <v>42552</v>
                </pt>
                <pt idx="31">
                  <v>42583</v>
                </pt>
                <pt idx="32">
                  <v>42614</v>
                </pt>
                <pt idx="33">
                  <v>42644</v>
                </pt>
                <pt idx="34">
                  <v>42675</v>
                </pt>
                <pt idx="35">
                  <v>42705</v>
                </pt>
                <pt idx="36">
                  <v>42736</v>
                </pt>
                <pt idx="37">
                  <v>42767</v>
                </pt>
                <pt idx="38">
                  <v>42795</v>
                </pt>
                <pt idx="39">
                  <v>42826</v>
                </pt>
                <pt idx="40">
                  <v>42856</v>
                </pt>
                <pt idx="41">
                  <v>42887</v>
                </pt>
                <pt idx="42">
                  <v>42917</v>
                </pt>
                <pt idx="43">
                  <v>42948</v>
                </pt>
                <pt idx="44">
                  <v>42979</v>
                </pt>
                <pt idx="45">
                  <v>43009</v>
                </pt>
                <pt idx="46">
                  <v>43040</v>
                </pt>
                <pt idx="47">
                  <v>43070</v>
                </pt>
                <pt idx="48">
                  <v>43101</v>
                </pt>
                <pt idx="49">
                  <v>43132</v>
                </pt>
                <pt idx="50">
                  <v>43160</v>
                </pt>
                <pt idx="51">
                  <v>43191</v>
                </pt>
                <pt idx="52">
                  <v>43221</v>
                </pt>
                <pt idx="53">
                  <v>43252</v>
                </pt>
                <pt idx="54">
                  <v>43282</v>
                </pt>
                <pt idx="55">
                  <v>43313</v>
                </pt>
                <pt idx="56">
                  <v>43344</v>
                </pt>
                <pt idx="57">
                  <v>43374</v>
                </pt>
                <pt idx="58">
                  <v>43405</v>
                </pt>
                <pt idx="59">
                  <v>43435</v>
                </pt>
                <pt idx="60">
                  <v>43466</v>
                </pt>
                <pt idx="61">
                  <v>43497</v>
                </pt>
                <pt idx="62">
                  <v>43525</v>
                </pt>
                <pt idx="63">
                  <v>43556</v>
                </pt>
                <pt idx="64">
                  <v>43586</v>
                </pt>
                <pt idx="65">
                  <v>43617</v>
                </pt>
                <pt idx="66">
                  <v>43647</v>
                </pt>
                <pt idx="67">
                  <v>43678</v>
                </pt>
                <pt idx="68">
                  <v>43709</v>
                </pt>
                <pt idx="69">
                  <v>43739</v>
                </pt>
                <pt idx="70">
                  <v>43770</v>
                </pt>
                <pt idx="71">
                  <v>43800</v>
                </pt>
                <pt idx="72">
                  <v>43831</v>
                </pt>
                <pt idx="73">
                  <v>43862</v>
                </pt>
                <pt idx="74">
                  <v>43891</v>
                </pt>
                <pt idx="75">
                  <v>43922</v>
                </pt>
                <pt idx="76">
                  <v>43952</v>
                </pt>
                <pt idx="77">
                  <v>43983</v>
                </pt>
                <pt idx="78">
                  <v>44013</v>
                </pt>
                <pt idx="79">
                  <v>44044</v>
                </pt>
                <pt idx="80">
                  <v>44075</v>
                </pt>
                <pt idx="81">
                  <v>44105</v>
                </pt>
                <pt idx="82">
                  <v>44136</v>
                </pt>
                <pt idx="83">
                  <v>44166</v>
                </pt>
                <pt idx="84">
                  <v>44197</v>
                </pt>
                <pt idx="85">
                  <v>44228</v>
                </pt>
                <pt idx="86">
                  <v>44256</v>
                </pt>
                <pt idx="87">
                  <v>44287</v>
                </pt>
                <pt idx="88">
                  <v>44317</v>
                </pt>
                <pt idx="89">
                  <v>44348</v>
                </pt>
                <pt idx="90">
                  <v>44378</v>
                </pt>
                <pt idx="91">
                  <v>44409</v>
                </pt>
                <pt idx="92">
                  <v>44440</v>
                </pt>
                <pt idx="93">
                  <v>44470</v>
                </pt>
                <pt idx="94">
                  <v>44501</v>
                </pt>
                <pt idx="95">
                  <v>44531</v>
                </pt>
                <pt idx="96">
                  <v>44562</v>
                </pt>
                <pt idx="97">
                  <v>44593</v>
                </pt>
                <pt idx="98">
                  <v>44621</v>
                </pt>
                <pt idx="99">
                  <v>44652</v>
                </pt>
                <pt idx="100">
                  <v>44682</v>
                </pt>
                <pt idx="101">
                  <v>44713</v>
                </pt>
                <pt idx="102">
                  <v>44743</v>
                </pt>
                <pt idx="103">
                  <v>44774</v>
                </pt>
                <pt idx="104">
                  <v>44805</v>
                </pt>
                <pt idx="105">
                  <v>44835</v>
                </pt>
                <pt idx="106">
                  <v>44866</v>
                </pt>
                <pt idx="107">
                  <v>44896</v>
                </pt>
                <pt idx="108">
                  <v>44927</v>
                </pt>
                <pt idx="109">
                  <v>44958</v>
                </pt>
                <pt idx="110">
                  <v>44986</v>
                </pt>
                <pt idx="111">
                  <v>45017</v>
                </pt>
                <pt idx="112">
                  <v>45047</v>
                </pt>
                <pt idx="113">
                  <v>45078</v>
                </pt>
                <pt idx="114">
                  <v>45108</v>
                </pt>
                <pt idx="115">
                  <v>45139</v>
                </pt>
                <pt idx="116">
                  <v>45170</v>
                </pt>
                <pt idx="117">
                  <v>45200</v>
                </pt>
                <pt idx="118">
                  <v>45231</v>
                </pt>
                <pt idx="119">
                  <v>45261</v>
                </pt>
                <pt idx="120">
                  <v>45292</v>
                </pt>
                <pt idx="121">
                  <v>45323</v>
                </pt>
                <pt idx="122">
                  <v>45352</v>
                </pt>
                <pt idx="123">
                  <v>45383</v>
                </pt>
                <pt idx="124">
                  <v>45413</v>
                </pt>
                <pt idx="125">
                  <v>45444</v>
                </pt>
                <pt idx="126">
                  <v>45474</v>
                </pt>
                <pt idx="127">
                  <v>45505</v>
                </pt>
                <pt idx="128">
                  <v>45536</v>
                </pt>
                <pt idx="129">
                  <v>45566</v>
                </pt>
                <pt idx="130">
                  <v>45597</v>
                </pt>
                <pt idx="131">
                  <v>45627</v>
                </pt>
                <pt idx="132">
                  <v>45658</v>
                </pt>
                <pt idx="133">
                  <v>45689</v>
                </pt>
                <pt idx="134">
                  <v>45717</v>
                </pt>
                <pt idx="135">
                  <v>45748</v>
                </pt>
                <pt idx="136">
                  <v>45778</v>
                </pt>
                <pt idx="137">
                  <v>45809</v>
                </pt>
                <pt idx="138">
                  <v>45839</v>
                </pt>
                <pt idx="139">
                  <v>45870</v>
                </pt>
                <pt idx="140">
                  <v>45901</v>
                </pt>
                <pt idx="141">
                  <v>45931</v>
                </pt>
                <pt idx="142">
                  <v>45962</v>
                </pt>
                <pt idx="143">
                  <v>45992</v>
                </pt>
              </numCache>
            </numRef>
          </cat>
          <val>
            <numRef>
              <f>Charts!$Q$75:$Q$218</f>
              <numCache>
                <formatCode>0.00%</formatCode>
                <ptCount val="144"/>
                <pt idx="0">
                  <v>0.07508695345460664</v>
                </pt>
                <pt idx="1">
                  <v>0.07421031211511975</v>
                </pt>
                <pt idx="2">
                  <v>0.07447084465096757</v>
                </pt>
                <pt idx="3">
                  <v>0.07863060998608697</v>
                </pt>
                <pt idx="4">
                  <v>0.07886666336186875</v>
                </pt>
                <pt idx="5">
                  <v>0.07602953509749198</v>
                </pt>
                <pt idx="6">
                  <v>0.07366140338245285</v>
                </pt>
                <pt idx="7">
                  <v>0.07167735099379219</v>
                </pt>
                <pt idx="8">
                  <v>0.07399281031495418</v>
                </pt>
                <pt idx="9">
                  <v>0.08033803341914916</v>
                </pt>
                <pt idx="10">
                  <v>0.08139523528053842</v>
                </pt>
                <pt idx="11">
                  <v>0.07830514137387257</v>
                </pt>
                <pt idx="12">
                  <v>0.06953543516381093</v>
                </pt>
                <pt idx="13">
                  <v>0.07007303565783458</v>
                </pt>
                <pt idx="14">
                  <v>0.07052646181446633</v>
                </pt>
                <pt idx="15">
                  <v>0.07666478701282695</v>
                </pt>
                <pt idx="16">
                  <v>0.07384255580500883</v>
                </pt>
                <pt idx="17">
                  <v>0.07163715125782057</v>
                </pt>
                <pt idx="18">
                  <v>0.07469876065612023</v>
                </pt>
                <pt idx="19">
                  <v>0.07292373383806218</v>
                </pt>
                <pt idx="20">
                  <v>0.07095788164799582</v>
                </pt>
                <pt idx="21">
                  <v>0.07168800003248819</v>
                </pt>
                <pt idx="22">
                  <v>0.07519959945893316</v>
                </pt>
                <pt idx="23">
                  <v>0.07266048571010701</v>
                </pt>
                <pt idx="24">
                  <v>0.07421777952624498</v>
                </pt>
                <pt idx="25">
                  <v>0.06930818040322184</v>
                </pt>
                <pt idx="26">
                  <v>0.07158063280264113</v>
                </pt>
                <pt idx="27">
                  <v>0.07026982816583012</v>
                </pt>
                <pt idx="28">
                  <v>0.07136697903254244</v>
                </pt>
                <pt idx="29">
                  <v>0.07178395271608161</v>
                </pt>
                <pt idx="30">
                  <v>0.07228444026379628</v>
                </pt>
                <pt idx="31">
                  <v>0.07115789694220416</v>
                </pt>
                <pt idx="32">
                  <v>0.06887461049307558</v>
                </pt>
                <pt idx="33">
                  <v>0.06945018070565014</v>
                </pt>
                <pt idx="34">
                  <v>0.06929140260242039</v>
                </pt>
                <pt idx="35">
                  <v>0.06834042295267687</v>
                </pt>
                <pt idx="36">
                  <v>0.06639156426750843</v>
                </pt>
                <pt idx="37">
                  <v>0.06517932225274926</v>
                </pt>
                <pt idx="38">
                  <v>0.06659533571469754</v>
                </pt>
                <pt idx="39">
                  <v>0.06537939745621354</v>
                </pt>
                <pt idx="40">
                  <v>0.06827536796696601</v>
                </pt>
                <pt idx="41">
                  <v>0.06502095412244366</v>
                </pt>
                <pt idx="42">
                  <v>0.06521854356137058</v>
                </pt>
                <pt idx="43">
                  <v>0.06359735614523773</v>
                </pt>
                <pt idx="44">
                  <v>0.06719353863400321</v>
                </pt>
                <pt idx="45">
                  <v>0.06647903930590282</v>
                </pt>
                <pt idx="46">
                  <v>0.06480154419368603</v>
                </pt>
                <pt idx="47">
                  <v>0.06525548543380737</v>
                </pt>
                <pt idx="48">
                  <v>0.07008240251884276</v>
                </pt>
                <pt idx="49">
                  <v>0.07269611611428968</v>
                </pt>
                <pt idx="50">
                  <v>0.0700563213007788</v>
                </pt>
                <pt idx="51">
                  <v>0.06898473520650426</v>
                </pt>
                <pt idx="52">
                  <v>0.06662694245244002</v>
                </pt>
                <pt idx="53">
                  <v>0.06802052906498166</v>
                </pt>
                <pt idx="54">
                  <v>0.06576787054452007</v>
                </pt>
                <pt idx="55">
                  <v>0.06682883000706152</v>
                </pt>
                <pt idx="56">
                  <v>0.06578341861405976</v>
                </pt>
                <pt idx="57">
                  <v>0.06766151376055089</v>
                </pt>
                <pt idx="58">
                  <v>0.06735488219778085</v>
                </pt>
                <pt idx="59">
                  <v>0.07038470120382738</v>
                </pt>
                <pt idx="60">
                  <v>0.06933800916309685</v>
                </pt>
                <pt idx="61">
                  <v>0.06934389962730371</v>
                </pt>
                <pt idx="62">
                  <v>0.06655754551067418</v>
                </pt>
                <pt idx="63">
                  <v>0.06709277192658591</v>
                </pt>
                <pt idx="64">
                  <v>0.06622909555621262</v>
                </pt>
                <pt idx="65">
                  <v>0.06777262702351068</v>
                </pt>
                <pt idx="66">
                  <v>0.07004115005567177</v>
                </pt>
                <pt idx="67">
                  <v>0.068226347488672</v>
                </pt>
                <pt idx="68">
                  <v>0.06861923235939009</v>
                </pt>
                <pt idx="69">
                  <v>0.06640167387258086</v>
                </pt>
                <pt idx="70">
                  <v>0.06883997345470884</v>
                </pt>
                <pt idx="71">
                  <v>0.06837585993064123</v>
                </pt>
                <pt idx="72">
                  <v>0.06751265531522319</v>
                </pt>
                <pt idx="73">
                  <v>0.06606737989874856</v>
                </pt>
                <pt idx="74">
                  <v>0.06716108953781219</v>
                </pt>
                <pt idx="75">
                  <v>0.06849275358403326</v>
                </pt>
                <pt idx="76">
                  <v>0.06961642872878157</v>
                </pt>
                <pt idx="77">
                  <v>0.06841411364124246</v>
                </pt>
                <pt idx="78">
                  <v>0.06688557601374084</v>
                </pt>
                <pt idx="79">
                  <v>0.06818144341402051</v>
                </pt>
                <pt idx="80">
                  <v>0.06741915095040772</v>
                </pt>
                <pt idx="81">
                  <v>0.06512976514120249</v>
                </pt>
                <pt idx="82">
                  <v>0.06345511664331457</v>
                </pt>
                <pt idx="83">
                  <v>0.06463734229405013</v>
                </pt>
                <pt idx="84">
                  <v>0.06745752874280614</v>
                </pt>
                <pt idx="85">
                  <v>0.0668315012459272</v>
                </pt>
                <pt idx="86">
                  <v>0.06603023571188094</v>
                </pt>
                <pt idx="87">
                  <v>0.06599143410209195</v>
                </pt>
                <pt idx="88">
                  <v>0.06689159897214174</v>
                </pt>
                <pt idx="89">
                  <v>0.06530464695866844</v>
                </pt>
                <pt idx="90">
                  <v>0.06363990734560519</v>
                </pt>
                <pt idx="91">
                  <v>0.06129219540598047</v>
                </pt>
                <pt idx="92">
                  <v>0.06227830268558265</v>
                </pt>
                <pt idx="93">
                  <v>0.06168573438647666</v>
                </pt>
                <pt idx="94">
                  <v>0.06178598897622461</v>
                </pt>
                <pt idx="95">
                  <v>0.06060264639575519</v>
                </pt>
                <pt idx="96">
                  <v>0.05998801348939551</v>
                </pt>
                <pt idx="97">
                  <v>0.06078460030214162</v>
                </pt>
                <pt idx="98">
                  <v>0.06101826964374128</v>
                </pt>
                <pt idx="99">
                  <v>0.06229952553004475</v>
                </pt>
                <pt idx="100">
                  <v>0.06074754570858396</v>
                </pt>
                <pt idx="101">
                  <v>0.05949551181300703</v>
                </pt>
                <pt idx="102">
                  <v>0.05900072025548181</v>
                </pt>
                <pt idx="103">
                  <v>0.05930471976421072</v>
                </pt>
                <pt idx="104">
                  <v>0.05808481380212814</v>
                </pt>
                <pt idx="105">
                  <v>0.05749466629817917</v>
                </pt>
                <pt idx="106">
                  <v>0.05853252557783144</v>
                </pt>
                <pt idx="107">
                  <v>0.06049146533391163</v>
                </pt>
                <pt idx="108">
                  <v>0.0667828436906184</v>
                </pt>
                <pt idx="109">
                  <v>0.0672019060527529</v>
                </pt>
                <pt idx="110">
                  <v>0.06867223590193773</v>
                </pt>
                <pt idx="111">
                  <v>0.06694469175309489</v>
                </pt>
                <pt idx="112">
                  <v>0.0671460520113894</v>
                </pt>
                <pt idx="113">
                  <v>0.06870063711597785</v>
                </pt>
                <pt idx="114">
                  <v>0.06560762746879255</v>
                </pt>
                <pt idx="115">
                  <v>0.06442444730955403</v>
                </pt>
                <pt idx="116">
                  <v>0.0672012702427813</v>
                </pt>
                <pt idx="117">
                  <v>0.07008140016632086</v>
                </pt>
                <pt idx="118">
                  <v>0.07329540096504721</v>
                </pt>
                <pt idx="119">
                  <v>0.07081853695279039</v>
                </pt>
                <pt idx="120">
                  <v>0.06904455227576094</v>
                </pt>
                <pt idx="121">
                  <v>0.06762784100743711</v>
                </pt>
                <pt idx="122">
                  <v>0.0686801610913902</v>
                </pt>
                <pt idx="123">
                  <v>0.06427785994542326</v>
                </pt>
                <pt idx="124">
                  <v>0.0700815748527957</v>
                </pt>
                <pt idx="125">
                  <v>0.07092237063829573</v>
                </pt>
                <pt idx="126">
                  <v>0.07299417840649351</v>
                </pt>
                <pt idx="127">
                  <v>0.07371404147037354</v>
                </pt>
                <pt idx="128">
                  <v>0.07231022165942542</v>
                </pt>
                <pt idx="129">
                  <v>0.07417692584319856</v>
                </pt>
                <pt idx="130">
                  <v>0.07532099329651282</v>
                </pt>
                <pt idx="131">
                  <v>0.07499869965095414</v>
                </pt>
                <pt idx="132">
                  <v>0.07457411013208788</v>
                </pt>
                <pt idx="133">
                  <v>0.07251370142270201</v>
                </pt>
                <pt idx="134">
                  <v>0.07425385834733372</v>
                </pt>
                <pt idx="135">
                  <v>0.07309518694158634</v>
                </pt>
                <pt idx="136">
                  <v>0.07775885241750401</v>
                </pt>
                <pt idx="137">
                  <v>0.07387656616488227</v>
                </pt>
                <pt idx="138">
                  <v>0.08127313012143932</v>
                </pt>
                <pt idx="139">
                  <v>0.08085780016455589</v>
                </pt>
                <pt idx="140">
                  <v>0.08261919102242155</v>
                </pt>
                <pt idx="141">
                  <v>0.07156827288134859</v>
                </pt>
                <pt idx="142">
                  <v>0.07170196824441441</v>
                </pt>
                <pt idx="143">
                  <v>0.07241844636247795</v>
                </pt>
              </numCache>
            </numRef>
          </val>
          <smooth val="0"/>
        </ser>
        <ser>
          <idx val="1"/>
          <order val="1"/>
          <tx>
            <strRef>
              <f>Charts!$O$2</f>
              <strCache>
                <ptCount val="1"/>
                <pt idx="0">
                  <v>Cap (ttm)</v>
                </pt>
              </strCache>
            </strRef>
          </tx>
          <spPr>
            <a:ln xmlns:a="http://schemas.openxmlformats.org/drawingml/2006/main" w="28575" cap="rnd">
              <a:solidFill>
                <a:schemeClr val="tx2">
                  <a:lumMod val="40000"/>
                  <a:lumOff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0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1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3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3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42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Charts!$B$75:$B$218</f>
              <numCache>
                <formatCode>[$-409]mmm\-yy;@</formatCode>
                <ptCount val="144"/>
                <pt idx="0">
                  <v>41640</v>
                </pt>
                <pt idx="1">
                  <v>41671</v>
                </pt>
                <pt idx="2">
                  <v>41699</v>
                </pt>
                <pt idx="3">
                  <v>41730</v>
                </pt>
                <pt idx="4">
                  <v>41760</v>
                </pt>
                <pt idx="5">
                  <v>41791</v>
                </pt>
                <pt idx="6">
                  <v>41821</v>
                </pt>
                <pt idx="7">
                  <v>41852</v>
                </pt>
                <pt idx="8">
                  <v>41883</v>
                </pt>
                <pt idx="9">
                  <v>41913</v>
                </pt>
                <pt idx="10">
                  <v>41944</v>
                </pt>
                <pt idx="11">
                  <v>41974</v>
                </pt>
                <pt idx="12">
                  <v>42005</v>
                </pt>
                <pt idx="13">
                  <v>42036</v>
                </pt>
                <pt idx="14">
                  <v>42064</v>
                </pt>
                <pt idx="15">
                  <v>42095</v>
                </pt>
                <pt idx="16">
                  <v>42125</v>
                </pt>
                <pt idx="17">
                  <v>42156</v>
                </pt>
                <pt idx="18">
                  <v>42186</v>
                </pt>
                <pt idx="19">
                  <v>42217</v>
                </pt>
                <pt idx="20">
                  <v>42248</v>
                </pt>
                <pt idx="21">
                  <v>42278</v>
                </pt>
                <pt idx="22">
                  <v>42309</v>
                </pt>
                <pt idx="23">
                  <v>42339</v>
                </pt>
                <pt idx="24">
                  <v>42370</v>
                </pt>
                <pt idx="25">
                  <v>42401</v>
                </pt>
                <pt idx="26">
                  <v>42430</v>
                </pt>
                <pt idx="27">
                  <v>42461</v>
                </pt>
                <pt idx="28">
                  <v>42491</v>
                </pt>
                <pt idx="29">
                  <v>42522</v>
                </pt>
                <pt idx="30">
                  <v>42552</v>
                </pt>
                <pt idx="31">
                  <v>42583</v>
                </pt>
                <pt idx="32">
                  <v>42614</v>
                </pt>
                <pt idx="33">
                  <v>42644</v>
                </pt>
                <pt idx="34">
                  <v>42675</v>
                </pt>
                <pt idx="35">
                  <v>42705</v>
                </pt>
                <pt idx="36">
                  <v>42736</v>
                </pt>
                <pt idx="37">
                  <v>42767</v>
                </pt>
                <pt idx="38">
                  <v>42795</v>
                </pt>
                <pt idx="39">
                  <v>42826</v>
                </pt>
                <pt idx="40">
                  <v>42856</v>
                </pt>
                <pt idx="41">
                  <v>42887</v>
                </pt>
                <pt idx="42">
                  <v>42917</v>
                </pt>
                <pt idx="43">
                  <v>42948</v>
                </pt>
                <pt idx="44">
                  <v>42979</v>
                </pt>
                <pt idx="45">
                  <v>43009</v>
                </pt>
                <pt idx="46">
                  <v>43040</v>
                </pt>
                <pt idx="47">
                  <v>43070</v>
                </pt>
                <pt idx="48">
                  <v>43101</v>
                </pt>
                <pt idx="49">
                  <v>43132</v>
                </pt>
                <pt idx="50">
                  <v>43160</v>
                </pt>
                <pt idx="51">
                  <v>43191</v>
                </pt>
                <pt idx="52">
                  <v>43221</v>
                </pt>
                <pt idx="53">
                  <v>43252</v>
                </pt>
                <pt idx="54">
                  <v>43282</v>
                </pt>
                <pt idx="55">
                  <v>43313</v>
                </pt>
                <pt idx="56">
                  <v>43344</v>
                </pt>
                <pt idx="57">
                  <v>43374</v>
                </pt>
                <pt idx="58">
                  <v>43405</v>
                </pt>
                <pt idx="59">
                  <v>43435</v>
                </pt>
                <pt idx="60">
                  <v>43466</v>
                </pt>
                <pt idx="61">
                  <v>43497</v>
                </pt>
                <pt idx="62">
                  <v>43525</v>
                </pt>
                <pt idx="63">
                  <v>43556</v>
                </pt>
                <pt idx="64">
                  <v>43586</v>
                </pt>
                <pt idx="65">
                  <v>43617</v>
                </pt>
                <pt idx="66">
                  <v>43647</v>
                </pt>
                <pt idx="67">
                  <v>43678</v>
                </pt>
                <pt idx="68">
                  <v>43709</v>
                </pt>
                <pt idx="69">
                  <v>43739</v>
                </pt>
                <pt idx="70">
                  <v>43770</v>
                </pt>
                <pt idx="71">
                  <v>43800</v>
                </pt>
                <pt idx="72">
                  <v>43831</v>
                </pt>
                <pt idx="73">
                  <v>43862</v>
                </pt>
                <pt idx="74">
                  <v>43891</v>
                </pt>
                <pt idx="75">
                  <v>43922</v>
                </pt>
                <pt idx="76">
                  <v>43952</v>
                </pt>
                <pt idx="77">
                  <v>43983</v>
                </pt>
                <pt idx="78">
                  <v>44013</v>
                </pt>
                <pt idx="79">
                  <v>44044</v>
                </pt>
                <pt idx="80">
                  <v>44075</v>
                </pt>
                <pt idx="81">
                  <v>44105</v>
                </pt>
                <pt idx="82">
                  <v>44136</v>
                </pt>
                <pt idx="83">
                  <v>44166</v>
                </pt>
                <pt idx="84">
                  <v>44197</v>
                </pt>
                <pt idx="85">
                  <v>44228</v>
                </pt>
                <pt idx="86">
                  <v>44256</v>
                </pt>
                <pt idx="87">
                  <v>44287</v>
                </pt>
                <pt idx="88">
                  <v>44317</v>
                </pt>
                <pt idx="89">
                  <v>44348</v>
                </pt>
                <pt idx="90">
                  <v>44378</v>
                </pt>
                <pt idx="91">
                  <v>44409</v>
                </pt>
                <pt idx="92">
                  <v>44440</v>
                </pt>
                <pt idx="93">
                  <v>44470</v>
                </pt>
                <pt idx="94">
                  <v>44501</v>
                </pt>
                <pt idx="95">
                  <v>44531</v>
                </pt>
                <pt idx="96">
                  <v>44562</v>
                </pt>
                <pt idx="97">
                  <v>44593</v>
                </pt>
                <pt idx="98">
                  <v>44621</v>
                </pt>
                <pt idx="99">
                  <v>44652</v>
                </pt>
                <pt idx="100">
                  <v>44682</v>
                </pt>
                <pt idx="101">
                  <v>44713</v>
                </pt>
                <pt idx="102">
                  <v>44743</v>
                </pt>
                <pt idx="103">
                  <v>44774</v>
                </pt>
                <pt idx="104">
                  <v>44805</v>
                </pt>
                <pt idx="105">
                  <v>44835</v>
                </pt>
                <pt idx="106">
                  <v>44866</v>
                </pt>
                <pt idx="107">
                  <v>44896</v>
                </pt>
                <pt idx="108">
                  <v>44927</v>
                </pt>
                <pt idx="109">
                  <v>44958</v>
                </pt>
                <pt idx="110">
                  <v>44986</v>
                </pt>
                <pt idx="111">
                  <v>45017</v>
                </pt>
                <pt idx="112">
                  <v>45047</v>
                </pt>
                <pt idx="113">
                  <v>45078</v>
                </pt>
                <pt idx="114">
                  <v>45108</v>
                </pt>
                <pt idx="115">
                  <v>45139</v>
                </pt>
                <pt idx="116">
                  <v>45170</v>
                </pt>
                <pt idx="117">
                  <v>45200</v>
                </pt>
                <pt idx="118">
                  <v>45231</v>
                </pt>
                <pt idx="119">
                  <v>45261</v>
                </pt>
                <pt idx="120">
                  <v>45292</v>
                </pt>
                <pt idx="121">
                  <v>45323</v>
                </pt>
                <pt idx="122">
                  <v>45352</v>
                </pt>
                <pt idx="123">
                  <v>45383</v>
                </pt>
                <pt idx="124">
                  <v>45413</v>
                </pt>
                <pt idx="125">
                  <v>45444</v>
                </pt>
                <pt idx="126">
                  <v>45474</v>
                </pt>
                <pt idx="127">
                  <v>45505</v>
                </pt>
                <pt idx="128">
                  <v>45536</v>
                </pt>
                <pt idx="129">
                  <v>45566</v>
                </pt>
                <pt idx="130">
                  <v>45597</v>
                </pt>
                <pt idx="131">
                  <v>45627</v>
                </pt>
                <pt idx="132">
                  <v>45658</v>
                </pt>
                <pt idx="133">
                  <v>45689</v>
                </pt>
                <pt idx="134">
                  <v>45717</v>
                </pt>
                <pt idx="135">
                  <v>45748</v>
                </pt>
                <pt idx="136">
                  <v>45778</v>
                </pt>
                <pt idx="137">
                  <v>45809</v>
                </pt>
                <pt idx="138">
                  <v>45839</v>
                </pt>
                <pt idx="139">
                  <v>45870</v>
                </pt>
                <pt idx="140">
                  <v>45901</v>
                </pt>
                <pt idx="141">
                  <v>45931</v>
                </pt>
                <pt idx="142">
                  <v>45962</v>
                </pt>
                <pt idx="143">
                  <v>45992</v>
                </pt>
              </numCache>
            </numRef>
          </cat>
          <val>
            <numRef>
              <f>Charts!$O$75:$O$218</f>
              <numCache>
                <formatCode>0.00%</formatCode>
                <ptCount val="144"/>
                <pt idx="0">
                  <v>0.07712018846626133</v>
                </pt>
                <pt idx="1">
                  <v>0.07536899656322379</v>
                </pt>
                <pt idx="2">
                  <v>0.07516869705195682</v>
                </pt>
                <pt idx="3">
                  <v>0.07573462505009405</v>
                </pt>
                <pt idx="4">
                  <v>0.07572988234560674</v>
                </pt>
                <pt idx="5">
                  <v>0.07547970592667851</v>
                </pt>
                <pt idx="6">
                  <v>0.07570954982703806</v>
                </pt>
                <pt idx="7">
                  <v>0.07483594350407741</v>
                </pt>
                <pt idx="8">
                  <v>0.07522178758122013</v>
                </pt>
                <pt idx="9">
                  <v>0.07674188653603817</v>
                </pt>
                <pt idx="10">
                  <v>0.07651500120826121</v>
                </pt>
                <pt idx="11">
                  <v>0.07578944811142714</v>
                </pt>
                <pt idx="12">
                  <v>0.07450822623790057</v>
                </pt>
                <pt idx="13">
                  <v>0.0748212130163661</v>
                </pt>
                <pt idx="14">
                  <v>0.07447425807346346</v>
                </pt>
                <pt idx="15">
                  <v>0.07431879660813705</v>
                </pt>
                <pt idx="16">
                  <v>0.07395649127093133</v>
                </pt>
                <pt idx="17">
                  <v>0.07376579026901599</v>
                </pt>
                <pt idx="18">
                  <v>0.07444402444708222</v>
                </pt>
                <pt idx="19">
                  <v>0.07407061474846265</v>
                </pt>
                <pt idx="20">
                  <v>0.07377138182079936</v>
                </pt>
                <pt idx="21">
                  <v>0.07219740719728061</v>
                </pt>
                <pt idx="22">
                  <v>0.07278183707486016</v>
                </pt>
                <pt idx="23">
                  <v>0.07248550875479116</v>
                </pt>
                <pt idx="24">
                  <v>0.07368732842518112</v>
                </pt>
                <pt idx="25">
                  <v>0.07269789273557897</v>
                </pt>
                <pt idx="26">
                  <v>0.07274847467426293</v>
                </pt>
                <pt idx="27">
                  <v>0.07232024419439242</v>
                </pt>
                <pt idx="28">
                  <v>0.07213949064475951</v>
                </pt>
                <pt idx="29">
                  <v>0.07243831872765109</v>
                </pt>
                <pt idx="30">
                  <v>0.0718744353800746</v>
                </pt>
                <pt idx="31">
                  <v>0.07200063740510393</v>
                </pt>
                <pt idx="32">
                  <v>0.07128023235046271</v>
                </pt>
                <pt idx="33">
                  <v>0.0715512194989136</v>
                </pt>
                <pt idx="34">
                  <v>0.07041557969325238</v>
                </pt>
                <pt idx="35">
                  <v>0.07020398551158774</v>
                </pt>
                <pt idx="36">
                  <v>0.06923234112072375</v>
                </pt>
                <pt idx="37">
                  <v>0.06932853499538837</v>
                </pt>
                <pt idx="38">
                  <v>0.06923941036643801</v>
                </pt>
                <pt idx="39">
                  <v>0.06835581196593991</v>
                </pt>
                <pt idx="40">
                  <v>0.06857404418206207</v>
                </pt>
                <pt idx="41">
                  <v>0.06750235031800444</v>
                </pt>
                <pt idx="42">
                  <v>0.06669880172521735</v>
                </pt>
                <pt idx="43">
                  <v>0.06642241087247849</v>
                </pt>
                <pt idx="44">
                  <v>0.06694895432054268</v>
                </pt>
                <pt idx="45">
                  <v>0.06615594798175241</v>
                </pt>
                <pt idx="46">
                  <v>0.06525222911368257</v>
                </pt>
                <pt idx="47">
                  <v>0.06608462134072861</v>
                </pt>
                <pt idx="48">
                  <v>0.0668390277203094</v>
                </pt>
                <pt idx="49">
                  <v>0.06731239684323154</v>
                </pt>
                <pt idx="50">
                  <v>0.06707871764517764</v>
                </pt>
                <pt idx="51">
                  <v>0.06757194328125563</v>
                </pt>
                <pt idx="52">
                  <v>0.06709199324361101</v>
                </pt>
                <pt idx="53">
                  <v>0.06785217716473922</v>
                </pt>
                <pt idx="54">
                  <v>0.06749849396894056</v>
                </pt>
                <pt idx="55">
                  <v>0.06748711923169888</v>
                </pt>
                <pt idx="56">
                  <v>0.06741824607167178</v>
                </pt>
                <pt idx="57">
                  <v>0.06771948720514523</v>
                </pt>
                <pt idx="58">
                  <v>0.06798373044990387</v>
                </pt>
                <pt idx="59">
                  <v>0.0683879371231329</v>
                </pt>
                <pt idx="60">
                  <v>0.0677908251366976</v>
                </pt>
                <pt idx="61">
                  <v>0.0674439970848166</v>
                </pt>
                <pt idx="62">
                  <v>0.06770484588265294</v>
                </pt>
                <pt idx="63">
                  <v>0.06740550229920654</v>
                </pt>
                <pt idx="64">
                  <v>0.06748575348070879</v>
                </pt>
                <pt idx="65">
                  <v>0.06772911733217046</v>
                </pt>
                <pt idx="66">
                  <v>0.06864841476110145</v>
                </pt>
                <pt idx="67">
                  <v>0.06856459026697614</v>
                </pt>
                <pt idx="68">
                  <v>0.06856385990028772</v>
                </pt>
                <pt idx="69">
                  <v>0.06845057541756258</v>
                </pt>
                <pt idx="70">
                  <v>0.06907082310996231</v>
                </pt>
                <pt idx="71">
                  <v>0.06796765570071588</v>
                </pt>
                <pt idx="72">
                  <v>0.06793735017703435</v>
                </pt>
                <pt idx="73">
                  <v>0.06790814711936694</v>
                </pt>
                <pt idx="74">
                  <v>0.06796839592790678</v>
                </pt>
                <pt idx="75">
                  <v>0.06825116978453064</v>
                </pt>
                <pt idx="76">
                  <v>0.06850984905495079</v>
                </pt>
                <pt idx="77">
                  <v>0.06799111157999896</v>
                </pt>
                <pt idx="78">
                  <v>0.06761381853641917</v>
                </pt>
                <pt idx="79">
                  <v>0.06810909813358677</v>
                </pt>
                <pt idx="80">
                  <v>0.06767559504289941</v>
                </pt>
                <pt idx="81">
                  <v>0.06715470361753413</v>
                </pt>
                <pt idx="82">
                  <v>0.06675297879827767</v>
                </pt>
                <pt idx="83">
                  <v>0.06691854263676829</v>
                </pt>
                <pt idx="84">
                  <v>0.06721528827717387</v>
                </pt>
                <pt idx="85">
                  <v>0.0670016126929578</v>
                </pt>
                <pt idx="86">
                  <v>0.06664335207146974</v>
                </pt>
                <pt idx="87">
                  <v>0.06640436345153757</v>
                </pt>
                <pt idx="88">
                  <v>0.06641782212926005</v>
                </pt>
                <pt idx="89">
                  <v>0.06586278523147038</v>
                </pt>
                <pt idx="90">
                  <v>0.06554782215978457</v>
                </pt>
                <pt idx="91">
                  <v>0.06473700820923996</v>
                </pt>
                <pt idx="92">
                  <v>0.06464702772909438</v>
                </pt>
                <pt idx="93">
                  <v>0.06465933203855226</v>
                </pt>
                <pt idx="94">
                  <v>0.06414848323805783</v>
                </pt>
                <pt idx="95">
                  <v>0.06365503690673245</v>
                </pt>
                <pt idx="96">
                  <v>0.06292517746819148</v>
                </pt>
                <pt idx="97">
                  <v>0.06270783040301148</v>
                </pt>
                <pt idx="98">
                  <v>0.06251294350005461</v>
                </pt>
                <pt idx="99">
                  <v>0.06196223754029977</v>
                </pt>
                <pt idx="100">
                  <v>0.0611219150111189</v>
                </pt>
                <pt idx="101">
                  <v>0.06098750001853061</v>
                </pt>
                <pt idx="102">
                  <v>0.06067955218894338</v>
                </pt>
                <pt idx="103">
                  <v>0.06061497222932025</v>
                </pt>
                <pt idx="104">
                  <v>0.05972276366061087</v>
                </pt>
                <pt idx="105">
                  <v>0.05958662909321532</v>
                </pt>
                <pt idx="106">
                  <v>0.05976627815029072</v>
                </pt>
                <pt idx="107">
                  <v>0.05975421046592588</v>
                </pt>
                <pt idx="108">
                  <v>0.06068193557155058</v>
                </pt>
                <pt idx="109">
                  <v>0.06061565199454341</v>
                </pt>
                <pt idx="110">
                  <v>0.06090543413917997</v>
                </pt>
                <pt idx="111">
                  <v>0.06131357676180284</v>
                </pt>
                <pt idx="112">
                  <v>0.06184145854783223</v>
                </pt>
                <pt idx="113">
                  <v>0.0626425499822308</v>
                </pt>
                <pt idx="114">
                  <v>0.06298828847378626</v>
                </pt>
                <pt idx="115">
                  <v>0.06333728386511216</v>
                </pt>
                <pt idx="116">
                  <v>0.06577295700445765</v>
                </pt>
                <pt idx="117">
                  <v>0.06761934706891123</v>
                </pt>
                <pt idx="118">
                  <v>0.06822110438808224</v>
                </pt>
                <pt idx="119">
                  <v>0.06857331700864777</v>
                </pt>
                <pt idx="120">
                  <v>0.06804480592904615</v>
                </pt>
                <pt idx="121">
                  <v>0.06839395205582059</v>
                </pt>
                <pt idx="122">
                  <v>0.06855739401812153</v>
                </pt>
                <pt idx="123">
                  <v>0.06800970308277683</v>
                </pt>
                <pt idx="124">
                  <v>0.06889906108129741</v>
                </pt>
                <pt idx="125">
                  <v>0.06903774307629906</v>
                </pt>
                <pt idx="126">
                  <v>0.07009922595924239</v>
                </pt>
                <pt idx="127">
                  <v>0.07126942509260983</v>
                </pt>
                <pt idx="128">
                  <v>0.07081808643886894</v>
                </pt>
                <pt idx="129">
                  <v>0.07140708014331382</v>
                </pt>
                <pt idx="130">
                  <v>0.07212328935856348</v>
                </pt>
                <pt idx="131">
                  <v>0.07223199812456563</v>
                </pt>
                <pt idx="132">
                  <v>0.07314327329104096</v>
                </pt>
                <pt idx="133">
                  <v>0.07303608365278089</v>
                </pt>
                <pt idx="134">
                  <v>0.07338222713650767</v>
                </pt>
                <pt idx="135">
                  <v>0.07395566174542396</v>
                </pt>
                <pt idx="136">
                  <v>0.07451977969528215</v>
                </pt>
                <pt idx="137">
                  <v>0.073996329254925</v>
                </pt>
                <pt idx="138">
                  <v>0.07617727027486344</v>
                </pt>
                <pt idx="139">
                  <v>0.07634352008136983</v>
                </pt>
                <pt idx="140">
                  <v>0.07637743563308891</v>
                </pt>
                <pt idx="141">
                  <v>0.07554695432914431</v>
                </pt>
                <pt idx="142">
                  <v>0.0755048885769085</v>
                </pt>
                <pt idx="143">
                  <v>0.075689339818898</v>
                </pt>
              </numCache>
            </numRef>
          </val>
          <smooth val="0"/>
        </ser>
        <ser>
          <idx val="2"/>
          <order val="2"/>
          <tx>
            <strRef>
              <f>Charts!$AB$2</f>
              <strCache>
                <ptCount val="1"/>
                <pt idx="0">
                  <v>10+ Year Cap (ttm)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4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9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3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43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Charts!$B$75:$B$218</f>
              <numCache>
                <formatCode>[$-409]mmm\-yy;@</formatCode>
                <ptCount val="144"/>
                <pt idx="0">
                  <v>41640</v>
                </pt>
                <pt idx="1">
                  <v>41671</v>
                </pt>
                <pt idx="2">
                  <v>41699</v>
                </pt>
                <pt idx="3">
                  <v>41730</v>
                </pt>
                <pt idx="4">
                  <v>41760</v>
                </pt>
                <pt idx="5">
                  <v>41791</v>
                </pt>
                <pt idx="6">
                  <v>41821</v>
                </pt>
                <pt idx="7">
                  <v>41852</v>
                </pt>
                <pt idx="8">
                  <v>41883</v>
                </pt>
                <pt idx="9">
                  <v>41913</v>
                </pt>
                <pt idx="10">
                  <v>41944</v>
                </pt>
                <pt idx="11">
                  <v>41974</v>
                </pt>
                <pt idx="12">
                  <v>42005</v>
                </pt>
                <pt idx="13">
                  <v>42036</v>
                </pt>
                <pt idx="14">
                  <v>42064</v>
                </pt>
                <pt idx="15">
                  <v>42095</v>
                </pt>
                <pt idx="16">
                  <v>42125</v>
                </pt>
                <pt idx="17">
                  <v>42156</v>
                </pt>
                <pt idx="18">
                  <v>42186</v>
                </pt>
                <pt idx="19">
                  <v>42217</v>
                </pt>
                <pt idx="20">
                  <v>42248</v>
                </pt>
                <pt idx="21">
                  <v>42278</v>
                </pt>
                <pt idx="22">
                  <v>42309</v>
                </pt>
                <pt idx="23">
                  <v>42339</v>
                </pt>
                <pt idx="24">
                  <v>42370</v>
                </pt>
                <pt idx="25">
                  <v>42401</v>
                </pt>
                <pt idx="26">
                  <v>42430</v>
                </pt>
                <pt idx="27">
                  <v>42461</v>
                </pt>
                <pt idx="28">
                  <v>42491</v>
                </pt>
                <pt idx="29">
                  <v>42522</v>
                </pt>
                <pt idx="30">
                  <v>42552</v>
                </pt>
                <pt idx="31">
                  <v>42583</v>
                </pt>
                <pt idx="32">
                  <v>42614</v>
                </pt>
                <pt idx="33">
                  <v>42644</v>
                </pt>
                <pt idx="34">
                  <v>42675</v>
                </pt>
                <pt idx="35">
                  <v>42705</v>
                </pt>
                <pt idx="36">
                  <v>42736</v>
                </pt>
                <pt idx="37">
                  <v>42767</v>
                </pt>
                <pt idx="38">
                  <v>42795</v>
                </pt>
                <pt idx="39">
                  <v>42826</v>
                </pt>
                <pt idx="40">
                  <v>42856</v>
                </pt>
                <pt idx="41">
                  <v>42887</v>
                </pt>
                <pt idx="42">
                  <v>42917</v>
                </pt>
                <pt idx="43">
                  <v>42948</v>
                </pt>
                <pt idx="44">
                  <v>42979</v>
                </pt>
                <pt idx="45">
                  <v>43009</v>
                </pt>
                <pt idx="46">
                  <v>43040</v>
                </pt>
                <pt idx="47">
                  <v>43070</v>
                </pt>
                <pt idx="48">
                  <v>43101</v>
                </pt>
                <pt idx="49">
                  <v>43132</v>
                </pt>
                <pt idx="50">
                  <v>43160</v>
                </pt>
                <pt idx="51">
                  <v>43191</v>
                </pt>
                <pt idx="52">
                  <v>43221</v>
                </pt>
                <pt idx="53">
                  <v>43252</v>
                </pt>
                <pt idx="54">
                  <v>43282</v>
                </pt>
                <pt idx="55">
                  <v>43313</v>
                </pt>
                <pt idx="56">
                  <v>43344</v>
                </pt>
                <pt idx="57">
                  <v>43374</v>
                </pt>
                <pt idx="58">
                  <v>43405</v>
                </pt>
                <pt idx="59">
                  <v>43435</v>
                </pt>
                <pt idx="60">
                  <v>43466</v>
                </pt>
                <pt idx="61">
                  <v>43497</v>
                </pt>
                <pt idx="62">
                  <v>43525</v>
                </pt>
                <pt idx="63">
                  <v>43556</v>
                </pt>
                <pt idx="64">
                  <v>43586</v>
                </pt>
                <pt idx="65">
                  <v>43617</v>
                </pt>
                <pt idx="66">
                  <v>43647</v>
                </pt>
                <pt idx="67">
                  <v>43678</v>
                </pt>
                <pt idx="68">
                  <v>43709</v>
                </pt>
                <pt idx="69">
                  <v>43739</v>
                </pt>
                <pt idx="70">
                  <v>43770</v>
                </pt>
                <pt idx="71">
                  <v>43800</v>
                </pt>
                <pt idx="72">
                  <v>43831</v>
                </pt>
                <pt idx="73">
                  <v>43862</v>
                </pt>
                <pt idx="74">
                  <v>43891</v>
                </pt>
                <pt idx="75">
                  <v>43922</v>
                </pt>
                <pt idx="76">
                  <v>43952</v>
                </pt>
                <pt idx="77">
                  <v>43983</v>
                </pt>
                <pt idx="78">
                  <v>44013</v>
                </pt>
                <pt idx="79">
                  <v>44044</v>
                </pt>
                <pt idx="80">
                  <v>44075</v>
                </pt>
                <pt idx="81">
                  <v>44105</v>
                </pt>
                <pt idx="82">
                  <v>44136</v>
                </pt>
                <pt idx="83">
                  <v>44166</v>
                </pt>
                <pt idx="84">
                  <v>44197</v>
                </pt>
                <pt idx="85">
                  <v>44228</v>
                </pt>
                <pt idx="86">
                  <v>44256</v>
                </pt>
                <pt idx="87">
                  <v>44287</v>
                </pt>
                <pt idx="88">
                  <v>44317</v>
                </pt>
                <pt idx="89">
                  <v>44348</v>
                </pt>
                <pt idx="90">
                  <v>44378</v>
                </pt>
                <pt idx="91">
                  <v>44409</v>
                </pt>
                <pt idx="92">
                  <v>44440</v>
                </pt>
                <pt idx="93">
                  <v>44470</v>
                </pt>
                <pt idx="94">
                  <v>44501</v>
                </pt>
                <pt idx="95">
                  <v>44531</v>
                </pt>
                <pt idx="96">
                  <v>44562</v>
                </pt>
                <pt idx="97">
                  <v>44593</v>
                </pt>
                <pt idx="98">
                  <v>44621</v>
                </pt>
                <pt idx="99">
                  <v>44652</v>
                </pt>
                <pt idx="100">
                  <v>44682</v>
                </pt>
                <pt idx="101">
                  <v>44713</v>
                </pt>
                <pt idx="102">
                  <v>44743</v>
                </pt>
                <pt idx="103">
                  <v>44774</v>
                </pt>
                <pt idx="104">
                  <v>44805</v>
                </pt>
                <pt idx="105">
                  <v>44835</v>
                </pt>
                <pt idx="106">
                  <v>44866</v>
                </pt>
                <pt idx="107">
                  <v>44896</v>
                </pt>
                <pt idx="108">
                  <v>44927</v>
                </pt>
                <pt idx="109">
                  <v>44958</v>
                </pt>
                <pt idx="110">
                  <v>44986</v>
                </pt>
                <pt idx="111">
                  <v>45017</v>
                </pt>
                <pt idx="112">
                  <v>45047</v>
                </pt>
                <pt idx="113">
                  <v>45078</v>
                </pt>
                <pt idx="114">
                  <v>45108</v>
                </pt>
                <pt idx="115">
                  <v>45139</v>
                </pt>
                <pt idx="116">
                  <v>45170</v>
                </pt>
                <pt idx="117">
                  <v>45200</v>
                </pt>
                <pt idx="118">
                  <v>45231</v>
                </pt>
                <pt idx="119">
                  <v>45261</v>
                </pt>
                <pt idx="120">
                  <v>45292</v>
                </pt>
                <pt idx="121">
                  <v>45323</v>
                </pt>
                <pt idx="122">
                  <v>45352</v>
                </pt>
                <pt idx="123">
                  <v>45383</v>
                </pt>
                <pt idx="124">
                  <v>45413</v>
                </pt>
                <pt idx="125">
                  <v>45444</v>
                </pt>
                <pt idx="126">
                  <v>45474</v>
                </pt>
                <pt idx="127">
                  <v>45505</v>
                </pt>
                <pt idx="128">
                  <v>45536</v>
                </pt>
                <pt idx="129">
                  <v>45566</v>
                </pt>
                <pt idx="130">
                  <v>45597</v>
                </pt>
                <pt idx="131">
                  <v>45627</v>
                </pt>
                <pt idx="132">
                  <v>45658</v>
                </pt>
                <pt idx="133">
                  <v>45689</v>
                </pt>
                <pt idx="134">
                  <v>45717</v>
                </pt>
                <pt idx="135">
                  <v>45748</v>
                </pt>
                <pt idx="136">
                  <v>45778</v>
                </pt>
                <pt idx="137">
                  <v>45809</v>
                </pt>
                <pt idx="138">
                  <v>45839</v>
                </pt>
                <pt idx="139">
                  <v>45870</v>
                </pt>
                <pt idx="140">
                  <v>45901</v>
                </pt>
                <pt idx="141">
                  <v>45931</v>
                </pt>
                <pt idx="142">
                  <v>45962</v>
                </pt>
                <pt idx="143">
                  <v>45992</v>
                </pt>
              </numCache>
            </numRef>
          </cat>
          <val>
            <numRef>
              <f>Charts!$AB$75:$AB$218</f>
              <numCache>
                <formatCode>0.00%</formatCode>
                <ptCount val="144"/>
                <pt idx="0">
                  <v>0.0731492580375501</v>
                </pt>
                <pt idx="1">
                  <v>0.07270548566566479</v>
                </pt>
                <pt idx="2">
                  <v>0.07270548566566479</v>
                </pt>
                <pt idx="3">
                  <v>0.07240137936138417</v>
                </pt>
                <pt idx="4">
                  <v>0.07250936018816788</v>
                </pt>
                <pt idx="5">
                  <v>0.07220793360868637</v>
                </pt>
                <pt idx="6">
                  <v>0.07291659683319276</v>
                </pt>
                <pt idx="7">
                  <v>0.07227713013916892</v>
                </pt>
                <pt idx="8">
                  <v>0.07394006048980707</v>
                </pt>
                <pt idx="9">
                  <v>0.07368635913823568</v>
                </pt>
                <pt idx="10">
                  <v>0.07368635913823568</v>
                </pt>
                <pt idx="11">
                  <v>0.07112137004929303</v>
                </pt>
                <pt idx="12">
                  <v>0.07112137004929303</v>
                </pt>
                <pt idx="13">
                  <v>0.07090092037049217</v>
                </pt>
                <pt idx="14">
                  <v>0.07090092037049217</v>
                </pt>
                <pt idx="15">
                  <v>0.07039312056471425</v>
                </pt>
                <pt idx="16">
                  <v>0.06940104080453534</v>
                </pt>
                <pt idx="17">
                  <v>0.06812723951360979</v>
                </pt>
                <pt idx="18">
                  <v>0.06744705650038148</v>
                </pt>
                <pt idx="19">
                  <v>0.06677789161579543</v>
                </pt>
                <pt idx="20">
                  <v>0.06625614175235962</v>
                </pt>
                <pt idx="21">
                  <v>0.06690865267105747</v>
                </pt>
                <pt idx="22">
                  <v>0.06498481180019421</v>
                </pt>
                <pt idx="23">
                  <v>0.06618646587271347</v>
                </pt>
                <pt idx="24">
                  <v>0.06567331139340571</v>
                </pt>
                <pt idx="25">
                  <v>0.06547457729048681</v>
                </pt>
                <pt idx="26">
                  <v>0.0654902498182926</v>
                </pt>
                <pt idx="27">
                  <v>0.06420601097765809</v>
                </pt>
                <pt idx="28">
                  <v>0.06356394761083001</v>
                </pt>
                <pt idx="29">
                  <v>0.06369812842725461</v>
                </pt>
                <pt idx="30">
                  <v>0.06328377664955344</v>
                </pt>
                <pt idx="31">
                  <v>0.06243388133699664</v>
                </pt>
                <pt idx="32">
                  <v>0.06200164382500575</v>
                </pt>
                <pt idx="33">
                  <v>0.0617280114830959</v>
                </pt>
                <pt idx="34">
                  <v>0.06129549976965444</v>
                </pt>
                <pt idx="35">
                  <v>0.06225387816845483</v>
                </pt>
                <pt idx="36">
                  <v>0.06092363523002153</v>
                </pt>
                <pt idx="37">
                  <v>0.060707503654486</v>
                </pt>
                <pt idx="38">
                  <v>0.06050376437249196</v>
                </pt>
                <pt idx="39">
                  <v>0.05985385840866608</v>
                </pt>
                <pt idx="40">
                  <v>0.06008088815719337</v>
                </pt>
                <pt idx="41">
                  <v>0.05988846905645325</v>
                </pt>
                <pt idx="42">
                  <v>0.05974291372513829</v>
                </pt>
                <pt idx="43">
                  <v>0.05969817158624015</v>
                </pt>
                <pt idx="44">
                  <v>0.05977014165278115</v>
                </pt>
                <pt idx="45">
                  <v>0.05910375490280106</v>
                </pt>
                <pt idx="46">
                  <v>0.05899813343407217</v>
                </pt>
                <pt idx="47">
                  <v>0.05803222211845484</v>
                </pt>
                <pt idx="48">
                  <v>0.05714221259205213</v>
                </pt>
                <pt idx="49">
                  <v>0.05709676097474036</v>
                </pt>
                <pt idx="50">
                  <v>0.05743859593600677</v>
                </pt>
                <pt idx="51">
                  <v>0.0575530911491148</v>
                </pt>
                <pt idx="52">
                  <v>0.05846067374341807</v>
                </pt>
                <pt idx="53">
                  <v>0.05839180191502916</v>
                </pt>
                <pt idx="54">
                  <v>0.05853299277401632</v>
                </pt>
                <pt idx="55">
                  <v>0.05906427607405363</v>
                </pt>
                <pt idx="56">
                  <v>0.05928810654099199</v>
                </pt>
                <pt idx="57">
                  <v>0.05969805388379024</v>
                </pt>
                <pt idx="58">
                  <v>0.06046648260135551</v>
                </pt>
                <pt idx="59">
                  <v>0.06047029936089133</v>
                </pt>
                <pt idx="60">
                  <v>0.0605285861464332</v>
                </pt>
                <pt idx="61">
                  <v>0.06063048768948246</v>
                </pt>
                <pt idx="62">
                  <v>0.06116670016833597</v>
                </pt>
                <pt idx="63">
                  <v>0.06077845125643795</v>
                </pt>
                <pt idx="64">
                  <v>0.06053537735826374</v>
                </pt>
                <pt idx="65">
                  <v>0.06002207031195016</v>
                </pt>
                <pt idx="66">
                  <v>0.0610100113120061</v>
                </pt>
                <pt idx="67">
                  <v>0.06092700944649208</v>
                </pt>
                <pt idx="68">
                  <v>0.06029181484196155</v>
                </pt>
                <pt idx="69">
                  <v>0.06027705590952102</v>
                </pt>
                <pt idx="70">
                  <v>0.05980088173483025</v>
                </pt>
                <pt idx="71">
                  <v>0.05931346400258172</v>
                </pt>
                <pt idx="72">
                  <v>0.05923398248515455</v>
                </pt>
                <pt idx="73">
                  <v>0.05924018345097352</v>
                </pt>
                <pt idx="74">
                  <v>0.05945749314484487</v>
                </pt>
                <pt idx="75">
                  <v>0.05925942044308401</v>
                </pt>
                <pt idx="76">
                  <v>0.05952789634101897</v>
                </pt>
                <pt idx="77">
                  <v>0.05987393795034994</v>
                </pt>
                <pt idx="78">
                  <v>0.06006351767005861</v>
                </pt>
                <pt idx="79">
                  <v>0.05847350898873144</v>
                </pt>
                <pt idx="80">
                  <v>0.05814538354281716</v>
                </pt>
                <pt idx="81">
                  <v>0.0581406360047818</v>
                </pt>
                <pt idx="82">
                  <v>0.05793948211027724</v>
                </pt>
                <pt idx="83">
                  <v>0.05869007018693544</v>
                </pt>
                <pt idx="84">
                  <v>0.05937493415203578</v>
                </pt>
                <pt idx="85">
                  <v>0.05910336968644833</v>
                </pt>
                <pt idx="86">
                  <v>0.05883234431507271</v>
                </pt>
                <pt idx="87">
                  <v>0.05818055466272897</v>
                </pt>
                <pt idx="88">
                  <v>0.05768886744464458</v>
                </pt>
                <pt idx="89">
                  <v>0.05761876119584145</v>
                </pt>
                <pt idx="90">
                  <v>0.05690553863131093</v>
                </pt>
                <pt idx="91">
                  <v>0.05629200622170773</v>
                </pt>
                <pt idx="92">
                  <v>0.05578316776491454</v>
                </pt>
                <pt idx="93">
                  <v>0.05561504777353602</v>
                </pt>
                <pt idx="94">
                  <v>0.05514903497824965</v>
                </pt>
                <pt idx="95">
                  <v>0.05531900418070846</v>
                </pt>
                <pt idx="96">
                  <v>0.05489624519883286</v>
                </pt>
                <pt idx="97">
                  <v>0.05393010751127483</v>
                </pt>
                <pt idx="98">
                  <v>0.05384899778040812</v>
                </pt>
                <pt idx="99">
                  <v>0.05336304149252375</v>
                </pt>
                <pt idx="100">
                  <v>0.05313598033709505</v>
                </pt>
                <pt idx="101">
                  <v>0.05313321882212711</v>
                </pt>
                <pt idx="102">
                  <v>0.0523632344317963</v>
                </pt>
                <pt idx="103">
                  <v>0.052428589533009</v>
                </pt>
                <pt idx="104">
                  <v>0.05206306414173293</v>
                </pt>
                <pt idx="105">
                  <v>0.05278859523541477</v>
                </pt>
                <pt idx="106">
                  <v>0.05300614545456769</v>
                </pt>
                <pt idx="107">
                  <v>0.05323422491854592</v>
                </pt>
                <pt idx="108">
                  <v>0.05268442599532348</v>
                </pt>
                <pt idx="109">
                  <v>0.05228277173542478</v>
                </pt>
                <pt idx="110">
                  <v>0.05262849728322153</v>
                </pt>
                <pt idx="111">
                  <v>0.05272871310083498</v>
                </pt>
                <pt idx="112">
                  <v>0.05367259841041486</v>
                </pt>
                <pt idx="113">
                  <v>0.05466869323141346</v>
                </pt>
                <pt idx="114">
                  <v>0.05545910001407332</v>
                </pt>
                <pt idx="115">
                  <v>0.05698886429732226</v>
                </pt>
                <pt idx="116">
                  <v>0.05781258796772462</v>
                </pt>
                <pt idx="117">
                  <v>0.05854434144266304</v>
                </pt>
                <pt idx="118">
                  <v>0.05835694685137805</v>
                </pt>
                <pt idx="119">
                  <v>0.05940559153840978</v>
                </pt>
                <pt idx="120">
                  <v>0.06044377336835029</v>
                </pt>
                <pt idx="121">
                  <v>0.06063117418275099</v>
                </pt>
                <pt idx="122">
                  <v>0.06060590824926086</v>
                </pt>
                <pt idx="123">
                  <v>0.06085379713814974</v>
                </pt>
                <pt idx="124">
                  <v>0.06117029242291684</v>
                </pt>
                <pt idx="125">
                  <v>0.06086226508891762</v>
                </pt>
                <pt idx="126">
                  <v>0.06115892200741593</v>
                </pt>
                <pt idx="127">
                  <v>0.06150478408864817</v>
                </pt>
                <pt idx="128">
                  <v>0.06204136391421807</v>
                </pt>
                <pt idx="129">
                  <v>0.06204136391421807</v>
                </pt>
                <pt idx="130">
                  <v>0.06343368092911955</v>
                </pt>
                <pt idx="131">
                  <v>0.06485054611430474</v>
                </pt>
                <pt idx="132">
                  <v>0.06610010080049698</v>
                </pt>
                <pt idx="133">
                  <v>0.0656016808708012</v>
                </pt>
                <pt idx="134">
                  <v>0.06578945738478177</v>
                </pt>
                <pt idx="135">
                  <v>0.06730155553452298</v>
                </pt>
                <pt idx="136">
                  <v>0.06775790275543066</v>
                </pt>
                <pt idx="137">
                  <v>0.06749616183060202</v>
                </pt>
                <pt idx="138">
                  <v>0.06785484977793441</v>
                </pt>
                <pt idx="139">
                  <v>0.0684126758648909</v>
                </pt>
                <pt idx="140">
                  <v>0.06898323470781963</v>
                </pt>
                <pt idx="141">
                  <v>0.06898323470781963</v>
                </pt>
                <pt idx="142">
                  <v>0.06898323470781963</v>
                </pt>
                <pt idx="143">
                  <v>0.06838944532715632</v>
                </pt>
              </numCache>
            </numRef>
          </val>
          <smooth val="0"/>
        </ser>
        <ser>
          <idx val="3"/>
          <order val="3"/>
          <tx>
            <strRef>
              <f>Charts!$AC$2</f>
              <strCache>
                <ptCount val="1"/>
                <pt idx="0">
                  <v>10+ Year Cap (90 Day)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4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1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1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1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3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43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Charts!$B$75:$B$218</f>
              <numCache>
                <formatCode>[$-409]mmm\-yy;@</formatCode>
                <ptCount val="144"/>
                <pt idx="0">
                  <v>41640</v>
                </pt>
                <pt idx="1">
                  <v>41671</v>
                </pt>
                <pt idx="2">
                  <v>41699</v>
                </pt>
                <pt idx="3">
                  <v>41730</v>
                </pt>
                <pt idx="4">
                  <v>41760</v>
                </pt>
                <pt idx="5">
                  <v>41791</v>
                </pt>
                <pt idx="6">
                  <v>41821</v>
                </pt>
                <pt idx="7">
                  <v>41852</v>
                </pt>
                <pt idx="8">
                  <v>41883</v>
                </pt>
                <pt idx="9">
                  <v>41913</v>
                </pt>
                <pt idx="10">
                  <v>41944</v>
                </pt>
                <pt idx="11">
                  <v>41974</v>
                </pt>
                <pt idx="12">
                  <v>42005</v>
                </pt>
                <pt idx="13">
                  <v>42036</v>
                </pt>
                <pt idx="14">
                  <v>42064</v>
                </pt>
                <pt idx="15">
                  <v>42095</v>
                </pt>
                <pt idx="16">
                  <v>42125</v>
                </pt>
                <pt idx="17">
                  <v>42156</v>
                </pt>
                <pt idx="18">
                  <v>42186</v>
                </pt>
                <pt idx="19">
                  <v>42217</v>
                </pt>
                <pt idx="20">
                  <v>42248</v>
                </pt>
                <pt idx="21">
                  <v>42278</v>
                </pt>
                <pt idx="22">
                  <v>42309</v>
                </pt>
                <pt idx="23">
                  <v>42339</v>
                </pt>
                <pt idx="24">
                  <v>42370</v>
                </pt>
                <pt idx="25">
                  <v>42401</v>
                </pt>
                <pt idx="26">
                  <v>42430</v>
                </pt>
                <pt idx="27">
                  <v>42461</v>
                </pt>
                <pt idx="28">
                  <v>42491</v>
                </pt>
                <pt idx="29">
                  <v>42522</v>
                </pt>
                <pt idx="30">
                  <v>42552</v>
                </pt>
                <pt idx="31">
                  <v>42583</v>
                </pt>
                <pt idx="32">
                  <v>42614</v>
                </pt>
                <pt idx="33">
                  <v>42644</v>
                </pt>
                <pt idx="34">
                  <v>42675</v>
                </pt>
                <pt idx="35">
                  <v>42705</v>
                </pt>
                <pt idx="36">
                  <v>42736</v>
                </pt>
                <pt idx="37">
                  <v>42767</v>
                </pt>
                <pt idx="38">
                  <v>42795</v>
                </pt>
                <pt idx="39">
                  <v>42826</v>
                </pt>
                <pt idx="40">
                  <v>42856</v>
                </pt>
                <pt idx="41">
                  <v>42887</v>
                </pt>
                <pt idx="42">
                  <v>42917</v>
                </pt>
                <pt idx="43">
                  <v>42948</v>
                </pt>
                <pt idx="44">
                  <v>42979</v>
                </pt>
                <pt idx="45">
                  <v>43009</v>
                </pt>
                <pt idx="46">
                  <v>43040</v>
                </pt>
                <pt idx="47">
                  <v>43070</v>
                </pt>
                <pt idx="48">
                  <v>43101</v>
                </pt>
                <pt idx="49">
                  <v>43132</v>
                </pt>
                <pt idx="50">
                  <v>43160</v>
                </pt>
                <pt idx="51">
                  <v>43191</v>
                </pt>
                <pt idx="52">
                  <v>43221</v>
                </pt>
                <pt idx="53">
                  <v>43252</v>
                </pt>
                <pt idx="54">
                  <v>43282</v>
                </pt>
                <pt idx="55">
                  <v>43313</v>
                </pt>
                <pt idx="56">
                  <v>43344</v>
                </pt>
                <pt idx="57">
                  <v>43374</v>
                </pt>
                <pt idx="58">
                  <v>43405</v>
                </pt>
                <pt idx="59">
                  <v>43435</v>
                </pt>
                <pt idx="60">
                  <v>43466</v>
                </pt>
                <pt idx="61">
                  <v>43497</v>
                </pt>
                <pt idx="62">
                  <v>43525</v>
                </pt>
                <pt idx="63">
                  <v>43556</v>
                </pt>
                <pt idx="64">
                  <v>43586</v>
                </pt>
                <pt idx="65">
                  <v>43617</v>
                </pt>
                <pt idx="66">
                  <v>43647</v>
                </pt>
                <pt idx="67">
                  <v>43678</v>
                </pt>
                <pt idx="68">
                  <v>43709</v>
                </pt>
                <pt idx="69">
                  <v>43739</v>
                </pt>
                <pt idx="70">
                  <v>43770</v>
                </pt>
                <pt idx="71">
                  <v>43800</v>
                </pt>
                <pt idx="72">
                  <v>43831</v>
                </pt>
                <pt idx="73">
                  <v>43862</v>
                </pt>
                <pt idx="74">
                  <v>43891</v>
                </pt>
                <pt idx="75">
                  <v>43922</v>
                </pt>
                <pt idx="76">
                  <v>43952</v>
                </pt>
                <pt idx="77">
                  <v>43983</v>
                </pt>
                <pt idx="78">
                  <v>44013</v>
                </pt>
                <pt idx="79">
                  <v>44044</v>
                </pt>
                <pt idx="80">
                  <v>44075</v>
                </pt>
                <pt idx="81">
                  <v>44105</v>
                </pt>
                <pt idx="82">
                  <v>44136</v>
                </pt>
                <pt idx="83">
                  <v>44166</v>
                </pt>
                <pt idx="84">
                  <v>44197</v>
                </pt>
                <pt idx="85">
                  <v>44228</v>
                </pt>
                <pt idx="86">
                  <v>44256</v>
                </pt>
                <pt idx="87">
                  <v>44287</v>
                </pt>
                <pt idx="88">
                  <v>44317</v>
                </pt>
                <pt idx="89">
                  <v>44348</v>
                </pt>
                <pt idx="90">
                  <v>44378</v>
                </pt>
                <pt idx="91">
                  <v>44409</v>
                </pt>
                <pt idx="92">
                  <v>44440</v>
                </pt>
                <pt idx="93">
                  <v>44470</v>
                </pt>
                <pt idx="94">
                  <v>44501</v>
                </pt>
                <pt idx="95">
                  <v>44531</v>
                </pt>
                <pt idx="96">
                  <v>44562</v>
                </pt>
                <pt idx="97">
                  <v>44593</v>
                </pt>
                <pt idx="98">
                  <v>44621</v>
                </pt>
                <pt idx="99">
                  <v>44652</v>
                </pt>
                <pt idx="100">
                  <v>44682</v>
                </pt>
                <pt idx="101">
                  <v>44713</v>
                </pt>
                <pt idx="102">
                  <v>44743</v>
                </pt>
                <pt idx="103">
                  <v>44774</v>
                </pt>
                <pt idx="104">
                  <v>44805</v>
                </pt>
                <pt idx="105">
                  <v>44835</v>
                </pt>
                <pt idx="106">
                  <v>44866</v>
                </pt>
                <pt idx="107">
                  <v>44896</v>
                </pt>
                <pt idx="108">
                  <v>44927</v>
                </pt>
                <pt idx="109">
                  <v>44958</v>
                </pt>
                <pt idx="110">
                  <v>44986</v>
                </pt>
                <pt idx="111">
                  <v>45017</v>
                </pt>
                <pt idx="112">
                  <v>45047</v>
                </pt>
                <pt idx="113">
                  <v>45078</v>
                </pt>
                <pt idx="114">
                  <v>45108</v>
                </pt>
                <pt idx="115">
                  <v>45139</v>
                </pt>
                <pt idx="116">
                  <v>45170</v>
                </pt>
                <pt idx="117">
                  <v>45200</v>
                </pt>
                <pt idx="118">
                  <v>45231</v>
                </pt>
                <pt idx="119">
                  <v>45261</v>
                </pt>
                <pt idx="120">
                  <v>45292</v>
                </pt>
                <pt idx="121">
                  <v>45323</v>
                </pt>
                <pt idx="122">
                  <v>45352</v>
                </pt>
                <pt idx="123">
                  <v>45383</v>
                </pt>
                <pt idx="124">
                  <v>45413</v>
                </pt>
                <pt idx="125">
                  <v>45444</v>
                </pt>
                <pt idx="126">
                  <v>45474</v>
                </pt>
                <pt idx="127">
                  <v>45505</v>
                </pt>
                <pt idx="128">
                  <v>45536</v>
                </pt>
                <pt idx="129">
                  <v>45566</v>
                </pt>
                <pt idx="130">
                  <v>45597</v>
                </pt>
                <pt idx="131">
                  <v>45627</v>
                </pt>
                <pt idx="132">
                  <v>45658</v>
                </pt>
                <pt idx="133">
                  <v>45689</v>
                </pt>
                <pt idx="134">
                  <v>45717</v>
                </pt>
                <pt idx="135">
                  <v>45748</v>
                </pt>
                <pt idx="136">
                  <v>45778</v>
                </pt>
                <pt idx="137">
                  <v>45809</v>
                </pt>
                <pt idx="138">
                  <v>45839</v>
                </pt>
                <pt idx="139">
                  <v>45870</v>
                </pt>
                <pt idx="140">
                  <v>45901</v>
                </pt>
                <pt idx="141">
                  <v>45931</v>
                </pt>
                <pt idx="142">
                  <v>45962</v>
                </pt>
                <pt idx="143">
                  <v>45992</v>
                </pt>
              </numCache>
            </numRef>
          </cat>
          <val>
            <numRef>
              <f>Charts!$AC$75:$AC$218</f>
              <numCache>
                <formatCode>0.00%</formatCode>
                <ptCount val="144"/>
                <pt idx="0">
                  <v>0.0730449127436426</v>
                </pt>
                <pt idx="1">
                  <v>0.07209023137757736</v>
                </pt>
                <pt idx="2">
                  <v>0.07406900415561041</v>
                </pt>
                <pt idx="3">
                  <v>0.07403664335264448</v>
                </pt>
                <pt idx="4">
                  <v>0.07176221133604599</v>
                </pt>
                <pt idx="5">
                  <v>0.07285184278003831</v>
                </pt>
                <pt idx="6">
                  <v>0.07271669818041912</v>
                </pt>
                <pt idx="7">
                  <v>0.07123938806836369</v>
                </pt>
                <pt idx="8">
                  <v>0.07083514329570915</v>
                </pt>
                <pt idx="9">
                  <v>0.06835381437021709</v>
                </pt>
                <pt idx="10">
                  <v>0.06936358133345741</v>
                </pt>
                <pt idx="11">
                  <v>0.06777381533673793</v>
                </pt>
                <pt idx="12">
                  <v>0.06822169811684578</v>
                </pt>
                <pt idx="13">
                  <v>0.06705341162021285</v>
                </pt>
                <pt idx="14">
                  <v>0.06911548770274237</v>
                </pt>
                <pt idx="15">
                  <v>0.07045539210701775</v>
                </pt>
                <pt idx="16">
                  <v>0.06947624217803956</v>
                </pt>
                <pt idx="17">
                  <v>0.06780737467914524</v>
                </pt>
                <pt idx="18">
                  <v>0.06475558325618538</v>
                </pt>
                <pt idx="19">
                  <v>0.06587305798456614</v>
                </pt>
                <pt idx="20">
                  <v>0.06819054050978096</v>
                </pt>
                <pt idx="21">
                  <v>0.0692154227481552</v>
                </pt>
                <pt idx="22">
                  <v>0.06470652303005681</v>
                </pt>
                <pt idx="23">
                  <v>0.06728591064619377</v>
                </pt>
                <pt idx="24">
                  <v>0.06529259796294484</v>
                </pt>
                <pt idx="25">
                  <v>0.06909277391790403</v>
                </pt>
                <pt idx="26">
                  <v>0.06674234701472111</v>
                </pt>
                <pt idx="27">
                  <v>0.06396020437522355</v>
                </pt>
                <pt idx="28">
                  <v>0.06278181405668166</v>
                </pt>
                <pt idx="29">
                  <v>0.06062254648328462</v>
                </pt>
                <pt idx="30">
                  <v>0.06238775701513731</v>
                </pt>
                <pt idx="31">
                  <v>0.06022815413972516</v>
                </pt>
                <pt idx="32">
                  <v>0.05932335812687155</v>
                </pt>
                <pt idx="33">
                  <v>0.0608067031455939</v>
                </pt>
                <pt idx="34">
                  <v>0.06289335372300436</v>
                </pt>
                <pt idx="35">
                  <v>0.06379280290938673</v>
                </pt>
                <pt idx="36">
                  <v>0.06319202922974709</v>
                </pt>
                <pt idx="37">
                  <v>0.06255376615359973</v>
                </pt>
                <pt idx="38">
                  <v>0.06092981424694927</v>
                </pt>
                <pt idx="39">
                  <v>0.06100549607399448</v>
                </pt>
                <pt idx="40">
                  <v>0.0595710657947016</v>
                </pt>
                <pt idx="41">
                  <v>0.05918177015490385</v>
                </pt>
                <pt idx="42">
                  <v>0.05983580145463484</v>
                </pt>
                <pt idx="43">
                  <v>0.05979250174349247</v>
                </pt>
                <pt idx="44">
                  <v>0.05905301913344249</v>
                </pt>
                <pt idx="45">
                  <v>0.05853857210882203</v>
                </pt>
                <pt idx="46">
                  <v>0.05890456637459277</v>
                </pt>
                <pt idx="47">
                  <v>0.06225477420732638</v>
                </pt>
                <pt idx="48">
                  <v>0.06187451401456943</v>
                </pt>
                <pt idx="49">
                  <v>0.0613914117265294</v>
                </pt>
                <pt idx="50">
                  <v>0.06197176049478901</v>
                </pt>
                <pt idx="51">
                  <v>0.06181318355168317</v>
                </pt>
                <pt idx="52">
                  <v>0.06193975156507821</v>
                </pt>
                <pt idx="53">
                  <v>0.05978188824655224</v>
                </pt>
                <pt idx="54">
                  <v>0.06030626915962709</v>
                </pt>
                <pt idx="55">
                  <v>0.06064285678153822</v>
                </pt>
                <pt idx="56">
                  <v>0.06133128737989937</v>
                </pt>
                <pt idx="57">
                  <v>0.06069093194504288</v>
                </pt>
                <pt idx="58">
                  <v>0.05960319803746863</v>
                </pt>
                <pt idx="59">
                  <v>0.06068634009030255</v>
                </pt>
                <pt idx="60">
                  <v>0.05983537647610668</v>
                </pt>
                <pt idx="61">
                  <v>0.06319686708420846</v>
                </pt>
                <pt idx="62">
                  <v>0.06263766459469039</v>
                </pt>
                <pt idx="63">
                  <v>0.06224011565336797</v>
                </pt>
                <pt idx="64">
                  <v>0.06090226241867355</v>
                </pt>
                <pt idx="65">
                  <v>0.06161852219740322</v>
                </pt>
                <pt idx="66">
                  <v>0.06365034544561746</v>
                </pt>
                <pt idx="67">
                  <v>0.06247110364561113</v>
                </pt>
                <pt idx="68">
                  <v>0.06151653408513952</v>
                </pt>
                <pt idx="69">
                  <v>0.05951154018545537</v>
                </pt>
                <pt idx="70">
                  <v>0.06154739475696581</v>
                </pt>
                <pt idx="71">
                  <v>0.05941926035525941</v>
                </pt>
                <pt idx="72">
                  <v>0.05962460711393806</v>
                </pt>
                <pt idx="73">
                  <v>0.05823454326307216</v>
                </pt>
                <pt idx="74">
                  <v>0.06052001232920756</v>
                </pt>
                <pt idx="75">
                  <v>0.06101562529636443</v>
                </pt>
                <pt idx="76">
                  <v>0.06123879397057713</v>
                </pt>
                <pt idx="77">
                  <v>0.0601155459602391</v>
                </pt>
                <pt idx="78">
                  <v>0.06042112124307297</v>
                </pt>
                <pt idx="79">
                  <v>0.05927157855626607</v>
                </pt>
                <pt idx="80">
                  <v>0.05733574662199888</v>
                </pt>
                <pt idx="81">
                  <v>0.05678641147631672</v>
                </pt>
                <pt idx="82">
                  <v>0.05689680706992811</v>
                </pt>
                <pt idx="83">
                  <v>0.05899499369288407</v>
                </pt>
                <pt idx="84">
                  <v>0.06005039708861988</v>
                </pt>
                <pt idx="85">
                  <v>0.05953717943452378</v>
                </pt>
                <pt idx="86">
                  <v>0.05784652814316259</v>
                </pt>
                <pt idx="87">
                  <v>0.05506523527702929</v>
                </pt>
                <pt idx="88">
                  <v>0.05406188304615842</v>
                </pt>
                <pt idx="89">
                  <v>0.05479681279540046</v>
                </pt>
                <pt idx="90">
                  <v>0.05444900995299135</v>
                </pt>
                <pt idx="91">
                  <v>0.05460428107236083</v>
                </pt>
                <pt idx="92">
                  <v>0.05219452016649024</v>
                </pt>
                <pt idx="93">
                  <v>0.05214691183076738</v>
                </pt>
                <pt idx="94">
                  <v>0.05068976276797416</v>
                </pt>
                <pt idx="95">
                  <v>0.05435910468964965</v>
                </pt>
                <pt idx="96">
                  <v>0.05569000253877519</v>
                </pt>
                <pt idx="97">
                  <v>0.05518110028133821</v>
                </pt>
                <pt idx="98">
                  <v>0.05309780828616151</v>
                </pt>
                <pt idx="99">
                  <v>0.05062482097465831</v>
                </pt>
                <pt idx="100">
                  <v>0.0506285007558015</v>
                </pt>
                <pt idx="101">
                  <v>0.05079262453077126</v>
                </pt>
                <pt idx="102">
                  <v>0.05057966392931382</v>
                </pt>
                <pt idx="103">
                  <v>0.05184339643421802</v>
                </pt>
                <pt idx="104">
                  <v>0.0510812881474217</v>
                </pt>
                <pt idx="105">
                  <v>0.05400409115204542</v>
                </pt>
                <pt idx="106">
                  <v>0.05533530316356982</v>
                </pt>
                <pt idx="107">
                  <v>0.05747415871251717</v>
                </pt>
                <pt idx="108">
                  <v>0.05638898503714555</v>
                </pt>
                <pt idx="109">
                  <v>0.0558341553665824</v>
                </pt>
                <pt idx="110">
                  <v>0.05557017765179567</v>
                </pt>
                <pt idx="111">
                  <v>0.05491368753032509</v>
                </pt>
                <pt idx="112">
                  <v>0.06822572868726715</v>
                </pt>
                <pt idx="113">
                  <v>0.06090987933830479</v>
                </pt>
                <pt idx="114">
                  <v>0.06029106341315297</v>
                </pt>
                <pt idx="115">
                  <v>0.05905456564029943</v>
                </pt>
                <pt idx="116">
                  <v>0.05956959734786394</v>
                </pt>
                <pt idx="117">
                  <v>0.05824666666666667</v>
                </pt>
                <pt idx="118">
                  <v>0.055</v>
                </pt>
                <pt idx="119">
                  <v>0.0605746590572054</v>
                </pt>
                <pt idx="120">
                  <v>0.06320687356595094</v>
                </pt>
                <pt idx="121">
                  <v>0.06457468582694276</v>
                </pt>
                <pt idx="122">
                  <v>0.06362145700675149</v>
                </pt>
                <pt idx="123">
                  <v>0.05830366945045881</v>
                </pt>
                <pt idx="124">
                  <v>0.06060280161740877</v>
                </pt>
                <pt idx="125">
                  <v>0.06308578426384746</v>
                </pt>
                <pt idx="126">
                  <v>0.06294404513341269</v>
                </pt>
                <pt idx="127">
                  <v>0.06144028432049484</v>
                </pt>
                <pt idx="128">
                  <v>0.06133466086956521</v>
                </pt>
                <pt idx="129">
                  <v>0.06221459999999999</v>
                </pt>
                <pt idx="130">
                  <v>0.07039526600362696</v>
                </pt>
                <pt idx="131">
                  <v>0.07292234283605355</v>
                </pt>
                <pt idx="132">
                  <v>0.07085065002588639</v>
                </pt>
                <pt idx="133">
                  <v>0.07005375043406477</v>
                </pt>
                <pt idx="134">
                  <v>0.06739141963837385</v>
                </pt>
                <pt idx="135">
                  <v>0.06872763962636191</v>
                </pt>
                <pt idx="136">
                  <v>0.06980351950181589</v>
                </pt>
                <pt idx="137">
                  <v>0.06854524155459917</v>
                </pt>
                <pt idx="138">
                  <v>0.06540425257580118</v>
                </pt>
                <pt idx="139">
                  <v>0.06643616838386744</v>
                </pt>
                <pt idx="140">
                  <v>0.06653745338951977</v>
                </pt>
                <pt idx="141">
                  <v>0.06653745338951977</v>
                </pt>
                <pt idx="142">
                  <v>0.06457490677903953</v>
                </pt>
                <pt idx="143">
                  <v>0.06550006664661887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76128383"/>
        <axId val="1876129439"/>
      </lineChart>
      <dateAx>
        <axId val="1876128383"/>
        <scaling>
          <orientation val="minMax"/>
        </scaling>
        <delete val="0"/>
        <axPos val="b"/>
        <numFmt formatCode="[$-409]m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76129439"/>
        <crosses val="autoZero"/>
        <lblOffset val="100"/>
        <baseTimeUnit val="months"/>
      </dateAx>
      <valAx>
        <axId val="1876129439"/>
        <scaling>
          <orientation val="minMax"/>
          <min val="0.045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7612838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Charts!$Z$2</f>
              <strCache>
                <ptCount val="1"/>
                <pt idx="0">
                  <v>Cap Expansion/Compression Pace</v>
                </pt>
              </strCache>
            </strRef>
          </tx>
          <spPr>
            <a:solidFill xmlns:a="http://schemas.openxmlformats.org/drawingml/2006/main">
              <a:srgbClr val="003DA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Charts!$B$28:$B$218</f>
              <numCache>
                <formatCode>[$-409]mmm\-yy;@</formatCode>
                <ptCount val="191"/>
                <pt idx="0">
                  <v>40210</v>
                </pt>
                <pt idx="1">
                  <v>40238</v>
                </pt>
                <pt idx="2">
                  <v>40269</v>
                </pt>
                <pt idx="3">
                  <v>40299</v>
                </pt>
                <pt idx="4">
                  <v>40330</v>
                </pt>
                <pt idx="5">
                  <v>40360</v>
                </pt>
                <pt idx="6">
                  <v>40391</v>
                </pt>
                <pt idx="7">
                  <v>40422</v>
                </pt>
                <pt idx="8">
                  <v>40452</v>
                </pt>
                <pt idx="9">
                  <v>40483</v>
                </pt>
                <pt idx="10">
                  <v>40513</v>
                </pt>
                <pt idx="11">
                  <v>40544</v>
                </pt>
                <pt idx="12">
                  <v>40575</v>
                </pt>
                <pt idx="13">
                  <v>40603</v>
                </pt>
                <pt idx="14">
                  <v>40634</v>
                </pt>
                <pt idx="15">
                  <v>40664</v>
                </pt>
                <pt idx="16">
                  <v>40695</v>
                </pt>
                <pt idx="17">
                  <v>40725</v>
                </pt>
                <pt idx="18">
                  <v>40756</v>
                </pt>
                <pt idx="19">
                  <v>40787</v>
                </pt>
                <pt idx="20">
                  <v>40817</v>
                </pt>
                <pt idx="21">
                  <v>40848</v>
                </pt>
                <pt idx="22">
                  <v>40878</v>
                </pt>
                <pt idx="23">
                  <v>40909</v>
                </pt>
                <pt idx="24">
                  <v>40940</v>
                </pt>
                <pt idx="25">
                  <v>40969</v>
                </pt>
                <pt idx="26">
                  <v>41000</v>
                </pt>
                <pt idx="27">
                  <v>41030</v>
                </pt>
                <pt idx="28">
                  <v>41061</v>
                </pt>
                <pt idx="29">
                  <v>41091</v>
                </pt>
                <pt idx="30">
                  <v>41122</v>
                </pt>
                <pt idx="31">
                  <v>41153</v>
                </pt>
                <pt idx="32">
                  <v>41183</v>
                </pt>
                <pt idx="33">
                  <v>41214</v>
                </pt>
                <pt idx="34">
                  <v>41244</v>
                </pt>
                <pt idx="35">
                  <v>41275</v>
                </pt>
                <pt idx="36">
                  <v>41306</v>
                </pt>
                <pt idx="37">
                  <v>41334</v>
                </pt>
                <pt idx="38">
                  <v>41365</v>
                </pt>
                <pt idx="39">
                  <v>41395</v>
                </pt>
                <pt idx="40">
                  <v>41426</v>
                </pt>
                <pt idx="41">
                  <v>41456</v>
                </pt>
                <pt idx="42">
                  <v>41487</v>
                </pt>
                <pt idx="43">
                  <v>41518</v>
                </pt>
                <pt idx="44">
                  <v>41548</v>
                </pt>
                <pt idx="45">
                  <v>41579</v>
                </pt>
                <pt idx="46">
                  <v>41609</v>
                </pt>
                <pt idx="47">
                  <v>41640</v>
                </pt>
                <pt idx="48">
                  <v>41671</v>
                </pt>
                <pt idx="49">
                  <v>41699</v>
                </pt>
                <pt idx="50">
                  <v>41730</v>
                </pt>
                <pt idx="51">
                  <v>41760</v>
                </pt>
                <pt idx="52">
                  <v>41791</v>
                </pt>
                <pt idx="53">
                  <v>41821</v>
                </pt>
                <pt idx="54">
                  <v>41852</v>
                </pt>
                <pt idx="55">
                  <v>41883</v>
                </pt>
                <pt idx="56">
                  <v>41913</v>
                </pt>
                <pt idx="57">
                  <v>41944</v>
                </pt>
                <pt idx="58">
                  <v>41974</v>
                </pt>
                <pt idx="59">
                  <v>42005</v>
                </pt>
                <pt idx="60">
                  <v>42036</v>
                </pt>
                <pt idx="61">
                  <v>42064</v>
                </pt>
                <pt idx="62">
                  <v>42095</v>
                </pt>
                <pt idx="63">
                  <v>42125</v>
                </pt>
                <pt idx="64">
                  <v>42156</v>
                </pt>
                <pt idx="65">
                  <v>42186</v>
                </pt>
                <pt idx="66">
                  <v>42217</v>
                </pt>
                <pt idx="67">
                  <v>42248</v>
                </pt>
                <pt idx="68">
                  <v>42278</v>
                </pt>
                <pt idx="69">
                  <v>42309</v>
                </pt>
                <pt idx="70">
                  <v>42339</v>
                </pt>
                <pt idx="71">
                  <v>42370</v>
                </pt>
                <pt idx="72">
                  <v>42401</v>
                </pt>
                <pt idx="73">
                  <v>42430</v>
                </pt>
                <pt idx="74">
                  <v>42461</v>
                </pt>
                <pt idx="75">
                  <v>42491</v>
                </pt>
                <pt idx="76">
                  <v>42522</v>
                </pt>
                <pt idx="77">
                  <v>42552</v>
                </pt>
                <pt idx="78">
                  <v>42583</v>
                </pt>
                <pt idx="79">
                  <v>42614</v>
                </pt>
                <pt idx="80">
                  <v>42644</v>
                </pt>
                <pt idx="81">
                  <v>42675</v>
                </pt>
                <pt idx="82">
                  <v>42705</v>
                </pt>
                <pt idx="83">
                  <v>42736</v>
                </pt>
                <pt idx="84">
                  <v>42767</v>
                </pt>
                <pt idx="85">
                  <v>42795</v>
                </pt>
                <pt idx="86">
                  <v>42826</v>
                </pt>
                <pt idx="87">
                  <v>42856</v>
                </pt>
                <pt idx="88">
                  <v>42887</v>
                </pt>
                <pt idx="89">
                  <v>42917</v>
                </pt>
                <pt idx="90">
                  <v>42948</v>
                </pt>
                <pt idx="91">
                  <v>42979</v>
                </pt>
                <pt idx="92">
                  <v>43009</v>
                </pt>
                <pt idx="93">
                  <v>43040</v>
                </pt>
                <pt idx="94">
                  <v>43070</v>
                </pt>
                <pt idx="95">
                  <v>43101</v>
                </pt>
                <pt idx="96">
                  <v>43132</v>
                </pt>
                <pt idx="97">
                  <v>43160</v>
                </pt>
                <pt idx="98">
                  <v>43191</v>
                </pt>
                <pt idx="99">
                  <v>43221</v>
                </pt>
                <pt idx="100">
                  <v>43252</v>
                </pt>
                <pt idx="101">
                  <v>43282</v>
                </pt>
                <pt idx="102">
                  <v>43313</v>
                </pt>
                <pt idx="103">
                  <v>43344</v>
                </pt>
                <pt idx="104">
                  <v>43374</v>
                </pt>
                <pt idx="105">
                  <v>43405</v>
                </pt>
                <pt idx="106">
                  <v>43435</v>
                </pt>
                <pt idx="107">
                  <v>43466</v>
                </pt>
                <pt idx="108">
                  <v>43497</v>
                </pt>
                <pt idx="109">
                  <v>43525</v>
                </pt>
                <pt idx="110">
                  <v>43556</v>
                </pt>
                <pt idx="111">
                  <v>43586</v>
                </pt>
                <pt idx="112">
                  <v>43617</v>
                </pt>
                <pt idx="113">
                  <v>43647</v>
                </pt>
                <pt idx="114">
                  <v>43678</v>
                </pt>
                <pt idx="115">
                  <v>43709</v>
                </pt>
                <pt idx="116">
                  <v>43739</v>
                </pt>
                <pt idx="117">
                  <v>43770</v>
                </pt>
                <pt idx="118">
                  <v>43800</v>
                </pt>
                <pt idx="119">
                  <v>43831</v>
                </pt>
                <pt idx="120">
                  <v>43862</v>
                </pt>
                <pt idx="121">
                  <v>43891</v>
                </pt>
                <pt idx="122">
                  <v>43922</v>
                </pt>
                <pt idx="123">
                  <v>43952</v>
                </pt>
                <pt idx="124">
                  <v>43983</v>
                </pt>
                <pt idx="125">
                  <v>44013</v>
                </pt>
                <pt idx="126">
                  <v>44044</v>
                </pt>
                <pt idx="127">
                  <v>44075</v>
                </pt>
                <pt idx="128">
                  <v>44105</v>
                </pt>
                <pt idx="129">
                  <v>44136</v>
                </pt>
                <pt idx="130">
                  <v>44166</v>
                </pt>
                <pt idx="131">
                  <v>44197</v>
                </pt>
                <pt idx="132">
                  <v>44228</v>
                </pt>
                <pt idx="133">
                  <v>44256</v>
                </pt>
                <pt idx="134">
                  <v>44287</v>
                </pt>
                <pt idx="135">
                  <v>44317</v>
                </pt>
                <pt idx="136">
                  <v>44348</v>
                </pt>
                <pt idx="137">
                  <v>44378</v>
                </pt>
                <pt idx="138">
                  <v>44409</v>
                </pt>
                <pt idx="139">
                  <v>44440</v>
                </pt>
                <pt idx="140">
                  <v>44470</v>
                </pt>
                <pt idx="141">
                  <v>44501</v>
                </pt>
                <pt idx="142">
                  <v>44531</v>
                </pt>
                <pt idx="143">
                  <v>44562</v>
                </pt>
                <pt idx="144">
                  <v>44593</v>
                </pt>
                <pt idx="145">
                  <v>44621</v>
                </pt>
                <pt idx="146">
                  <v>44652</v>
                </pt>
                <pt idx="147">
                  <v>44682</v>
                </pt>
                <pt idx="148">
                  <v>44713</v>
                </pt>
                <pt idx="149">
                  <v>44743</v>
                </pt>
                <pt idx="150">
                  <v>44774</v>
                </pt>
                <pt idx="151">
                  <v>44805</v>
                </pt>
                <pt idx="152">
                  <v>44835</v>
                </pt>
                <pt idx="153">
                  <v>44866</v>
                </pt>
                <pt idx="154">
                  <v>44896</v>
                </pt>
                <pt idx="155">
                  <v>44927</v>
                </pt>
                <pt idx="156">
                  <v>44958</v>
                </pt>
                <pt idx="157">
                  <v>44986</v>
                </pt>
                <pt idx="158">
                  <v>45017</v>
                </pt>
                <pt idx="159">
                  <v>45047</v>
                </pt>
                <pt idx="160">
                  <v>45078</v>
                </pt>
                <pt idx="161">
                  <v>45108</v>
                </pt>
                <pt idx="162">
                  <v>45139</v>
                </pt>
                <pt idx="163">
                  <v>45170</v>
                </pt>
                <pt idx="164">
                  <v>45200</v>
                </pt>
                <pt idx="165">
                  <v>45231</v>
                </pt>
                <pt idx="166">
                  <v>45261</v>
                </pt>
                <pt idx="167">
                  <v>45292</v>
                </pt>
                <pt idx="168">
                  <v>45323</v>
                </pt>
                <pt idx="169">
                  <v>45352</v>
                </pt>
                <pt idx="170">
                  <v>45383</v>
                </pt>
                <pt idx="171">
                  <v>45413</v>
                </pt>
                <pt idx="172">
                  <v>45444</v>
                </pt>
                <pt idx="173">
                  <v>45474</v>
                </pt>
                <pt idx="174">
                  <v>45505</v>
                </pt>
                <pt idx="175">
                  <v>45536</v>
                </pt>
                <pt idx="176">
                  <v>45566</v>
                </pt>
                <pt idx="177">
                  <v>45597</v>
                </pt>
                <pt idx="178">
                  <v>45627</v>
                </pt>
                <pt idx="179">
                  <v>45658</v>
                </pt>
                <pt idx="180">
                  <v>45689</v>
                </pt>
                <pt idx="181">
                  <v>45717</v>
                </pt>
                <pt idx="182">
                  <v>45748</v>
                </pt>
                <pt idx="183">
                  <v>45778</v>
                </pt>
                <pt idx="184">
                  <v>45809</v>
                </pt>
                <pt idx="185">
                  <v>45839</v>
                </pt>
                <pt idx="186">
                  <v>45870</v>
                </pt>
                <pt idx="187">
                  <v>45901</v>
                </pt>
                <pt idx="188">
                  <v>45931</v>
                </pt>
                <pt idx="189">
                  <v>45962</v>
                </pt>
                <pt idx="190">
                  <v>45992</v>
                </pt>
              </numCache>
            </numRef>
          </cat>
          <val>
            <numRef>
              <f>Charts!$Z$28:$Z$218</f>
              <numCache>
                <formatCode>0.00%</formatCode>
                <ptCount val="191"/>
                <pt idx="0">
                  <v>4.924014412123479e-05</v>
                </pt>
                <pt idx="1">
                  <v>0.0008920593239309799</v>
                </pt>
                <pt idx="2">
                  <v>0.003691290263020439</v>
                </pt>
                <pt idx="3">
                  <v>0.002815226436372095</v>
                </pt>
                <pt idx="4">
                  <v>0.006339955306526771</v>
                </pt>
                <pt idx="5">
                  <v>0.000915856716659752</v>
                </pt>
                <pt idx="6">
                  <v>-0.0009835398719878208</v>
                </pt>
                <pt idx="7">
                  <v>-0.001835776003238601</v>
                </pt>
                <pt idx="8">
                  <v>-0.004303977390439265</v>
                </pt>
                <pt idx="9">
                  <v>-0.004399796080281224</v>
                </pt>
                <pt idx="10">
                  <v>-0.003456294696972576</v>
                </pt>
                <pt idx="11">
                  <v>-0.00332897526044873</v>
                </pt>
                <pt idx="12">
                  <v>-0.003095772745022929</v>
                </pt>
                <pt idx="13">
                  <v>-0.006091608869714549</v>
                </pt>
                <pt idx="14">
                  <v>-0.00882152309251108</v>
                </pt>
                <pt idx="15">
                  <v>-0.01105145237966619</v>
                </pt>
                <pt idx="16">
                  <v>-0.00985683284941527</v>
                </pt>
                <pt idx="17">
                  <v>-0.007408116035645035</v>
                </pt>
                <pt idx="18">
                  <v>-0.008423575347114284</v>
                </pt>
                <pt idx="19">
                  <v>-0.008786911130772429</v>
                </pt>
                <pt idx="20">
                  <v>-0.007442427012379293</v>
                </pt>
                <pt idx="21">
                  <v>-0.005042796357680776</v>
                </pt>
                <pt idx="22">
                  <v>-0.003784501035705448</v>
                </pt>
                <pt idx="23">
                  <v>-0.002964743071688675</v>
                </pt>
                <pt idx="24">
                  <v>-0.002130248369635795</v>
                </pt>
                <pt idx="25">
                  <v>-0.001507163188614893</v>
                </pt>
                <pt idx="26">
                  <v>0.00220433739699967</v>
                </pt>
                <pt idx="27">
                  <v>0.001722899862486235</v>
                </pt>
                <pt idx="28">
                  <v>0.001742196254049477</v>
                </pt>
                <pt idx="29">
                  <v>0.004062391696769502</v>
                </pt>
                <pt idx="30">
                  <v>0.005050851121146518</v>
                </pt>
                <pt idx="31">
                  <v>0.004854785702969613</v>
                </pt>
                <pt idx="32">
                  <v>0.002859004873381185</v>
                </pt>
                <pt idx="33">
                  <v>0.001001320203565401</v>
                </pt>
                <pt idx="34">
                  <v>0.00035476032973078</v>
                </pt>
                <pt idx="35">
                  <v>-0.001282320724994415</v>
                </pt>
                <pt idx="36">
                  <v>0.001263937254861347</v>
                </pt>
                <pt idx="37">
                  <v>0.003688027991978093</v>
                </pt>
                <pt idx="38">
                  <v>0.002516901284941517</v>
                </pt>
                <pt idx="39">
                  <v>0.002674730689763219</v>
                </pt>
                <pt idx="40">
                  <v>-0.001068287211365773</v>
                </pt>
                <pt idx="41">
                  <v>-0.004310699885229918</v>
                </pt>
                <pt idx="42">
                  <v>-0.005297960386221809</v>
                </pt>
                <pt idx="43">
                  <v>-0.006496410230549171</v>
                </pt>
                <pt idx="44">
                  <v>-0.006660569718536333</v>
                </pt>
                <pt idx="45">
                  <v>-0.005878056183025143</v>
                </pt>
                <pt idx="46">
                  <v>-0.005235547932182852</v>
                </pt>
                <pt idx="47">
                  <v>-0.006486625972102839</v>
                </pt>
                <pt idx="48">
                  <v>-0.01120650852821785</v>
                </pt>
                <pt idx="49">
                  <v>-0.009982114721696439</v>
                </pt>
                <pt idx="50">
                  <v>-0.01014263274506681</v>
                </pt>
                <pt idx="51">
                  <v>-0.006856857548425133</v>
                </pt>
                <pt idx="52">
                  <v>-0.00448974493420809</v>
                </pt>
                <pt idx="53">
                  <v>-0.003740570637634708</v>
                </pt>
                <pt idx="54">
                  <v>-0.003833455099602506</v>
                </pt>
                <pt idx="55">
                  <v>-0.002006561120134503</v>
                </pt>
                <pt idx="56">
                  <v>-0.0009685592558939665</v>
                </pt>
                <pt idx="57">
                  <v>-0.0008387612962387353</v>
                </pt>
                <pt idx="58">
                  <v>-0.001330740354834187</v>
                </pt>
                <pt idx="59">
                  <v>-0.0008607703253232235</v>
                </pt>
                <pt idx="60">
                  <v>-0.0003474840355907199</v>
                </pt>
                <pt idx="61">
                  <v>-0.001260366976630595</v>
                </pt>
                <pt idx="62">
                  <v>-0.001411085737469689</v>
                </pt>
                <pt idx="63">
                  <v>-0.001523214655747174</v>
                </pt>
                <pt idx="64">
                  <v>-0.001943759558022076</v>
                </pt>
                <pt idx="65">
                  <v>-0.0003919190569951908</v>
                </pt>
                <pt idx="66">
                  <v>-0.00115117283275748</v>
                </pt>
                <pt idx="67">
                  <v>-0.002970504715238811</v>
                </pt>
                <pt idx="68">
                  <v>-0.004317594010980599</v>
                </pt>
                <pt idx="69">
                  <v>-0.003007611036566979</v>
                </pt>
                <pt idx="70">
                  <v>-0.002022717483109407</v>
                </pt>
                <pt idx="71">
                  <v>-0.001133884591184978</v>
                </pt>
                <pt idx="72">
                  <v>-0.001776365337884486</v>
                </pt>
                <pt idx="73">
                  <v>-0.001570321933874116</v>
                </pt>
                <pt idx="74">
                  <v>-0.001636247076538908</v>
                </pt>
                <pt idx="75">
                  <v>-0.001626299624256478</v>
                </pt>
                <pt idx="76">
                  <v>-0.002005705719431122</v>
                </pt>
                <pt idx="77">
                  <v>-0.002196179368388049</v>
                </pt>
                <pt idx="78">
                  <v>-0.001770744415695427</v>
                </pt>
                <pt idx="79">
                  <v>-0.0009171748468179003</v>
                </pt>
                <pt idx="80">
                  <v>-0.001230617575946558</v>
                </pt>
                <pt idx="81">
                  <v>-0.002069929061538786</v>
                </pt>
                <pt idx="82">
                  <v>-0.003483342913593382</v>
                </pt>
                <pt idx="83">
                  <v>-0.00346555161485522</v>
                </pt>
                <pt idx="84">
                  <v>-0.003419939678874565</v>
                </pt>
                <pt idx="85">
                  <v>-0.003080833827954418</v>
                </pt>
                <pt idx="86">
                  <v>-0.003783678678819596</v>
                </pt>
                <pt idx="87">
                  <v>-0.003864274545589019</v>
                </pt>
                <pt idx="88">
                  <v>-0.004372085062070152</v>
                </pt>
                <pt idx="89">
                  <v>-0.005301835679886582</v>
                </pt>
                <pt idx="90">
                  <v>-0.00485782147798422</v>
                </pt>
                <pt idx="91">
                  <v>-0.004602265178370923</v>
                </pt>
                <pt idx="92">
                  <v>-0.00425963171149997</v>
                </pt>
                <pt idx="93">
                  <v>-0.004951756397905169</v>
                </pt>
                <pt idx="94">
                  <v>-0.003147719779995145</v>
                </pt>
                <pt idx="95">
                  <v>-0.002489507275078962</v>
                </pt>
                <pt idx="96">
                  <v>-0.001927013523206469</v>
                </pt>
                <pt idx="97">
                  <v>-0.00127709432076227</v>
                </pt>
                <pt idx="98">
                  <v>-0.001002100900806449</v>
                </pt>
                <pt idx="99">
                  <v>-0.0004103570743934359</v>
                </pt>
                <pt idx="100">
                  <v>0.001153375439521875</v>
                </pt>
                <pt idx="101">
                  <v>0.001076083096462066</v>
                </pt>
                <pt idx="102">
                  <v>0.0005381649111561998</v>
                </pt>
                <pt idx="103">
                  <v>0.001262298089919373</v>
                </pt>
                <pt idx="104">
                  <v>0.002467258091462657</v>
                </pt>
                <pt idx="105">
                  <v>0.001899109109175262</v>
                </pt>
                <pt idx="106">
                  <v>0.001548909402823498</v>
                </pt>
                <pt idx="107">
                  <v>0.00047842829346606</v>
                </pt>
                <pt idx="108">
                  <v>0.0003652794396389603</v>
                </pt>
                <pt idx="109">
                  <v>0.0001329026013973111</v>
                </pt>
                <pt idx="110">
                  <v>0.0003135090555955317</v>
                </pt>
                <pt idx="111">
                  <v>-0.0003664236840304341</v>
                </pt>
                <pt idx="112">
                  <v>0.0002306233632299037</v>
                </pt>
                <pt idx="113">
                  <v>0.00116129552940257</v>
                </pt>
                <pt idx="114">
                  <v>0.001146344195304363</v>
                </pt>
                <pt idx="115">
                  <v>0.0008443726951424951</v>
                </pt>
                <pt idx="116">
                  <v>0.0004668449676587111</v>
                </pt>
                <pt idx="117">
                  <v>0.000682885986829404</v>
                </pt>
                <pt idx="118">
                  <v>0.0001768305640182793</v>
                </pt>
                <pt idx="119">
                  <v>0.0004933530922177493</v>
                </pt>
                <pt idx="120">
                  <v>0.0002033012367139986</v>
                </pt>
                <pt idx="121">
                  <v>0.0005628936287002395</v>
                </pt>
                <pt idx="122">
                  <v>0.0007654163038218476</v>
                </pt>
                <pt idx="123">
                  <v>0.0007807317227803284</v>
                </pt>
                <pt idx="124">
                  <v>-0.0006573031811024921</v>
                </pt>
                <pt idx="125">
                  <v>-0.0009507717305569791</v>
                </pt>
                <pt idx="126">
                  <v>-0.0004547617667009507</v>
                </pt>
                <pt idx="127">
                  <v>-0.00077498037466317</v>
                </pt>
                <pt idx="128">
                  <v>-0.001916119492428175</v>
                </pt>
                <pt idx="129">
                  <v>-0.001214676902438205</v>
                </pt>
                <pt idx="130">
                  <v>-0.001018807540266065</v>
                </pt>
                <pt idx="131">
                  <v>-0.0006928588421930698</v>
                </pt>
                <pt idx="132">
                  <v>-0.0009667832349489758</v>
                </pt>
                <pt idx="133">
                  <v>-0.001607817713060899</v>
                </pt>
                <pt idx="134">
                  <v>-0.002105485603413226</v>
                </pt>
                <pt idx="135">
                  <v>-0.00157328945073891</v>
                </pt>
                <pt idx="136">
                  <v>-0.001751033304948788</v>
                </pt>
                <pt idx="137">
                  <v>-0.002561275973802207</v>
                </pt>
                <pt idx="138">
                  <v>-0.002938586833659454</v>
                </pt>
                <pt idx="139">
                  <v>-0.002507675888439753</v>
                </pt>
                <pt idx="140">
                  <v>-0.002093646759725412</v>
                </pt>
                <pt idx="141">
                  <v>-0.002770059398710459</v>
                </pt>
                <pt idx="142">
                  <v>-0.003560251370441414</v>
                </pt>
                <pt idx="143">
                  <v>-0.00407643522476632</v>
                </pt>
                <pt idx="144">
                  <v>-0.003935521668458258</v>
                </pt>
                <pt idx="145">
                  <v>-0.003891419951482955</v>
                </pt>
                <pt idx="146">
                  <v>-0.004455584588960282</v>
                </pt>
                <pt idx="147">
                  <v>-0.004740870220351474</v>
                </pt>
                <pt idx="148">
                  <v>-0.004560322141253959</v>
                </pt>
                <pt idx="149">
                  <v>-0.004057456020296578</v>
                </pt>
                <pt idx="150">
                  <v>-0.004032055499774125</v>
                </pt>
                <pt idx="151">
                  <v>-0.004936568377941389</v>
                </pt>
                <pt idx="152">
                  <v>-0.00456185414484251</v>
                </pt>
                <pt idx="153">
                  <v>-0.003888758756441735</v>
                </pt>
                <pt idx="154">
                  <v>-0.003170967002265608</v>
                </pt>
                <pt idx="155">
                  <v>-0.002025894831460893</v>
                </pt>
                <pt idx="156">
                  <v>-0.001897291505511198</v>
                </pt>
                <pt idx="157">
                  <v>-0.001056803401119792</v>
                </pt>
                <pt idx="158">
                  <v>0.0001916617506839344</v>
                </pt>
                <pt idx="159">
                  <v>0.0008539585293016183</v>
                </pt>
                <pt idx="160">
                  <v>0.001962997793287423</v>
                </pt>
                <pt idx="161">
                  <v>0.00237331624446601</v>
                </pt>
                <pt idx="162">
                  <v>0.003614520204501287</v>
                </pt>
                <pt idx="163">
                  <v>0.00618632791124233</v>
                </pt>
                <pt idx="164">
                  <v>0.007853068918620518</v>
                </pt>
                <pt idx="165">
                  <v>0.008466893922156361</v>
                </pt>
                <pt idx="166">
                  <v>0.007891381437097188</v>
                </pt>
                <pt idx="167">
                  <v>0.007429153934502733</v>
                </pt>
                <pt idx="168">
                  <v>0.007488517916640618</v>
                </pt>
                <pt idx="169">
                  <v>0.007243817256318688</v>
                </pt>
                <pt idx="170">
                  <v>0.006168244534944606</v>
                </pt>
                <pt idx="171">
                  <v>0.006256511099066608</v>
                </pt>
                <pt idx="172">
                  <v>0.006049454602512799</v>
                </pt>
                <pt idx="173">
                  <v>0.006761942094130238</v>
                </pt>
                <pt idx="174">
                  <v>0.005496468088152184</v>
                </pt>
                <pt idx="175">
                  <v>0.003198739369957709</v>
                </pt>
                <pt idx="176">
                  <v>0.003185975755231579</v>
                </pt>
                <pt idx="177">
                  <v>0.003549972349915706</v>
                </pt>
                <pt idx="178">
                  <v>0.004187192195519482</v>
                </pt>
                <pt idx="179">
                  <v>0.004749321235220372</v>
                </pt>
                <pt idx="180">
                  <v>0.004478689634659361</v>
                </pt>
                <pt idx="181">
                  <v>0.005372524053730843</v>
                </pt>
                <pt idx="182">
                  <v>0.005056600664126554</v>
                </pt>
                <pt idx="183">
                  <v>0.005482036618983083</v>
                </pt>
                <pt idx="184">
                  <v>0.003897103295682602</v>
                </pt>
                <pt idx="185">
                  <v>0.004907845182253609</v>
                </pt>
                <pt idx="186">
                  <v>0.005525433642500882</v>
                </pt>
                <pt idx="187">
                  <v>0.004970355489775091</v>
                </pt>
                <pt idx="188">
                  <v>0.003423664970580831</v>
                </pt>
                <pt idx="189">
                  <v>0.003272890452342872</v>
                </pt>
                <pt idx="190">
                  <v>0.002546066527857035</v>
                </pt>
              </numCache>
            </numRef>
          </val>
        </ser>
        <ser>
          <idx val="1"/>
          <order val="1"/>
          <tx>
            <strRef>
              <f>Charts!$AA$2</f>
              <strCache>
                <ptCount val="1"/>
                <pt idx="0">
                  <v>Cap Expansion/Compression Trend (Core)</v>
                </pt>
              </strCache>
            </strRef>
          </tx>
          <spPr>
            <a:solidFill xmlns:a="http://schemas.openxmlformats.org/drawingml/2006/main">
              <a:srgbClr val="62B5E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Charts!$B$28:$B$218</f>
              <numCache>
                <formatCode>[$-409]mmm\-yy;@</formatCode>
                <ptCount val="191"/>
                <pt idx="0">
                  <v>40210</v>
                </pt>
                <pt idx="1">
                  <v>40238</v>
                </pt>
                <pt idx="2">
                  <v>40269</v>
                </pt>
                <pt idx="3">
                  <v>40299</v>
                </pt>
                <pt idx="4">
                  <v>40330</v>
                </pt>
                <pt idx="5">
                  <v>40360</v>
                </pt>
                <pt idx="6">
                  <v>40391</v>
                </pt>
                <pt idx="7">
                  <v>40422</v>
                </pt>
                <pt idx="8">
                  <v>40452</v>
                </pt>
                <pt idx="9">
                  <v>40483</v>
                </pt>
                <pt idx="10">
                  <v>40513</v>
                </pt>
                <pt idx="11">
                  <v>40544</v>
                </pt>
                <pt idx="12">
                  <v>40575</v>
                </pt>
                <pt idx="13">
                  <v>40603</v>
                </pt>
                <pt idx="14">
                  <v>40634</v>
                </pt>
                <pt idx="15">
                  <v>40664</v>
                </pt>
                <pt idx="16">
                  <v>40695</v>
                </pt>
                <pt idx="17">
                  <v>40725</v>
                </pt>
                <pt idx="18">
                  <v>40756</v>
                </pt>
                <pt idx="19">
                  <v>40787</v>
                </pt>
                <pt idx="20">
                  <v>40817</v>
                </pt>
                <pt idx="21">
                  <v>40848</v>
                </pt>
                <pt idx="22">
                  <v>40878</v>
                </pt>
                <pt idx="23">
                  <v>40909</v>
                </pt>
                <pt idx="24">
                  <v>40940</v>
                </pt>
                <pt idx="25">
                  <v>40969</v>
                </pt>
                <pt idx="26">
                  <v>41000</v>
                </pt>
                <pt idx="27">
                  <v>41030</v>
                </pt>
                <pt idx="28">
                  <v>41061</v>
                </pt>
                <pt idx="29">
                  <v>41091</v>
                </pt>
                <pt idx="30">
                  <v>41122</v>
                </pt>
                <pt idx="31">
                  <v>41153</v>
                </pt>
                <pt idx="32">
                  <v>41183</v>
                </pt>
                <pt idx="33">
                  <v>41214</v>
                </pt>
                <pt idx="34">
                  <v>41244</v>
                </pt>
                <pt idx="35">
                  <v>41275</v>
                </pt>
                <pt idx="36">
                  <v>41306</v>
                </pt>
                <pt idx="37">
                  <v>41334</v>
                </pt>
                <pt idx="38">
                  <v>41365</v>
                </pt>
                <pt idx="39">
                  <v>41395</v>
                </pt>
                <pt idx="40">
                  <v>41426</v>
                </pt>
                <pt idx="41">
                  <v>41456</v>
                </pt>
                <pt idx="42">
                  <v>41487</v>
                </pt>
                <pt idx="43">
                  <v>41518</v>
                </pt>
                <pt idx="44">
                  <v>41548</v>
                </pt>
                <pt idx="45">
                  <v>41579</v>
                </pt>
                <pt idx="46">
                  <v>41609</v>
                </pt>
                <pt idx="47">
                  <v>41640</v>
                </pt>
                <pt idx="48">
                  <v>41671</v>
                </pt>
                <pt idx="49">
                  <v>41699</v>
                </pt>
                <pt idx="50">
                  <v>41730</v>
                </pt>
                <pt idx="51">
                  <v>41760</v>
                </pt>
                <pt idx="52">
                  <v>41791</v>
                </pt>
                <pt idx="53">
                  <v>41821</v>
                </pt>
                <pt idx="54">
                  <v>41852</v>
                </pt>
                <pt idx="55">
                  <v>41883</v>
                </pt>
                <pt idx="56">
                  <v>41913</v>
                </pt>
                <pt idx="57">
                  <v>41944</v>
                </pt>
                <pt idx="58">
                  <v>41974</v>
                </pt>
                <pt idx="59">
                  <v>42005</v>
                </pt>
                <pt idx="60">
                  <v>42036</v>
                </pt>
                <pt idx="61">
                  <v>42064</v>
                </pt>
                <pt idx="62">
                  <v>42095</v>
                </pt>
                <pt idx="63">
                  <v>42125</v>
                </pt>
                <pt idx="64">
                  <v>42156</v>
                </pt>
                <pt idx="65">
                  <v>42186</v>
                </pt>
                <pt idx="66">
                  <v>42217</v>
                </pt>
                <pt idx="67">
                  <v>42248</v>
                </pt>
                <pt idx="68">
                  <v>42278</v>
                </pt>
                <pt idx="69">
                  <v>42309</v>
                </pt>
                <pt idx="70">
                  <v>42339</v>
                </pt>
                <pt idx="71">
                  <v>42370</v>
                </pt>
                <pt idx="72">
                  <v>42401</v>
                </pt>
                <pt idx="73">
                  <v>42430</v>
                </pt>
                <pt idx="74">
                  <v>42461</v>
                </pt>
                <pt idx="75">
                  <v>42491</v>
                </pt>
                <pt idx="76">
                  <v>42522</v>
                </pt>
                <pt idx="77">
                  <v>42552</v>
                </pt>
                <pt idx="78">
                  <v>42583</v>
                </pt>
                <pt idx="79">
                  <v>42614</v>
                </pt>
                <pt idx="80">
                  <v>42644</v>
                </pt>
                <pt idx="81">
                  <v>42675</v>
                </pt>
                <pt idx="82">
                  <v>42705</v>
                </pt>
                <pt idx="83">
                  <v>42736</v>
                </pt>
                <pt idx="84">
                  <v>42767</v>
                </pt>
                <pt idx="85">
                  <v>42795</v>
                </pt>
                <pt idx="86">
                  <v>42826</v>
                </pt>
                <pt idx="87">
                  <v>42856</v>
                </pt>
                <pt idx="88">
                  <v>42887</v>
                </pt>
                <pt idx="89">
                  <v>42917</v>
                </pt>
                <pt idx="90">
                  <v>42948</v>
                </pt>
                <pt idx="91">
                  <v>42979</v>
                </pt>
                <pt idx="92">
                  <v>43009</v>
                </pt>
                <pt idx="93">
                  <v>43040</v>
                </pt>
                <pt idx="94">
                  <v>43070</v>
                </pt>
                <pt idx="95">
                  <v>43101</v>
                </pt>
                <pt idx="96">
                  <v>43132</v>
                </pt>
                <pt idx="97">
                  <v>43160</v>
                </pt>
                <pt idx="98">
                  <v>43191</v>
                </pt>
                <pt idx="99">
                  <v>43221</v>
                </pt>
                <pt idx="100">
                  <v>43252</v>
                </pt>
                <pt idx="101">
                  <v>43282</v>
                </pt>
                <pt idx="102">
                  <v>43313</v>
                </pt>
                <pt idx="103">
                  <v>43344</v>
                </pt>
                <pt idx="104">
                  <v>43374</v>
                </pt>
                <pt idx="105">
                  <v>43405</v>
                </pt>
                <pt idx="106">
                  <v>43435</v>
                </pt>
                <pt idx="107">
                  <v>43466</v>
                </pt>
                <pt idx="108">
                  <v>43497</v>
                </pt>
                <pt idx="109">
                  <v>43525</v>
                </pt>
                <pt idx="110">
                  <v>43556</v>
                </pt>
                <pt idx="111">
                  <v>43586</v>
                </pt>
                <pt idx="112">
                  <v>43617</v>
                </pt>
                <pt idx="113">
                  <v>43647</v>
                </pt>
                <pt idx="114">
                  <v>43678</v>
                </pt>
                <pt idx="115">
                  <v>43709</v>
                </pt>
                <pt idx="116">
                  <v>43739</v>
                </pt>
                <pt idx="117">
                  <v>43770</v>
                </pt>
                <pt idx="118">
                  <v>43800</v>
                </pt>
                <pt idx="119">
                  <v>43831</v>
                </pt>
                <pt idx="120">
                  <v>43862</v>
                </pt>
                <pt idx="121">
                  <v>43891</v>
                </pt>
                <pt idx="122">
                  <v>43922</v>
                </pt>
                <pt idx="123">
                  <v>43952</v>
                </pt>
                <pt idx="124">
                  <v>43983</v>
                </pt>
                <pt idx="125">
                  <v>44013</v>
                </pt>
                <pt idx="126">
                  <v>44044</v>
                </pt>
                <pt idx="127">
                  <v>44075</v>
                </pt>
                <pt idx="128">
                  <v>44105</v>
                </pt>
                <pt idx="129">
                  <v>44136</v>
                </pt>
                <pt idx="130">
                  <v>44166</v>
                </pt>
                <pt idx="131">
                  <v>44197</v>
                </pt>
                <pt idx="132">
                  <v>44228</v>
                </pt>
                <pt idx="133">
                  <v>44256</v>
                </pt>
                <pt idx="134">
                  <v>44287</v>
                </pt>
                <pt idx="135">
                  <v>44317</v>
                </pt>
                <pt idx="136">
                  <v>44348</v>
                </pt>
                <pt idx="137">
                  <v>44378</v>
                </pt>
                <pt idx="138">
                  <v>44409</v>
                </pt>
                <pt idx="139">
                  <v>44440</v>
                </pt>
                <pt idx="140">
                  <v>44470</v>
                </pt>
                <pt idx="141">
                  <v>44501</v>
                </pt>
                <pt idx="142">
                  <v>44531</v>
                </pt>
                <pt idx="143">
                  <v>44562</v>
                </pt>
                <pt idx="144">
                  <v>44593</v>
                </pt>
                <pt idx="145">
                  <v>44621</v>
                </pt>
                <pt idx="146">
                  <v>44652</v>
                </pt>
                <pt idx="147">
                  <v>44682</v>
                </pt>
                <pt idx="148">
                  <v>44713</v>
                </pt>
                <pt idx="149">
                  <v>44743</v>
                </pt>
                <pt idx="150">
                  <v>44774</v>
                </pt>
                <pt idx="151">
                  <v>44805</v>
                </pt>
                <pt idx="152">
                  <v>44835</v>
                </pt>
                <pt idx="153">
                  <v>44866</v>
                </pt>
                <pt idx="154">
                  <v>44896</v>
                </pt>
                <pt idx="155">
                  <v>44927</v>
                </pt>
                <pt idx="156">
                  <v>44958</v>
                </pt>
                <pt idx="157">
                  <v>44986</v>
                </pt>
                <pt idx="158">
                  <v>45017</v>
                </pt>
                <pt idx="159">
                  <v>45047</v>
                </pt>
                <pt idx="160">
                  <v>45078</v>
                </pt>
                <pt idx="161">
                  <v>45108</v>
                </pt>
                <pt idx="162">
                  <v>45139</v>
                </pt>
                <pt idx="163">
                  <v>45170</v>
                </pt>
                <pt idx="164">
                  <v>45200</v>
                </pt>
                <pt idx="165">
                  <v>45231</v>
                </pt>
                <pt idx="166">
                  <v>45261</v>
                </pt>
                <pt idx="167">
                  <v>45292</v>
                </pt>
                <pt idx="168">
                  <v>45323</v>
                </pt>
                <pt idx="169">
                  <v>45352</v>
                </pt>
                <pt idx="170">
                  <v>45383</v>
                </pt>
                <pt idx="171">
                  <v>45413</v>
                </pt>
                <pt idx="172">
                  <v>45444</v>
                </pt>
                <pt idx="173">
                  <v>45474</v>
                </pt>
                <pt idx="174">
                  <v>45505</v>
                </pt>
                <pt idx="175">
                  <v>45536</v>
                </pt>
                <pt idx="176">
                  <v>45566</v>
                </pt>
                <pt idx="177">
                  <v>45597</v>
                </pt>
                <pt idx="178">
                  <v>45627</v>
                </pt>
                <pt idx="179">
                  <v>45658</v>
                </pt>
                <pt idx="180">
                  <v>45689</v>
                </pt>
                <pt idx="181">
                  <v>45717</v>
                </pt>
                <pt idx="182">
                  <v>45748</v>
                </pt>
                <pt idx="183">
                  <v>45778</v>
                </pt>
                <pt idx="184">
                  <v>45809</v>
                </pt>
                <pt idx="185">
                  <v>45839</v>
                </pt>
                <pt idx="186">
                  <v>45870</v>
                </pt>
                <pt idx="187">
                  <v>45901</v>
                </pt>
                <pt idx="188">
                  <v>45931</v>
                </pt>
                <pt idx="189">
                  <v>45962</v>
                </pt>
                <pt idx="190">
                  <v>45992</v>
                </pt>
              </numCache>
            </numRef>
          </cat>
          <val>
            <numRef>
              <f>Charts!$AA$28:$AA$218</f>
              <numCache>
                <formatCode>0.00%</formatCode>
                <ptCount val="191"/>
                <pt idx="0">
                  <v>-0.006059112709538558</v>
                </pt>
                <pt idx="1">
                  <v>-0.006147665336191488</v>
                </pt>
                <pt idx="2">
                  <v>-0.001893148802613709</v>
                </pt>
                <pt idx="3">
                  <v>-0.002863589786285772</v>
                </pt>
                <pt idx="4">
                  <v>0.002538222337612375</v>
                </pt>
                <pt idx="5">
                  <v>0.001631759294606655</v>
                </pt>
                <pt idx="6">
                  <v>0.001021313202309082</v>
                </pt>
                <pt idx="7">
                  <v>0.001021313202309082</v>
                </pt>
                <pt idx="8">
                  <v>-0.001356041136928013</v>
                </pt>
                <pt idx="9">
                  <v>-0.001356041136928013</v>
                </pt>
                <pt idx="10">
                  <v>0.0008604452775821392</v>
                </pt>
                <pt idx="11">
                  <v>0.0008604452775821392</v>
                </pt>
                <pt idx="12">
                  <v>-4.385136761472785e-05</v>
                </pt>
                <pt idx="13">
                  <v>-0.004260312972766592</v>
                </pt>
                <pt idx="14">
                  <v>-0.003228938940056672</v>
                </pt>
                <pt idx="15">
                  <v>-0.006760044291196893</v>
                </pt>
                <pt idx="16">
                  <v>-0.005808907248943562</v>
                </pt>
                <pt idx="17">
                  <v>-0.004934636248491539</v>
                </pt>
                <pt idx="18">
                  <v>-0.006120867093626081</v>
                </pt>
                <pt idx="19">
                  <v>-0.003289912351122054</v>
                </pt>
                <pt idx="20">
                  <v>-0.003289912351122054</v>
                </pt>
                <pt idx="21">
                  <v>-0.003289912351122054</v>
                </pt>
                <pt idx="22">
                  <v>-0.0007888901935284715</v>
                </pt>
                <pt idx="23">
                  <v>0.0002039590783213252</v>
                </pt>
                <pt idx="24">
                  <v>-0.002256171938015583</v>
                </pt>
                <pt idx="25">
                  <v>-0.001358914215989965</v>
                </pt>
                <pt idx="26">
                  <v>0.002139703204780602</v>
                </pt>
                <pt idx="27">
                  <v>0.003488652516867044</v>
                </pt>
                <pt idx="28">
                  <v>0.003224827608712594</v>
                </pt>
                <pt idx="29">
                  <v>0.003765159086641545</v>
                </pt>
                <pt idx="30">
                  <v>-0.001619661966532862</v>
                </pt>
                <pt idx="31">
                  <v>-0.001475383812071809</v>
                </pt>
                <pt idx="32">
                  <v>-0.002021304302299284</v>
                </pt>
                <pt idx="33">
                  <v>-0.004522326459892867</v>
                </pt>
                <pt idx="34">
                  <v>-0.005754845048834389</v>
                </pt>
                <pt idx="35">
                  <v>-0.003910108540334661</v>
                </pt>
                <pt idx="36">
                  <v>-0.004868299311398136</v>
                </pt>
                <pt idx="37">
                  <v>-0.00391272130059632</v>
                </pt>
                <pt idx="38">
                  <v>-0.005306344611930372</v>
                </pt>
                <pt idx="39">
                  <v>-0.005848845575535735</v>
                </pt>
                <pt idx="40">
                  <v>-0.008978338762842375</v>
                </pt>
                <pt idx="41">
                  <v>-0.006103037562160157</v>
                </pt>
                <pt idx="42">
                  <v>-0.007683905947444003</v>
                </pt>
                <pt idx="43">
                  <v>-0.007421085701759783</v>
                </pt>
                <pt idx="44">
                  <v>-0.008444163694089457</v>
                </pt>
                <pt idx="45">
                  <v>-0.006292484968414502</v>
                </pt>
                <pt idx="46">
                  <v>-0.006085080741433185</v>
                </pt>
                <pt idx="47">
                  <v>-0.006025570521910953</v>
                </pt>
                <pt idx="48">
                  <v>-0.006612319392286986</v>
                </pt>
                <pt idx="49">
                  <v>-0.006612319392286986</v>
                </pt>
                <pt idx="50">
                  <v>-0.006373924732962236</v>
                </pt>
                <pt idx="51">
                  <v>-0.002490551351666301</v>
                </pt>
                <pt idx="52">
                  <v>-0.00311341282115965</v>
                </pt>
                <pt idx="53">
                  <v>-0.0009681593658304594</v>
                </pt>
                <pt idx="54">
                  <v>-0.001324525815311048</v>
                </pt>
                <pt idx="55">
                  <v>0.001361482527656777</v>
                </pt>
                <pt idx="56">
                  <v>0.0001886210393519522</v>
                </pt>
                <pt idx="57">
                  <v>0.0005966113202078155</v>
                </pt>
                <pt idx="58">
                  <v>-0.002027887988257066</v>
                </pt>
                <pt idx="59">
                  <v>-0.001584115616371756</v>
                </pt>
                <pt idx="60">
                  <v>-0.001804565295172617</v>
                </pt>
                <pt idx="61">
                  <v>-0.001500458990892004</v>
                </pt>
                <pt idx="62">
                  <v>-0.002116239623453628</v>
                </pt>
                <pt idx="63">
                  <v>-0.002806892804151029</v>
                </pt>
                <pt idx="64">
                  <v>-0.004789357319582979</v>
                </pt>
                <pt idx="65">
                  <v>-0.004830073638787444</v>
                </pt>
                <pt idx="66">
                  <v>-0.007162168874011637</v>
                </pt>
                <pt idx="67">
                  <v>-0.007430217385876056</v>
                </pt>
                <pt idx="68">
                  <v>-0.006777706467178207</v>
                </pt>
                <pt idx="69">
                  <v>-0.006136558249098825</v>
                </pt>
                <pt idx="70">
                  <v>-0.00493490417657956</v>
                </pt>
                <pt idx="71">
                  <v>-0.005227608977086462</v>
                </pt>
                <pt idx="72">
                  <v>-0.005426343080005364</v>
                </pt>
                <pt idx="73">
                  <v>-0.00490287074642165</v>
                </pt>
                <pt idx="74">
                  <v>-0.005195029826877251</v>
                </pt>
                <pt idx="75">
                  <v>-0.004563291902779779</v>
                </pt>
                <pt idx="76">
                  <v>-0.003748928073126864</v>
                </pt>
                <pt idx="77">
                  <v>-0.003494114966241996</v>
                </pt>
                <pt idx="78">
                  <v>-0.003822260415362988</v>
                </pt>
                <pt idx="79">
                  <v>-0.004907008846051726</v>
                </pt>
                <pt idx="80">
                  <v>-0.00325680031709831</v>
                </pt>
                <pt idx="81">
                  <v>-0.00489096610305903</v>
                </pt>
                <pt idx="82">
                  <v>-0.003419433224950884</v>
                </pt>
                <pt idx="83">
                  <v>-0.004550942060465281</v>
                </pt>
                <pt idx="84">
                  <v>-0.004782746163806598</v>
                </pt>
                <pt idx="85">
                  <v>-0.003702246605166132</v>
                </pt>
                <pt idx="86">
                  <v>-0.003710089202163924</v>
                </pt>
                <pt idx="87">
                  <v>-0.003617240270061245</v>
                </pt>
                <pt idx="88">
                  <v>-0.003395307593100187</v>
                </pt>
                <pt idx="89">
                  <v>-0.002690967611858344</v>
                </pt>
                <pt idx="90">
                  <v>-0.002303472238765591</v>
                </pt>
                <pt idx="91">
                  <v>-0.001957869830314748</v>
                </pt>
                <pt idx="92">
                  <v>-0.002191744866853376</v>
                </pt>
                <pt idx="93">
                  <v>-0.003255744734382657</v>
                </pt>
                <pt idx="94">
                  <v>-0.002891413111566682</v>
                </pt>
                <pt idx="95">
                  <v>-0.003565291062433869</v>
                </pt>
                <pt idx="96">
                  <v>-0.003407003397751594</v>
                </pt>
                <pt idx="97">
                  <v>-0.002415262472659316</v>
                </pt>
                <pt idx="98">
                  <v>-0.002527797008078571</v>
                </pt>
                <pt idx="99">
                  <v>-0.001427795313035177</v>
                </pt>
                <pt idx="100">
                  <v>-0.001351111810109128</v>
                </pt>
                <pt idx="101">
                  <v>-0.00116517881222384</v>
                </pt>
                <pt idx="102">
                  <v>-0.0007058655787275173</v>
                </pt>
                <pt idx="103">
                  <v>0.0001843516381909299</v>
                </pt>
                <pt idx="104">
                  <v>0.000699920449718075</v>
                </pt>
                <pt idx="105">
                  <v>0.002434260482900664</v>
                </pt>
                <pt idx="106">
                  <v>0.003328086768839195</v>
                </pt>
                <pt idx="107">
                  <v>0.00343182517169284</v>
                </pt>
                <pt idx="108">
                  <v>0.003191891753475694</v>
                </pt>
                <pt idx="109">
                  <v>0.003613609019221177</v>
                </pt>
                <pt idx="110">
                  <v>0.002317777513019877</v>
                </pt>
                <pt idx="111">
                  <v>0.002143575443234576</v>
                </pt>
                <pt idx="112">
                  <v>0.001489077537933842</v>
                </pt>
                <pt idx="113">
                  <v>0.001945735237952474</v>
                </pt>
                <pt idx="114">
                  <v>0.001638902905500082</v>
                </pt>
                <pt idx="115">
                  <v>0.0005937609581713049</v>
                </pt>
                <pt idx="116">
                  <v>-0.000189426691834485</v>
                </pt>
                <pt idx="117">
                  <v>-0.0006694176260610835</v>
                </pt>
                <pt idx="118">
                  <v>-0.001215122143851478</v>
                </pt>
                <pt idx="119">
                  <v>-0.001396505204327915</v>
                </pt>
                <pt idx="120">
                  <v>-0.00192651671736245</v>
                </pt>
                <pt idx="121">
                  <v>-0.001320958111593079</v>
                </pt>
                <pt idx="122">
                  <v>-0.001275956915179732</v>
                </pt>
                <pt idx="123">
                  <v>-0.0004941739709311901</v>
                </pt>
                <pt idx="124">
                  <v>-0.001136073361656165</v>
                </pt>
                <pt idx="125">
                  <v>-0.0008634917764334671</v>
                </pt>
                <pt idx="126">
                  <v>-0.001818305853230104</v>
                </pt>
                <pt idx="127">
                  <v>-0.002131672366703863</v>
                </pt>
                <pt idx="128">
                  <v>-0.00166024573004845</v>
                </pt>
                <pt idx="129">
                  <v>-0.001373981892304484</v>
                </pt>
                <pt idx="130">
                  <v>-0.0005439122982191097</v>
                </pt>
                <pt idx="131">
                  <v>0.0001347507010622598</v>
                </pt>
                <pt idx="132">
                  <v>-0.0003541234583965408</v>
                </pt>
                <pt idx="133">
                  <v>-0.0004270761280112945</v>
                </pt>
                <pt idx="134">
                  <v>-0.001347341678289996</v>
                </pt>
                <pt idx="135">
                  <v>-0.002185070505705357</v>
                </pt>
                <pt idx="136">
                  <v>-0.002444756474217158</v>
                </pt>
                <pt idx="137">
                  <v>-0.001567970357420512</v>
                </pt>
                <pt idx="138">
                  <v>-0.001853377321109434</v>
                </pt>
                <pt idx="139">
                  <v>-0.002357468239867259</v>
                </pt>
                <pt idx="140">
                  <v>-0.002324434336741218</v>
                </pt>
                <pt idx="141">
                  <v>-0.003541035208685782</v>
                </pt>
                <pt idx="142">
                  <v>-0.004055929971327324</v>
                </pt>
                <pt idx="143">
                  <v>-0.004207124487615468</v>
                </pt>
                <pt idx="144">
                  <v>-0.00490223680379788</v>
                </pt>
                <pt idx="145">
                  <v>-0.004331556882320849</v>
                </pt>
                <pt idx="146">
                  <v>-0.004325825952120832</v>
                </pt>
                <pt idx="147">
                  <v>-0.004482780858746406</v>
                </pt>
                <pt idx="148">
                  <v>-0.003772319809183827</v>
                </pt>
                <pt idx="149">
                  <v>-0.003928771789911426</v>
                </pt>
                <pt idx="150">
                  <v>-0.00335457823190554</v>
                </pt>
                <pt idx="151">
                  <v>-0.003551983631803091</v>
                </pt>
                <pt idx="152">
                  <v>-0.002360439742834883</v>
                </pt>
                <pt idx="153">
                  <v>-0.002312858726140767</v>
                </pt>
                <pt idx="154">
                  <v>-0.001662020280286947</v>
                </pt>
                <pt idx="155">
                  <v>-0.001245681515951357</v>
                </pt>
                <pt idx="156">
                  <v>-0.001566226044983347</v>
                </pt>
                <pt idx="157">
                  <v>-0.0007345442093022181</v>
                </pt>
                <pt idx="158">
                  <v>-0.0004072672362600699</v>
                </pt>
                <pt idx="159">
                  <v>0.0005393795882877583</v>
                </pt>
                <pt idx="160">
                  <v>0.00230545879961716</v>
                </pt>
                <pt idx="161">
                  <v>0.00303051048106432</v>
                </pt>
                <pt idx="162">
                  <v>0.004925800155589334</v>
                </pt>
                <pt idx="163">
                  <v>0.00502399273230985</v>
                </pt>
                <pt idx="164">
                  <v>0.005538195988095351</v>
                </pt>
                <pt idx="165">
                  <v>0.005122721932832135</v>
                </pt>
                <pt idx="166">
                  <v>0.006721165543086299</v>
                </pt>
                <pt idx="167">
                  <v>0.008161001632925512</v>
                </pt>
                <pt idx="168">
                  <v>0.008002676899529458</v>
                </pt>
                <pt idx="169">
                  <v>0.007877195148425886</v>
                </pt>
                <pt idx="170">
                  <v>0.007181198727734879</v>
                </pt>
                <pt idx="171">
                  <v>0.006501599191503379</v>
                </pt>
                <pt idx="172">
                  <v>0.005403165074844306</v>
                </pt>
                <pt idx="173">
                  <v>0.004170057710093662</v>
                </pt>
                <pt idx="174">
                  <v>0.003692196120923544</v>
                </pt>
                <pt idx="175">
                  <v>0.003497022471555027</v>
                </pt>
                <pt idx="176">
                  <v>0.00368441706284002</v>
                </pt>
                <pt idx="177">
                  <v>0.004028089390709776</v>
                </pt>
                <pt idx="178">
                  <v>0.004406772745954454</v>
                </pt>
                <pt idx="179">
                  <v>0.005468926617745992</v>
                </pt>
                <pt idx="180">
                  <v>0.004995772621540343</v>
                </pt>
                <pt idx="181">
                  <v>0.004935660246632029</v>
                </pt>
                <pt idx="182">
                  <v>0.006131263111606139</v>
                </pt>
                <pt idx="183">
                  <v>0.006895637666513035</v>
                </pt>
                <pt idx="184">
                  <v>0.00633723982318609</v>
                </pt>
                <pt idx="185">
                  <v>0.006350065689286241</v>
                </pt>
                <pt idx="186">
                  <v>0.00637131195067283</v>
                </pt>
                <pt idx="187">
                  <v>0.006941870793601555</v>
                </pt>
                <pt idx="188">
                  <v>0.005549553778700075</v>
                </pt>
                <pt idx="189">
                  <v>0.004132688593514885</v>
                </pt>
                <pt idx="190">
                  <v>0.00228934452665934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1469409776"/>
        <axId val="1469411888"/>
      </barChart>
      <lineChart>
        <grouping val="standard"/>
        <varyColors val="0"/>
        <ser>
          <idx val="2"/>
          <order val="2"/>
          <tx>
            <strRef>
              <f>Charts!$V$2</f>
              <strCache>
                <ptCount val="1"/>
                <pt idx="0">
                  <v>Pace of Change in Borrowing Cost</v>
                </pt>
              </strCache>
            </strRef>
          </tx>
          <spPr>
            <a:ln xmlns:a="http://schemas.openxmlformats.org/drawingml/2006/main" w="22225" cap="rnd">
              <a:solidFill>
                <a:srgbClr val="5FA3A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Charts!$B$28:$B$218</f>
              <numCache>
                <formatCode>[$-409]mmm\-yy;@</formatCode>
                <ptCount val="191"/>
                <pt idx="0">
                  <v>40210</v>
                </pt>
                <pt idx="1">
                  <v>40238</v>
                </pt>
                <pt idx="2">
                  <v>40269</v>
                </pt>
                <pt idx="3">
                  <v>40299</v>
                </pt>
                <pt idx="4">
                  <v>40330</v>
                </pt>
                <pt idx="5">
                  <v>40360</v>
                </pt>
                <pt idx="6">
                  <v>40391</v>
                </pt>
                <pt idx="7">
                  <v>40422</v>
                </pt>
                <pt idx="8">
                  <v>40452</v>
                </pt>
                <pt idx="9">
                  <v>40483</v>
                </pt>
                <pt idx="10">
                  <v>40513</v>
                </pt>
                <pt idx="11">
                  <v>40544</v>
                </pt>
                <pt idx="12">
                  <v>40575</v>
                </pt>
                <pt idx="13">
                  <v>40603</v>
                </pt>
                <pt idx="14">
                  <v>40634</v>
                </pt>
                <pt idx="15">
                  <v>40664</v>
                </pt>
                <pt idx="16">
                  <v>40695</v>
                </pt>
                <pt idx="17">
                  <v>40725</v>
                </pt>
                <pt idx="18">
                  <v>40756</v>
                </pt>
                <pt idx="19">
                  <v>40787</v>
                </pt>
                <pt idx="20">
                  <v>40817</v>
                </pt>
                <pt idx="21">
                  <v>40848</v>
                </pt>
                <pt idx="22">
                  <v>40878</v>
                </pt>
                <pt idx="23">
                  <v>40909</v>
                </pt>
                <pt idx="24">
                  <v>40940</v>
                </pt>
                <pt idx="25">
                  <v>40969</v>
                </pt>
                <pt idx="26">
                  <v>41000</v>
                </pt>
                <pt idx="27">
                  <v>41030</v>
                </pt>
                <pt idx="28">
                  <v>41061</v>
                </pt>
                <pt idx="29">
                  <v>41091</v>
                </pt>
                <pt idx="30">
                  <v>41122</v>
                </pt>
                <pt idx="31">
                  <v>41153</v>
                </pt>
                <pt idx="32">
                  <v>41183</v>
                </pt>
                <pt idx="33">
                  <v>41214</v>
                </pt>
                <pt idx="34">
                  <v>41244</v>
                </pt>
                <pt idx="35">
                  <v>41275</v>
                </pt>
                <pt idx="36">
                  <v>41306</v>
                </pt>
                <pt idx="37">
                  <v>41334</v>
                </pt>
                <pt idx="38">
                  <v>41365</v>
                </pt>
                <pt idx="39">
                  <v>41395</v>
                </pt>
                <pt idx="40">
                  <v>41426</v>
                </pt>
                <pt idx="41">
                  <v>41456</v>
                </pt>
                <pt idx="42">
                  <v>41487</v>
                </pt>
                <pt idx="43">
                  <v>41518</v>
                </pt>
                <pt idx="44">
                  <v>41548</v>
                </pt>
                <pt idx="45">
                  <v>41579</v>
                </pt>
                <pt idx="46">
                  <v>41609</v>
                </pt>
                <pt idx="47">
                  <v>41640</v>
                </pt>
                <pt idx="48">
                  <v>41671</v>
                </pt>
                <pt idx="49">
                  <v>41699</v>
                </pt>
                <pt idx="50">
                  <v>41730</v>
                </pt>
                <pt idx="51">
                  <v>41760</v>
                </pt>
                <pt idx="52">
                  <v>41791</v>
                </pt>
                <pt idx="53">
                  <v>41821</v>
                </pt>
                <pt idx="54">
                  <v>41852</v>
                </pt>
                <pt idx="55">
                  <v>41883</v>
                </pt>
                <pt idx="56">
                  <v>41913</v>
                </pt>
                <pt idx="57">
                  <v>41944</v>
                </pt>
                <pt idx="58">
                  <v>41974</v>
                </pt>
                <pt idx="59">
                  <v>42005</v>
                </pt>
                <pt idx="60">
                  <v>42036</v>
                </pt>
                <pt idx="61">
                  <v>42064</v>
                </pt>
                <pt idx="62">
                  <v>42095</v>
                </pt>
                <pt idx="63">
                  <v>42125</v>
                </pt>
                <pt idx="64">
                  <v>42156</v>
                </pt>
                <pt idx="65">
                  <v>42186</v>
                </pt>
                <pt idx="66">
                  <v>42217</v>
                </pt>
                <pt idx="67">
                  <v>42248</v>
                </pt>
                <pt idx="68">
                  <v>42278</v>
                </pt>
                <pt idx="69">
                  <v>42309</v>
                </pt>
                <pt idx="70">
                  <v>42339</v>
                </pt>
                <pt idx="71">
                  <v>42370</v>
                </pt>
                <pt idx="72">
                  <v>42401</v>
                </pt>
                <pt idx="73">
                  <v>42430</v>
                </pt>
                <pt idx="74">
                  <v>42461</v>
                </pt>
                <pt idx="75">
                  <v>42491</v>
                </pt>
                <pt idx="76">
                  <v>42522</v>
                </pt>
                <pt idx="77">
                  <v>42552</v>
                </pt>
                <pt idx="78">
                  <v>42583</v>
                </pt>
                <pt idx="79">
                  <v>42614</v>
                </pt>
                <pt idx="80">
                  <v>42644</v>
                </pt>
                <pt idx="81">
                  <v>42675</v>
                </pt>
                <pt idx="82">
                  <v>42705</v>
                </pt>
                <pt idx="83">
                  <v>42736</v>
                </pt>
                <pt idx="84">
                  <v>42767</v>
                </pt>
                <pt idx="85">
                  <v>42795</v>
                </pt>
                <pt idx="86">
                  <v>42826</v>
                </pt>
                <pt idx="87">
                  <v>42856</v>
                </pt>
                <pt idx="88">
                  <v>42887</v>
                </pt>
                <pt idx="89">
                  <v>42917</v>
                </pt>
                <pt idx="90">
                  <v>42948</v>
                </pt>
                <pt idx="91">
                  <v>42979</v>
                </pt>
                <pt idx="92">
                  <v>43009</v>
                </pt>
                <pt idx="93">
                  <v>43040</v>
                </pt>
                <pt idx="94">
                  <v>43070</v>
                </pt>
                <pt idx="95">
                  <v>43101</v>
                </pt>
                <pt idx="96">
                  <v>43132</v>
                </pt>
                <pt idx="97">
                  <v>43160</v>
                </pt>
                <pt idx="98">
                  <v>43191</v>
                </pt>
                <pt idx="99">
                  <v>43221</v>
                </pt>
                <pt idx="100">
                  <v>43252</v>
                </pt>
                <pt idx="101">
                  <v>43282</v>
                </pt>
                <pt idx="102">
                  <v>43313</v>
                </pt>
                <pt idx="103">
                  <v>43344</v>
                </pt>
                <pt idx="104">
                  <v>43374</v>
                </pt>
                <pt idx="105">
                  <v>43405</v>
                </pt>
                <pt idx="106">
                  <v>43435</v>
                </pt>
                <pt idx="107">
                  <v>43466</v>
                </pt>
                <pt idx="108">
                  <v>43497</v>
                </pt>
                <pt idx="109">
                  <v>43525</v>
                </pt>
                <pt idx="110">
                  <v>43556</v>
                </pt>
                <pt idx="111">
                  <v>43586</v>
                </pt>
                <pt idx="112">
                  <v>43617</v>
                </pt>
                <pt idx="113">
                  <v>43647</v>
                </pt>
                <pt idx="114">
                  <v>43678</v>
                </pt>
                <pt idx="115">
                  <v>43709</v>
                </pt>
                <pt idx="116">
                  <v>43739</v>
                </pt>
                <pt idx="117">
                  <v>43770</v>
                </pt>
                <pt idx="118">
                  <v>43800</v>
                </pt>
                <pt idx="119">
                  <v>43831</v>
                </pt>
                <pt idx="120">
                  <v>43862</v>
                </pt>
                <pt idx="121">
                  <v>43891</v>
                </pt>
                <pt idx="122">
                  <v>43922</v>
                </pt>
                <pt idx="123">
                  <v>43952</v>
                </pt>
                <pt idx="124">
                  <v>43983</v>
                </pt>
                <pt idx="125">
                  <v>44013</v>
                </pt>
                <pt idx="126">
                  <v>44044</v>
                </pt>
                <pt idx="127">
                  <v>44075</v>
                </pt>
                <pt idx="128">
                  <v>44105</v>
                </pt>
                <pt idx="129">
                  <v>44136</v>
                </pt>
                <pt idx="130">
                  <v>44166</v>
                </pt>
                <pt idx="131">
                  <v>44197</v>
                </pt>
                <pt idx="132">
                  <v>44228</v>
                </pt>
                <pt idx="133">
                  <v>44256</v>
                </pt>
                <pt idx="134">
                  <v>44287</v>
                </pt>
                <pt idx="135">
                  <v>44317</v>
                </pt>
                <pt idx="136">
                  <v>44348</v>
                </pt>
                <pt idx="137">
                  <v>44378</v>
                </pt>
                <pt idx="138">
                  <v>44409</v>
                </pt>
                <pt idx="139">
                  <v>44440</v>
                </pt>
                <pt idx="140">
                  <v>44470</v>
                </pt>
                <pt idx="141">
                  <v>44501</v>
                </pt>
                <pt idx="142">
                  <v>44531</v>
                </pt>
                <pt idx="143">
                  <v>44562</v>
                </pt>
                <pt idx="144">
                  <v>44593</v>
                </pt>
                <pt idx="145">
                  <v>44621</v>
                </pt>
                <pt idx="146">
                  <v>44652</v>
                </pt>
                <pt idx="147">
                  <v>44682</v>
                </pt>
                <pt idx="148">
                  <v>44713</v>
                </pt>
                <pt idx="149">
                  <v>44743</v>
                </pt>
                <pt idx="150">
                  <v>44774</v>
                </pt>
                <pt idx="151">
                  <v>44805</v>
                </pt>
                <pt idx="152">
                  <v>44835</v>
                </pt>
                <pt idx="153">
                  <v>44866</v>
                </pt>
                <pt idx="154">
                  <v>44896</v>
                </pt>
                <pt idx="155">
                  <v>44927</v>
                </pt>
                <pt idx="156">
                  <v>44958</v>
                </pt>
                <pt idx="157">
                  <v>44986</v>
                </pt>
                <pt idx="158">
                  <v>45017</v>
                </pt>
                <pt idx="159">
                  <v>45047</v>
                </pt>
                <pt idx="160">
                  <v>45078</v>
                </pt>
                <pt idx="161">
                  <v>45108</v>
                </pt>
                <pt idx="162">
                  <v>45139</v>
                </pt>
                <pt idx="163">
                  <v>45170</v>
                </pt>
                <pt idx="164">
                  <v>45200</v>
                </pt>
                <pt idx="165">
                  <v>45231</v>
                </pt>
                <pt idx="166">
                  <v>45261</v>
                </pt>
                <pt idx="167">
                  <v>45292</v>
                </pt>
                <pt idx="168">
                  <v>45323</v>
                </pt>
                <pt idx="169">
                  <v>45352</v>
                </pt>
                <pt idx="170">
                  <v>45383</v>
                </pt>
                <pt idx="171">
                  <v>45413</v>
                </pt>
                <pt idx="172">
                  <v>45444</v>
                </pt>
                <pt idx="173">
                  <v>45474</v>
                </pt>
                <pt idx="174">
                  <v>45505</v>
                </pt>
                <pt idx="175">
                  <v>45536</v>
                </pt>
                <pt idx="176">
                  <v>45566</v>
                </pt>
                <pt idx="177">
                  <v>45597</v>
                </pt>
                <pt idx="178">
                  <v>45627</v>
                </pt>
                <pt idx="179">
                  <v>45658</v>
                </pt>
                <pt idx="180">
                  <v>45689</v>
                </pt>
                <pt idx="181">
                  <v>45717</v>
                </pt>
                <pt idx="182">
                  <v>45748</v>
                </pt>
                <pt idx="183">
                  <v>45778</v>
                </pt>
                <pt idx="184">
                  <v>45809</v>
                </pt>
                <pt idx="185">
                  <v>45839</v>
                </pt>
                <pt idx="186">
                  <v>45870</v>
                </pt>
                <pt idx="187">
                  <v>45901</v>
                </pt>
                <pt idx="188">
                  <v>45931</v>
                </pt>
                <pt idx="189">
                  <v>45962</v>
                </pt>
                <pt idx="190">
                  <v>45992</v>
                </pt>
              </numCache>
            </numRef>
          </cat>
          <val>
            <numRef>
              <f>Charts!$V$27:$V$218</f>
              <numCache>
                <formatCode>0.00%</formatCode>
                <ptCount val="192"/>
                <pt idx="0">
                  <v>0.004237570785539796</v>
                </pt>
                <pt idx="1">
                  <v>0.006722615306151453</v>
                </pt>
                <pt idx="2">
                  <v>0.005331177760132158</v>
                </pt>
                <pt idx="3">
                  <v>0.001495397704889656</v>
                </pt>
                <pt idx="4">
                  <v>-0.00166377734313361</v>
                </pt>
                <pt idx="5">
                  <v>-0.004082106093555957</v>
                </pt>
                <pt idx="6">
                  <v>-0.003652565101098335</v>
                </pt>
                <pt idx="7">
                  <v>-0.006049807767911183</v>
                </pt>
                <pt idx="8">
                  <v>-0.006399668249484805</v>
                </pt>
                <pt idx="9">
                  <v>-0.00429690113349545</v>
                </pt>
                <pt idx="10">
                  <v>-0.007800470864490552</v>
                </pt>
                <pt idx="11">
                  <v>-0.002283552978384201</v>
                </pt>
                <pt idx="12">
                  <v>-0.001632497621382845</v>
                </pt>
                <pt idx="13">
                  <v>-0.003173835128080629</v>
                </pt>
                <pt idx="14">
                  <v>-0.001578038313948191</v>
                </pt>
                <pt idx="15">
                  <v>-3.725355365798155e-05</v>
                </pt>
                <pt idx="16">
                  <v>0.000726004637245245</v>
                </pt>
                <pt idx="17">
                  <v>0.001843858519574929</v>
                </pt>
                <pt idx="18">
                  <v>0.002357540873760694</v>
                </pt>
                <pt idx="19">
                  <v>-0.002115116178606609</v>
                </pt>
                <pt idx="20">
                  <v>-0.004837668611610099</v>
                </pt>
                <pt idx="21">
                  <v>-0.004430579318522226</v>
                </pt>
                <pt idx="22">
                  <v>-0.008911727203845143</v>
                </pt>
                <pt idx="23">
                  <v>-0.01081699386808403</v>
                </pt>
                <pt idx="24">
                  <v>-0.01157948033742032</v>
                </pt>
                <pt idx="25">
                  <v>-0.01065692679560069</v>
                </pt>
                <pt idx="26">
                  <v>-0.007811845427641052</v>
                </pt>
                <pt idx="27">
                  <v>-0.008081688332150332</v>
                </pt>
                <pt idx="28">
                  <v>-0.01115188675905181</v>
                </pt>
                <pt idx="29">
                  <v>-0.008039337252097975</v>
                </pt>
                <pt idx="30">
                  <v>-0.004975977248895015</v>
                </pt>
                <pt idx="31">
                  <v>-0.002463565347152863</v>
                </pt>
                <pt idx="32">
                  <v>-0.003699534571178026</v>
                </pt>
                <pt idx="33">
                  <v>-0.002622057212607838</v>
                </pt>
                <pt idx="34">
                  <v>-0.001802934326902692</v>
                </pt>
                <pt idx="35">
                  <v>-0.0002932913671668119</v>
                </pt>
                <pt idx="36">
                  <v>5.527463893268553e-05</v>
                </pt>
                <pt idx="37">
                  <v>-0.002276256898076784</v>
                </pt>
                <pt idx="38">
                  <v>-0.000432622975536881</v>
                </pt>
                <pt idx="39">
                  <v>0.0006349561398033554</v>
                </pt>
                <pt idx="40">
                  <v>0.003473839932794251</v>
                </pt>
                <pt idx="41">
                  <v>0.006813084664367725</v>
                </pt>
                <pt idx="42">
                  <v>0.007164967480631342</v>
                </pt>
                <pt idx="43">
                  <v>0.007782509865767048</v>
                </pt>
                <pt idx="44">
                  <v>0.006485382211271588</v>
                </pt>
                <pt idx="45">
                  <v>0.006503581479754335</v>
                </pt>
                <pt idx="46">
                  <v>0.006917239282595689</v>
                </pt>
                <pt idx="47">
                  <v>0.007422614921821918</v>
                </pt>
                <pt idx="48">
                  <v>0.005487726242597364</v>
                </pt>
                <pt idx="49">
                  <v>0.005662759744738219</v>
                </pt>
                <pt idx="50">
                  <v>0.00733746074861677</v>
                </pt>
                <pt idx="51">
                  <v>0.003431522324539818</v>
                </pt>
                <pt idx="52">
                  <v>-0.0001494347245398209</v>
                </pt>
                <pt idx="53">
                  <v>-0.0005507099312459796</v>
                </pt>
                <pt idx="54">
                  <v>-0.001388142570702779</v>
                </pt>
                <pt idx="55">
                  <v>-0.001936811603663366</v>
                </pt>
                <pt idx="56">
                  <v>-0.0002427550827445099</v>
                </pt>
                <pt idx="57">
                  <v>-0.002900879092073289</v>
                </pt>
                <pt idx="58">
                  <v>-0.005968811496257914</v>
                </pt>
                <pt idx="59">
                  <v>-0.003533482271389304</v>
                </pt>
                <pt idx="60">
                  <v>-0.006868935579436596</v>
                </pt>
                <pt idx="61">
                  <v>-0.005098397966845344</v>
                </pt>
                <pt idx="62">
                  <v>-0.005027397448714256</v>
                </pt>
                <pt idx="63">
                  <v>-0.002887238167842865</v>
                </pt>
                <pt idx="64">
                  <v>-0.002967098479188149</v>
                </pt>
                <pt idx="65">
                  <v>-0.001570579342397106</v>
                </pt>
                <pt idx="66">
                  <v>-0.0009707800233189623</v>
                </pt>
                <pt idx="67">
                  <v>-0.002177031813127075</v>
                </pt>
                <pt idx="68">
                  <v>-0.001925577434884709</v>
                </pt>
                <pt idx="69">
                  <v>-0.0003006365430610267</v>
                </pt>
                <pt idx="70">
                  <v>0.0003360339107875629</v>
                </pt>
                <pt idx="71">
                  <v>0.004101564016182051</v>
                </pt>
                <pt idx="72">
                  <v>-0.0004901166912427285</v>
                </pt>
                <pt idx="73">
                  <v>-0.001328263278025092</v>
                </pt>
                <pt idx="74">
                  <v>-0.001789081082633204</v>
                </pt>
                <pt idx="75">
                  <v>-0.001904082445220175</v>
                </pt>
                <pt idx="76">
                  <v>-0.003483745624696402</v>
                </pt>
                <pt idx="77">
                  <v>-0.004911645214980977</v>
                </pt>
                <pt idx="78">
                  <v>-0.005077200391139403</v>
                </pt>
                <pt idx="79">
                  <v>-0.003363516008250106</v>
                </pt>
                <pt idx="80">
                  <v>-0.003727655004779548</v>
                </pt>
                <pt idx="81">
                  <v>-0.002660568404479237</v>
                </pt>
                <pt idx="82">
                  <v>0.0006982914054228587</v>
                </pt>
                <pt idx="83">
                  <v>0.003603980017566927</v>
                </pt>
                <pt idx="84">
                  <v>0.004947118377696846</v>
                </pt>
                <pt idx="85">
                  <v>0.003974324682355847</v>
                </pt>
                <pt idx="86">
                  <v>0.00401784606673148</v>
                </pt>
                <pt idx="87">
                  <v>0.003110135955288154</v>
                </pt>
                <pt idx="88">
                  <v>0.004848613933685068</v>
                </pt>
                <pt idx="89">
                  <v>0.005793741060043801</v>
                </pt>
                <pt idx="90">
                  <v>0.00498588538651891</v>
                </pt>
                <pt idx="91">
                  <v>0.003518376038693163</v>
                </pt>
                <pt idx="92">
                  <v>0.003420218945345617</v>
                </pt>
                <pt idx="93">
                  <v>5.660782227022432e-05</v>
                </pt>
                <pt idx="94">
                  <v>-0.0002059263721979135</v>
                </pt>
                <pt idx="95">
                  <v>-0.0003265744338605756</v>
                </pt>
                <pt idx="96">
                  <v>0.002586665000674088</v>
                </pt>
                <pt idx="97">
                  <v>0.00339073602613614</v>
                </pt>
                <pt idx="98">
                  <v>0.003274488761481537</v>
                </pt>
                <pt idx="99">
                  <v>0.005295505444013832</v>
                </pt>
                <pt idx="100">
                  <v>0.003720504498111031</v>
                </pt>
                <pt idx="101">
                  <v>0.003987160213983293</v>
                </pt>
                <pt idx="102">
                  <v>0.006024192956619302</v>
                </pt>
                <pt idx="103">
                  <v>0.003776572329771875</v>
                </pt>
                <pt idx="104">
                  <v>0.004908149629269221</v>
                </pt>
                <pt idx="105">
                  <v>0.005377326868068182</v>
                </pt>
                <pt idx="106">
                  <v>0.004386802969174701</v>
                </pt>
                <pt idx="107">
                  <v>-0.0002452487946887627</v>
                </pt>
                <pt idx="108">
                  <v>-0.001685271569129912</v>
                </pt>
                <pt idx="109">
                  <v>-0.0002166779978080915</v>
                </pt>
                <pt idx="110">
                  <v>-0.003759106411426044</v>
                </pt>
                <pt idx="111">
                  <v>-0.002252880348973058</v>
                </pt>
                <pt idx="112">
                  <v>-0.005038729557567928</v>
                </pt>
                <pt idx="113">
                  <v>-0.006864366386620128</v>
                </pt>
                <pt idx="114">
                  <v>-0.005909087915474669</v>
                </pt>
                <pt idx="115">
                  <v>-0.01090336963946718</v>
                </pt>
                <pt idx="116">
                  <v>-0.01052432660396589</v>
                </pt>
                <pt idx="117">
                  <v>-0.009340227973635824</v>
                </pt>
                <pt idx="118">
                  <v>-0.006383963547009444</v>
                </pt>
                <pt idx="119">
                  <v>-0.00503723957246878</v>
                </pt>
                <pt idx="120">
                  <v>-0.00829573780940876</v>
                </pt>
                <pt idx="121">
                  <v>-0.008771718162929626</v>
                </pt>
                <pt idx="122">
                  <v>-0.01220634832461818</v>
                </pt>
                <pt idx="123">
                  <v>-0.01009655396085087</v>
                </pt>
                <pt idx="124">
                  <v>-0.008946072894504713</v>
                </pt>
                <pt idx="125">
                  <v>-0.009059889917452359</v>
                </pt>
                <pt idx="126">
                  <v>-0.006285657850407696</v>
                </pt>
                <pt idx="127">
                  <v>-0.006436507397348593</v>
                </pt>
                <pt idx="128">
                  <v>-0.006646180759567306</v>
                </pt>
                <pt idx="129">
                  <v>-0.006059631939340331</v>
                </pt>
                <pt idx="130">
                  <v>-0.007141820663753955</v>
                </pt>
                <pt idx="131">
                  <v>-0.003962202195938298</v>
                </pt>
                <pt idx="132">
                  <v>-0.0002217411493720539</v>
                </pt>
                <pt idx="133">
                  <v>0.004958342379581163</v>
                </pt>
                <pt idx="134">
                  <v>0.007366880135959909</v>
                </pt>
                <pt idx="135">
                  <v>0.006423145540003262</v>
                </pt>
                <pt idx="136">
                  <v>0.00605434348787541</v>
                </pt>
                <pt idx="137">
                  <v>0.005864404522165488</v>
                </pt>
                <pt idx="138">
                  <v>0.003524673768591072</v>
                </pt>
                <pt idx="139">
                  <v>0.004054570718911757</v>
                </pt>
                <pt idx="140">
                  <v>0.004388521628196598</v>
                </pt>
                <pt idx="141">
                  <v>0.004679050751374453</v>
                </pt>
                <pt idx="142">
                  <v>0.003447096261689653</v>
                </pt>
                <pt idx="143">
                  <v>0.002769197302566889</v>
                </pt>
                <pt idx="144">
                  <v>0.002174027879541039</v>
                </pt>
                <pt idx="145">
                  <v>0.0006349383319056781</v>
                </pt>
                <pt idx="146">
                  <v>0.004807863222298876</v>
                </pt>
                <pt idx="147">
                  <v>0.009162189785750618</v>
                </pt>
                <pt idx="148">
                  <v>0.009774237033322336</v>
                </pt>
                <pt idx="149">
                  <v>0.01205999015191081</v>
                </pt>
                <pt idx="150">
                  <v>0.009237015315405467</v>
                </pt>
                <pt idx="151">
                  <v>0.007867850113748007</v>
                </pt>
                <pt idx="152">
                  <v>0.01606457919801061</v>
                </pt>
                <pt idx="153">
                  <v>0.02030188010520848</v>
                </pt>
                <pt idx="154">
                  <v>0.01568083074934579</v>
                </pt>
                <pt idx="155">
                  <v>0.01515278438332487</v>
                </pt>
                <pt idx="156">
                  <v>0.01217795939002096</v>
                </pt>
                <pt idx="157">
                  <v>0.01175393499113708</v>
                </pt>
                <pt idx="158">
                  <v>0.004541826511475625</v>
                </pt>
                <pt idx="159">
                  <v>0.005005474422535419</v>
                </pt>
                <pt idx="160">
                  <v>0.006578879883100047</v>
                </pt>
                <pt idx="161">
                  <v>0.009740944305822744</v>
                </pt>
                <pt idx="162">
                  <v>0.00976548522848307</v>
                </pt>
                <pt idx="163">
                  <v>0.002307692699255279</v>
                </pt>
                <pt idx="164">
                  <v>0.002593146145915368</v>
                </pt>
                <pt idx="165">
                  <v>0.009543645317623389</v>
                </pt>
                <pt idx="166">
                  <v>0.006168450453357371</v>
                </pt>
                <pt idx="167">
                  <v>0.003739355495642943</v>
                </pt>
                <pt idx="168">
                  <v>0.0003616049328213355</v>
                </pt>
                <pt idx="169">
                  <v>0.005750830573499413</v>
                </pt>
                <pt idx="170">
                  <v>0.005834463508222879</v>
                </pt>
                <pt idx="171">
                  <v>0.006242273455143693</v>
                </pt>
                <pt idx="172">
                  <v>0.003892863392835941</v>
                </pt>
                <pt idx="173">
                  <v>0.002953225104000534</v>
                </pt>
                <pt idx="174">
                  <v>0.0001472539450530497</v>
                </pt>
                <pt idx="175">
                  <v>-0.005147751543011059</v>
                </pt>
                <pt idx="176">
                  <v>-0.009923365336781204</v>
                </pt>
                <pt idx="177">
                  <v>-0.002963323880638219</v>
                </pt>
                <pt idx="178">
                  <v>0.001240055684831431</v>
                </pt>
                <pt idx="179">
                  <v>0.003290173352415132</v>
                </pt>
                <pt idx="180">
                  <v>0.002507210545036692</v>
                </pt>
                <pt idx="181">
                  <v>-0.0003902801870942357</v>
                </pt>
                <pt idx="182">
                  <v>-0.003180631663236413</v>
                </pt>
                <pt idx="183">
                  <v>-0.002136524874285395</v>
                </pt>
                <pt idx="184">
                  <v>0.000935308051858777</v>
                </pt>
                <pt idx="185">
                  <v>0.00112022270108128</v>
                </pt>
                <pt idx="186">
                  <v>0.003807158473123462</v>
                </pt>
                <pt idx="187">
                  <v>0.004859413670993823</v>
                </pt>
                <pt idx="188">
                  <v>-0.001044144747206738</v>
                </pt>
                <pt idx="189">
                  <v>-0.001240055684831431</v>
                </pt>
                <pt idx="190">
                  <v>-0.002603231751206331</v>
                </pt>
                <pt idx="191">
                  <v>-0.00354973601500827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69409776"/>
        <axId val="1469411888"/>
      </lineChart>
      <dateAx>
        <axId val="1469409776"/>
        <scaling>
          <orientation val="minMax"/>
        </scaling>
        <delete val="0"/>
        <axPos val="b"/>
        <numFmt formatCode="[$-409]mmm\-yy;@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69411888"/>
        <crosses val="autoZero"/>
        <lblOffset val="100"/>
        <baseTimeUnit val="months"/>
        <majorUnit val="5"/>
        <majorTimeUnit val="months"/>
      </dateAx>
      <valAx>
        <axId val="14694118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6940977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9EA9B7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2.xml><?xml version="1.0" encoding="utf-8"?>
<chartSpace xmlns="http://schemas.openxmlformats.org/drawingml/2006/chart">
  <chart>
    <plotArea>
      <layout/>
      <doughnutChart>
        <varyColors val="1"/>
        <ser>
          <idx val="0"/>
          <order val="0"/>
          <tx>
            <strRef>
              <f>Charts!$CI$93</f>
              <strCache>
                <ptCount val="1"/>
                <pt idx="0">
                  <v>Volume Available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003DA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62B5E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5FA3A8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numFmt formatCode="&quot;$&quot;#,##0.0,,&quot; M&quot;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0" i="0" strike="noStrike" kern="1200" baseline="0">
                    <a:solidFill>
                      <a:schemeClr val="bg1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Charts!$CG$94:$CG$96</f>
              <strCache>
                <ptCount val="3"/>
                <pt idx="0">
                  <v>DaVita</v>
                </pt>
                <pt idx="1">
                  <v>FMC</v>
                </pt>
                <pt idx="2">
                  <v>US Renal</v>
                </pt>
              </strCache>
            </strRef>
          </cat>
          <val>
            <numRef>
              <f>Charts!$CI$94:$CI$96</f>
              <numCache>
                <formatCode>"$"#,##0</formatCode>
                <ptCount val="3"/>
                <pt idx="0">
                  <v>196421319</v>
                </pt>
                <pt idx="1">
                  <v>144543265</v>
                </pt>
                <pt idx="2">
                  <v>43565892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b"/>
      <legendEntry>
        <idx val="0"/>
        <delete val="0"/>
        <txPr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2697543495111357"/>
          <y val="0.83903945823312"/>
          <w val="0.4604913009777286"/>
          <h val="0.05270114168238477"/>
        </manualLayout>
      </layout>
      <overlay val="0"/>
      <spPr>
        <a:noFill xmlns:a="http://schemas.openxmlformats.org/drawingml/2006/main"/>
        <a:ln xmlns:a="http://schemas.openxmlformats.org/drawingml/2006/main" w="3175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0" i="0" strike="noStrike" kern="1200" baseline="0">
              <a:solidFill>
                <a:srgbClr val="6A748C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 by Credit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Charts!$AH$2</f>
              <strCache>
                <ptCount val="1"/>
                <pt idx="0">
                  <v>FMC Cap (ttm)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9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17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3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4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49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Charts!$B$69:$B$218</f>
              <numCache>
                <formatCode>[$-409]mmm\-yy;@</formatCode>
                <ptCount val="150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45231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  <pt idx="129">
                  <v>45383</v>
                </pt>
                <pt idx="130">
                  <v>45413</v>
                </pt>
                <pt idx="131">
                  <v>45444</v>
                </pt>
                <pt idx="132">
                  <v>45474</v>
                </pt>
                <pt idx="133">
                  <v>45505</v>
                </pt>
                <pt idx="134">
                  <v>45536</v>
                </pt>
                <pt idx="135">
                  <v>45566</v>
                </pt>
                <pt idx="136">
                  <v>45597</v>
                </pt>
                <pt idx="137">
                  <v>45627</v>
                </pt>
                <pt idx="138">
                  <v>45658</v>
                </pt>
                <pt idx="139">
                  <v>45689</v>
                </pt>
                <pt idx="140">
                  <v>45717</v>
                </pt>
                <pt idx="141">
                  <v>45748</v>
                </pt>
                <pt idx="142">
                  <v>45778</v>
                </pt>
                <pt idx="143">
                  <v>45809</v>
                </pt>
                <pt idx="144">
                  <v>45839</v>
                </pt>
                <pt idx="145">
                  <v>45870</v>
                </pt>
                <pt idx="146">
                  <v>45901</v>
                </pt>
                <pt idx="147">
                  <v>45931</v>
                </pt>
                <pt idx="148">
                  <v>45962</v>
                </pt>
                <pt idx="149">
                  <v>45992</v>
                </pt>
              </numCache>
            </numRef>
          </cat>
          <val>
            <numRef>
              <f>Charts!$AH$69:$AH$218</f>
              <numCache>
                <formatCode>0.00%</formatCode>
                <ptCount val="150"/>
                <pt idx="0">
                  <v>0.08469224489621634</v>
                </pt>
                <pt idx="1">
                  <v>0.08258508173913344</v>
                </pt>
                <pt idx="2">
                  <v>0.08074205638388374</v>
                </pt>
                <pt idx="3">
                  <v>0.07710632384231778</v>
                </pt>
                <pt idx="4">
                  <v>0.07805657431560753</v>
                </pt>
                <pt idx="5">
                  <v>0.07674293082250284</v>
                </pt>
                <pt idx="6">
                  <v>0.07644180638082522</v>
                </pt>
                <pt idx="7">
                  <v>0.07651523212528596</v>
                </pt>
                <pt idx="8">
                  <v>0.07502035377704329</v>
                </pt>
                <pt idx="9">
                  <v>0.07526102879425424</v>
                </pt>
                <pt idx="10">
                  <v>0.07459096049047087</v>
                </pt>
                <pt idx="11">
                  <v>0.07433585236246801</v>
                </pt>
                <pt idx="12">
                  <v>0.07327166859087764</v>
                </pt>
                <pt idx="13">
                  <v>0.07466906215269145</v>
                </pt>
                <pt idx="14">
                  <v>0.07504405952423446</v>
                </pt>
                <pt idx="15">
                  <v>0.07542082053034224</v>
                </pt>
                <pt idx="16">
                  <v>0.07541001422946664</v>
                </pt>
                <pt idx="17">
                  <v>0.07311976141921707</v>
                </pt>
                <pt idx="18">
                  <v>0.07349795366059034</v>
                </pt>
                <pt idx="19">
                  <v>0.0735691719085811</v>
                </pt>
                <pt idx="20">
                  <v>0.07363965489776508</v>
                </pt>
                <pt idx="21">
                  <v>0.07342147663613033</v>
                </pt>
                <pt idx="22">
                  <v>0.07333317245772539</v>
                </pt>
                <pt idx="23">
                  <v>0.07404150997723961</v>
                </pt>
                <pt idx="24">
                  <v>0.07360713368273755</v>
                </pt>
                <pt idx="25">
                  <v>0.07440818612458341</v>
                </pt>
                <pt idx="26">
                  <v>0.07344670406206665</v>
                </pt>
                <pt idx="27">
                  <v>0.074194310800337</v>
                </pt>
                <pt idx="28">
                  <v>0.07391404989167935</v>
                </pt>
                <pt idx="29">
                  <v>0.07484875654092951</v>
                </pt>
                <pt idx="30">
                  <v>0.07553277628538665</v>
                </pt>
                <pt idx="31">
                  <v>0.07570014734398632</v>
                </pt>
                <pt idx="32">
                  <v>0.07596657083260729</v>
                </pt>
                <pt idx="33">
                  <v>0.07566022414462249</v>
                </pt>
                <pt idx="34">
                  <v>0.07619136960499318</v>
                </pt>
                <pt idx="35">
                  <v>0.07686842159159361</v>
                </pt>
                <pt idx="36">
                  <v>0.07617667071898618</v>
                </pt>
                <pt idx="37">
                  <v>0.07575648901845834</v>
                </pt>
                <pt idx="38">
                  <v>0.07554950592532692</v>
                </pt>
                <pt idx="39">
                  <v>0.07421341823757457</v>
                </pt>
                <pt idx="40">
                  <v>0.07343411430965018</v>
                </pt>
                <pt idx="41">
                  <v>0.07291510965464348</v>
                </pt>
                <pt idx="42">
                  <v>0.07152741882441238</v>
                </pt>
                <pt idx="43">
                  <v>0.07246055258786138</v>
                </pt>
                <pt idx="44">
                  <v>0.07213912969004169</v>
                </pt>
                <pt idx="45">
                  <v>0.07081580096152024</v>
                </pt>
                <pt idx="46">
                  <v>0.07010454488463488</v>
                </pt>
                <pt idx="47">
                  <v>0.06945423040459846</v>
                </pt>
                <pt idx="48">
                  <v>0.06881546799440011</v>
                </pt>
                <pt idx="49">
                  <v>0.06876710243169065</v>
                </pt>
                <pt idx="50">
                  <v>0.06826237259504694</v>
                </pt>
                <pt idx="51">
                  <v>0.06808979904957993</v>
                </pt>
                <pt idx="52">
                  <v>0.06914134144827488</v>
                </pt>
                <pt idx="53">
                  <v>0.06930628535844639</v>
                </pt>
                <pt idx="54">
                  <v>0.0694676130402133</v>
                </pt>
                <pt idx="55">
                  <v>0.06937234296682465</v>
                </pt>
                <pt idx="56">
                  <v>0.06906720642069905</v>
                </pt>
                <pt idx="57">
                  <v>0.06866335009510721</v>
                </pt>
                <pt idx="58">
                  <v>0.06800266587437563</v>
                </pt>
                <pt idx="59">
                  <v>0.06797492695134905</v>
                </pt>
                <pt idx="60">
                  <v>0.06824187198484713</v>
                </pt>
                <pt idx="61">
                  <v>0.06803238123007303</v>
                </pt>
                <pt idx="62">
                  <v>0.06748840239142527</v>
                </pt>
                <pt idx="63">
                  <v>0.06819983756848484</v>
                </pt>
                <pt idx="64">
                  <v>0.06860445972624787</v>
                </pt>
                <pt idx="65">
                  <v>0.0677572864901759</v>
                </pt>
                <pt idx="66">
                  <v>0.06728286698014116</v>
                </pt>
                <pt idx="67">
                  <v>0.06764993433628355</v>
                </pt>
                <pt idx="68">
                  <v>0.0673205835769438</v>
                </pt>
                <pt idx="69">
                  <v>0.0668854662657138</v>
                </pt>
                <pt idx="70">
                  <v>0.06835391196952474</v>
                </pt>
                <pt idx="71">
                  <v>0.06934552866006788</v>
                </pt>
                <pt idx="72">
                  <v>0.06949719962468781</v>
                </pt>
                <pt idx="73">
                  <v>0.06986519238452309</v>
                </pt>
                <pt idx="74">
                  <v>0.06961624132358595</v>
                </pt>
                <pt idx="75">
                  <v>0.07065032162461436</v>
                </pt>
                <pt idx="76">
                  <v>0.07054182224794162</v>
                </pt>
                <pt idx="77">
                  <v>0.06997154581478399</v>
                </pt>
                <pt idx="78">
                  <v>0.07021714009512402</v>
                </pt>
                <pt idx="79">
                  <v>0.07037763809468094</v>
                </pt>
                <pt idx="80">
                  <v>0.07038930736601096</v>
                </pt>
                <pt idx="81">
                  <v>0.07125590945119611</v>
                </pt>
                <pt idx="82">
                  <v>0.07147786361944865</v>
                </pt>
                <pt idx="83">
                  <v>0.07027032171315631</v>
                </pt>
                <pt idx="84">
                  <v>0.07000669629739793</v>
                </pt>
                <pt idx="85">
                  <v>0.0702668016550502</v>
                </pt>
                <pt idx="86">
                  <v>0.06911704730794055</v>
                </pt>
                <pt idx="87">
                  <v>0.06907205821199626</v>
                </pt>
                <pt idx="88">
                  <v>0.06816351633837235</v>
                </pt>
                <pt idx="89">
                  <v>0.06785949568809876</v>
                </pt>
                <pt idx="90">
                  <v>0.0678234231501517</v>
                </pt>
                <pt idx="91">
                  <v>0.06760960845791281</v>
                </pt>
                <pt idx="92">
                  <v>0.06749525357818588</v>
                </pt>
                <pt idx="93">
                  <v>0.06673708615613942</v>
                </pt>
                <pt idx="94">
                  <v>0.06535157474980369</v>
                </pt>
                <pt idx="95">
                  <v>0.06487609014300101</v>
                </pt>
                <pt idx="96">
                  <v>0.0645897425138484</v>
                </pt>
                <pt idx="97">
                  <v>0.06480770992568879</v>
                </pt>
                <pt idx="98">
                  <v>0.06452788879703288</v>
                </pt>
                <pt idx="99">
                  <v>0.06480834095113518</v>
                </pt>
                <pt idx="100">
                  <v>0.06501020748449328</v>
                </pt>
                <pt idx="101">
                  <v>0.06439918310432617</v>
                </pt>
                <pt idx="102">
                  <v>0.06392739502069519</v>
                </pt>
                <pt idx="103">
                  <v>0.06422980106281832</v>
                </pt>
                <pt idx="104">
                  <v>0.06407818950687304</v>
                </pt>
                <pt idx="105">
                  <v>0.06298465328611971</v>
                </pt>
                <pt idx="106">
                  <v>0.06234822717862337</v>
                </pt>
                <pt idx="107">
                  <v>0.06287687432734697</v>
                </pt>
                <pt idx="108">
                  <v>0.06252269926321576</v>
                </pt>
                <pt idx="109">
                  <v>0.06131828133380193</v>
                </pt>
                <pt idx="110">
                  <v>0.06040527047734064</v>
                </pt>
                <pt idx="111">
                  <v>0.06064433844061204</v>
                </pt>
                <pt idx="112">
                  <v>0.06069719849653984</v>
                </pt>
                <pt idx="113">
                  <v>0.06034094748964192</v>
                </pt>
                <pt idx="114">
                  <v>0.06055027784165949</v>
                </pt>
                <pt idx="115">
                  <v>0.06065544527388493</v>
                </pt>
                <pt idx="116">
                  <v>0.06060918050110911</v>
                </pt>
                <pt idx="117">
                  <v>0.06030589314827096</v>
                </pt>
                <pt idx="118">
                  <v>0.06072338093876601</v>
                </pt>
                <pt idx="119">
                  <v>0.06100765906954306</v>
                </pt>
                <pt idx="120">
                  <v>0.06060823131626972</v>
                </pt>
                <pt idx="121">
                  <v>0.06292025545124699</v>
                </pt>
                <pt idx="122">
                  <v>0.06585769079792755</v>
                </pt>
                <pt idx="123">
                  <v>0.06740850331990265</v>
                </pt>
                <pt idx="124">
                  <v>0.06745786463761769</v>
                </pt>
                <pt idx="125">
                  <v>0.06784977197862198</v>
                </pt>
                <pt idx="126">
                  <v>0.06791258125823717</v>
                </pt>
                <pt idx="127">
                  <v>0.06801335130594321</v>
                </pt>
                <pt idx="128">
                  <v>0.0688515866980005</v>
                </pt>
                <pt idx="129">
                  <v>0.06929446632276016</v>
                </pt>
                <pt idx="130">
                  <v>0.06959938717699693</v>
                </pt>
                <pt idx="131">
                  <v>0.06984370202547961</v>
                </pt>
                <pt idx="132">
                  <v>0.07062394416834074</v>
                </pt>
                <pt idx="133">
                  <v>0.07107403526146307</v>
                </pt>
                <pt idx="134">
                  <v>0.06940239228377131</v>
                </pt>
                <pt idx="135">
                  <v>0.06965736961605914</v>
                </pt>
                <pt idx="136">
                  <v>0.06937518710444759</v>
                </pt>
                <pt idx="137">
                  <v>0.07099901437606852</v>
                </pt>
                <pt idx="138">
                  <v>0.07039459714133847</v>
                </pt>
                <pt idx="139">
                  <v>0.0710745291459252</v>
                </pt>
                <pt idx="140">
                  <v>0.0709270540422339</v>
                </pt>
                <pt idx="141">
                  <v>0.07124950984725886</v>
                </pt>
                <pt idx="142">
                  <v>0.07099498885091332</v>
                </pt>
                <pt idx="143">
                  <v>0.07782478906215179</v>
                </pt>
                <pt idx="144">
                  <v>0.0789106424579164</v>
                </pt>
                <pt idx="145">
                  <v>0.07929845288230045</v>
                </pt>
                <pt idx="146">
                  <v>0.07872864329892722</v>
                </pt>
                <pt idx="147">
                  <v>0.07826968569965517</v>
                </pt>
                <pt idx="148">
                  <v>0.07765863324377259</v>
                </pt>
                <pt idx="149">
                  <v>0.0781441911790681</v>
                </pt>
              </numCache>
            </numRef>
          </val>
          <smooth val="0"/>
        </ser>
        <ser>
          <idx val="1"/>
          <order val="1"/>
          <tx>
            <strRef>
              <f>Charts!$AI$2</f>
              <strCache>
                <ptCount val="1"/>
                <pt idx="0">
                  <v>DVA Cap (ttm)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7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1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4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49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Charts!$B$69:$B$218</f>
              <numCache>
                <formatCode>[$-409]mmm\-yy;@</formatCode>
                <ptCount val="150"/>
                <pt idx="0">
                  <v>41456</v>
                </pt>
                <pt idx="1">
                  <v>41487</v>
                </pt>
                <pt idx="2">
                  <v>41518</v>
                </pt>
                <pt idx="3">
                  <v>41548</v>
                </pt>
                <pt idx="4">
                  <v>41579</v>
                </pt>
                <pt idx="5">
                  <v>41609</v>
                </pt>
                <pt idx="6">
                  <v>41640</v>
                </pt>
                <pt idx="7">
                  <v>41671</v>
                </pt>
                <pt idx="8">
                  <v>41699</v>
                </pt>
                <pt idx="9">
                  <v>41730</v>
                </pt>
                <pt idx="10">
                  <v>41760</v>
                </pt>
                <pt idx="11">
                  <v>41791</v>
                </pt>
                <pt idx="12">
                  <v>41821</v>
                </pt>
                <pt idx="13">
                  <v>41852</v>
                </pt>
                <pt idx="14">
                  <v>41883</v>
                </pt>
                <pt idx="15">
                  <v>41913</v>
                </pt>
                <pt idx="16">
                  <v>41944</v>
                </pt>
                <pt idx="17">
                  <v>41974</v>
                </pt>
                <pt idx="18">
                  <v>42005</v>
                </pt>
                <pt idx="19">
                  <v>42036</v>
                </pt>
                <pt idx="20">
                  <v>42064</v>
                </pt>
                <pt idx="21">
                  <v>42095</v>
                </pt>
                <pt idx="22">
                  <v>42125</v>
                </pt>
                <pt idx="23">
                  <v>42156</v>
                </pt>
                <pt idx="24">
                  <v>42186</v>
                </pt>
                <pt idx="25">
                  <v>42217</v>
                </pt>
                <pt idx="26">
                  <v>42248</v>
                </pt>
                <pt idx="27">
                  <v>42278</v>
                </pt>
                <pt idx="28">
                  <v>42309</v>
                </pt>
                <pt idx="29">
                  <v>42339</v>
                </pt>
                <pt idx="30">
                  <v>42370</v>
                </pt>
                <pt idx="31">
                  <v>42401</v>
                </pt>
                <pt idx="32">
                  <v>42430</v>
                </pt>
                <pt idx="33">
                  <v>42461</v>
                </pt>
                <pt idx="34">
                  <v>42491</v>
                </pt>
                <pt idx="35">
                  <v>42522</v>
                </pt>
                <pt idx="36">
                  <v>42552</v>
                </pt>
                <pt idx="37">
                  <v>42583</v>
                </pt>
                <pt idx="38">
                  <v>42614</v>
                </pt>
                <pt idx="39">
                  <v>42644</v>
                </pt>
                <pt idx="40">
                  <v>42675</v>
                </pt>
                <pt idx="41">
                  <v>42705</v>
                </pt>
                <pt idx="42">
                  <v>42736</v>
                </pt>
                <pt idx="43">
                  <v>42767</v>
                </pt>
                <pt idx="44">
                  <v>42795</v>
                </pt>
                <pt idx="45">
                  <v>42826</v>
                </pt>
                <pt idx="46">
                  <v>42856</v>
                </pt>
                <pt idx="47">
                  <v>42887</v>
                </pt>
                <pt idx="48">
                  <v>42917</v>
                </pt>
                <pt idx="49">
                  <v>42948</v>
                </pt>
                <pt idx="50">
                  <v>42979</v>
                </pt>
                <pt idx="51">
                  <v>43009</v>
                </pt>
                <pt idx="52">
                  <v>43040</v>
                </pt>
                <pt idx="53">
                  <v>43070</v>
                </pt>
                <pt idx="54">
                  <v>43101</v>
                </pt>
                <pt idx="55">
                  <v>43132</v>
                </pt>
                <pt idx="56">
                  <v>43160</v>
                </pt>
                <pt idx="57">
                  <v>43191</v>
                </pt>
                <pt idx="58">
                  <v>43221</v>
                </pt>
                <pt idx="59">
                  <v>43252</v>
                </pt>
                <pt idx="60">
                  <v>43282</v>
                </pt>
                <pt idx="61">
                  <v>43313</v>
                </pt>
                <pt idx="62">
                  <v>43344</v>
                </pt>
                <pt idx="63">
                  <v>43374</v>
                </pt>
                <pt idx="64">
                  <v>43405</v>
                </pt>
                <pt idx="65">
                  <v>43435</v>
                </pt>
                <pt idx="66">
                  <v>43466</v>
                </pt>
                <pt idx="67">
                  <v>43497</v>
                </pt>
                <pt idx="68">
                  <v>43525</v>
                </pt>
                <pt idx="69">
                  <v>43556</v>
                </pt>
                <pt idx="70">
                  <v>43586</v>
                </pt>
                <pt idx="71">
                  <v>43617</v>
                </pt>
                <pt idx="72">
                  <v>43647</v>
                </pt>
                <pt idx="73">
                  <v>43678</v>
                </pt>
                <pt idx="74">
                  <v>43709</v>
                </pt>
                <pt idx="75">
                  <v>43739</v>
                </pt>
                <pt idx="76">
                  <v>43770</v>
                </pt>
                <pt idx="77">
                  <v>43800</v>
                </pt>
                <pt idx="78">
                  <v>43831</v>
                </pt>
                <pt idx="79">
                  <v>43862</v>
                </pt>
                <pt idx="80">
                  <v>43891</v>
                </pt>
                <pt idx="81">
                  <v>43922</v>
                </pt>
                <pt idx="82">
                  <v>43952</v>
                </pt>
                <pt idx="83">
                  <v>43983</v>
                </pt>
                <pt idx="84">
                  <v>44013</v>
                </pt>
                <pt idx="85">
                  <v>44044</v>
                </pt>
                <pt idx="86">
                  <v>44075</v>
                </pt>
                <pt idx="87">
                  <v>44105</v>
                </pt>
                <pt idx="88">
                  <v>44136</v>
                </pt>
                <pt idx="89">
                  <v>44166</v>
                </pt>
                <pt idx="90">
                  <v>44197</v>
                </pt>
                <pt idx="91">
                  <v>44228</v>
                </pt>
                <pt idx="92">
                  <v>44256</v>
                </pt>
                <pt idx="93">
                  <v>44287</v>
                </pt>
                <pt idx="94">
                  <v>44317</v>
                </pt>
                <pt idx="95">
                  <v>44348</v>
                </pt>
                <pt idx="96">
                  <v>44378</v>
                </pt>
                <pt idx="97">
                  <v>44409</v>
                </pt>
                <pt idx="98">
                  <v>44440</v>
                </pt>
                <pt idx="99">
                  <v>44470</v>
                </pt>
                <pt idx="100">
                  <v>44501</v>
                </pt>
                <pt idx="101">
                  <v>44531</v>
                </pt>
                <pt idx="102">
                  <v>44562</v>
                </pt>
                <pt idx="103">
                  <v>44593</v>
                </pt>
                <pt idx="104">
                  <v>44621</v>
                </pt>
                <pt idx="105">
                  <v>44652</v>
                </pt>
                <pt idx="106">
                  <v>44682</v>
                </pt>
                <pt idx="107">
                  <v>44713</v>
                </pt>
                <pt idx="108">
                  <v>44743</v>
                </pt>
                <pt idx="109">
                  <v>44774</v>
                </pt>
                <pt idx="110">
                  <v>44805</v>
                </pt>
                <pt idx="111">
                  <v>44835</v>
                </pt>
                <pt idx="112">
                  <v>44866</v>
                </pt>
                <pt idx="113">
                  <v>44896</v>
                </pt>
                <pt idx="114">
                  <v>44927</v>
                </pt>
                <pt idx="115">
                  <v>44958</v>
                </pt>
                <pt idx="116">
                  <v>44986</v>
                </pt>
                <pt idx="117">
                  <v>45017</v>
                </pt>
                <pt idx="118">
                  <v>45047</v>
                </pt>
                <pt idx="119">
                  <v>45078</v>
                </pt>
                <pt idx="120">
                  <v>45108</v>
                </pt>
                <pt idx="121">
                  <v>45139</v>
                </pt>
                <pt idx="122">
                  <v>45170</v>
                </pt>
                <pt idx="123">
                  <v>45200</v>
                </pt>
                <pt idx="124">
                  <v>45231</v>
                </pt>
                <pt idx="125">
                  <v>45261</v>
                </pt>
                <pt idx="126">
                  <v>45292</v>
                </pt>
                <pt idx="127">
                  <v>45323</v>
                </pt>
                <pt idx="128">
                  <v>45352</v>
                </pt>
                <pt idx="129">
                  <v>45383</v>
                </pt>
                <pt idx="130">
                  <v>45413</v>
                </pt>
                <pt idx="131">
                  <v>45444</v>
                </pt>
                <pt idx="132">
                  <v>45474</v>
                </pt>
                <pt idx="133">
                  <v>45505</v>
                </pt>
                <pt idx="134">
                  <v>45536</v>
                </pt>
                <pt idx="135">
                  <v>45566</v>
                </pt>
                <pt idx="136">
                  <v>45597</v>
                </pt>
                <pt idx="137">
                  <v>45627</v>
                </pt>
                <pt idx="138">
                  <v>45658</v>
                </pt>
                <pt idx="139">
                  <v>45689</v>
                </pt>
                <pt idx="140">
                  <v>45717</v>
                </pt>
                <pt idx="141">
                  <v>45748</v>
                </pt>
                <pt idx="142">
                  <v>45778</v>
                </pt>
                <pt idx="143">
                  <v>45809</v>
                </pt>
                <pt idx="144">
                  <v>45839</v>
                </pt>
                <pt idx="145">
                  <v>45870</v>
                </pt>
                <pt idx="146">
                  <v>45901</v>
                </pt>
                <pt idx="147">
                  <v>45931</v>
                </pt>
                <pt idx="148">
                  <v>45962</v>
                </pt>
                <pt idx="149">
                  <v>45992</v>
                </pt>
              </numCache>
            </numRef>
          </cat>
          <val>
            <numRef>
              <f>Charts!$AI$69:$AI$218</f>
              <numCache>
                <formatCode>0.00%</formatCode>
                <ptCount val="150"/>
                <pt idx="0">
                  <v>0.07830335503787743</v>
                </pt>
                <pt idx="1">
                  <v>0.0777413008931544</v>
                </pt>
                <pt idx="2">
                  <v>0.07920162396634821</v>
                </pt>
                <pt idx="3">
                  <v>0.07968482196915251</v>
                </pt>
                <pt idx="4">
                  <v>0.07843874745371138</v>
                </pt>
                <pt idx="5">
                  <v>0.07754704198589618</v>
                </pt>
                <pt idx="6">
                  <v>0.07752072619642252</v>
                </pt>
                <pt idx="7">
                  <v>0.07480905827000009</v>
                </pt>
                <pt idx="8">
                  <v>0.07663435755086966</v>
                </pt>
                <pt idx="9">
                  <v>0.07622876395462537</v>
                </pt>
                <pt idx="10">
                  <v>0.07585575487980724</v>
                </pt>
                <pt idx="11">
                  <v>0.07591700151218947</v>
                </pt>
                <pt idx="12">
                  <v>0.07680964186978845</v>
                </pt>
                <pt idx="13">
                  <v>0.07555974963514325</v>
                </pt>
                <pt idx="14">
                  <v>0.07825714736184247</v>
                </pt>
                <pt idx="15">
                  <v>0.07741033510112863</v>
                </pt>
                <pt idx="16">
                  <v>0.0762423208485747</v>
                </pt>
                <pt idx="17">
                  <v>0.07547277286412703</v>
                </pt>
                <pt idx="18">
                  <v>0.0759660875094734</v>
                </pt>
                <pt idx="19">
                  <v>0.07591482014231041</v>
                </pt>
                <pt idx="20">
                  <v>0.07607843479763779</v>
                </pt>
                <pt idx="21">
                  <v>0.07494377989385417</v>
                </pt>
                <pt idx="22">
                  <v>0.0744847127493739</v>
                </pt>
                <pt idx="23">
                  <v>0.07533058647925533</v>
                </pt>
                <pt idx="24">
                  <v>0.0746996576217437</v>
                </pt>
                <pt idx="25">
                  <v>0.07442322591442661</v>
                </pt>
                <pt idx="26">
                  <v>0.07442748992954545</v>
                </pt>
                <pt idx="27">
                  <v>0.07129843286575438</v>
                </pt>
                <pt idx="28">
                  <v>0.07010958748182829</v>
                </pt>
                <pt idx="29">
                  <v>0.07126225211105465</v>
                </pt>
                <pt idx="30">
                  <v>0.07094760598880556</v>
                </pt>
                <pt idx="31">
                  <v>0.06979806908149697</v>
                </pt>
                <pt idx="32">
                  <v>0.06963393384047786</v>
                </pt>
                <pt idx="33">
                  <v>0.06943964419469839</v>
                </pt>
                <pt idx="34">
                  <v>0.06914850286083413</v>
                </pt>
                <pt idx="35">
                  <v>0.06897544695959962</v>
                </pt>
                <pt idx="36">
                  <v>0.0677604492037903</v>
                </pt>
                <pt idx="37">
                  <v>0.06765751428078549</v>
                </pt>
                <pt idx="38">
                  <v>0.06836874583586924</v>
                </pt>
                <pt idx="39">
                  <v>0.06862058186993436</v>
                </pt>
                <pt idx="40">
                  <v>0.0673829019206563</v>
                </pt>
                <pt idx="41">
                  <v>0.0678812653450955</v>
                </pt>
                <pt idx="42">
                  <v>0.066842313792404</v>
                </pt>
                <pt idx="43">
                  <v>0.06674149307169733</v>
                </pt>
                <pt idx="44">
                  <v>0.06633122561357764</v>
                </pt>
                <pt idx="45">
                  <v>0.06686342524161987</v>
                </pt>
                <pt idx="46">
                  <v>0.06627225401872616</v>
                </pt>
                <pt idx="47">
                  <v>0.06558071901359545</v>
                </pt>
                <pt idx="48">
                  <v>0.06497082894811937</v>
                </pt>
                <pt idx="49">
                  <v>0.06533636396247625</v>
                </pt>
                <pt idx="50">
                  <v>0.06520242784346097</v>
                </pt>
                <pt idx="51">
                  <v>0.06391859942619484</v>
                </pt>
                <pt idx="52">
                  <v>0.06321197636548474</v>
                </pt>
                <pt idx="53">
                  <v>0.06438474749038881</v>
                </pt>
                <pt idx="54">
                  <v>0.0649204269559594</v>
                </pt>
                <pt idx="55">
                  <v>0.06489259753377204</v>
                </pt>
                <pt idx="56">
                  <v>0.06553424638276646</v>
                </pt>
                <pt idx="57">
                  <v>0.06588570578691752</v>
                </pt>
                <pt idx="58">
                  <v>0.06650771436180589</v>
                </pt>
                <pt idx="59">
                  <v>0.06622259017507248</v>
                </pt>
                <pt idx="60">
                  <v>0.06623996349144928</v>
                </pt>
                <pt idx="61">
                  <v>0.06708799278153786</v>
                </pt>
                <pt idx="62">
                  <v>0.06701258576372521</v>
                </pt>
                <pt idx="63">
                  <v>0.06677363715622997</v>
                </pt>
                <pt idx="64">
                  <v>0.06732722207316207</v>
                </pt>
                <pt idx="65">
                  <v>0.06696276441765669</v>
                </pt>
                <pt idx="66">
                  <v>0.06633808586765892</v>
                </pt>
                <pt idx="67">
                  <v>0.06582387600620193</v>
                </pt>
                <pt idx="68">
                  <v>0.06600256061286161</v>
                </pt>
                <pt idx="69">
                  <v>0.06573499320800912</v>
                </pt>
                <pt idx="70">
                  <v>0.06567401798648154</v>
                </pt>
                <pt idx="71">
                  <v>0.06427011015560609</v>
                </pt>
                <pt idx="72">
                  <v>0.06493214400594197</v>
                </pt>
                <pt idx="73">
                  <v>0.06517696767738308</v>
                </pt>
                <pt idx="74">
                  <v>0.06431717318164637</v>
                </pt>
                <pt idx="75">
                  <v>0.06372635669895836</v>
                </pt>
                <pt idx="76">
                  <v>0.06372479463135189</v>
                </pt>
                <pt idx="77">
                  <v>0.06352069846473046</v>
                </pt>
                <pt idx="78">
                  <v>0.06381222435283049</v>
                </pt>
                <pt idx="79">
                  <v>0.06478045805558171</v>
                </pt>
                <pt idx="80">
                  <v>0.06479583585803778</v>
                </pt>
                <pt idx="81">
                  <v>0.06465641884465519</v>
                </pt>
                <pt idx="82">
                  <v>0.06440603808550964</v>
                </pt>
                <pt idx="83">
                  <v>0.06434855607893744</v>
                </pt>
                <pt idx="84">
                  <v>0.06568523123287018</v>
                </pt>
                <pt idx="85">
                  <v>0.06508991554674412</v>
                </pt>
                <pt idx="86">
                  <v>0.06456214658700042</v>
                </pt>
                <pt idx="87">
                  <v>0.06492933628129369</v>
                </pt>
                <pt idx="88">
                  <v>0.06532734407351336</v>
                </pt>
                <pt idx="89">
                  <v>0.0658793825974575</v>
                </pt>
                <pt idx="90">
                  <v>0.06603278394955285</v>
                </pt>
                <pt idx="91">
                  <v>0.06602919864926382</v>
                </pt>
                <pt idx="92">
                  <v>0.06571635379635569</v>
                </pt>
                <pt idx="93">
                  <v>0.06601519455535797</v>
                </pt>
                <pt idx="94">
                  <v>0.06606462325923093</v>
                </pt>
                <pt idx="95">
                  <v>0.0656044889422096</v>
                </pt>
                <pt idx="96">
                  <v>0.0651681137635991</v>
                </pt>
                <pt idx="97">
                  <v>0.06381886017200496</v>
                </pt>
                <pt idx="98">
                  <v>0.06294003041126556</v>
                </pt>
                <pt idx="99">
                  <v>0.06297078464702018</v>
                </pt>
                <pt idx="100">
                  <v>0.06198985798471837</v>
                </pt>
                <pt idx="101">
                  <v>0.06141763606370076</v>
                </pt>
                <pt idx="102">
                  <v>0.06083163954472873</v>
                </pt>
                <pt idx="103">
                  <v>0.06039064479411286</v>
                </pt>
                <pt idx="104">
                  <v>0.06021749355429135</v>
                </pt>
                <pt idx="105">
                  <v>0.05911116147737797</v>
                </pt>
                <pt idx="106">
                  <v>0.05820626938214763</v>
                </pt>
                <pt idx="107">
                  <v>0.05760789581615447</v>
                </pt>
                <pt idx="108">
                  <v>0.05712476208630747</v>
                </pt>
                <pt idx="109">
                  <v>0.05769126222232645</v>
                </pt>
                <pt idx="110">
                  <v>0.05773109913444407</v>
                </pt>
                <pt idx="111">
                  <v>0.05812520834312639</v>
                </pt>
                <pt idx="112">
                  <v>0.05836991087949989</v>
                </pt>
                <pt idx="113">
                  <v>0.06059209216731706</v>
                </pt>
                <pt idx="114">
                  <v>0.06016568234607337</v>
                </pt>
                <pt idx="115">
                  <v>0.06059094545018447</v>
                </pt>
                <pt idx="116">
                  <v>0.06183043396584262</v>
                </pt>
                <pt idx="117">
                  <v>0.0621182348842032</v>
                </pt>
                <pt idx="118">
                  <v>0.06372156886546437</v>
                </pt>
                <pt idx="119">
                  <v>0.06439610913600755</v>
                </pt>
                <pt idx="120">
                  <v>0.06500202899040683</v>
                </pt>
                <pt idx="121">
                  <v>0.06580574308503004</v>
                </pt>
                <pt idx="122">
                  <v>0.06750282041419259</v>
                </pt>
                <pt idx="123">
                  <v>0.0680108023277782</v>
                </pt>
                <pt idx="124">
                  <v>0.06857290377993999</v>
                </pt>
                <pt idx="125">
                  <v>0.06910632913653857</v>
                </pt>
                <pt idx="126">
                  <v>0.06778513884965406</v>
                </pt>
                <pt idx="127">
                  <v>0.068810357685407</v>
                </pt>
                <pt idx="128">
                  <v>0.06835576536004923</v>
                </pt>
                <pt idx="129">
                  <v>0.06844680070340535</v>
                </pt>
                <pt idx="130">
                  <v>0.06939602175167342</v>
                </pt>
                <pt idx="131">
                  <v>0.06913807250143952</v>
                </pt>
                <pt idx="132">
                  <v>0.07034761840088098</v>
                </pt>
                <pt idx="133">
                  <v>0.07160989589487754</v>
                </pt>
                <pt idx="134">
                  <v>0.07356191609396018</v>
                </pt>
                <pt idx="135">
                  <v>0.07291556690782842</v>
                </pt>
                <pt idx="136">
                  <v>0.0728694607279857</v>
                </pt>
                <pt idx="137">
                  <v>0.07305620531758912</v>
                </pt>
                <pt idx="138">
                  <v>0.07330781310920931</v>
                </pt>
                <pt idx="139">
                  <v>0.07437146024185748</v>
                </pt>
                <pt idx="140">
                  <v>0.07466226579792322</v>
                </pt>
                <pt idx="141">
                  <v>0.07485845916358508</v>
                </pt>
                <pt idx="142">
                  <v>0.07434539882250711</v>
                </pt>
                <pt idx="143">
                  <v>0.07402895377832859</v>
                </pt>
                <pt idx="144">
                  <v>0.07408289188007652</v>
                </pt>
                <pt idx="145">
                  <v>0.07356170143303924</v>
                </pt>
                <pt idx="146">
                  <v>0.07341902670959612</v>
                </pt>
                <pt idx="147">
                  <v>0.07315119745757859</v>
                </pt>
                <pt idx="148">
                  <v>0.07281120002530733</v>
                </pt>
                <pt idx="149">
                  <v>0.07263778990201239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207076943"/>
        <axId val="1752315215"/>
      </lineChart>
      <dateAx>
        <axId val="1207076943"/>
        <scaling>
          <orientation val="minMax"/>
        </scaling>
        <delete val="0"/>
        <axPos val="b"/>
        <numFmt formatCode="[$-409]m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52315215"/>
        <crosses val="autoZero"/>
        <lblOffset val="100"/>
        <baseTimeUnit val="months"/>
      </dateAx>
      <valAx>
        <axId val="1752315215"/>
        <scaling>
          <orientation val="minMax"/>
          <min val="0.05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0707694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Charts!$D$2</f>
              <strCache>
                <ptCount val="1"/>
                <pt idx="0">
                  <v>Transaction Count (ttm) w/o Sumitomo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dLbl>
              <idx val="157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8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03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Charts!$B$15:$B$218</f>
              <numCache>
                <formatCode>[$-409]mmm\-yy;@</formatCode>
                <ptCount val="204"/>
                <pt idx="0">
                  <v>39814</v>
                </pt>
                <pt idx="1">
                  <v>39845</v>
                </pt>
                <pt idx="2">
                  <v>39873</v>
                </pt>
                <pt idx="3">
                  <v>39904</v>
                </pt>
                <pt idx="4">
                  <v>39934</v>
                </pt>
                <pt idx="5">
                  <v>39965</v>
                </pt>
                <pt idx="6">
                  <v>39995</v>
                </pt>
                <pt idx="7">
                  <v>40026</v>
                </pt>
                <pt idx="8">
                  <v>40057</v>
                </pt>
                <pt idx="9">
                  <v>40087</v>
                </pt>
                <pt idx="10">
                  <v>40118</v>
                </pt>
                <pt idx="11">
                  <v>40148</v>
                </pt>
                <pt idx="12">
                  <v>40179</v>
                </pt>
                <pt idx="13">
                  <v>40210</v>
                </pt>
                <pt idx="14">
                  <v>40238</v>
                </pt>
                <pt idx="15">
                  <v>40269</v>
                </pt>
                <pt idx="16">
                  <v>40299</v>
                </pt>
                <pt idx="17">
                  <v>40330</v>
                </pt>
                <pt idx="18">
                  <v>40360</v>
                </pt>
                <pt idx="19">
                  <v>40391</v>
                </pt>
                <pt idx="20">
                  <v>40422</v>
                </pt>
                <pt idx="21">
                  <v>40452</v>
                </pt>
                <pt idx="22">
                  <v>40483</v>
                </pt>
                <pt idx="23">
                  <v>40513</v>
                </pt>
                <pt idx="24">
                  <v>40544</v>
                </pt>
                <pt idx="25">
                  <v>40575</v>
                </pt>
                <pt idx="26">
                  <v>40603</v>
                </pt>
                <pt idx="27">
                  <v>40634</v>
                </pt>
                <pt idx="28">
                  <v>40664</v>
                </pt>
                <pt idx="29">
                  <v>40695</v>
                </pt>
                <pt idx="30">
                  <v>40725</v>
                </pt>
                <pt idx="31">
                  <v>40756</v>
                </pt>
                <pt idx="32">
                  <v>40787</v>
                </pt>
                <pt idx="33">
                  <v>40817</v>
                </pt>
                <pt idx="34">
                  <v>40848</v>
                </pt>
                <pt idx="35">
                  <v>40878</v>
                </pt>
                <pt idx="36">
                  <v>40909</v>
                </pt>
                <pt idx="37">
                  <v>40940</v>
                </pt>
                <pt idx="38">
                  <v>40969</v>
                </pt>
                <pt idx="39">
                  <v>41000</v>
                </pt>
                <pt idx="40">
                  <v>41030</v>
                </pt>
                <pt idx="41">
                  <v>41061</v>
                </pt>
                <pt idx="42">
                  <v>41091</v>
                </pt>
                <pt idx="43">
                  <v>41122</v>
                </pt>
                <pt idx="44">
                  <v>41153</v>
                </pt>
                <pt idx="45">
                  <v>41183</v>
                </pt>
                <pt idx="46">
                  <v>41214</v>
                </pt>
                <pt idx="47">
                  <v>41244</v>
                </pt>
                <pt idx="48">
                  <v>41275</v>
                </pt>
                <pt idx="49">
                  <v>41306</v>
                </pt>
                <pt idx="50">
                  <v>41334</v>
                </pt>
                <pt idx="51">
                  <v>41365</v>
                </pt>
                <pt idx="52">
                  <v>41395</v>
                </pt>
                <pt idx="53">
                  <v>41426</v>
                </pt>
                <pt idx="54">
                  <v>41456</v>
                </pt>
                <pt idx="55">
                  <v>41487</v>
                </pt>
                <pt idx="56">
                  <v>41518</v>
                </pt>
                <pt idx="57">
                  <v>41548</v>
                </pt>
                <pt idx="58">
                  <v>41579</v>
                </pt>
                <pt idx="59">
                  <v>41609</v>
                </pt>
                <pt idx="60">
                  <v>41640</v>
                </pt>
                <pt idx="61">
                  <v>41671</v>
                </pt>
                <pt idx="62">
                  <v>41699</v>
                </pt>
                <pt idx="63">
                  <v>41730</v>
                </pt>
                <pt idx="64">
                  <v>41760</v>
                </pt>
                <pt idx="65">
                  <v>41791</v>
                </pt>
                <pt idx="66">
                  <v>41821</v>
                </pt>
                <pt idx="67">
                  <v>41852</v>
                </pt>
                <pt idx="68">
                  <v>41883</v>
                </pt>
                <pt idx="69">
                  <v>41913</v>
                </pt>
                <pt idx="70">
                  <v>41944</v>
                </pt>
                <pt idx="71">
                  <v>41974</v>
                </pt>
                <pt idx="72">
                  <v>42005</v>
                </pt>
                <pt idx="73">
                  <v>42036</v>
                </pt>
                <pt idx="74">
                  <v>42064</v>
                </pt>
                <pt idx="75">
                  <v>42095</v>
                </pt>
                <pt idx="76">
                  <v>42125</v>
                </pt>
                <pt idx="77">
                  <v>42156</v>
                </pt>
                <pt idx="78">
                  <v>42186</v>
                </pt>
                <pt idx="79">
                  <v>42217</v>
                </pt>
                <pt idx="80">
                  <v>42248</v>
                </pt>
                <pt idx="81">
                  <v>42278</v>
                </pt>
                <pt idx="82">
                  <v>42309</v>
                </pt>
                <pt idx="83">
                  <v>42339</v>
                </pt>
                <pt idx="84">
                  <v>42370</v>
                </pt>
                <pt idx="85">
                  <v>42401</v>
                </pt>
                <pt idx="86">
                  <v>42430</v>
                </pt>
                <pt idx="87">
                  <v>42461</v>
                </pt>
                <pt idx="88">
                  <v>42491</v>
                </pt>
                <pt idx="89">
                  <v>42522</v>
                </pt>
                <pt idx="90">
                  <v>42552</v>
                </pt>
                <pt idx="91">
                  <v>42583</v>
                </pt>
                <pt idx="92">
                  <v>42614</v>
                </pt>
                <pt idx="93">
                  <v>42644</v>
                </pt>
                <pt idx="94">
                  <v>42675</v>
                </pt>
                <pt idx="95">
                  <v>42705</v>
                </pt>
                <pt idx="96">
                  <v>42736</v>
                </pt>
                <pt idx="97">
                  <v>42767</v>
                </pt>
                <pt idx="98">
                  <v>42795</v>
                </pt>
                <pt idx="99">
                  <v>42826</v>
                </pt>
                <pt idx="100">
                  <v>42856</v>
                </pt>
                <pt idx="101">
                  <v>42887</v>
                </pt>
                <pt idx="102">
                  <v>42917</v>
                </pt>
                <pt idx="103">
                  <v>42948</v>
                </pt>
                <pt idx="104">
                  <v>42979</v>
                </pt>
                <pt idx="105">
                  <v>43009</v>
                </pt>
                <pt idx="106">
                  <v>43040</v>
                </pt>
                <pt idx="107">
                  <v>43070</v>
                </pt>
                <pt idx="108">
                  <v>43101</v>
                </pt>
                <pt idx="109">
                  <v>43132</v>
                </pt>
                <pt idx="110">
                  <v>43160</v>
                </pt>
                <pt idx="111">
                  <v>43191</v>
                </pt>
                <pt idx="112">
                  <v>43221</v>
                </pt>
                <pt idx="113">
                  <v>43252</v>
                </pt>
                <pt idx="114">
                  <v>43282</v>
                </pt>
                <pt idx="115">
                  <v>43313</v>
                </pt>
                <pt idx="116">
                  <v>43344</v>
                </pt>
                <pt idx="117">
                  <v>43374</v>
                </pt>
                <pt idx="118">
                  <v>43405</v>
                </pt>
                <pt idx="119">
                  <v>43435</v>
                </pt>
                <pt idx="120">
                  <v>43466</v>
                </pt>
                <pt idx="121">
                  <v>43497</v>
                </pt>
                <pt idx="122">
                  <v>43525</v>
                </pt>
                <pt idx="123">
                  <v>43556</v>
                </pt>
                <pt idx="124">
                  <v>43586</v>
                </pt>
                <pt idx="125">
                  <v>43617</v>
                </pt>
                <pt idx="126">
                  <v>43647</v>
                </pt>
                <pt idx="127">
                  <v>43678</v>
                </pt>
                <pt idx="128">
                  <v>43709</v>
                </pt>
                <pt idx="129">
                  <v>43739</v>
                </pt>
                <pt idx="130">
                  <v>43770</v>
                </pt>
                <pt idx="131">
                  <v>43800</v>
                </pt>
                <pt idx="132">
                  <v>43831</v>
                </pt>
                <pt idx="133">
                  <v>43862</v>
                </pt>
                <pt idx="134">
                  <v>43891</v>
                </pt>
                <pt idx="135">
                  <v>43922</v>
                </pt>
                <pt idx="136">
                  <v>43952</v>
                </pt>
                <pt idx="137">
                  <v>43983</v>
                </pt>
                <pt idx="138">
                  <v>44013</v>
                </pt>
                <pt idx="139">
                  <v>44044</v>
                </pt>
                <pt idx="140">
                  <v>44075</v>
                </pt>
                <pt idx="141">
                  <v>44105</v>
                </pt>
                <pt idx="142">
                  <v>44136</v>
                </pt>
                <pt idx="143">
                  <v>44166</v>
                </pt>
                <pt idx="144">
                  <v>44197</v>
                </pt>
                <pt idx="145">
                  <v>44228</v>
                </pt>
                <pt idx="146">
                  <v>44256</v>
                </pt>
                <pt idx="147">
                  <v>44287</v>
                </pt>
                <pt idx="148">
                  <v>44317</v>
                </pt>
                <pt idx="149">
                  <v>44348</v>
                </pt>
                <pt idx="150">
                  <v>44378</v>
                </pt>
                <pt idx="151">
                  <v>44409</v>
                </pt>
                <pt idx="152">
                  <v>44440</v>
                </pt>
                <pt idx="153">
                  <v>44470</v>
                </pt>
                <pt idx="154">
                  <v>44501</v>
                </pt>
                <pt idx="155">
                  <v>44531</v>
                </pt>
                <pt idx="156">
                  <v>44562</v>
                </pt>
                <pt idx="157">
                  <v>44593</v>
                </pt>
                <pt idx="158">
                  <v>44621</v>
                </pt>
                <pt idx="159">
                  <v>44652</v>
                </pt>
                <pt idx="160">
                  <v>44682</v>
                </pt>
                <pt idx="161">
                  <v>44713</v>
                </pt>
                <pt idx="162">
                  <v>44743</v>
                </pt>
                <pt idx="163">
                  <v>44774</v>
                </pt>
                <pt idx="164">
                  <v>44805</v>
                </pt>
                <pt idx="165">
                  <v>44835</v>
                </pt>
                <pt idx="166">
                  <v>44866</v>
                </pt>
                <pt idx="167">
                  <v>44896</v>
                </pt>
                <pt idx="168">
                  <v>44927</v>
                </pt>
                <pt idx="169">
                  <v>44958</v>
                </pt>
                <pt idx="170">
                  <v>44986</v>
                </pt>
                <pt idx="171">
                  <v>45017</v>
                </pt>
                <pt idx="172">
                  <v>45047</v>
                </pt>
                <pt idx="173">
                  <v>45078</v>
                </pt>
                <pt idx="174">
                  <v>45108</v>
                </pt>
                <pt idx="175">
                  <v>45139</v>
                </pt>
                <pt idx="176">
                  <v>45170</v>
                </pt>
                <pt idx="177">
                  <v>45200</v>
                </pt>
                <pt idx="178">
                  <v>45231</v>
                </pt>
                <pt idx="179">
                  <v>45261</v>
                </pt>
                <pt idx="180">
                  <v>45292</v>
                </pt>
                <pt idx="181">
                  <v>45323</v>
                </pt>
                <pt idx="182">
                  <v>45352</v>
                </pt>
                <pt idx="183">
                  <v>45383</v>
                </pt>
                <pt idx="184">
                  <v>45413</v>
                </pt>
                <pt idx="185">
                  <v>45444</v>
                </pt>
                <pt idx="186">
                  <v>45474</v>
                </pt>
                <pt idx="187">
                  <v>45505</v>
                </pt>
                <pt idx="188">
                  <v>45536</v>
                </pt>
                <pt idx="189">
                  <v>45566</v>
                </pt>
                <pt idx="190">
                  <v>45597</v>
                </pt>
                <pt idx="191">
                  <v>45627</v>
                </pt>
                <pt idx="192">
                  <v>45658</v>
                </pt>
                <pt idx="193">
                  <v>45689</v>
                </pt>
                <pt idx="194">
                  <v>45717</v>
                </pt>
                <pt idx="195">
                  <v>45748</v>
                </pt>
                <pt idx="196">
                  <v>45778</v>
                </pt>
                <pt idx="197">
                  <v>45809</v>
                </pt>
                <pt idx="198">
                  <v>45839</v>
                </pt>
                <pt idx="199">
                  <v>45870</v>
                </pt>
                <pt idx="200">
                  <v>45901</v>
                </pt>
                <pt idx="201">
                  <v>45931</v>
                </pt>
                <pt idx="202">
                  <v>45962</v>
                </pt>
                <pt idx="203">
                  <v>45992</v>
                </pt>
              </numCache>
            </numRef>
          </cat>
          <val>
            <numRef>
              <f>Charts!$D$15:$D$218</f>
              <numCache>
                <formatCode>#,##0_);[Red]\(#,##0\)</formatCode>
                <ptCount val="204"/>
                <pt idx="0">
                  <v>18</v>
                </pt>
                <pt idx="1">
                  <v>15</v>
                </pt>
                <pt idx="2">
                  <v>16</v>
                </pt>
                <pt idx="3">
                  <v>14</v>
                </pt>
                <pt idx="4">
                  <v>18</v>
                </pt>
                <pt idx="5">
                  <v>16</v>
                </pt>
                <pt idx="6">
                  <v>17</v>
                </pt>
                <pt idx="7">
                  <v>16</v>
                </pt>
                <pt idx="8">
                  <v>14</v>
                </pt>
                <pt idx="9">
                  <v>11</v>
                </pt>
                <pt idx="10">
                  <v>12</v>
                </pt>
                <pt idx="11">
                  <v>11</v>
                </pt>
                <pt idx="12">
                  <v>13</v>
                </pt>
                <pt idx="13">
                  <v>14</v>
                </pt>
                <pt idx="14">
                  <v>17</v>
                </pt>
                <pt idx="15">
                  <v>21</v>
                </pt>
                <pt idx="16">
                  <v>18</v>
                </pt>
                <pt idx="17">
                  <v>18</v>
                </pt>
                <pt idx="18">
                  <v>21</v>
                </pt>
                <pt idx="19">
                  <v>22</v>
                </pt>
                <pt idx="20">
                  <v>22</v>
                </pt>
                <pt idx="21">
                  <v>23</v>
                </pt>
                <pt idx="22">
                  <v>22</v>
                </pt>
                <pt idx="23">
                  <v>25</v>
                </pt>
                <pt idx="24">
                  <v>24</v>
                </pt>
                <pt idx="25">
                  <v>25</v>
                </pt>
                <pt idx="26">
                  <v>22</v>
                </pt>
                <pt idx="27">
                  <v>19</v>
                </pt>
                <pt idx="28">
                  <v>20</v>
                </pt>
                <pt idx="29">
                  <v>24</v>
                </pt>
                <pt idx="30">
                  <v>23</v>
                </pt>
                <pt idx="31">
                  <v>28</v>
                </pt>
                <pt idx="32">
                  <v>31</v>
                </pt>
                <pt idx="33">
                  <v>34</v>
                </pt>
                <pt idx="34">
                  <v>39</v>
                </pt>
                <pt idx="35">
                  <v>45</v>
                </pt>
                <pt idx="36">
                  <v>46</v>
                </pt>
                <pt idx="37">
                  <v>50</v>
                </pt>
                <pt idx="38">
                  <v>52</v>
                </pt>
                <pt idx="39">
                  <v>55</v>
                </pt>
                <pt idx="40">
                  <v>59</v>
                </pt>
                <pt idx="41">
                  <v>56</v>
                </pt>
                <pt idx="42">
                  <v>56</v>
                </pt>
                <pt idx="43">
                  <v>54</v>
                </pt>
                <pt idx="44">
                  <v>54</v>
                </pt>
                <pt idx="45">
                  <v>53</v>
                </pt>
                <pt idx="46">
                  <v>51</v>
                </pt>
                <pt idx="47">
                  <v>46</v>
                </pt>
                <pt idx="48">
                  <v>50</v>
                </pt>
                <pt idx="49">
                  <v>47</v>
                </pt>
                <pt idx="50">
                  <v>49</v>
                </pt>
                <pt idx="51">
                  <v>48</v>
                </pt>
                <pt idx="52">
                  <v>49</v>
                </pt>
                <pt idx="53">
                  <v>53</v>
                </pt>
                <pt idx="54">
                  <v>56</v>
                </pt>
                <pt idx="55">
                  <v>54</v>
                </pt>
                <pt idx="56">
                  <v>55</v>
                </pt>
                <pt idx="57">
                  <v>57</v>
                </pt>
                <pt idx="58">
                  <v>63</v>
                </pt>
                <pt idx="59">
                  <v>70</v>
                </pt>
                <pt idx="60">
                  <v>67</v>
                </pt>
                <pt idx="61">
                  <v>70</v>
                </pt>
                <pt idx="62">
                  <v>69</v>
                </pt>
                <pt idx="63">
                  <v>71</v>
                </pt>
                <pt idx="64">
                  <v>73</v>
                </pt>
                <pt idx="65">
                  <v>77</v>
                </pt>
                <pt idx="66">
                  <v>79</v>
                </pt>
                <pt idx="67">
                  <v>84</v>
                </pt>
                <pt idx="68">
                  <v>89</v>
                </pt>
                <pt idx="69">
                  <v>91</v>
                </pt>
                <pt idx="70">
                  <v>89</v>
                </pt>
                <pt idx="71">
                  <v>95</v>
                </pt>
                <pt idx="72">
                  <v>107</v>
                </pt>
                <pt idx="73">
                  <v>102</v>
                </pt>
                <pt idx="74">
                  <v>106</v>
                </pt>
                <pt idx="75">
                  <v>114</v>
                </pt>
                <pt idx="76">
                  <v>113</v>
                </pt>
                <pt idx="77">
                  <v>113</v>
                </pt>
                <pt idx="78">
                  <v>114</v>
                </pt>
                <pt idx="79">
                  <v>119</v>
                </pt>
                <pt idx="80">
                  <v>117</v>
                </pt>
                <pt idx="81">
                  <v>121</v>
                </pt>
                <pt idx="82">
                  <v>120</v>
                </pt>
                <pt idx="83">
                  <v>123</v>
                </pt>
                <pt idx="84">
                  <v>118</v>
                </pt>
                <pt idx="85">
                  <v>123</v>
                </pt>
                <pt idx="86">
                  <v>133</v>
                </pt>
                <pt idx="87">
                  <v>129</v>
                </pt>
                <pt idx="88">
                  <v>133</v>
                </pt>
                <pt idx="89">
                  <v>135</v>
                </pt>
                <pt idx="90">
                  <v>136</v>
                </pt>
                <pt idx="91">
                  <v>133</v>
                </pt>
                <pt idx="92">
                  <v>134</v>
                </pt>
                <pt idx="93">
                  <v>144</v>
                </pt>
                <pt idx="94">
                  <v>157</v>
                </pt>
                <pt idx="95">
                  <v>150</v>
                </pt>
                <pt idx="96">
                  <v>155</v>
                </pt>
                <pt idx="97">
                  <v>157</v>
                </pt>
                <pt idx="98">
                  <v>147</v>
                </pt>
                <pt idx="99">
                  <v>160</v>
                </pt>
                <pt idx="100">
                  <v>166</v>
                </pt>
                <pt idx="101">
                  <v>170</v>
                </pt>
                <pt idx="102">
                  <v>171</v>
                </pt>
                <pt idx="103">
                  <v>180</v>
                </pt>
                <pt idx="104">
                  <v>183</v>
                </pt>
                <pt idx="105">
                  <v>179</v>
                </pt>
                <pt idx="106">
                  <v>176</v>
                </pt>
                <pt idx="107">
                  <v>191</v>
                </pt>
                <pt idx="108">
                  <v>195</v>
                </pt>
                <pt idx="109">
                  <v>201</v>
                </pt>
                <pt idx="110">
                  <v>222</v>
                </pt>
                <pt idx="111">
                  <v>217</v>
                </pt>
                <pt idx="112">
                  <v>231</v>
                </pt>
                <pt idx="113">
                  <v>239</v>
                </pt>
                <pt idx="114">
                  <v>248</v>
                </pt>
                <pt idx="115">
                  <v>250</v>
                </pt>
                <pt idx="116">
                  <v>249</v>
                </pt>
                <pt idx="117">
                  <v>252</v>
                </pt>
                <pt idx="118">
                  <v>255</v>
                </pt>
                <pt idx="119">
                  <v>252</v>
                </pt>
                <pt idx="120">
                  <v>249</v>
                </pt>
                <pt idx="121">
                  <v>243</v>
                </pt>
                <pt idx="122">
                  <v>230</v>
                </pt>
                <pt idx="123">
                  <v>228</v>
                </pt>
                <pt idx="124">
                  <v>216</v>
                </pt>
                <pt idx="125">
                  <v>215</v>
                </pt>
                <pt idx="126">
                  <v>222</v>
                </pt>
                <pt idx="127">
                  <v>218</v>
                </pt>
                <pt idx="128">
                  <v>228</v>
                </pt>
                <pt idx="129">
                  <v>221</v>
                </pt>
                <pt idx="130">
                  <v>218</v>
                </pt>
                <pt idx="131">
                  <v>213</v>
                </pt>
                <pt idx="132">
                  <v>227</v>
                </pt>
                <pt idx="133">
                  <v>234</v>
                </pt>
                <pt idx="134">
                  <v>244</v>
                </pt>
                <pt idx="135">
                  <v>242</v>
                </pt>
                <pt idx="136">
                  <v>239</v>
                </pt>
                <pt idx="137">
                  <v>241</v>
                </pt>
                <pt idx="138">
                  <v>231</v>
                </pt>
                <pt idx="139">
                  <v>236</v>
                </pt>
                <pt idx="140">
                  <v>230</v>
                </pt>
                <pt idx="141">
                  <v>231</v>
                </pt>
                <pt idx="142">
                  <v>233</v>
                </pt>
                <pt idx="143">
                  <v>253</v>
                </pt>
                <pt idx="144">
                  <v>241</v>
                </pt>
                <pt idx="145">
                  <v>239</v>
                </pt>
                <pt idx="146">
                  <v>247</v>
                </pt>
                <pt idx="147">
                  <v>261</v>
                </pt>
                <pt idx="148">
                  <v>271</v>
                </pt>
                <pt idx="149">
                  <v>276</v>
                </pt>
                <pt idx="150">
                  <v>279</v>
                </pt>
                <pt idx="151">
                  <v>291</v>
                </pt>
                <pt idx="152">
                  <v>304</v>
                </pt>
                <pt idx="153">
                  <v>302</v>
                </pt>
                <pt idx="154">
                  <v>307</v>
                </pt>
                <pt idx="155">
                  <v>296</v>
                </pt>
                <pt idx="156">
                  <v>308</v>
                </pt>
                <pt idx="157">
                  <v>312</v>
                </pt>
                <pt idx="158">
                  <v>300</v>
                </pt>
                <pt idx="159">
                  <v>290</v>
                </pt>
                <pt idx="160">
                  <v>285</v>
                </pt>
                <pt idx="161">
                  <v>275</v>
                </pt>
                <pt idx="162">
                  <v>269</v>
                </pt>
                <pt idx="163">
                  <v>252</v>
                </pt>
                <pt idx="164">
                  <v>241</v>
                </pt>
                <pt idx="165">
                  <v>238</v>
                </pt>
                <pt idx="166">
                  <v>222</v>
                </pt>
                <pt idx="167">
                  <v>211</v>
                </pt>
                <pt idx="168">
                  <v>193</v>
                </pt>
                <pt idx="169">
                  <v>186</v>
                </pt>
                <pt idx="170">
                  <v>173</v>
                </pt>
                <pt idx="171">
                  <v>162</v>
                </pt>
                <pt idx="172">
                  <v>149</v>
                </pt>
                <pt idx="173">
                  <v>141</v>
                </pt>
                <pt idx="174">
                  <v>133</v>
                </pt>
                <pt idx="175">
                  <v>135</v>
                </pt>
                <pt idx="176">
                  <v>128</v>
                </pt>
                <pt idx="177">
                  <v>129</v>
                </pt>
                <pt idx="178">
                  <v>127</v>
                </pt>
                <pt idx="179">
                  <v>118</v>
                </pt>
                <pt idx="180">
                  <v>114</v>
                </pt>
                <pt idx="181">
                  <v>107</v>
                </pt>
                <pt idx="182">
                  <v>105</v>
                </pt>
                <pt idx="183">
                  <v>110</v>
                </pt>
                <pt idx="184">
                  <v>105</v>
                </pt>
                <pt idx="185">
                  <v>99</v>
                </pt>
                <pt idx="186">
                  <v>97</v>
                </pt>
                <pt idx="187">
                  <v>84</v>
                </pt>
                <pt idx="188">
                  <v>80</v>
                </pt>
                <pt idx="189">
                  <v>82</v>
                </pt>
                <pt idx="190">
                  <v>87</v>
                </pt>
                <pt idx="191">
                  <v>87</v>
                </pt>
                <pt idx="192">
                  <v>87</v>
                </pt>
                <pt idx="193">
                  <v>90</v>
                </pt>
                <pt idx="194">
                  <v>91</v>
                </pt>
                <pt idx="195">
                  <v>87</v>
                </pt>
                <pt idx="196">
                  <v>98</v>
                </pt>
                <pt idx="197">
                  <v>104</v>
                </pt>
                <pt idx="198">
                  <v>106</v>
                </pt>
                <pt idx="199">
                  <v>108</v>
                </pt>
                <pt idx="200">
                  <v>122</v>
                </pt>
                <pt idx="201">
                  <v>115</v>
                </pt>
                <pt idx="202">
                  <v>113</v>
                </pt>
                <pt idx="203">
                  <v>118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756662272"/>
        <axId val="700550576"/>
      </barChart>
      <dateAx>
        <axId val="756662272"/>
        <scaling>
          <orientation val="minMax"/>
        </scaling>
        <delete val="0"/>
        <axPos val="b"/>
        <numFmt formatCode="[$-409]m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00550576"/>
        <crosses val="autoZero"/>
        <lblOffset val="100"/>
        <baseTimeUnit val="months"/>
      </dateAx>
      <valAx>
        <axId val="7005505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5666227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Moving Average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Charts!$AB$2</f>
              <strCache>
                <ptCount val="1"/>
                <pt idx="0">
                  <v>10+ Year Cap (ttm)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4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1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2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36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Charts!$B$75:$B$218</f>
              <numCache>
                <formatCode>[$-409]mmm\-yy;@</formatCode>
                <ptCount val="144"/>
                <pt idx="0">
                  <v>41640</v>
                </pt>
                <pt idx="1">
                  <v>41671</v>
                </pt>
                <pt idx="2">
                  <v>41699</v>
                </pt>
                <pt idx="3">
                  <v>41730</v>
                </pt>
                <pt idx="4">
                  <v>41760</v>
                </pt>
                <pt idx="5">
                  <v>41791</v>
                </pt>
                <pt idx="6">
                  <v>41821</v>
                </pt>
                <pt idx="7">
                  <v>41852</v>
                </pt>
                <pt idx="8">
                  <v>41883</v>
                </pt>
                <pt idx="9">
                  <v>41913</v>
                </pt>
                <pt idx="10">
                  <v>41944</v>
                </pt>
                <pt idx="11">
                  <v>41974</v>
                </pt>
                <pt idx="12">
                  <v>42005</v>
                </pt>
                <pt idx="13">
                  <v>42036</v>
                </pt>
                <pt idx="14">
                  <v>42064</v>
                </pt>
                <pt idx="15">
                  <v>42095</v>
                </pt>
                <pt idx="16">
                  <v>42125</v>
                </pt>
                <pt idx="17">
                  <v>42156</v>
                </pt>
                <pt idx="18">
                  <v>42186</v>
                </pt>
                <pt idx="19">
                  <v>42217</v>
                </pt>
                <pt idx="20">
                  <v>42248</v>
                </pt>
                <pt idx="21">
                  <v>42278</v>
                </pt>
                <pt idx="22">
                  <v>42309</v>
                </pt>
                <pt idx="23">
                  <v>42339</v>
                </pt>
                <pt idx="24">
                  <v>42370</v>
                </pt>
                <pt idx="25">
                  <v>42401</v>
                </pt>
                <pt idx="26">
                  <v>42430</v>
                </pt>
                <pt idx="27">
                  <v>42461</v>
                </pt>
                <pt idx="28">
                  <v>42491</v>
                </pt>
                <pt idx="29">
                  <v>42522</v>
                </pt>
                <pt idx="30">
                  <v>42552</v>
                </pt>
                <pt idx="31">
                  <v>42583</v>
                </pt>
                <pt idx="32">
                  <v>42614</v>
                </pt>
                <pt idx="33">
                  <v>42644</v>
                </pt>
                <pt idx="34">
                  <v>42675</v>
                </pt>
                <pt idx="35">
                  <v>42705</v>
                </pt>
                <pt idx="36">
                  <v>42736</v>
                </pt>
                <pt idx="37">
                  <v>42767</v>
                </pt>
                <pt idx="38">
                  <v>42795</v>
                </pt>
                <pt idx="39">
                  <v>42826</v>
                </pt>
                <pt idx="40">
                  <v>42856</v>
                </pt>
                <pt idx="41">
                  <v>42887</v>
                </pt>
                <pt idx="42">
                  <v>42917</v>
                </pt>
                <pt idx="43">
                  <v>42948</v>
                </pt>
                <pt idx="44">
                  <v>42979</v>
                </pt>
                <pt idx="45">
                  <v>43009</v>
                </pt>
                <pt idx="46">
                  <v>43040</v>
                </pt>
                <pt idx="47">
                  <v>43070</v>
                </pt>
                <pt idx="48">
                  <v>43101</v>
                </pt>
                <pt idx="49">
                  <v>43132</v>
                </pt>
                <pt idx="50">
                  <v>43160</v>
                </pt>
                <pt idx="51">
                  <v>43191</v>
                </pt>
                <pt idx="52">
                  <v>43221</v>
                </pt>
                <pt idx="53">
                  <v>43252</v>
                </pt>
                <pt idx="54">
                  <v>43282</v>
                </pt>
                <pt idx="55">
                  <v>43313</v>
                </pt>
                <pt idx="56">
                  <v>43344</v>
                </pt>
                <pt idx="57">
                  <v>43374</v>
                </pt>
                <pt idx="58">
                  <v>43405</v>
                </pt>
                <pt idx="59">
                  <v>43435</v>
                </pt>
                <pt idx="60">
                  <v>43466</v>
                </pt>
                <pt idx="61">
                  <v>43497</v>
                </pt>
                <pt idx="62">
                  <v>43525</v>
                </pt>
                <pt idx="63">
                  <v>43556</v>
                </pt>
                <pt idx="64">
                  <v>43586</v>
                </pt>
                <pt idx="65">
                  <v>43617</v>
                </pt>
                <pt idx="66">
                  <v>43647</v>
                </pt>
                <pt idx="67">
                  <v>43678</v>
                </pt>
                <pt idx="68">
                  <v>43709</v>
                </pt>
                <pt idx="69">
                  <v>43739</v>
                </pt>
                <pt idx="70">
                  <v>43770</v>
                </pt>
                <pt idx="71">
                  <v>43800</v>
                </pt>
                <pt idx="72">
                  <v>43831</v>
                </pt>
                <pt idx="73">
                  <v>43862</v>
                </pt>
                <pt idx="74">
                  <v>43891</v>
                </pt>
                <pt idx="75">
                  <v>43922</v>
                </pt>
                <pt idx="76">
                  <v>43952</v>
                </pt>
                <pt idx="77">
                  <v>43983</v>
                </pt>
                <pt idx="78">
                  <v>44013</v>
                </pt>
                <pt idx="79">
                  <v>44044</v>
                </pt>
                <pt idx="80">
                  <v>44075</v>
                </pt>
                <pt idx="81">
                  <v>44105</v>
                </pt>
                <pt idx="82">
                  <v>44136</v>
                </pt>
                <pt idx="83">
                  <v>44166</v>
                </pt>
                <pt idx="84">
                  <v>44197</v>
                </pt>
                <pt idx="85">
                  <v>44228</v>
                </pt>
                <pt idx="86">
                  <v>44256</v>
                </pt>
                <pt idx="87">
                  <v>44287</v>
                </pt>
                <pt idx="88">
                  <v>44317</v>
                </pt>
                <pt idx="89">
                  <v>44348</v>
                </pt>
                <pt idx="90">
                  <v>44378</v>
                </pt>
                <pt idx="91">
                  <v>44409</v>
                </pt>
                <pt idx="92">
                  <v>44440</v>
                </pt>
                <pt idx="93">
                  <v>44470</v>
                </pt>
                <pt idx="94">
                  <v>44501</v>
                </pt>
                <pt idx="95">
                  <v>44531</v>
                </pt>
                <pt idx="96">
                  <v>44562</v>
                </pt>
                <pt idx="97">
                  <v>44593</v>
                </pt>
                <pt idx="98">
                  <v>44621</v>
                </pt>
                <pt idx="99">
                  <v>44652</v>
                </pt>
                <pt idx="100">
                  <v>44682</v>
                </pt>
                <pt idx="101">
                  <v>44713</v>
                </pt>
                <pt idx="102">
                  <v>44743</v>
                </pt>
                <pt idx="103">
                  <v>44774</v>
                </pt>
                <pt idx="104">
                  <v>44805</v>
                </pt>
                <pt idx="105">
                  <v>44835</v>
                </pt>
                <pt idx="106">
                  <v>44866</v>
                </pt>
                <pt idx="107">
                  <v>44896</v>
                </pt>
                <pt idx="108">
                  <v>44927</v>
                </pt>
                <pt idx="109">
                  <v>44958</v>
                </pt>
                <pt idx="110">
                  <v>44986</v>
                </pt>
                <pt idx="111">
                  <v>45017</v>
                </pt>
                <pt idx="112">
                  <v>45047</v>
                </pt>
                <pt idx="113">
                  <v>45078</v>
                </pt>
                <pt idx="114">
                  <v>45108</v>
                </pt>
                <pt idx="115">
                  <v>45139</v>
                </pt>
                <pt idx="116">
                  <v>45170</v>
                </pt>
                <pt idx="117">
                  <v>45200</v>
                </pt>
                <pt idx="118">
                  <v>45231</v>
                </pt>
                <pt idx="119">
                  <v>45261</v>
                </pt>
                <pt idx="120">
                  <v>45292</v>
                </pt>
                <pt idx="121">
                  <v>45323</v>
                </pt>
                <pt idx="122">
                  <v>45352</v>
                </pt>
                <pt idx="123">
                  <v>45383</v>
                </pt>
                <pt idx="124">
                  <v>45413</v>
                </pt>
                <pt idx="125">
                  <v>45444</v>
                </pt>
                <pt idx="126">
                  <v>45474</v>
                </pt>
                <pt idx="127">
                  <v>45505</v>
                </pt>
                <pt idx="128">
                  <v>45536</v>
                </pt>
                <pt idx="129">
                  <v>45566</v>
                </pt>
                <pt idx="130">
                  <v>45597</v>
                </pt>
                <pt idx="131">
                  <v>45627</v>
                </pt>
                <pt idx="132">
                  <v>45658</v>
                </pt>
                <pt idx="133">
                  <v>45689</v>
                </pt>
                <pt idx="134">
                  <v>45717</v>
                </pt>
                <pt idx="135">
                  <v>45748</v>
                </pt>
                <pt idx="136">
                  <v>45778</v>
                </pt>
                <pt idx="137">
                  <v>45809</v>
                </pt>
                <pt idx="138">
                  <v>45839</v>
                </pt>
                <pt idx="139">
                  <v>45870</v>
                </pt>
                <pt idx="140">
                  <v>45901</v>
                </pt>
                <pt idx="141">
                  <v>45931</v>
                </pt>
                <pt idx="142">
                  <v>45962</v>
                </pt>
                <pt idx="143">
                  <v>45992</v>
                </pt>
              </numCache>
            </numRef>
          </cat>
          <val>
            <numRef>
              <f>Charts!$AB$75:$AB$218</f>
              <numCache>
                <formatCode>0.00%</formatCode>
                <ptCount val="144"/>
                <pt idx="0">
                  <v>0.0731492580375501</v>
                </pt>
                <pt idx="1">
                  <v>0.07270548566566479</v>
                </pt>
                <pt idx="2">
                  <v>0.07270548566566479</v>
                </pt>
                <pt idx="3">
                  <v>0.07240137936138417</v>
                </pt>
                <pt idx="4">
                  <v>0.07250936018816788</v>
                </pt>
                <pt idx="5">
                  <v>0.07220793360868637</v>
                </pt>
                <pt idx="6">
                  <v>0.07291659683319276</v>
                </pt>
                <pt idx="7">
                  <v>0.07227713013916892</v>
                </pt>
                <pt idx="8">
                  <v>0.07394006048980707</v>
                </pt>
                <pt idx="9">
                  <v>0.07368635913823568</v>
                </pt>
                <pt idx="10">
                  <v>0.07368635913823568</v>
                </pt>
                <pt idx="11">
                  <v>0.07112137004929303</v>
                </pt>
                <pt idx="12">
                  <v>0.07112137004929303</v>
                </pt>
                <pt idx="13">
                  <v>0.07090092037049217</v>
                </pt>
                <pt idx="14">
                  <v>0.07090092037049217</v>
                </pt>
                <pt idx="15">
                  <v>0.07039312056471425</v>
                </pt>
                <pt idx="16">
                  <v>0.06940104080453534</v>
                </pt>
                <pt idx="17">
                  <v>0.06812723951360979</v>
                </pt>
                <pt idx="18">
                  <v>0.06744705650038148</v>
                </pt>
                <pt idx="19">
                  <v>0.06677789161579543</v>
                </pt>
                <pt idx="20">
                  <v>0.06625614175235962</v>
                </pt>
                <pt idx="21">
                  <v>0.06690865267105747</v>
                </pt>
                <pt idx="22">
                  <v>0.06498481180019421</v>
                </pt>
                <pt idx="23">
                  <v>0.06618646587271347</v>
                </pt>
                <pt idx="24">
                  <v>0.06567331139340571</v>
                </pt>
                <pt idx="25">
                  <v>0.06547457729048681</v>
                </pt>
                <pt idx="26">
                  <v>0.0654902498182926</v>
                </pt>
                <pt idx="27">
                  <v>0.06420601097765809</v>
                </pt>
                <pt idx="28">
                  <v>0.06356394761083001</v>
                </pt>
                <pt idx="29">
                  <v>0.06369812842725461</v>
                </pt>
                <pt idx="30">
                  <v>0.06328377664955344</v>
                </pt>
                <pt idx="31">
                  <v>0.06243388133699664</v>
                </pt>
                <pt idx="32">
                  <v>0.06200164382500575</v>
                </pt>
                <pt idx="33">
                  <v>0.0617280114830959</v>
                </pt>
                <pt idx="34">
                  <v>0.06129549976965444</v>
                </pt>
                <pt idx="35">
                  <v>0.06225387816845483</v>
                </pt>
                <pt idx="36">
                  <v>0.06092363523002153</v>
                </pt>
                <pt idx="37">
                  <v>0.060707503654486</v>
                </pt>
                <pt idx="38">
                  <v>0.06050376437249196</v>
                </pt>
                <pt idx="39">
                  <v>0.05985385840866608</v>
                </pt>
                <pt idx="40">
                  <v>0.06008088815719337</v>
                </pt>
                <pt idx="41">
                  <v>0.05988846905645325</v>
                </pt>
                <pt idx="42">
                  <v>0.05974291372513829</v>
                </pt>
                <pt idx="43">
                  <v>0.05969817158624015</v>
                </pt>
                <pt idx="44">
                  <v>0.05977014165278115</v>
                </pt>
                <pt idx="45">
                  <v>0.05910375490280106</v>
                </pt>
                <pt idx="46">
                  <v>0.05899813343407217</v>
                </pt>
                <pt idx="47">
                  <v>0.05803222211845484</v>
                </pt>
                <pt idx="48">
                  <v>0.05714221259205213</v>
                </pt>
                <pt idx="49">
                  <v>0.05709676097474036</v>
                </pt>
                <pt idx="50">
                  <v>0.05743859593600677</v>
                </pt>
                <pt idx="51">
                  <v>0.0575530911491148</v>
                </pt>
                <pt idx="52">
                  <v>0.05846067374341807</v>
                </pt>
                <pt idx="53">
                  <v>0.05839180191502916</v>
                </pt>
                <pt idx="54">
                  <v>0.05853299277401632</v>
                </pt>
                <pt idx="55">
                  <v>0.05906427607405363</v>
                </pt>
                <pt idx="56">
                  <v>0.05928810654099199</v>
                </pt>
                <pt idx="57">
                  <v>0.05969805388379024</v>
                </pt>
                <pt idx="58">
                  <v>0.06046648260135551</v>
                </pt>
                <pt idx="59">
                  <v>0.06047029936089133</v>
                </pt>
                <pt idx="60">
                  <v>0.0605285861464332</v>
                </pt>
                <pt idx="61">
                  <v>0.06063048768948246</v>
                </pt>
                <pt idx="62">
                  <v>0.06116670016833597</v>
                </pt>
                <pt idx="63">
                  <v>0.06077845125643795</v>
                </pt>
                <pt idx="64">
                  <v>0.06053537735826374</v>
                </pt>
                <pt idx="65">
                  <v>0.06002207031195016</v>
                </pt>
                <pt idx="66">
                  <v>0.0610100113120061</v>
                </pt>
                <pt idx="67">
                  <v>0.06092700944649208</v>
                </pt>
                <pt idx="68">
                  <v>0.06029181484196155</v>
                </pt>
                <pt idx="69">
                  <v>0.06027705590952102</v>
                </pt>
                <pt idx="70">
                  <v>0.05980088173483025</v>
                </pt>
                <pt idx="71">
                  <v>0.05931346400258172</v>
                </pt>
                <pt idx="72">
                  <v>0.05923398248515455</v>
                </pt>
                <pt idx="73">
                  <v>0.05924018345097352</v>
                </pt>
                <pt idx="74">
                  <v>0.05945749314484487</v>
                </pt>
                <pt idx="75">
                  <v>0.05925942044308401</v>
                </pt>
                <pt idx="76">
                  <v>0.05952789634101897</v>
                </pt>
                <pt idx="77">
                  <v>0.05987393795034994</v>
                </pt>
                <pt idx="78">
                  <v>0.06006351767005861</v>
                </pt>
                <pt idx="79">
                  <v>0.05847350898873144</v>
                </pt>
                <pt idx="80">
                  <v>0.05814538354281716</v>
                </pt>
                <pt idx="81">
                  <v>0.0581406360047818</v>
                </pt>
                <pt idx="82">
                  <v>0.05793948211027724</v>
                </pt>
                <pt idx="83">
                  <v>0.05869007018693544</v>
                </pt>
                <pt idx="84">
                  <v>0.05937493415203578</v>
                </pt>
                <pt idx="85">
                  <v>0.05910336968644833</v>
                </pt>
                <pt idx="86">
                  <v>0.05883234431507271</v>
                </pt>
                <pt idx="87">
                  <v>0.05818055466272897</v>
                </pt>
                <pt idx="88">
                  <v>0.05768886744464458</v>
                </pt>
                <pt idx="89">
                  <v>0.05761876119584145</v>
                </pt>
                <pt idx="90">
                  <v>0.05690553863131093</v>
                </pt>
                <pt idx="91">
                  <v>0.05629200622170773</v>
                </pt>
                <pt idx="92">
                  <v>0.05578316776491454</v>
                </pt>
                <pt idx="93">
                  <v>0.05561504777353602</v>
                </pt>
                <pt idx="94">
                  <v>0.05514903497824965</v>
                </pt>
                <pt idx="95">
                  <v>0.05531900418070846</v>
                </pt>
                <pt idx="96">
                  <v>0.05489624519883286</v>
                </pt>
                <pt idx="97">
                  <v>0.05393010751127483</v>
                </pt>
                <pt idx="98">
                  <v>0.05384899778040812</v>
                </pt>
                <pt idx="99">
                  <v>0.05336304149252375</v>
                </pt>
                <pt idx="100">
                  <v>0.05313598033709505</v>
                </pt>
                <pt idx="101">
                  <v>0.05313321882212711</v>
                </pt>
                <pt idx="102">
                  <v>0.0523632344317963</v>
                </pt>
                <pt idx="103">
                  <v>0.052428589533009</v>
                </pt>
                <pt idx="104">
                  <v>0.05206306414173293</v>
                </pt>
                <pt idx="105">
                  <v>0.05278859523541477</v>
                </pt>
                <pt idx="106">
                  <v>0.05300614545456769</v>
                </pt>
                <pt idx="107">
                  <v>0.05323422491854592</v>
                </pt>
                <pt idx="108">
                  <v>0.05268442599532348</v>
                </pt>
                <pt idx="109">
                  <v>0.05228277173542478</v>
                </pt>
                <pt idx="110">
                  <v>0.05262849728322153</v>
                </pt>
                <pt idx="111">
                  <v>0.05272871310083498</v>
                </pt>
                <pt idx="112">
                  <v>0.05367259841041486</v>
                </pt>
                <pt idx="113">
                  <v>0.05466869323141346</v>
                </pt>
                <pt idx="114">
                  <v>0.05545910001407332</v>
                </pt>
                <pt idx="115">
                  <v>0.05698886429732226</v>
                </pt>
                <pt idx="116">
                  <v>0.05781258796772462</v>
                </pt>
                <pt idx="117">
                  <v>0.05854434144266304</v>
                </pt>
                <pt idx="118">
                  <v>0.05835694685137805</v>
                </pt>
                <pt idx="119">
                  <v>0.05940559153840978</v>
                </pt>
                <pt idx="120">
                  <v>0.06044377336835029</v>
                </pt>
                <pt idx="121">
                  <v>0.06063117418275099</v>
                </pt>
                <pt idx="122">
                  <v>0.06060590824926086</v>
                </pt>
                <pt idx="123">
                  <v>0.06085379713814974</v>
                </pt>
                <pt idx="124">
                  <v>0.06117029242291684</v>
                </pt>
                <pt idx="125">
                  <v>0.06086226508891762</v>
                </pt>
                <pt idx="126">
                  <v>0.06115892200741593</v>
                </pt>
                <pt idx="127">
                  <v>0.06150478408864817</v>
                </pt>
                <pt idx="128">
                  <v>0.06204136391421807</v>
                </pt>
                <pt idx="129">
                  <v>0.06204136391421807</v>
                </pt>
                <pt idx="130">
                  <v>0.06343368092911955</v>
                </pt>
                <pt idx="131">
                  <v>0.06485054611430474</v>
                </pt>
                <pt idx="132">
                  <v>0.06610010080049698</v>
                </pt>
                <pt idx="133">
                  <v>0.0656016808708012</v>
                </pt>
                <pt idx="134">
                  <v>0.06578945738478177</v>
                </pt>
                <pt idx="135">
                  <v>0.06730155553452298</v>
                </pt>
                <pt idx="136">
                  <v>0.06775790275543066</v>
                </pt>
                <pt idx="137">
                  <v>0.06749616183060202</v>
                </pt>
                <pt idx="138">
                  <v>0.06785484977793441</v>
                </pt>
                <pt idx="139">
                  <v>0.0684126758648909</v>
                </pt>
                <pt idx="140">
                  <v>0.06898323470781963</v>
                </pt>
                <pt idx="141">
                  <v>0.06898323470781963</v>
                </pt>
                <pt idx="142">
                  <v>0.06898323470781963</v>
                </pt>
                <pt idx="143">
                  <v>0.06838944532715632</v>
                </pt>
              </numCache>
            </numRef>
          </val>
          <smooth val="0"/>
        </ser>
        <ser>
          <idx val="2"/>
          <order val="1"/>
          <tx>
            <strRef>
              <f>Charts!$AC$2</f>
              <strCache>
                <ptCount val="1"/>
                <pt idx="0">
                  <v>10+ Year Cap (90 Day)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4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1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1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1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2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36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Charts!$B$75:$B$218</f>
              <numCache>
                <formatCode>[$-409]mmm\-yy;@</formatCode>
                <ptCount val="144"/>
                <pt idx="0">
                  <v>41640</v>
                </pt>
                <pt idx="1">
                  <v>41671</v>
                </pt>
                <pt idx="2">
                  <v>41699</v>
                </pt>
                <pt idx="3">
                  <v>41730</v>
                </pt>
                <pt idx="4">
                  <v>41760</v>
                </pt>
                <pt idx="5">
                  <v>41791</v>
                </pt>
                <pt idx="6">
                  <v>41821</v>
                </pt>
                <pt idx="7">
                  <v>41852</v>
                </pt>
                <pt idx="8">
                  <v>41883</v>
                </pt>
                <pt idx="9">
                  <v>41913</v>
                </pt>
                <pt idx="10">
                  <v>41944</v>
                </pt>
                <pt idx="11">
                  <v>41974</v>
                </pt>
                <pt idx="12">
                  <v>42005</v>
                </pt>
                <pt idx="13">
                  <v>42036</v>
                </pt>
                <pt idx="14">
                  <v>42064</v>
                </pt>
                <pt idx="15">
                  <v>42095</v>
                </pt>
                <pt idx="16">
                  <v>42125</v>
                </pt>
                <pt idx="17">
                  <v>42156</v>
                </pt>
                <pt idx="18">
                  <v>42186</v>
                </pt>
                <pt idx="19">
                  <v>42217</v>
                </pt>
                <pt idx="20">
                  <v>42248</v>
                </pt>
                <pt idx="21">
                  <v>42278</v>
                </pt>
                <pt idx="22">
                  <v>42309</v>
                </pt>
                <pt idx="23">
                  <v>42339</v>
                </pt>
                <pt idx="24">
                  <v>42370</v>
                </pt>
                <pt idx="25">
                  <v>42401</v>
                </pt>
                <pt idx="26">
                  <v>42430</v>
                </pt>
                <pt idx="27">
                  <v>42461</v>
                </pt>
                <pt idx="28">
                  <v>42491</v>
                </pt>
                <pt idx="29">
                  <v>42522</v>
                </pt>
                <pt idx="30">
                  <v>42552</v>
                </pt>
                <pt idx="31">
                  <v>42583</v>
                </pt>
                <pt idx="32">
                  <v>42614</v>
                </pt>
                <pt idx="33">
                  <v>42644</v>
                </pt>
                <pt idx="34">
                  <v>42675</v>
                </pt>
                <pt idx="35">
                  <v>42705</v>
                </pt>
                <pt idx="36">
                  <v>42736</v>
                </pt>
                <pt idx="37">
                  <v>42767</v>
                </pt>
                <pt idx="38">
                  <v>42795</v>
                </pt>
                <pt idx="39">
                  <v>42826</v>
                </pt>
                <pt idx="40">
                  <v>42856</v>
                </pt>
                <pt idx="41">
                  <v>42887</v>
                </pt>
                <pt idx="42">
                  <v>42917</v>
                </pt>
                <pt idx="43">
                  <v>42948</v>
                </pt>
                <pt idx="44">
                  <v>42979</v>
                </pt>
                <pt idx="45">
                  <v>43009</v>
                </pt>
                <pt idx="46">
                  <v>43040</v>
                </pt>
                <pt idx="47">
                  <v>43070</v>
                </pt>
                <pt idx="48">
                  <v>43101</v>
                </pt>
                <pt idx="49">
                  <v>43132</v>
                </pt>
                <pt idx="50">
                  <v>43160</v>
                </pt>
                <pt idx="51">
                  <v>43191</v>
                </pt>
                <pt idx="52">
                  <v>43221</v>
                </pt>
                <pt idx="53">
                  <v>43252</v>
                </pt>
                <pt idx="54">
                  <v>43282</v>
                </pt>
                <pt idx="55">
                  <v>43313</v>
                </pt>
                <pt idx="56">
                  <v>43344</v>
                </pt>
                <pt idx="57">
                  <v>43374</v>
                </pt>
                <pt idx="58">
                  <v>43405</v>
                </pt>
                <pt idx="59">
                  <v>43435</v>
                </pt>
                <pt idx="60">
                  <v>43466</v>
                </pt>
                <pt idx="61">
                  <v>43497</v>
                </pt>
                <pt idx="62">
                  <v>43525</v>
                </pt>
                <pt idx="63">
                  <v>43556</v>
                </pt>
                <pt idx="64">
                  <v>43586</v>
                </pt>
                <pt idx="65">
                  <v>43617</v>
                </pt>
                <pt idx="66">
                  <v>43647</v>
                </pt>
                <pt idx="67">
                  <v>43678</v>
                </pt>
                <pt idx="68">
                  <v>43709</v>
                </pt>
                <pt idx="69">
                  <v>43739</v>
                </pt>
                <pt idx="70">
                  <v>43770</v>
                </pt>
                <pt idx="71">
                  <v>43800</v>
                </pt>
                <pt idx="72">
                  <v>43831</v>
                </pt>
                <pt idx="73">
                  <v>43862</v>
                </pt>
                <pt idx="74">
                  <v>43891</v>
                </pt>
                <pt idx="75">
                  <v>43922</v>
                </pt>
                <pt idx="76">
                  <v>43952</v>
                </pt>
                <pt idx="77">
                  <v>43983</v>
                </pt>
                <pt idx="78">
                  <v>44013</v>
                </pt>
                <pt idx="79">
                  <v>44044</v>
                </pt>
                <pt idx="80">
                  <v>44075</v>
                </pt>
                <pt idx="81">
                  <v>44105</v>
                </pt>
                <pt idx="82">
                  <v>44136</v>
                </pt>
                <pt idx="83">
                  <v>44166</v>
                </pt>
                <pt idx="84">
                  <v>44197</v>
                </pt>
                <pt idx="85">
                  <v>44228</v>
                </pt>
                <pt idx="86">
                  <v>44256</v>
                </pt>
                <pt idx="87">
                  <v>44287</v>
                </pt>
                <pt idx="88">
                  <v>44317</v>
                </pt>
                <pt idx="89">
                  <v>44348</v>
                </pt>
                <pt idx="90">
                  <v>44378</v>
                </pt>
                <pt idx="91">
                  <v>44409</v>
                </pt>
                <pt idx="92">
                  <v>44440</v>
                </pt>
                <pt idx="93">
                  <v>44470</v>
                </pt>
                <pt idx="94">
                  <v>44501</v>
                </pt>
                <pt idx="95">
                  <v>44531</v>
                </pt>
                <pt idx="96">
                  <v>44562</v>
                </pt>
                <pt idx="97">
                  <v>44593</v>
                </pt>
                <pt idx="98">
                  <v>44621</v>
                </pt>
                <pt idx="99">
                  <v>44652</v>
                </pt>
                <pt idx="100">
                  <v>44682</v>
                </pt>
                <pt idx="101">
                  <v>44713</v>
                </pt>
                <pt idx="102">
                  <v>44743</v>
                </pt>
                <pt idx="103">
                  <v>44774</v>
                </pt>
                <pt idx="104">
                  <v>44805</v>
                </pt>
                <pt idx="105">
                  <v>44835</v>
                </pt>
                <pt idx="106">
                  <v>44866</v>
                </pt>
                <pt idx="107">
                  <v>44896</v>
                </pt>
                <pt idx="108">
                  <v>44927</v>
                </pt>
                <pt idx="109">
                  <v>44958</v>
                </pt>
                <pt idx="110">
                  <v>44986</v>
                </pt>
                <pt idx="111">
                  <v>45017</v>
                </pt>
                <pt idx="112">
                  <v>45047</v>
                </pt>
                <pt idx="113">
                  <v>45078</v>
                </pt>
                <pt idx="114">
                  <v>45108</v>
                </pt>
                <pt idx="115">
                  <v>45139</v>
                </pt>
                <pt idx="116">
                  <v>45170</v>
                </pt>
                <pt idx="117">
                  <v>45200</v>
                </pt>
                <pt idx="118">
                  <v>45231</v>
                </pt>
                <pt idx="119">
                  <v>45261</v>
                </pt>
                <pt idx="120">
                  <v>45292</v>
                </pt>
                <pt idx="121">
                  <v>45323</v>
                </pt>
                <pt idx="122">
                  <v>45352</v>
                </pt>
                <pt idx="123">
                  <v>45383</v>
                </pt>
                <pt idx="124">
                  <v>45413</v>
                </pt>
                <pt idx="125">
                  <v>45444</v>
                </pt>
                <pt idx="126">
                  <v>45474</v>
                </pt>
                <pt idx="127">
                  <v>45505</v>
                </pt>
                <pt idx="128">
                  <v>45536</v>
                </pt>
                <pt idx="129">
                  <v>45566</v>
                </pt>
                <pt idx="130">
                  <v>45597</v>
                </pt>
                <pt idx="131">
                  <v>45627</v>
                </pt>
                <pt idx="132">
                  <v>45658</v>
                </pt>
                <pt idx="133">
                  <v>45689</v>
                </pt>
                <pt idx="134">
                  <v>45717</v>
                </pt>
                <pt idx="135">
                  <v>45748</v>
                </pt>
                <pt idx="136">
                  <v>45778</v>
                </pt>
                <pt idx="137">
                  <v>45809</v>
                </pt>
                <pt idx="138">
                  <v>45839</v>
                </pt>
                <pt idx="139">
                  <v>45870</v>
                </pt>
                <pt idx="140">
                  <v>45901</v>
                </pt>
                <pt idx="141">
                  <v>45931</v>
                </pt>
                <pt idx="142">
                  <v>45962</v>
                </pt>
                <pt idx="143">
                  <v>45992</v>
                </pt>
              </numCache>
            </numRef>
          </cat>
          <val>
            <numRef>
              <f>Charts!$AC$75:$AC$218</f>
              <numCache>
                <formatCode>0.00%</formatCode>
                <ptCount val="144"/>
                <pt idx="0">
                  <v>0.0730449127436426</v>
                </pt>
                <pt idx="1">
                  <v>0.07209023137757736</v>
                </pt>
                <pt idx="2">
                  <v>0.07406900415561041</v>
                </pt>
                <pt idx="3">
                  <v>0.07403664335264448</v>
                </pt>
                <pt idx="4">
                  <v>0.07176221133604599</v>
                </pt>
                <pt idx="5">
                  <v>0.07285184278003831</v>
                </pt>
                <pt idx="6">
                  <v>0.07271669818041912</v>
                </pt>
                <pt idx="7">
                  <v>0.07123938806836369</v>
                </pt>
                <pt idx="8">
                  <v>0.07083514329570915</v>
                </pt>
                <pt idx="9">
                  <v>0.06835381437021709</v>
                </pt>
                <pt idx="10">
                  <v>0.06936358133345741</v>
                </pt>
                <pt idx="11">
                  <v>0.06777381533673793</v>
                </pt>
                <pt idx="12">
                  <v>0.06822169811684578</v>
                </pt>
                <pt idx="13">
                  <v>0.06705341162021285</v>
                </pt>
                <pt idx="14">
                  <v>0.06911548770274237</v>
                </pt>
                <pt idx="15">
                  <v>0.07045539210701775</v>
                </pt>
                <pt idx="16">
                  <v>0.06947624217803956</v>
                </pt>
                <pt idx="17">
                  <v>0.06780737467914524</v>
                </pt>
                <pt idx="18">
                  <v>0.06475558325618538</v>
                </pt>
                <pt idx="19">
                  <v>0.06587305798456614</v>
                </pt>
                <pt idx="20">
                  <v>0.06819054050978096</v>
                </pt>
                <pt idx="21">
                  <v>0.0692154227481552</v>
                </pt>
                <pt idx="22">
                  <v>0.06470652303005681</v>
                </pt>
                <pt idx="23">
                  <v>0.06728591064619377</v>
                </pt>
                <pt idx="24">
                  <v>0.06529259796294484</v>
                </pt>
                <pt idx="25">
                  <v>0.06909277391790403</v>
                </pt>
                <pt idx="26">
                  <v>0.06674234701472111</v>
                </pt>
                <pt idx="27">
                  <v>0.06396020437522355</v>
                </pt>
                <pt idx="28">
                  <v>0.06278181405668166</v>
                </pt>
                <pt idx="29">
                  <v>0.06062254648328462</v>
                </pt>
                <pt idx="30">
                  <v>0.06238775701513731</v>
                </pt>
                <pt idx="31">
                  <v>0.06022815413972516</v>
                </pt>
                <pt idx="32">
                  <v>0.05932335812687155</v>
                </pt>
                <pt idx="33">
                  <v>0.0608067031455939</v>
                </pt>
                <pt idx="34">
                  <v>0.06289335372300436</v>
                </pt>
                <pt idx="35">
                  <v>0.06379280290938673</v>
                </pt>
                <pt idx="36">
                  <v>0.06319202922974709</v>
                </pt>
                <pt idx="37">
                  <v>0.06255376615359973</v>
                </pt>
                <pt idx="38">
                  <v>0.06092981424694927</v>
                </pt>
                <pt idx="39">
                  <v>0.06100549607399448</v>
                </pt>
                <pt idx="40">
                  <v>0.0595710657947016</v>
                </pt>
                <pt idx="41">
                  <v>0.05918177015490385</v>
                </pt>
                <pt idx="42">
                  <v>0.05983580145463484</v>
                </pt>
                <pt idx="43">
                  <v>0.05979250174349247</v>
                </pt>
                <pt idx="44">
                  <v>0.05905301913344249</v>
                </pt>
                <pt idx="45">
                  <v>0.05853857210882203</v>
                </pt>
                <pt idx="46">
                  <v>0.05890456637459277</v>
                </pt>
                <pt idx="47">
                  <v>0.06225477420732638</v>
                </pt>
                <pt idx="48">
                  <v>0.06187451401456943</v>
                </pt>
                <pt idx="49">
                  <v>0.0613914117265294</v>
                </pt>
                <pt idx="50">
                  <v>0.06197176049478901</v>
                </pt>
                <pt idx="51">
                  <v>0.06181318355168317</v>
                </pt>
                <pt idx="52">
                  <v>0.06193975156507821</v>
                </pt>
                <pt idx="53">
                  <v>0.05978188824655224</v>
                </pt>
                <pt idx="54">
                  <v>0.06030626915962709</v>
                </pt>
                <pt idx="55">
                  <v>0.06064285678153822</v>
                </pt>
                <pt idx="56">
                  <v>0.06133128737989937</v>
                </pt>
                <pt idx="57">
                  <v>0.06069093194504288</v>
                </pt>
                <pt idx="58">
                  <v>0.05960319803746863</v>
                </pt>
                <pt idx="59">
                  <v>0.06068634009030255</v>
                </pt>
                <pt idx="60">
                  <v>0.05983537647610668</v>
                </pt>
                <pt idx="61">
                  <v>0.06319686708420846</v>
                </pt>
                <pt idx="62">
                  <v>0.06263766459469039</v>
                </pt>
                <pt idx="63">
                  <v>0.06224011565336797</v>
                </pt>
                <pt idx="64">
                  <v>0.06090226241867355</v>
                </pt>
                <pt idx="65">
                  <v>0.06161852219740322</v>
                </pt>
                <pt idx="66">
                  <v>0.06365034544561746</v>
                </pt>
                <pt idx="67">
                  <v>0.06247110364561113</v>
                </pt>
                <pt idx="68">
                  <v>0.06151653408513952</v>
                </pt>
                <pt idx="69">
                  <v>0.05951154018545537</v>
                </pt>
                <pt idx="70">
                  <v>0.06154739475696581</v>
                </pt>
                <pt idx="71">
                  <v>0.05941926035525941</v>
                </pt>
                <pt idx="72">
                  <v>0.05962460711393806</v>
                </pt>
                <pt idx="73">
                  <v>0.05823454326307216</v>
                </pt>
                <pt idx="74">
                  <v>0.06052001232920756</v>
                </pt>
                <pt idx="75">
                  <v>0.06101562529636443</v>
                </pt>
                <pt idx="76">
                  <v>0.06123879397057713</v>
                </pt>
                <pt idx="77">
                  <v>0.0601155459602391</v>
                </pt>
                <pt idx="78">
                  <v>0.06042112124307297</v>
                </pt>
                <pt idx="79">
                  <v>0.05927157855626607</v>
                </pt>
                <pt idx="80">
                  <v>0.05733574662199888</v>
                </pt>
                <pt idx="81">
                  <v>0.05678641147631672</v>
                </pt>
                <pt idx="82">
                  <v>0.05689680706992811</v>
                </pt>
                <pt idx="83">
                  <v>0.05899499369288407</v>
                </pt>
                <pt idx="84">
                  <v>0.06005039708861988</v>
                </pt>
                <pt idx="85">
                  <v>0.05953717943452378</v>
                </pt>
                <pt idx="86">
                  <v>0.05784652814316259</v>
                </pt>
                <pt idx="87">
                  <v>0.05506523527702929</v>
                </pt>
                <pt idx="88">
                  <v>0.05406188304615842</v>
                </pt>
                <pt idx="89">
                  <v>0.05479681279540046</v>
                </pt>
                <pt idx="90">
                  <v>0.05444900995299135</v>
                </pt>
                <pt idx="91">
                  <v>0.05460428107236083</v>
                </pt>
                <pt idx="92">
                  <v>0.05219452016649024</v>
                </pt>
                <pt idx="93">
                  <v>0.05214691183076738</v>
                </pt>
                <pt idx="94">
                  <v>0.05068976276797416</v>
                </pt>
                <pt idx="95">
                  <v>0.05435910468964965</v>
                </pt>
                <pt idx="96">
                  <v>0.05569000253877519</v>
                </pt>
                <pt idx="97">
                  <v>0.05518110028133821</v>
                </pt>
                <pt idx="98">
                  <v>0.05309780828616151</v>
                </pt>
                <pt idx="99">
                  <v>0.05062482097465831</v>
                </pt>
                <pt idx="100">
                  <v>0.0506285007558015</v>
                </pt>
                <pt idx="101">
                  <v>0.05079262453077126</v>
                </pt>
                <pt idx="102">
                  <v>0.05057966392931382</v>
                </pt>
                <pt idx="103">
                  <v>0.05184339643421802</v>
                </pt>
                <pt idx="104">
                  <v>0.0510812881474217</v>
                </pt>
                <pt idx="105">
                  <v>0.05400409115204542</v>
                </pt>
                <pt idx="106">
                  <v>0.05533530316356982</v>
                </pt>
                <pt idx="107">
                  <v>0.05747415871251717</v>
                </pt>
                <pt idx="108">
                  <v>0.05638898503714555</v>
                </pt>
                <pt idx="109">
                  <v>0.0558341553665824</v>
                </pt>
                <pt idx="110">
                  <v>0.05557017765179567</v>
                </pt>
                <pt idx="111">
                  <v>0.05491368753032509</v>
                </pt>
                <pt idx="112">
                  <v>0.06822572868726715</v>
                </pt>
                <pt idx="113">
                  <v>0.06090987933830479</v>
                </pt>
                <pt idx="114">
                  <v>0.06029106341315297</v>
                </pt>
                <pt idx="115">
                  <v>0.05905456564029943</v>
                </pt>
                <pt idx="116">
                  <v>0.05956959734786394</v>
                </pt>
                <pt idx="117">
                  <v>0.05824666666666667</v>
                </pt>
                <pt idx="118">
                  <v>0.055</v>
                </pt>
                <pt idx="119">
                  <v>0.0605746590572054</v>
                </pt>
                <pt idx="120">
                  <v>0.06320687356595094</v>
                </pt>
                <pt idx="121">
                  <v>0.06457468582694276</v>
                </pt>
                <pt idx="122">
                  <v>0.06362145700675149</v>
                </pt>
                <pt idx="123">
                  <v>0.05830366945045881</v>
                </pt>
                <pt idx="124">
                  <v>0.06060280161740877</v>
                </pt>
                <pt idx="125">
                  <v>0.06308578426384746</v>
                </pt>
                <pt idx="126">
                  <v>0.06294404513341269</v>
                </pt>
                <pt idx="127">
                  <v>0.06144028432049484</v>
                </pt>
                <pt idx="128">
                  <v>0.06133466086956521</v>
                </pt>
                <pt idx="129">
                  <v>0.06221459999999999</v>
                </pt>
                <pt idx="130">
                  <v>0.07039526600362696</v>
                </pt>
                <pt idx="131">
                  <v>0.07292234283605355</v>
                </pt>
                <pt idx="132">
                  <v>0.07085065002588639</v>
                </pt>
                <pt idx="133">
                  <v>0.07005375043406477</v>
                </pt>
                <pt idx="134">
                  <v>0.06739141963837385</v>
                </pt>
                <pt idx="135">
                  <v>0.06872763962636191</v>
                </pt>
                <pt idx="136">
                  <v>0.06980351950181589</v>
                </pt>
                <pt idx="137">
                  <v>0.06854524155459917</v>
                </pt>
                <pt idx="138">
                  <v>0.06540425257580118</v>
                </pt>
                <pt idx="139">
                  <v>0.06643616838386744</v>
                </pt>
                <pt idx="140">
                  <v>0.06653745338951977</v>
                </pt>
                <pt idx="141">
                  <v>0.06653745338951977</v>
                </pt>
                <pt idx="142">
                  <v>0.06457490677903953</v>
                </pt>
                <pt idx="143">
                  <v>0.06550006664661887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76128383"/>
        <axId val="1876129439"/>
      </lineChart>
      <dateAx>
        <axId val="1876128383"/>
        <scaling>
          <orientation val="minMax"/>
        </scaling>
        <delete val="0"/>
        <axPos val="b"/>
        <numFmt formatCode="[$-409]m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76129439"/>
        <crosses val="autoZero"/>
        <lblOffset val="100"/>
        <baseTimeUnit val="months"/>
      </dateAx>
      <valAx>
        <axId val="1876129439"/>
        <scaling>
          <orientation val="minMax"/>
          <min val="0.045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7612838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071196707446365"/>
          <y val="0.03742216676509917"/>
          <w val="0.8747393534025288"/>
          <h val="0.7813192820140481"/>
        </manualLayout>
      </layout>
      <barChart>
        <barDir val="col"/>
        <grouping val="clustered"/>
        <varyColors val="0"/>
        <ser>
          <idx val="0"/>
          <order val="0"/>
          <tx>
            <strRef>
              <f>'Market Size'!$C$50</f>
              <strCache>
                <ptCount val="1"/>
                <pt idx="0">
                  <v>Avg Price</v>
                </pt>
              </strCache>
            </strRef>
          </tx>
          <spPr>
            <a:solidFill xmlns:a="http://schemas.openxmlformats.org/drawingml/2006/main">
              <a:srgbClr val="E0E8F4"/>
            </a:solidFill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b="0">
                    <a:solidFill>
                      <a:srgbClr val="003DA5"/>
                    </a:solidFill>
                    <a:latin typeface="Futura PT Heavy" panose="020B0802020204020303" pitchFamily="34" charset="0"/>
                  </a:defRPr>
                </a:pPr>
                <a:r>
                  <a:t/>
                </a:r>
                <a:endParaRPr lang="en-US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'Market Size'!$B$51:$B$54</f>
              <strCache>
                <ptCount val="4"/>
                <pt idx="0">
                  <v>Sub 5 Year Term</v>
                </pt>
                <pt idx="1">
                  <v>5-8 Year Term</v>
                </pt>
                <pt idx="2">
                  <v>8-12 Year Term</v>
                </pt>
                <pt idx="3">
                  <v>12+ Year Term</v>
                </pt>
              </strCache>
            </strRef>
          </cat>
          <val>
            <numRef>
              <f>'Market Size'!$C$51:$C$54</f>
              <numCache>
                <formatCode>"$"#,##0_);[Red]\("$"#,##0\)</formatCode>
                <ptCount val="4"/>
                <pt idx="0">
                  <v>2878561.921052631</v>
                </pt>
                <pt idx="1">
                  <v>3609430.804878049</v>
                </pt>
                <pt idx="2">
                  <v>4737371.933333334</v>
                </pt>
                <pt idx="3">
                  <v>7479051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673673119"/>
        <axId val="673682271"/>
      </barChart>
      <scatterChart>
        <scatterStyle val="lineMarker"/>
        <varyColors val="0"/>
        <ser>
          <idx val="1"/>
          <order val="1"/>
          <tx>
            <strRef>
              <f>'Market Size'!$D$50</f>
              <strCache>
                <ptCount val="1"/>
                <pt idx="0">
                  <v>Avg Cap</v>
                </pt>
              </strCache>
            </strRef>
          </tx>
          <spPr>
            <a:ln xmlns:a="http://schemas.openxmlformats.org/drawingml/2006/main" w="25400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3DA5"/>
              </a:solidFill>
              <a:ln xmlns:a="http://schemas.openxmlformats.org/drawingml/2006/main">
                <a:noFill/>
                <a:prstDash val="solid"/>
              </a:ln>
            </spPr>
          </marker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 xmlns:a="http://schemas.openxmlformats.org/drawingml/2006/main">
                <a:srgbClr val="003DA5"/>
              </a:solidFill>
              <a:ln xmlns:a="http://schemas.openxmlformats.org/drawingml/2006/main"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>
                    <a:solidFill>
                      <a:schemeClr val="bg1"/>
                    </a:solidFill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strRef>
              <f>'Market Size'!$B$51:$B$54</f>
              <strCache>
                <ptCount val="4"/>
                <pt idx="0">
                  <v>Sub 5 Year Term</v>
                </pt>
                <pt idx="1">
                  <v>5-8 Year Term</v>
                </pt>
                <pt idx="2">
                  <v>8-12 Year Term</v>
                </pt>
                <pt idx="3">
                  <v>12+ Year Term</v>
                </pt>
              </strCache>
            </strRef>
          </xVal>
          <yVal>
            <numRef>
              <f>'Market Size'!$D$51:$D$54</f>
              <numCache>
                <formatCode>0.00%</formatCode>
                <ptCount val="4"/>
                <pt idx="0">
                  <v>0.06890561783144139</v>
                </pt>
                <pt idx="1">
                  <v>0.06668135859954631</v>
                </pt>
                <pt idx="2">
                  <v>0.06264061794815666</v>
                </pt>
                <pt idx="3">
                  <v>0.06269678139506782</v>
                </pt>
              </numCache>
            </numRef>
          </yVal>
          <smooth val="0"/>
        </ser>
        <ser>
          <idx val="2"/>
          <order val="2"/>
          <tx>
            <strRef>
              <f>'Market Size'!$E$50</f>
              <strCache>
                <ptCount val="1"/>
                <pt idx="0">
                  <v>Upper Quart</v>
                </pt>
              </strCache>
            </strRef>
          </tx>
          <spPr>
            <a:ln xmlns:a="http://schemas.openxmlformats.org/drawingml/2006/main" w="25400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5FA3A8"/>
              </a:solidFill>
              <a:ln xmlns:a="http://schemas.openxmlformats.org/drawingml/2006/main">
                <a:noFill/>
                <a:prstDash val="solid"/>
              </a:ln>
            </spPr>
          </marker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 xmlns:a="http://schemas.openxmlformats.org/drawingml/2006/main">
                <a:srgbClr val="5FA3A8"/>
              </a:solidFill>
              <a:ln xmlns:a="http://schemas.openxmlformats.org/drawingml/2006/main"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>
                    <a:solidFill>
                      <a:schemeClr val="bg1"/>
                    </a:solidFill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strRef>
              <f>'Market Size'!$B$51:$B$54</f>
              <strCache>
                <ptCount val="4"/>
                <pt idx="0">
                  <v>Sub 5 Year Term</v>
                </pt>
                <pt idx="1">
                  <v>5-8 Year Term</v>
                </pt>
                <pt idx="2">
                  <v>8-12 Year Term</v>
                </pt>
                <pt idx="3">
                  <v>12+ Year Term</v>
                </pt>
              </strCache>
            </strRef>
          </xVal>
          <yVal>
            <numRef>
              <f>'Market Size'!$E$51:$E$54</f>
              <numCache>
                <formatCode>0.00%</formatCode>
                <ptCount val="4"/>
                <pt idx="0">
                  <v>0.07500937822877164</v>
                </pt>
                <pt idx="1">
                  <v>0.07105066869300912</v>
                </pt>
                <pt idx="2">
                  <v>0.06750308219178082</v>
                </pt>
                <pt idx="3">
                  <v>0.06619404672317936</v>
                </pt>
              </numCache>
            </numRef>
          </yVal>
          <smooth val="0"/>
        </ser>
        <ser>
          <idx val="3"/>
          <order val="3"/>
          <tx>
            <strRef>
              <f>'Market Size'!$F$50</f>
              <strCache>
                <ptCount val="1"/>
                <pt idx="0">
                  <v>Lower Quart</v>
                </pt>
              </strCache>
            </strRef>
          </tx>
          <spPr>
            <a:ln xmlns:a="http://schemas.openxmlformats.org/drawingml/2006/main" w="25400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9B88A5"/>
              </a:solidFill>
              <a:ln xmlns:a="http://schemas.openxmlformats.org/drawingml/2006/main">
                <a:noFill/>
                <a:prstDash val="solid"/>
              </a:ln>
            </spPr>
          </marker>
          <dLbls>
            <dLbl>
              <idx val="0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 xmlns:a="http://schemas.openxmlformats.org/drawingml/2006/main">
                <a:srgbClr val="9B88A5"/>
              </a:solidFill>
              <a:ln xmlns:a="http://schemas.openxmlformats.org/drawingml/2006/main"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>
                    <a:solidFill>
                      <a:schemeClr val="bg1"/>
                    </a:solidFill>
                  </a:defRPr>
                </a:pPr>
                <a:r>
                  <a:t/>
                </a:r>
                <a:endParaRPr lang="en-US"/>
              </a:p>
            </txPr>
            <dLblPos val="l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strRef>
              <f>'Market Size'!$B$51:$B$54</f>
              <strCache>
                <ptCount val="4"/>
                <pt idx="0">
                  <v>Sub 5 Year Term</v>
                </pt>
                <pt idx="1">
                  <v>5-8 Year Term</v>
                </pt>
                <pt idx="2">
                  <v>8-12 Year Term</v>
                </pt>
                <pt idx="3">
                  <v>12+ Year Term</v>
                </pt>
              </strCache>
            </strRef>
          </xVal>
          <yVal>
            <numRef>
              <f>'Market Size'!$F$51:$F$54</f>
              <numCache>
                <formatCode>0.00%</formatCode>
                <ptCount val="4"/>
                <pt idx="0">
                  <v>0.06236414270665311</v>
                </pt>
                <pt idx="1">
                  <v>0.06175007032003324</v>
                </pt>
                <pt idx="2">
                  <v>0.05749988147603308</v>
                </pt>
                <pt idx="3">
                  <v>0.06025178928468933</v>
                </pt>
              </numCache>
            </numRef>
          </yVal>
          <smooth val="0"/>
        </ser>
        <ser>
          <idx val="4"/>
          <order val="4"/>
          <tx>
            <strRef>
              <f>'Market Size'!$G$50</f>
              <strCache>
                <ptCount val="1"/>
                <pt idx="0">
                  <v>Median</v>
                </pt>
              </strCache>
            </strRef>
          </tx>
          <spPr>
            <a:ln xmlns:a="http://schemas.openxmlformats.org/drawingml/2006/main" w="25400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62B5E5"/>
              </a:solidFill>
              <a:ln xmlns:a="http://schemas.openxmlformats.org/drawingml/2006/main">
                <a:noFill/>
                <a:prstDash val="solid"/>
              </a:ln>
            </spPr>
          </marker>
          <dLbls>
            <dLbl>
              <idx val="0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 xmlns:a="http://schemas.openxmlformats.org/drawingml/2006/main">
                <a:srgbClr val="62B5E5"/>
              </a:solidFill>
              <a:ln xmlns:a="http://schemas.openxmlformats.org/drawingml/2006/main"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>
                    <a:solidFill>
                      <a:schemeClr val="bg1"/>
                    </a:solidFill>
                  </a:defRPr>
                </a:pPr>
                <a:r>
                  <a:t/>
                </a:r>
                <a:endParaRPr lang="en-US"/>
              </a:p>
            </txPr>
            <dLblPos val="l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strRef>
              <f>'Market Size'!$B$51:$B$54</f>
              <strCache>
                <ptCount val="4"/>
                <pt idx="0">
                  <v>Sub 5 Year Term</v>
                </pt>
                <pt idx="1">
                  <v>5-8 Year Term</v>
                </pt>
                <pt idx="2">
                  <v>8-12 Year Term</v>
                </pt>
                <pt idx="3">
                  <v>12+ Year Term</v>
                </pt>
              </strCache>
            </strRef>
          </xVal>
          <yVal>
            <numRef>
              <f>'Market Size'!$G$51:$G$54</f>
              <numCache>
                <formatCode>0.00%</formatCode>
                <ptCount val="4"/>
                <pt idx="0">
                  <v>0.0673467986350364</v>
                </pt>
                <pt idx="1">
                  <v>0.06749999427788593</v>
                </pt>
                <pt idx="2">
                  <v>0.0625</v>
                </pt>
                <pt idx="3">
                  <v>0.06164450817733478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839572719"/>
        <axId val="839567311"/>
      </scatterChart>
      <catAx>
        <axId val="67367311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crossAx val="673682271"/>
        <crosses val="autoZero"/>
        <auto val="1"/>
        <lblAlgn val="ctr"/>
        <lblOffset val="100"/>
        <noMultiLvlLbl val="0"/>
      </catAx>
      <valAx>
        <axId val="673682271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chemeClr val="bg1">
                  <a:lumMod val="95000"/>
                </a:schemeClr>
              </a:solidFill>
              <a:prstDash val="solid"/>
            </a:ln>
          </spPr>
        </majorGridlines>
        <numFmt formatCode="&quot;$&quot;#,##0_);[Red]\(&quot;$&quot;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crossAx val="673673119"/>
        <crosses val="autoZero"/>
        <crossBetween val="between"/>
      </valAx>
      <valAx>
        <axId val="839572719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39567311"/>
        <crosses val="autoZero"/>
        <crossBetween val="midCat"/>
      </valAx>
      <valAx>
        <axId val="839567311"/>
        <scaling>
          <orientation val="minMax"/>
          <min val="0.035"/>
        </scaling>
        <delete val="0"/>
        <axPos val="r"/>
        <numFmt formatCode="0.0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crossAx val="839572719"/>
        <crosses val="max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10426486023589"/>
          <y val="0.0486553432413305"/>
          <w val="0.8709476746571581"/>
          <h val="0.6973735170046419"/>
        </manualLayout>
      </layout>
      <barChart>
        <barDir val="col"/>
        <grouping val="clustered"/>
        <varyColors val="0"/>
        <ser>
          <idx val="0"/>
          <order val="0"/>
          <tx>
            <strRef>
              <f>'Market Size'!$C$3</f>
              <strCache>
                <ptCount val="1"/>
                <pt idx="0">
                  <v>Total Market - No. Available</v>
                </pt>
              </strCache>
            </strRef>
          </tx>
          <spPr>
            <a:solidFill xmlns:a="http://schemas.openxmlformats.org/drawingml/2006/main">
              <a:srgbClr val="5FA3A8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dLbl>
              <idx val="7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4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5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6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9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700" b="0" i="0" strike="noStrike" kern="1200" baseline="0">
                    <a:solidFill>
                      <a:srgbClr val="5FA3A8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('Market Size'!$A$4:$A$26,'Market Size'!$A$29,'Market Size'!$A$32,'Market Size'!$A$35,'Market Size'!$A$38,'Market Size'!$A$41,'Market Size'!$A$43:$A$48)</f>
              <strCache>
                <ptCount val="34"/>
                <pt idx="0">
                  <v>Q3-17</v>
                </pt>
                <pt idx="1">
                  <v>Q4-17</v>
                </pt>
                <pt idx="2">
                  <v>Q1-18</v>
                </pt>
                <pt idx="3">
                  <v>Q2-18</v>
                </pt>
                <pt idx="4">
                  <v>Q3-18</v>
                </pt>
                <pt idx="5">
                  <v>Q4-18</v>
                </pt>
                <pt idx="6">
                  <v>Q1-19</v>
                </pt>
                <pt idx="7">
                  <v>Q2-19</v>
                </pt>
                <pt idx="8">
                  <v>Q3-19</v>
                </pt>
                <pt idx="9">
                  <v>Q4-19</v>
                </pt>
                <pt idx="10">
                  <v>Q1-20</v>
                </pt>
                <pt idx="11">
                  <v>Q2-20</v>
                </pt>
                <pt idx="12">
                  <v>Q3-20</v>
                </pt>
                <pt idx="13">
                  <v>Q4-20</v>
                </pt>
                <pt idx="14">
                  <v>Q1-21</v>
                </pt>
                <pt idx="15">
                  <v>Q2-21</v>
                </pt>
                <pt idx="16">
                  <v>Q3-21</v>
                </pt>
                <pt idx="17">
                  <v>Q4-21</v>
                </pt>
                <pt idx="18">
                  <v>Q1-22</v>
                </pt>
                <pt idx="19">
                  <v>Q2-22</v>
                </pt>
                <pt idx="20">
                  <v>Q3-22</v>
                </pt>
                <pt idx="21">
                  <v>Q4-22</v>
                </pt>
                <pt idx="22">
                  <v>Q1-23</v>
                </pt>
                <pt idx="23">
                  <v>Q2-23</v>
                </pt>
                <pt idx="24">
                  <v>Q3-23</v>
                </pt>
                <pt idx="25">
                  <v>Q4-23</v>
                </pt>
                <pt idx="26">
                  <v>Q1-24</v>
                </pt>
                <pt idx="27">
                  <v>Q2-24</v>
                </pt>
                <pt idx="28">
                  <v>Q3-24</v>
                </pt>
                <pt idx="29">
                  <v>Q4-24</v>
                </pt>
                <pt idx="30">
                  <v>Q1-25</v>
                </pt>
                <pt idx="31">
                  <v>Q2-25</v>
                </pt>
                <pt idx="32">
                  <v>Q3-25</v>
                </pt>
                <pt idx="33">
                  <v>Q4-25</v>
                </pt>
              </strCache>
            </strRef>
          </cat>
          <val>
            <numRef>
              <f>('Market Size'!$C$4:$C$26,'Market Size'!$C$29,'Market Size'!$C$32,'Market Size'!$C$35,'Market Size'!$C$38,'Market Size'!$C$41,'Market Size'!$C$43:$C$48)</f>
              <numCache>
                <formatCode>#,##0_);[Red]\(#,##0\)</formatCode>
                <ptCount val="34"/>
                <pt idx="0">
                  <v>83</v>
                </pt>
                <pt idx="1">
                  <v>101</v>
                </pt>
                <pt idx="2">
                  <v>115</v>
                </pt>
                <pt idx="3">
                  <v>119</v>
                </pt>
                <pt idx="4">
                  <v>167</v>
                </pt>
                <pt idx="5">
                  <v>156</v>
                </pt>
                <pt idx="6">
                  <v>158</v>
                </pt>
                <pt idx="7">
                  <v>133</v>
                </pt>
                <pt idx="8">
                  <v>101</v>
                </pt>
                <pt idx="9">
                  <v>93</v>
                </pt>
                <pt idx="10">
                  <v>101</v>
                </pt>
                <pt idx="11">
                  <v>103</v>
                </pt>
                <pt idx="12">
                  <v>108</v>
                </pt>
                <pt idx="13">
                  <v>94</v>
                </pt>
                <pt idx="14">
                  <v>97</v>
                </pt>
                <pt idx="15">
                  <v>79</v>
                </pt>
                <pt idx="16">
                  <v>95</v>
                </pt>
                <pt idx="17">
                  <v>110</v>
                </pt>
                <pt idx="18">
                  <v>121</v>
                </pt>
                <pt idx="19">
                  <v>124</v>
                </pt>
                <pt idx="20">
                  <v>114</v>
                </pt>
                <pt idx="21">
                  <v>121</v>
                </pt>
                <pt idx="22">
                  <v>121</v>
                </pt>
                <pt idx="23">
                  <v>120</v>
                </pt>
                <pt idx="24">
                  <v>125</v>
                </pt>
                <pt idx="25">
                  <v>117</v>
                </pt>
                <pt idx="26">
                  <v>127</v>
                </pt>
                <pt idx="27">
                  <v>123</v>
                </pt>
                <pt idx="28">
                  <v>128</v>
                </pt>
                <pt idx="29">
                  <v>107</v>
                </pt>
                <pt idx="30">
                  <v>100</v>
                </pt>
                <pt idx="31">
                  <v>97</v>
                </pt>
                <pt idx="32">
                  <v>98.5</v>
                </pt>
                <pt idx="33">
                  <formatCode>General</formatCode>
                  <v>100</v>
                </pt>
              </numCache>
            </numRef>
          </val>
        </ser>
        <ser>
          <idx val="1"/>
          <order val="1"/>
          <tx>
            <strRef>
              <f>'Market Size'!$M$3</f>
              <strCache>
                <ptCount val="1"/>
                <pt idx="0">
                  <v>10+ Year Term - No. Available</v>
                </pt>
              </strCache>
            </strRef>
          </tx>
          <spPr>
            <a:solidFill xmlns:a="http://schemas.openxmlformats.org/drawingml/2006/main">
              <a:srgbClr val="E0E8F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700" b="0" i="0" strike="noStrike" kern="1200" baseline="0">
                    <a:solidFill>
                      <a:srgbClr val="265AB2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('Market Size'!$A$4:$A$26,'Market Size'!$A$29,'Market Size'!$A$32,'Market Size'!$A$35,'Market Size'!$A$38,'Market Size'!$A$41,'Market Size'!$A$43:$A$48)</f>
              <strCache>
                <ptCount val="34"/>
                <pt idx="0">
                  <v>Q3-17</v>
                </pt>
                <pt idx="1">
                  <v>Q4-17</v>
                </pt>
                <pt idx="2">
                  <v>Q1-18</v>
                </pt>
                <pt idx="3">
                  <v>Q2-18</v>
                </pt>
                <pt idx="4">
                  <v>Q3-18</v>
                </pt>
                <pt idx="5">
                  <v>Q4-18</v>
                </pt>
                <pt idx="6">
                  <v>Q1-19</v>
                </pt>
                <pt idx="7">
                  <v>Q2-19</v>
                </pt>
                <pt idx="8">
                  <v>Q3-19</v>
                </pt>
                <pt idx="9">
                  <v>Q4-19</v>
                </pt>
                <pt idx="10">
                  <v>Q1-20</v>
                </pt>
                <pt idx="11">
                  <v>Q2-20</v>
                </pt>
                <pt idx="12">
                  <v>Q3-20</v>
                </pt>
                <pt idx="13">
                  <v>Q4-20</v>
                </pt>
                <pt idx="14">
                  <v>Q1-21</v>
                </pt>
                <pt idx="15">
                  <v>Q2-21</v>
                </pt>
                <pt idx="16">
                  <v>Q3-21</v>
                </pt>
                <pt idx="17">
                  <v>Q4-21</v>
                </pt>
                <pt idx="18">
                  <v>Q1-22</v>
                </pt>
                <pt idx="19">
                  <v>Q2-22</v>
                </pt>
                <pt idx="20">
                  <v>Q3-22</v>
                </pt>
                <pt idx="21">
                  <v>Q4-22</v>
                </pt>
                <pt idx="22">
                  <v>Q1-23</v>
                </pt>
                <pt idx="23">
                  <v>Q2-23</v>
                </pt>
                <pt idx="24">
                  <v>Q3-23</v>
                </pt>
                <pt idx="25">
                  <v>Q4-23</v>
                </pt>
                <pt idx="26">
                  <v>Q1-24</v>
                </pt>
                <pt idx="27">
                  <v>Q2-24</v>
                </pt>
                <pt idx="28">
                  <v>Q3-24</v>
                </pt>
                <pt idx="29">
                  <v>Q4-24</v>
                </pt>
                <pt idx="30">
                  <v>Q1-25</v>
                </pt>
                <pt idx="31">
                  <v>Q2-25</v>
                </pt>
                <pt idx="32">
                  <v>Q3-25</v>
                </pt>
                <pt idx="33">
                  <v>Q4-25</v>
                </pt>
              </strCache>
            </strRef>
          </cat>
          <val>
            <numRef>
              <f>('Market Size'!$M$4:$M$26,'Market Size'!$M$29,'Market Size'!$M$32,'Market Size'!$M$35,'Market Size'!$M$38,'Market Size'!$M$41,'Market Size'!$M$43:$M$48)</f>
              <numCache>
                <formatCode>#,##0_);[Red]\(#,##0\)</formatCode>
                <ptCount val="34"/>
                <pt idx="0">
                  <v>35</v>
                </pt>
                <pt idx="1">
                  <v>55</v>
                </pt>
                <pt idx="2">
                  <v>60</v>
                </pt>
                <pt idx="3">
                  <v>60</v>
                </pt>
                <pt idx="4">
                  <v>79</v>
                </pt>
                <pt idx="5">
                  <v>78</v>
                </pt>
                <pt idx="6">
                  <v>67</v>
                </pt>
                <pt idx="7">
                  <v>60</v>
                </pt>
                <pt idx="8">
                  <v>40</v>
                </pt>
                <pt idx="9">
                  <v>41</v>
                </pt>
                <pt idx="10">
                  <v>48</v>
                </pt>
                <pt idx="11">
                  <v>48</v>
                </pt>
                <pt idx="12">
                  <v>47</v>
                </pt>
                <pt idx="13">
                  <v>28</v>
                </pt>
                <pt idx="14">
                  <v>39</v>
                </pt>
                <pt idx="15">
                  <v>43</v>
                </pt>
                <pt idx="16">
                  <v>13</v>
                </pt>
                <pt idx="17">
                  <v>20</v>
                </pt>
                <pt idx="18">
                  <v>22</v>
                </pt>
                <pt idx="19">
                  <v>21</v>
                </pt>
                <pt idx="20">
                  <v>24</v>
                </pt>
                <pt idx="21">
                  <v>38</v>
                </pt>
                <pt idx="22">
                  <v>28</v>
                </pt>
                <pt idx="23">
                  <v>36</v>
                </pt>
                <pt idx="24">
                  <v>37</v>
                </pt>
                <pt idx="25">
                  <v>36</v>
                </pt>
                <pt idx="26">
                  <v>34</v>
                </pt>
                <pt idx="27">
                  <v>31</v>
                </pt>
                <pt idx="28">
                  <v>30</v>
                </pt>
                <pt idx="29">
                  <v>16</v>
                </pt>
                <pt idx="30">
                  <v>16</v>
                </pt>
                <pt idx="31">
                  <v>14</v>
                </pt>
                <pt idx="32">
                  <v>12</v>
                </pt>
                <pt idx="33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543323343"/>
        <axId val="543325839"/>
      </barChart>
      <lineChart>
        <grouping val="standard"/>
        <varyColors val="0"/>
        <ser>
          <idx val="2"/>
          <order val="2"/>
          <tx>
            <strRef>
              <f>'Market Size'!$E$3</f>
              <strCache>
                <ptCount val="1"/>
                <pt idx="0">
                  <v>Total Market - Avg Cap</v>
                </pt>
              </strCache>
            </strRef>
          </tx>
          <spPr>
            <a:ln xmlns:a="http://schemas.openxmlformats.org/drawingml/2006/main" w="28575" cap="rnd">
              <a:solidFill>
                <a:srgbClr val="62B5E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('Market Size'!$A$4:$A$26,'Market Size'!$A$29,'Market Size'!$A$32,'Market Size'!$A$35,'Market Size'!$A$38,'Market Size'!$A$41,'Market Size'!$A$43:$A$48)</f>
              <strCache>
                <ptCount val="34"/>
                <pt idx="0">
                  <v>Q3-17</v>
                </pt>
                <pt idx="1">
                  <v>Q4-17</v>
                </pt>
                <pt idx="2">
                  <v>Q1-18</v>
                </pt>
                <pt idx="3">
                  <v>Q2-18</v>
                </pt>
                <pt idx="4">
                  <v>Q3-18</v>
                </pt>
                <pt idx="5">
                  <v>Q4-18</v>
                </pt>
                <pt idx="6">
                  <v>Q1-19</v>
                </pt>
                <pt idx="7">
                  <v>Q2-19</v>
                </pt>
                <pt idx="8">
                  <v>Q3-19</v>
                </pt>
                <pt idx="9">
                  <v>Q4-19</v>
                </pt>
                <pt idx="10">
                  <v>Q1-20</v>
                </pt>
                <pt idx="11">
                  <v>Q2-20</v>
                </pt>
                <pt idx="12">
                  <v>Q3-20</v>
                </pt>
                <pt idx="13">
                  <v>Q4-20</v>
                </pt>
                <pt idx="14">
                  <v>Q1-21</v>
                </pt>
                <pt idx="15">
                  <v>Q2-21</v>
                </pt>
                <pt idx="16">
                  <v>Q3-21</v>
                </pt>
                <pt idx="17">
                  <v>Q4-21</v>
                </pt>
                <pt idx="18">
                  <v>Q1-22</v>
                </pt>
                <pt idx="19">
                  <v>Q2-22</v>
                </pt>
                <pt idx="20">
                  <v>Q3-22</v>
                </pt>
                <pt idx="21">
                  <v>Q4-22</v>
                </pt>
                <pt idx="22">
                  <v>Q1-23</v>
                </pt>
                <pt idx="23">
                  <v>Q2-23</v>
                </pt>
                <pt idx="24">
                  <v>Q3-23</v>
                </pt>
                <pt idx="25">
                  <v>Q4-23</v>
                </pt>
                <pt idx="26">
                  <v>Q1-24</v>
                </pt>
                <pt idx="27">
                  <v>Q2-24</v>
                </pt>
                <pt idx="28">
                  <v>Q3-24</v>
                </pt>
                <pt idx="29">
                  <v>Q4-24</v>
                </pt>
                <pt idx="30">
                  <v>Q1-25</v>
                </pt>
                <pt idx="31">
                  <v>Q2-25</v>
                </pt>
                <pt idx="32">
                  <v>Q3-25</v>
                </pt>
                <pt idx="33">
                  <v>Q4-25</v>
                </pt>
              </strCache>
            </strRef>
          </cat>
          <val>
            <numRef>
              <f>('Market Size'!$E$4:$E$26,'Market Size'!$E$29,'Market Size'!$E$32,'Market Size'!$E$35,'Market Size'!$E$38,'Market Size'!$E$41,'Market Size'!$E$43:$E$48)</f>
              <numCache>
                <formatCode>0.00%</formatCode>
                <ptCount val="34"/>
                <pt idx="0">
                  <v>0.06618799660914904</v>
                </pt>
                <pt idx="1">
                  <v>0.06435709672946632</v>
                </pt>
                <pt idx="2">
                  <v>0.06479644972407313</v>
                </pt>
                <pt idx="3">
                  <v>0.06457672223936207</v>
                </pt>
                <pt idx="4">
                  <v>0.06464922127045415</v>
                </pt>
                <pt idx="5">
                  <v>0.06481922450840771</v>
                </pt>
                <pt idx="6">
                  <v>0.06507262273004159</v>
                </pt>
                <pt idx="7">
                  <v>0.06547249334583446</v>
                </pt>
                <pt idx="8">
                  <v>0.06746003924604189</v>
                </pt>
                <pt idx="9">
                  <v>0.06409410952081383</v>
                </pt>
                <pt idx="10">
                  <v>0.06370000000000001</v>
                </pt>
                <pt idx="11">
                  <v>0.0636</v>
                </pt>
                <pt idx="12">
                  <v>0.06270000000000001</v>
                </pt>
                <pt idx="13">
                  <v>0.06320000000000001</v>
                </pt>
                <pt idx="14">
                  <v>0.06059999999999999</v>
                </pt>
                <pt idx="15">
                  <v>0.05851278580479681</v>
                </pt>
                <pt idx="16">
                  <v>0.0565</v>
                </pt>
                <pt idx="17">
                  <v>0.058</v>
                </pt>
                <pt idx="18">
                  <v>0.0577</v>
                </pt>
                <pt idx="19">
                  <v>0.05779479727915879</v>
                </pt>
                <pt idx="20">
                  <v>0.0593</v>
                </pt>
                <pt idx="21">
                  <v>0.0591</v>
                </pt>
                <pt idx="22">
                  <v>0.0594</v>
                </pt>
                <pt idx="23">
                  <v>0.0587</v>
                </pt>
                <pt idx="24">
                  <v>0.0598</v>
                </pt>
                <pt idx="25">
                  <v>0.0603</v>
                </pt>
                <pt idx="26">
                  <v>0.064</v>
                </pt>
                <pt idx="27">
                  <v>0.0654</v>
                </pt>
                <pt idx="28">
                  <v>0.0665</v>
                </pt>
                <pt idx="29">
                  <v>0.0675</v>
                </pt>
                <pt idx="30">
                  <v>0.0673</v>
                </pt>
                <pt idx="31">
                  <v>0.0667</v>
                </pt>
                <pt idx="32">
                  <v>0.06673799999999999</v>
                </pt>
                <pt idx="33">
                  <v>0.066776</v>
                </pt>
              </numCache>
            </numRef>
          </val>
          <smooth val="0"/>
        </ser>
        <ser>
          <idx val="3"/>
          <order val="3"/>
          <tx>
            <strRef>
              <f>'Market Size'!$O$3</f>
              <strCache>
                <ptCount val="1"/>
                <pt idx="0">
                  <v>10+ Year Term - Avg Cap</v>
                </pt>
              </strCache>
            </strRef>
          </tx>
          <spPr>
            <a:ln xmlns:a="http://schemas.openxmlformats.org/drawingml/2006/main" w="28575" cap="rnd">
              <a:solidFill>
                <a:srgbClr val="003D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('Market Size'!$A$4:$A$26,'Market Size'!$A$29,'Market Size'!$A$32,'Market Size'!$A$35,'Market Size'!$A$38,'Market Size'!$A$41,'Market Size'!$A$43:$A$48)</f>
              <strCache>
                <ptCount val="34"/>
                <pt idx="0">
                  <v>Q3-17</v>
                </pt>
                <pt idx="1">
                  <v>Q4-17</v>
                </pt>
                <pt idx="2">
                  <v>Q1-18</v>
                </pt>
                <pt idx="3">
                  <v>Q2-18</v>
                </pt>
                <pt idx="4">
                  <v>Q3-18</v>
                </pt>
                <pt idx="5">
                  <v>Q4-18</v>
                </pt>
                <pt idx="6">
                  <v>Q1-19</v>
                </pt>
                <pt idx="7">
                  <v>Q2-19</v>
                </pt>
                <pt idx="8">
                  <v>Q3-19</v>
                </pt>
                <pt idx="9">
                  <v>Q4-19</v>
                </pt>
                <pt idx="10">
                  <v>Q1-20</v>
                </pt>
                <pt idx="11">
                  <v>Q2-20</v>
                </pt>
                <pt idx="12">
                  <v>Q3-20</v>
                </pt>
                <pt idx="13">
                  <v>Q4-20</v>
                </pt>
                <pt idx="14">
                  <v>Q1-21</v>
                </pt>
                <pt idx="15">
                  <v>Q2-21</v>
                </pt>
                <pt idx="16">
                  <v>Q3-21</v>
                </pt>
                <pt idx="17">
                  <v>Q4-21</v>
                </pt>
                <pt idx="18">
                  <v>Q1-22</v>
                </pt>
                <pt idx="19">
                  <v>Q2-22</v>
                </pt>
                <pt idx="20">
                  <v>Q3-22</v>
                </pt>
                <pt idx="21">
                  <v>Q4-22</v>
                </pt>
                <pt idx="22">
                  <v>Q1-23</v>
                </pt>
                <pt idx="23">
                  <v>Q2-23</v>
                </pt>
                <pt idx="24">
                  <v>Q3-23</v>
                </pt>
                <pt idx="25">
                  <v>Q4-23</v>
                </pt>
                <pt idx="26">
                  <v>Q1-24</v>
                </pt>
                <pt idx="27">
                  <v>Q2-24</v>
                </pt>
                <pt idx="28">
                  <v>Q3-24</v>
                </pt>
                <pt idx="29">
                  <v>Q4-24</v>
                </pt>
                <pt idx="30">
                  <v>Q1-25</v>
                </pt>
                <pt idx="31">
                  <v>Q2-25</v>
                </pt>
                <pt idx="32">
                  <v>Q3-25</v>
                </pt>
                <pt idx="33">
                  <v>Q4-25</v>
                </pt>
              </strCache>
            </strRef>
          </cat>
          <val>
            <numRef>
              <f>('Market Size'!$O$4:$O$26,'Market Size'!$O$29,'Market Size'!$O$32,'Market Size'!$O$35,'Market Size'!$O$38,'Market Size'!$O$41,'Market Size'!$O$43:$O$48)</f>
              <numCache>
                <formatCode>0.00%</formatCode>
                <ptCount val="34"/>
                <pt idx="0">
                  <v>0.05554284786709762</v>
                </pt>
                <pt idx="1">
                  <v>0.05620932872418841</v>
                </pt>
                <pt idx="2">
                  <v>0.05613413623972315</v>
                </pt>
                <pt idx="3">
                  <v>0.05656402703274931</v>
                </pt>
                <pt idx="4">
                  <v>0.05679429425624141</v>
                </pt>
                <pt idx="5">
                  <v>0.05725104136683429</v>
                </pt>
                <pt idx="6">
                  <v>0.05711882737899299</v>
                </pt>
                <pt idx="7">
                  <v>0.05778867034645156</v>
                </pt>
                <pt idx="8">
                  <v>0.0576</v>
                </pt>
                <pt idx="9">
                  <v>0.0575</v>
                </pt>
                <pt idx="10">
                  <v>0.0575</v>
                </pt>
                <pt idx="11">
                  <v>0.0571</v>
                </pt>
                <pt idx="12">
                  <v>0.0582</v>
                </pt>
                <pt idx="13">
                  <v>0.0564</v>
                </pt>
                <pt idx="14">
                  <v>0.0546</v>
                </pt>
                <pt idx="15">
                  <v>0.0537</v>
                </pt>
                <pt idx="16">
                  <v>0.052</v>
                </pt>
                <pt idx="17">
                  <v>0.0516</v>
                </pt>
                <pt idx="18">
                  <v>0.053</v>
                </pt>
                <pt idx="19">
                  <v>0.05064527519131231</v>
                </pt>
                <pt idx="20">
                  <v>0.0541</v>
                </pt>
                <pt idx="21">
                  <v>0.05429999999999999</v>
                </pt>
                <pt idx="22">
                  <v>0.0553</v>
                </pt>
                <pt idx="23">
                  <v>0.0534</v>
                </pt>
                <pt idx="24">
                  <v>0.0561</v>
                </pt>
                <pt idx="25">
                  <v>0.0572</v>
                </pt>
                <pt idx="26">
                  <v>0.0578</v>
                </pt>
                <pt idx="27">
                  <v>0.0573</v>
                </pt>
                <pt idx="28">
                  <v>0.0599</v>
                </pt>
                <pt idx="29">
                  <v>0.0613</v>
                </pt>
                <pt idx="30">
                  <v>0.0617</v>
                </pt>
                <pt idx="31">
                  <v>0.06185</v>
                </pt>
                <pt idx="32">
                  <v>0.06083933786160076</v>
                </pt>
                <pt idx="33">
                  <v>0.05982867572320152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43333743"/>
        <axId val="543326255"/>
      </lineChart>
      <catAx>
        <axId val="54332334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43325839"/>
        <crosses val="autoZero"/>
        <auto val="1"/>
        <lblAlgn val="ctr"/>
        <lblOffset val="100"/>
        <noMultiLvlLbl val="0"/>
      </catAx>
      <valAx>
        <axId val="54332583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43323343"/>
        <crosses val="autoZero"/>
        <crossBetween val="between"/>
      </valAx>
      <catAx>
        <axId val="543333743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543326255"/>
        <crosses val="autoZero"/>
        <auto val="1"/>
        <lblAlgn val="ctr"/>
        <lblOffset val="100"/>
        <noMultiLvlLbl val="0"/>
      </catAx>
      <valAx>
        <axId val="543326255"/>
        <scaling>
          <orientation val="minMax"/>
          <min val="0.04500000000000001"/>
        </scaling>
        <delete val="0"/>
        <axPos val="r"/>
        <numFmt formatCode="0.0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43333743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"/>
          <y val="0.903552362483352"/>
          <w val="0.9991115241029654"/>
          <h val="0.0831779984508306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9EA9B7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628538958788596"/>
          <y val="0.0486553432413305"/>
          <w val="0.924920259407036"/>
          <h val="0.696912191531614"/>
        </manualLayout>
      </layout>
      <lineChart>
        <grouping val="standard"/>
        <varyColors val="0"/>
        <ser>
          <idx val="0"/>
          <order val="0"/>
          <tx>
            <strRef>
              <f>'Market Size'!$F$3</f>
              <strCache>
                <ptCount val="1"/>
                <pt idx="0">
                  <v>Total Market - Upper Quart</v>
                </pt>
              </strCache>
            </strRef>
          </tx>
          <spPr>
            <a:ln xmlns:a="http://schemas.openxmlformats.org/drawingml/2006/main" w="19050" cap="rnd">
              <a:solidFill>
                <a:srgbClr val="9B88A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9B88A5"/>
              </a:solidFill>
              <a:ln xmlns:a="http://schemas.openxmlformats.org/drawingml/2006/main" w="9525">
                <a:noFill/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-5400000" spcFirstLastPara="1" vertOverflow="ellipsis" wrap="square" anchor="ctr" anchorCtr="1"/>
              <a:lstStyle xmlns:a="http://schemas.openxmlformats.org/drawingml/2006/main"/>
              <a:p xmlns:a="http://schemas.openxmlformats.org/drawingml/2006/main">
                <a:pPr>
                  <a:defRPr sz="600" b="0" i="0" strike="noStrike" kern="1200" baseline="0">
                    <a:solidFill>
                      <a:srgbClr val="9B88A5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('Market Size'!$A$4:$A$26,'Market Size'!$A$29,'Market Size'!$A$32,'Market Size'!$A$35,'Market Size'!$A$38,'Market Size'!$A$41,'Market Size'!$A$43:$A$48)</f>
              <strCache>
                <ptCount val="34"/>
                <pt idx="0">
                  <v>Q3-17</v>
                </pt>
                <pt idx="1">
                  <v>Q4-17</v>
                </pt>
                <pt idx="2">
                  <v>Q1-18</v>
                </pt>
                <pt idx="3">
                  <v>Q2-18</v>
                </pt>
                <pt idx="4">
                  <v>Q3-18</v>
                </pt>
                <pt idx="5">
                  <v>Q4-18</v>
                </pt>
                <pt idx="6">
                  <v>Q1-19</v>
                </pt>
                <pt idx="7">
                  <v>Q2-19</v>
                </pt>
                <pt idx="8">
                  <v>Q3-19</v>
                </pt>
                <pt idx="9">
                  <v>Q4-19</v>
                </pt>
                <pt idx="10">
                  <v>Q1-20</v>
                </pt>
                <pt idx="11">
                  <v>Q2-20</v>
                </pt>
                <pt idx="12">
                  <v>Q3-20</v>
                </pt>
                <pt idx="13">
                  <v>Q4-20</v>
                </pt>
                <pt idx="14">
                  <v>Q1-21</v>
                </pt>
                <pt idx="15">
                  <v>Q2-21</v>
                </pt>
                <pt idx="16">
                  <v>Q3-21</v>
                </pt>
                <pt idx="17">
                  <v>Q4-21</v>
                </pt>
                <pt idx="18">
                  <v>Q1-22</v>
                </pt>
                <pt idx="19">
                  <v>Q2-22</v>
                </pt>
                <pt idx="20">
                  <v>Q3-22</v>
                </pt>
                <pt idx="21">
                  <v>Q4-22</v>
                </pt>
                <pt idx="22">
                  <v>Q1-23</v>
                </pt>
                <pt idx="23">
                  <v>Q2-23</v>
                </pt>
                <pt idx="24">
                  <v>Q3-23</v>
                </pt>
                <pt idx="25">
                  <v>Q4-23</v>
                </pt>
                <pt idx="26">
                  <v>Q1-24</v>
                </pt>
                <pt idx="27">
                  <v>Q2-24</v>
                </pt>
                <pt idx="28">
                  <v>Q3-24</v>
                </pt>
                <pt idx="29">
                  <v>Q4-24</v>
                </pt>
                <pt idx="30">
                  <v>Q1-25</v>
                </pt>
                <pt idx="31">
                  <v>Q2-25</v>
                </pt>
                <pt idx="32">
                  <v>Q3-25</v>
                </pt>
                <pt idx="33">
                  <v>Q4-25</v>
                </pt>
              </strCache>
            </strRef>
          </cat>
          <val>
            <numRef>
              <f>('Market Size'!$F$4:$F$26,'Market Size'!$F$29,'Market Size'!$F$32,'Market Size'!$F$35,'Market Size'!$F$38,'Market Size'!$F$41,'Market Size'!$F$43:$F$48)</f>
              <numCache>
                <formatCode>0.00%</formatCode>
                <ptCount val="34"/>
                <pt idx="0">
                  <v>0.07439999999999999</v>
                </pt>
                <pt idx="1">
                  <v>0.07206492974238876</v>
                </pt>
                <pt idx="2">
                  <v>0.07221430268472322</v>
                </pt>
                <pt idx="3">
                  <v>0.07210037826395488</v>
                </pt>
                <pt idx="4">
                  <v>0.07004238620689655</v>
                </pt>
                <pt idx="5">
                  <v>0.07004238620689655</v>
                </pt>
                <pt idx="6">
                  <v>0.07249857873803427</v>
                </pt>
                <pt idx="7">
                  <v>0.07248908296943231</v>
                </pt>
                <pt idx="8">
                  <v>0.0726</v>
                </pt>
                <pt idx="9">
                  <v>0.07041169999999999</v>
                </pt>
                <pt idx="10">
                  <v>0.07000000000000001</v>
                </pt>
                <pt idx="11">
                  <v>0.06759999999999999</v>
                </pt>
                <pt idx="12">
                  <v>0.0675</v>
                </pt>
                <pt idx="13">
                  <v>0.0689</v>
                </pt>
                <pt idx="14">
                  <v>0.0664</v>
                </pt>
                <pt idx="15">
                  <v>0.06298975286317059</v>
                </pt>
                <pt idx="16">
                  <v>0.065</v>
                </pt>
                <pt idx="17">
                  <v>0.06320000000000001</v>
                </pt>
                <pt idx="18">
                  <v>0.06150000000000001</v>
                </pt>
                <pt idx="19">
                  <v>0.063</v>
                </pt>
                <pt idx="20">
                  <v>0.064</v>
                </pt>
                <pt idx="21">
                  <v>0.06280000000000001</v>
                </pt>
                <pt idx="22">
                  <v>0.06270000000000001</v>
                </pt>
                <pt idx="23">
                  <v>0.065</v>
                </pt>
                <pt idx="24">
                  <v>0.065</v>
                </pt>
                <pt idx="25">
                  <v>0.06710000000000001</v>
                </pt>
                <pt idx="26">
                  <v>0.07000000000000001</v>
                </pt>
                <pt idx="27">
                  <v>0.0718</v>
                </pt>
                <pt idx="28">
                  <v>0.0725</v>
                </pt>
                <pt idx="29">
                  <v>0.0725</v>
                </pt>
                <pt idx="30">
                  <v>0.0725</v>
                </pt>
                <pt idx="31">
                  <v>0.0725</v>
                </pt>
                <pt idx="32">
                  <v>0.071795</v>
                </pt>
                <pt idx="33">
                  <v>0.07109</v>
                </pt>
              </numCache>
            </numRef>
          </val>
          <smooth val="0"/>
        </ser>
        <ser>
          <idx val="1"/>
          <order val="1"/>
          <tx>
            <strRef>
              <f>'Market Size'!$G$3</f>
              <strCache>
                <ptCount val="1"/>
                <pt idx="0">
                  <v>Total Market - Lower Quart</v>
                </pt>
              </strCache>
            </strRef>
          </tx>
          <spPr>
            <a:ln xmlns:a="http://schemas.openxmlformats.org/drawingml/2006/main" w="19050" cap="rnd">
              <a:solidFill>
                <a:srgbClr val="62B5E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62B5E5"/>
              </a:solidFill>
              <a:ln xmlns:a="http://schemas.openxmlformats.org/drawingml/2006/main" w="9525">
                <a:noFill/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-5400000" spcFirstLastPara="1" vertOverflow="ellipsis" wrap="square" anchor="ctr" anchorCtr="1"/>
              <a:lstStyle xmlns:a="http://schemas.openxmlformats.org/drawingml/2006/main"/>
              <a:p xmlns:a="http://schemas.openxmlformats.org/drawingml/2006/main">
                <a:pPr>
                  <a:defRPr sz="600" b="0" i="0" strike="noStrike" kern="1200" baseline="0">
                    <a:solidFill>
                      <a:srgbClr val="62B5E5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('Market Size'!$A$4:$A$26,'Market Size'!$A$29,'Market Size'!$A$32,'Market Size'!$A$35,'Market Size'!$A$38,'Market Size'!$A$41,'Market Size'!$A$43:$A$48)</f>
              <strCache>
                <ptCount val="34"/>
                <pt idx="0">
                  <v>Q3-17</v>
                </pt>
                <pt idx="1">
                  <v>Q4-17</v>
                </pt>
                <pt idx="2">
                  <v>Q1-18</v>
                </pt>
                <pt idx="3">
                  <v>Q2-18</v>
                </pt>
                <pt idx="4">
                  <v>Q3-18</v>
                </pt>
                <pt idx="5">
                  <v>Q4-18</v>
                </pt>
                <pt idx="6">
                  <v>Q1-19</v>
                </pt>
                <pt idx="7">
                  <v>Q2-19</v>
                </pt>
                <pt idx="8">
                  <v>Q3-19</v>
                </pt>
                <pt idx="9">
                  <v>Q4-19</v>
                </pt>
                <pt idx="10">
                  <v>Q1-20</v>
                </pt>
                <pt idx="11">
                  <v>Q2-20</v>
                </pt>
                <pt idx="12">
                  <v>Q3-20</v>
                </pt>
                <pt idx="13">
                  <v>Q4-20</v>
                </pt>
                <pt idx="14">
                  <v>Q1-21</v>
                </pt>
                <pt idx="15">
                  <v>Q2-21</v>
                </pt>
                <pt idx="16">
                  <v>Q3-21</v>
                </pt>
                <pt idx="17">
                  <v>Q4-21</v>
                </pt>
                <pt idx="18">
                  <v>Q1-22</v>
                </pt>
                <pt idx="19">
                  <v>Q2-22</v>
                </pt>
                <pt idx="20">
                  <v>Q3-22</v>
                </pt>
                <pt idx="21">
                  <v>Q4-22</v>
                </pt>
                <pt idx="22">
                  <v>Q1-23</v>
                </pt>
                <pt idx="23">
                  <v>Q2-23</v>
                </pt>
                <pt idx="24">
                  <v>Q3-23</v>
                </pt>
                <pt idx="25">
                  <v>Q4-23</v>
                </pt>
                <pt idx="26">
                  <v>Q1-24</v>
                </pt>
                <pt idx="27">
                  <v>Q2-24</v>
                </pt>
                <pt idx="28">
                  <v>Q3-24</v>
                </pt>
                <pt idx="29">
                  <v>Q4-24</v>
                </pt>
                <pt idx="30">
                  <v>Q1-25</v>
                </pt>
                <pt idx="31">
                  <v>Q2-25</v>
                </pt>
                <pt idx="32">
                  <v>Q3-25</v>
                </pt>
                <pt idx="33">
                  <v>Q4-25</v>
                </pt>
              </strCache>
            </strRef>
          </cat>
          <val>
            <numRef>
              <f>('Market Size'!$G$4:$G$26,'Market Size'!$G$29,'Market Size'!$G$32,'Market Size'!$G$35,'Market Size'!$G$38,'Market Size'!$G$41,'Market Size'!$G$43:$G$48)</f>
              <numCache>
                <formatCode>0.00%</formatCode>
                <ptCount val="34"/>
                <pt idx="0">
                  <v>0.0562</v>
                </pt>
                <pt idx="1">
                  <v>0.05499999457699414</v>
                </pt>
                <pt idx="2">
                  <v>0.05499999457699414</v>
                </pt>
                <pt idx="3">
                  <v>0.05499999754116269</v>
                </pt>
                <pt idx="4">
                  <v>0.055</v>
                </pt>
                <pt idx="5">
                  <v>0.055</v>
                </pt>
                <pt idx="6">
                  <v>0.055</v>
                </pt>
                <pt idx="7">
                  <v>0.05586652173913043</v>
                </pt>
                <pt idx="8">
                  <v>0.0575</v>
                </pt>
                <pt idx="9">
                  <v>0.055279</v>
                </pt>
                <pt idx="10">
                  <v>0.0553</v>
                </pt>
                <pt idx="11">
                  <v>0.0569</v>
                </pt>
                <pt idx="12">
                  <v>0.0565</v>
                </pt>
                <pt idx="13">
                  <v>0.055</v>
                </pt>
                <pt idx="14">
                  <v>0.0529</v>
                </pt>
                <pt idx="15">
                  <v>0.05249966144167494</v>
                </pt>
                <pt idx="16">
                  <v>0.0511</v>
                </pt>
                <pt idx="17">
                  <v>0.051</v>
                </pt>
                <pt idx="18">
                  <v>0.0515</v>
                </pt>
                <pt idx="19">
                  <v>0.0525</v>
                </pt>
                <pt idx="20">
                  <v>0.0539</v>
                </pt>
                <pt idx="21">
                  <v>0.05400000000000001</v>
                </pt>
                <pt idx="22">
                  <v>0.055</v>
                </pt>
                <pt idx="23">
                  <v>0.0525</v>
                </pt>
                <pt idx="24">
                  <v>0.0529</v>
                </pt>
                <pt idx="25">
                  <v>0.0534</v>
                </pt>
                <pt idx="26">
                  <v>0.0557</v>
                </pt>
                <pt idx="27">
                  <v>0.0575</v>
                </pt>
                <pt idx="28">
                  <v>0.058</v>
                </pt>
                <pt idx="29">
                  <v>0.059</v>
                </pt>
                <pt idx="30">
                  <v>0.06</v>
                </pt>
                <pt idx="31">
                  <v>0.0599</v>
                </pt>
                <pt idx="32">
                  <v>0.05995</v>
                </pt>
                <pt idx="33">
                  <v>0.06</v>
                </pt>
              </numCache>
            </numRef>
          </val>
          <smooth val="0"/>
        </ser>
        <ser>
          <idx val="2"/>
          <order val="2"/>
          <tx>
            <strRef>
              <f>'Market Size'!$P$3</f>
              <strCache>
                <ptCount val="1"/>
                <pt idx="0">
                  <v>10+ Year Term - Upper Quart</v>
                </pt>
              </strCache>
            </strRef>
          </tx>
          <spPr>
            <a:ln xmlns:a="http://schemas.openxmlformats.org/drawingml/2006/main" w="19050" cap="rnd">
              <a:solidFill>
                <a:srgbClr val="5FA3A8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5FA3A8"/>
              </a:solidFill>
              <a:ln xmlns:a="http://schemas.openxmlformats.org/drawingml/2006/main" w="9525">
                <a:noFill/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-5400000" spcFirstLastPara="1" vertOverflow="ellipsis" wrap="square" anchor="ctr" anchorCtr="1"/>
              <a:lstStyle xmlns:a="http://schemas.openxmlformats.org/drawingml/2006/main"/>
              <a:p xmlns:a="http://schemas.openxmlformats.org/drawingml/2006/main">
                <a:pPr>
                  <a:defRPr sz="600" b="0" i="0" strike="noStrike" kern="1200" baseline="0">
                    <a:solidFill>
                      <a:srgbClr val="5FA3A8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('Market Size'!$A$4:$A$26,'Market Size'!$A$29,'Market Size'!$A$32,'Market Size'!$A$35,'Market Size'!$A$38,'Market Size'!$A$41,'Market Size'!$A$43:$A$48)</f>
              <strCache>
                <ptCount val="34"/>
                <pt idx="0">
                  <v>Q3-17</v>
                </pt>
                <pt idx="1">
                  <v>Q4-17</v>
                </pt>
                <pt idx="2">
                  <v>Q1-18</v>
                </pt>
                <pt idx="3">
                  <v>Q2-18</v>
                </pt>
                <pt idx="4">
                  <v>Q3-18</v>
                </pt>
                <pt idx="5">
                  <v>Q4-18</v>
                </pt>
                <pt idx="6">
                  <v>Q1-19</v>
                </pt>
                <pt idx="7">
                  <v>Q2-19</v>
                </pt>
                <pt idx="8">
                  <v>Q3-19</v>
                </pt>
                <pt idx="9">
                  <v>Q4-19</v>
                </pt>
                <pt idx="10">
                  <v>Q1-20</v>
                </pt>
                <pt idx="11">
                  <v>Q2-20</v>
                </pt>
                <pt idx="12">
                  <v>Q3-20</v>
                </pt>
                <pt idx="13">
                  <v>Q4-20</v>
                </pt>
                <pt idx="14">
                  <v>Q1-21</v>
                </pt>
                <pt idx="15">
                  <v>Q2-21</v>
                </pt>
                <pt idx="16">
                  <v>Q3-21</v>
                </pt>
                <pt idx="17">
                  <v>Q4-21</v>
                </pt>
                <pt idx="18">
                  <v>Q1-22</v>
                </pt>
                <pt idx="19">
                  <v>Q2-22</v>
                </pt>
                <pt idx="20">
                  <v>Q3-22</v>
                </pt>
                <pt idx="21">
                  <v>Q4-22</v>
                </pt>
                <pt idx="22">
                  <v>Q1-23</v>
                </pt>
                <pt idx="23">
                  <v>Q2-23</v>
                </pt>
                <pt idx="24">
                  <v>Q3-23</v>
                </pt>
                <pt idx="25">
                  <v>Q4-23</v>
                </pt>
                <pt idx="26">
                  <v>Q1-24</v>
                </pt>
                <pt idx="27">
                  <v>Q2-24</v>
                </pt>
                <pt idx="28">
                  <v>Q3-24</v>
                </pt>
                <pt idx="29">
                  <v>Q4-24</v>
                </pt>
                <pt idx="30">
                  <v>Q1-25</v>
                </pt>
                <pt idx="31">
                  <v>Q2-25</v>
                </pt>
                <pt idx="32">
                  <v>Q3-25</v>
                </pt>
                <pt idx="33">
                  <v>Q4-25</v>
                </pt>
              </strCache>
            </strRef>
          </cat>
          <val>
            <numRef>
              <f>('Market Size'!$P$4:$P$26,'Market Size'!$P$29,'Market Size'!$P$32,'Market Size'!$P$35,'Market Size'!$P$38,'Market Size'!$P$41,'Market Size'!$P$43:$P$48)</f>
              <numCache>
                <formatCode>0.00%</formatCode>
                <ptCount val="34"/>
                <pt idx="0">
                  <v>0.0578</v>
                </pt>
                <pt idx="1">
                  <v>0.05674730929414441</v>
                </pt>
                <pt idx="2">
                  <v>0.05699091542714991</v>
                </pt>
                <pt idx="3">
                  <v>0.05762958471893467</v>
                </pt>
                <pt idx="4">
                  <v>0.05999998538602891</v>
                </pt>
                <pt idx="5">
                  <v>0.06000000190902867</v>
                </pt>
                <pt idx="6">
                  <v>0.05999999437201224</v>
                </pt>
                <pt idx="7">
                  <v>0.06000001018968373</v>
                </pt>
                <pt idx="8">
                  <v>0.06109720634060131</v>
                </pt>
                <pt idx="9">
                  <v>0.061497</v>
                </pt>
                <pt idx="10">
                  <v>0.06</v>
                </pt>
                <pt idx="11">
                  <v>0.06</v>
                </pt>
                <pt idx="12">
                  <v>0.06</v>
                </pt>
                <pt idx="13">
                  <v>0.06</v>
                </pt>
                <pt idx="14">
                  <v>0.0575</v>
                </pt>
                <pt idx="15">
                  <v>0.05713896759655701</v>
                </pt>
                <pt idx="16">
                  <v>0.0552</v>
                </pt>
                <pt idx="17">
                  <v>0.0546</v>
                </pt>
                <pt idx="18">
                  <v>0.0565</v>
                </pt>
                <pt idx="19">
                  <v>0.0556</v>
                </pt>
                <pt idx="20">
                  <v>0.058</v>
                </pt>
                <pt idx="21">
                  <v>0.0578</v>
                </pt>
                <pt idx="22">
                  <v>0.0585</v>
                </pt>
                <pt idx="23">
                  <v>0.0575</v>
                </pt>
                <pt idx="24">
                  <v>0.0588</v>
                </pt>
                <pt idx="25">
                  <v>0.06</v>
                </pt>
                <pt idx="26">
                  <v>0.0601</v>
                </pt>
                <pt idx="27">
                  <v>0.06</v>
                </pt>
                <pt idx="28">
                  <v>0.06469999999999999</v>
                </pt>
                <pt idx="29">
                  <v>0.064</v>
                </pt>
                <pt idx="30">
                  <v>0.0641</v>
                </pt>
                <pt idx="31">
                  <v>0.06519999999999999</v>
                </pt>
                <pt idx="32">
                  <v>0.06376821437073409</v>
                </pt>
                <pt idx="33">
                  <v>0.06233642874146818</v>
                </pt>
              </numCache>
            </numRef>
          </val>
          <smooth val="0"/>
        </ser>
        <ser>
          <idx val="3"/>
          <order val="3"/>
          <tx>
            <strRef>
              <f>'Market Size'!$Q$3</f>
              <strCache>
                <ptCount val="1"/>
                <pt idx="0">
                  <v>10+ Year Term - Lower Quart</v>
                </pt>
              </strCache>
            </strRef>
          </tx>
          <spPr>
            <a:ln xmlns:a="http://schemas.openxmlformats.org/drawingml/2006/main" w="19050" cap="rnd">
              <a:solidFill>
                <a:srgbClr val="003DA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003DA5"/>
              </a:solidFill>
              <a:ln xmlns:a="http://schemas.openxmlformats.org/drawingml/2006/main" w="9525">
                <a:noFill/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-5400000" spcFirstLastPara="1" vertOverflow="ellipsis" wrap="square" anchor="ctr" anchorCtr="1"/>
              <a:lstStyle xmlns:a="http://schemas.openxmlformats.org/drawingml/2006/main"/>
              <a:p xmlns:a="http://schemas.openxmlformats.org/drawingml/2006/main">
                <a:pPr>
                  <a:defRPr sz="600" b="0" i="0" strike="noStrike" kern="1200" baseline="0">
                    <a:solidFill>
                      <a:srgbClr val="003DA5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('Market Size'!$A$4:$A$26,'Market Size'!$A$29,'Market Size'!$A$32,'Market Size'!$A$35,'Market Size'!$A$38,'Market Size'!$A$41,'Market Size'!$A$43:$A$48)</f>
              <strCache>
                <ptCount val="34"/>
                <pt idx="0">
                  <v>Q3-17</v>
                </pt>
                <pt idx="1">
                  <v>Q4-17</v>
                </pt>
                <pt idx="2">
                  <v>Q1-18</v>
                </pt>
                <pt idx="3">
                  <v>Q2-18</v>
                </pt>
                <pt idx="4">
                  <v>Q3-18</v>
                </pt>
                <pt idx="5">
                  <v>Q4-18</v>
                </pt>
                <pt idx="6">
                  <v>Q1-19</v>
                </pt>
                <pt idx="7">
                  <v>Q2-19</v>
                </pt>
                <pt idx="8">
                  <v>Q3-19</v>
                </pt>
                <pt idx="9">
                  <v>Q4-19</v>
                </pt>
                <pt idx="10">
                  <v>Q1-20</v>
                </pt>
                <pt idx="11">
                  <v>Q2-20</v>
                </pt>
                <pt idx="12">
                  <v>Q3-20</v>
                </pt>
                <pt idx="13">
                  <v>Q4-20</v>
                </pt>
                <pt idx="14">
                  <v>Q1-21</v>
                </pt>
                <pt idx="15">
                  <v>Q2-21</v>
                </pt>
                <pt idx="16">
                  <v>Q3-21</v>
                </pt>
                <pt idx="17">
                  <v>Q4-21</v>
                </pt>
                <pt idx="18">
                  <v>Q1-22</v>
                </pt>
                <pt idx="19">
                  <v>Q2-22</v>
                </pt>
                <pt idx="20">
                  <v>Q3-22</v>
                </pt>
                <pt idx="21">
                  <v>Q4-22</v>
                </pt>
                <pt idx="22">
                  <v>Q1-23</v>
                </pt>
                <pt idx="23">
                  <v>Q2-23</v>
                </pt>
                <pt idx="24">
                  <v>Q3-23</v>
                </pt>
                <pt idx="25">
                  <v>Q4-23</v>
                </pt>
                <pt idx="26">
                  <v>Q1-24</v>
                </pt>
                <pt idx="27">
                  <v>Q2-24</v>
                </pt>
                <pt idx="28">
                  <v>Q3-24</v>
                </pt>
                <pt idx="29">
                  <v>Q4-24</v>
                </pt>
                <pt idx="30">
                  <v>Q1-25</v>
                </pt>
                <pt idx="31">
                  <v>Q2-25</v>
                </pt>
                <pt idx="32">
                  <v>Q3-25</v>
                </pt>
                <pt idx="33">
                  <v>Q4-25</v>
                </pt>
              </strCache>
            </strRef>
          </cat>
          <val>
            <numRef>
              <f>('Market Size'!$Q$4:$Q$26,'Market Size'!$Q$29,'Market Size'!$Q$32,'Market Size'!$Q$35,'Market Size'!$Q$38,'Market Size'!$Q$41,'Market Size'!$Q$43:$Q$48)</f>
              <numCache>
                <formatCode>0.00%</formatCode>
                <ptCount val="34"/>
                <pt idx="0">
                  <v>0.0542</v>
                </pt>
                <pt idx="1">
                  <v>0.05349958127293029</v>
                </pt>
                <pt idx="2">
                  <v>0.0534997208486202</v>
                </pt>
                <pt idx="3">
                  <v>0.0534998604243101</v>
                </pt>
                <pt idx="4">
                  <v>0.05400000210440306</v>
                </pt>
                <pt idx="5">
                  <v>0.05398726348850698</v>
                </pt>
                <pt idx="6">
                  <v>0.05385749261299193</v>
                </pt>
                <pt idx="7">
                  <v>0.05410827109563693</v>
                </pt>
                <pt idx="8">
                  <v>0.05499991374672475</v>
                </pt>
                <pt idx="9">
                  <v>0.05299677</v>
                </pt>
                <pt idx="10">
                  <v>0.0543</v>
                </pt>
                <pt idx="11">
                  <v>0.055</v>
                </pt>
                <pt idx="12">
                  <v>0.0547</v>
                </pt>
                <pt idx="13">
                  <v>0.051</v>
                </pt>
                <pt idx="14">
                  <v>0.05230000000000001</v>
                </pt>
                <pt idx="15">
                  <v>0.05000005370538515</v>
                </pt>
                <pt idx="16">
                  <v>0.0493</v>
                </pt>
                <pt idx="17">
                  <v>0.05</v>
                </pt>
                <pt idx="18">
                  <v>0.05</v>
                </pt>
                <pt idx="19">
                  <v>0.0498</v>
                </pt>
                <pt idx="20">
                  <v>0.0521</v>
                </pt>
                <pt idx="21">
                  <v>0.0522</v>
                </pt>
                <pt idx="22">
                  <v>0.0525</v>
                </pt>
                <pt idx="23">
                  <v>0.05</v>
                </pt>
                <pt idx="24">
                  <v>0.0525</v>
                </pt>
                <pt idx="25">
                  <v>0.0525</v>
                </pt>
                <pt idx="26">
                  <v>0.0525</v>
                </pt>
                <pt idx="27">
                  <v>0.0524</v>
                </pt>
                <pt idx="28">
                  <v>0.0525</v>
                </pt>
                <pt idx="29">
                  <v>0.0574</v>
                </pt>
                <pt idx="30">
                  <v>0.0585</v>
                </pt>
                <pt idx="31">
                  <v>0.0579</v>
                </pt>
                <pt idx="32">
                  <v>0.05757495984404838</v>
                </pt>
                <pt idx="33">
                  <v>0.05724991968809676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550725071"/>
        <axId val="1550723823"/>
      </lineChart>
      <catAx>
        <axId val="155072507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50723823"/>
        <crosses val="autoZero"/>
        <auto val="1"/>
        <lblAlgn val="ctr"/>
        <lblOffset val="100"/>
        <noMultiLvlLbl val="0"/>
      </catAx>
      <valAx>
        <axId val="1550723823"/>
        <scaling>
          <orientation val="minMax"/>
          <max val="0.07750000000000001"/>
          <min val="0.045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50725071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01939112057928483"/>
          <y val="0.8901984474162952"/>
          <w val="0.963951465147574"/>
          <h val="0.10980139682882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9EA9B7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398187098758774"/>
          <y val="0.0486553432413305"/>
          <w val="0.8677883110882069"/>
          <h val="0.7176615500461823"/>
        </manualLayout>
      </layout>
      <barChart>
        <barDir val="col"/>
        <grouping val="clustered"/>
        <varyColors val="0"/>
        <ser>
          <idx val="0"/>
          <order val="0"/>
          <tx>
            <strRef>
              <f>'Market Size'!$I$3</f>
              <strCache>
                <ptCount val="1"/>
                <pt idx="0">
                  <v>Total Market - DOM</v>
                </pt>
              </strCache>
            </strRef>
          </tx>
          <spPr>
            <a:solidFill xmlns:a="http://schemas.openxmlformats.org/drawingml/2006/main">
              <a:srgbClr val="5FA3A8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700" b="0" i="0" strike="noStrike" kern="1200" baseline="0">
                    <a:solidFill>
                      <a:srgbClr val="5FA3A8"/>
                    </a:solidFill>
                    <a:latin typeface="Futura PT Bold" panose="020B09020202040202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('Market Size'!$A$4:$A$26,'Market Size'!$A$29,'Market Size'!$A$32,'Market Size'!$A$35,'Market Size'!$A$38,'Market Size'!$A$41,'Market Size'!$A$43:$A$48)</f>
              <strCache>
                <ptCount val="34"/>
                <pt idx="0">
                  <v>Q3-17</v>
                </pt>
                <pt idx="1">
                  <v>Q4-17</v>
                </pt>
                <pt idx="2">
                  <v>Q1-18</v>
                </pt>
                <pt idx="3">
                  <v>Q2-18</v>
                </pt>
                <pt idx="4">
                  <v>Q3-18</v>
                </pt>
                <pt idx="5">
                  <v>Q4-18</v>
                </pt>
                <pt idx="6">
                  <v>Q1-19</v>
                </pt>
                <pt idx="7">
                  <v>Q2-19</v>
                </pt>
                <pt idx="8">
                  <v>Q3-19</v>
                </pt>
                <pt idx="9">
                  <v>Q4-19</v>
                </pt>
                <pt idx="10">
                  <v>Q1-20</v>
                </pt>
                <pt idx="11">
                  <v>Q2-20</v>
                </pt>
                <pt idx="12">
                  <v>Q3-20</v>
                </pt>
                <pt idx="13">
                  <v>Q4-20</v>
                </pt>
                <pt idx="14">
                  <v>Q1-21</v>
                </pt>
                <pt idx="15">
                  <v>Q2-21</v>
                </pt>
                <pt idx="16">
                  <v>Q3-21</v>
                </pt>
                <pt idx="17">
                  <v>Q4-21</v>
                </pt>
                <pt idx="18">
                  <v>Q1-22</v>
                </pt>
                <pt idx="19">
                  <v>Q2-22</v>
                </pt>
                <pt idx="20">
                  <v>Q3-22</v>
                </pt>
                <pt idx="21">
                  <v>Q4-22</v>
                </pt>
                <pt idx="22">
                  <v>Q1-23</v>
                </pt>
                <pt idx="23">
                  <v>Q2-23</v>
                </pt>
                <pt idx="24">
                  <v>Q3-23</v>
                </pt>
                <pt idx="25">
                  <v>Q4-23</v>
                </pt>
                <pt idx="26">
                  <v>Q1-24</v>
                </pt>
                <pt idx="27">
                  <v>Q2-24</v>
                </pt>
                <pt idx="28">
                  <v>Q3-24</v>
                </pt>
                <pt idx="29">
                  <v>Q4-24</v>
                </pt>
                <pt idx="30">
                  <v>Q1-25</v>
                </pt>
                <pt idx="31">
                  <v>Q2-25</v>
                </pt>
                <pt idx="32">
                  <v>Q3-25</v>
                </pt>
                <pt idx="33">
                  <v>Q4-25</v>
                </pt>
              </strCache>
            </strRef>
          </cat>
          <val>
            <numRef>
              <f>('Market Size'!$I$4:$I$26,'Market Size'!$I$29,'Market Size'!$I$32,'Market Size'!$I$35,'Market Size'!$I$38,'Market Size'!$I$41,'Market Size'!$I$43:$I$48)</f>
              <numCache>
                <formatCode>#,##0_);[Red]\(#,##0\)</formatCode>
                <ptCount val="34"/>
                <pt idx="0">
                  <v>168</v>
                </pt>
                <pt idx="1">
                  <v>153.5263943023436</v>
                </pt>
                <pt idx="2">
                  <v>156.6052313779238</v>
                </pt>
                <pt idx="3">
                  <v>174.0787441964286</v>
                </pt>
                <pt idx="4">
                  <v>171</v>
                </pt>
                <pt idx="5">
                  <v>196</v>
                </pt>
                <pt idx="6">
                  <v>225</v>
                </pt>
                <pt idx="7">
                  <v>249.0137508021092</v>
                </pt>
                <pt idx="8">
                  <v>236</v>
                </pt>
                <pt idx="9">
                  <v>241</v>
                </pt>
                <pt idx="10">
                  <v>258</v>
                </pt>
                <pt idx="11">
                  <v>219</v>
                </pt>
                <pt idx="12">
                  <v>267</v>
                </pt>
                <pt idx="13">
                  <v>310</v>
                </pt>
                <pt idx="14">
                  <v>228</v>
                </pt>
                <pt idx="15">
                  <v>243.2677922688142</v>
                </pt>
                <pt idx="16">
                  <v>233</v>
                </pt>
                <pt idx="17">
                  <v>185</v>
                </pt>
                <pt idx="18">
                  <v>182</v>
                </pt>
                <pt idx="19">
                  <v>188</v>
                </pt>
                <pt idx="20">
                  <v>191</v>
                </pt>
                <pt idx="21">
                  <v>223</v>
                </pt>
                <pt idx="22">
                  <v>224</v>
                </pt>
                <pt idx="23">
                  <v>255</v>
                </pt>
                <pt idx="24">
                  <v>269</v>
                </pt>
                <pt idx="25">
                  <v>290</v>
                </pt>
                <pt idx="26">
                  <v>315</v>
                </pt>
                <pt idx="27">
                  <v>296</v>
                </pt>
                <pt idx="28">
                  <v>302</v>
                </pt>
                <pt idx="29">
                  <v>297</v>
                </pt>
                <pt idx="30">
                  <v>325</v>
                </pt>
                <pt idx="31">
                  <v>482</v>
                </pt>
                <pt idx="32">
                  <v>429.5</v>
                </pt>
                <pt idx="33">
                  <v>377</v>
                </pt>
              </numCache>
            </numRef>
          </val>
        </ser>
        <ser>
          <idx val="1"/>
          <order val="1"/>
          <tx>
            <strRef>
              <f>'Market Size'!$S$3</f>
              <strCache>
                <ptCount val="1"/>
                <pt idx="0">
                  <v>10+ Year Term - DOM</v>
                </pt>
              </strCache>
            </strRef>
          </tx>
          <spPr>
            <a:solidFill xmlns:a="http://schemas.openxmlformats.org/drawingml/2006/main">
              <a:srgbClr val="9B88A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dLbl>
              <idx val="17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700" b="0" i="0" strike="noStrike" kern="1200" baseline="0">
                    <a:solidFill>
                      <a:srgbClr val="9B88A5"/>
                    </a:solidFill>
                    <a:latin typeface="Futura PT Bold" panose="020B09020202040202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('Market Size'!$A$4:$A$26,'Market Size'!$A$29,'Market Size'!$A$32,'Market Size'!$A$35,'Market Size'!$A$38,'Market Size'!$A$41,'Market Size'!$A$43:$A$48)</f>
              <strCache>
                <ptCount val="34"/>
                <pt idx="0">
                  <v>Q3-17</v>
                </pt>
                <pt idx="1">
                  <v>Q4-17</v>
                </pt>
                <pt idx="2">
                  <v>Q1-18</v>
                </pt>
                <pt idx="3">
                  <v>Q2-18</v>
                </pt>
                <pt idx="4">
                  <v>Q3-18</v>
                </pt>
                <pt idx="5">
                  <v>Q4-18</v>
                </pt>
                <pt idx="6">
                  <v>Q1-19</v>
                </pt>
                <pt idx="7">
                  <v>Q2-19</v>
                </pt>
                <pt idx="8">
                  <v>Q3-19</v>
                </pt>
                <pt idx="9">
                  <v>Q4-19</v>
                </pt>
                <pt idx="10">
                  <v>Q1-20</v>
                </pt>
                <pt idx="11">
                  <v>Q2-20</v>
                </pt>
                <pt idx="12">
                  <v>Q3-20</v>
                </pt>
                <pt idx="13">
                  <v>Q4-20</v>
                </pt>
                <pt idx="14">
                  <v>Q1-21</v>
                </pt>
                <pt idx="15">
                  <v>Q2-21</v>
                </pt>
                <pt idx="16">
                  <v>Q3-21</v>
                </pt>
                <pt idx="17">
                  <v>Q4-21</v>
                </pt>
                <pt idx="18">
                  <v>Q1-22</v>
                </pt>
                <pt idx="19">
                  <v>Q2-22</v>
                </pt>
                <pt idx="20">
                  <v>Q3-22</v>
                </pt>
                <pt idx="21">
                  <v>Q4-22</v>
                </pt>
                <pt idx="22">
                  <v>Q1-23</v>
                </pt>
                <pt idx="23">
                  <v>Q2-23</v>
                </pt>
                <pt idx="24">
                  <v>Q3-23</v>
                </pt>
                <pt idx="25">
                  <v>Q4-23</v>
                </pt>
                <pt idx="26">
                  <v>Q1-24</v>
                </pt>
                <pt idx="27">
                  <v>Q2-24</v>
                </pt>
                <pt idx="28">
                  <v>Q3-24</v>
                </pt>
                <pt idx="29">
                  <v>Q4-24</v>
                </pt>
                <pt idx="30">
                  <v>Q1-25</v>
                </pt>
                <pt idx="31">
                  <v>Q2-25</v>
                </pt>
                <pt idx="32">
                  <v>Q3-25</v>
                </pt>
                <pt idx="33">
                  <v>Q4-25</v>
                </pt>
              </strCache>
            </strRef>
          </cat>
          <val>
            <numRef>
              <f>('Market Size'!$S$4:$S$26,'Market Size'!$S$29,'Market Size'!$S$32,'Market Size'!$S$35,'Market Size'!$S$38,'Market Size'!$S$41,'Market Size'!$S$43:$S$48)</f>
              <numCache>
                <formatCode>#,##0_);[Red]\(#,##0\)</formatCode>
                <ptCount val="34"/>
                <pt idx="0">
                  <v>111</v>
                </pt>
                <pt idx="1">
                  <v>91.24136574915637</v>
                </pt>
                <pt idx="2">
                  <v>105.3756100694431</v>
                </pt>
                <pt idx="3">
                  <v>134</v>
                </pt>
                <pt idx="4">
                  <v>127</v>
                </pt>
                <pt idx="5">
                  <v>150</v>
                </pt>
                <pt idx="6">
                  <v>169</v>
                </pt>
                <pt idx="7">
                  <v>204.5382525423703</v>
                </pt>
                <pt idx="8">
                  <v>162</v>
                </pt>
                <pt idx="9">
                  <v>221</v>
                </pt>
                <pt idx="10">
                  <v>217</v>
                </pt>
                <pt idx="11">
                  <v>175</v>
                </pt>
                <pt idx="12">
                  <v>221</v>
                </pt>
                <pt idx="13">
                  <v>255</v>
                </pt>
                <pt idx="14">
                  <v>147</v>
                </pt>
                <pt idx="15">
                  <v>167</v>
                </pt>
                <pt idx="16">
                  <v>196</v>
                </pt>
                <pt idx="17">
                  <v>98</v>
                </pt>
                <pt idx="18">
                  <v>116</v>
                </pt>
                <pt idx="19">
                  <v>149.5883303571418</v>
                </pt>
                <pt idx="20">
                  <v>132</v>
                </pt>
                <pt idx="21">
                  <v>151</v>
                </pt>
                <pt idx="22">
                  <v>178</v>
                </pt>
                <pt idx="23">
                  <v>200</v>
                </pt>
                <pt idx="24">
                  <v>236</v>
                </pt>
                <pt idx="25">
                  <v>295</v>
                </pt>
                <pt idx="26">
                  <v>374</v>
                </pt>
                <pt idx="27">
                  <v>369</v>
                </pt>
                <pt idx="28">
                  <v>341</v>
                </pt>
                <pt idx="29">
                  <v>333</v>
                </pt>
                <pt idx="30">
                  <v>351</v>
                </pt>
                <pt idx="31">
                  <v>493</v>
                </pt>
                <pt idx="32">
                  <v>483.5</v>
                </pt>
                <pt idx="33">
                  <v>474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1735881439"/>
        <axId val="1735873535"/>
      </barChart>
      <lineChart>
        <grouping val="standard"/>
        <varyColors val="0"/>
        <ser>
          <idx val="2"/>
          <order val="2"/>
          <tx>
            <strRef>
              <f>'Market Size'!$J$3</f>
              <strCache>
                <ptCount val="1"/>
                <pt idx="0">
                  <v>Total Market - Price Change</v>
                </pt>
              </strCache>
            </strRef>
          </tx>
          <spPr>
            <a:ln xmlns:a="http://schemas.openxmlformats.org/drawingml/2006/main" w="28575" cap="rnd">
              <a:solidFill>
                <a:srgbClr val="62B5E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5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62B5E5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('Market Size'!$A$4:$A$26,'Market Size'!$A$29,'Market Size'!$A$32,'Market Size'!$A$35,'Market Size'!$A$38,'Market Size'!$A$41,'Market Size'!$A$43:$A$48)</f>
              <strCache>
                <ptCount val="34"/>
                <pt idx="0">
                  <v>Q3-17</v>
                </pt>
                <pt idx="1">
                  <v>Q4-17</v>
                </pt>
                <pt idx="2">
                  <v>Q1-18</v>
                </pt>
                <pt idx="3">
                  <v>Q2-18</v>
                </pt>
                <pt idx="4">
                  <v>Q3-18</v>
                </pt>
                <pt idx="5">
                  <v>Q4-18</v>
                </pt>
                <pt idx="6">
                  <v>Q1-19</v>
                </pt>
                <pt idx="7">
                  <v>Q2-19</v>
                </pt>
                <pt idx="8">
                  <v>Q3-19</v>
                </pt>
                <pt idx="9">
                  <v>Q4-19</v>
                </pt>
                <pt idx="10">
                  <v>Q1-20</v>
                </pt>
                <pt idx="11">
                  <v>Q2-20</v>
                </pt>
                <pt idx="12">
                  <v>Q3-20</v>
                </pt>
                <pt idx="13">
                  <v>Q4-20</v>
                </pt>
                <pt idx="14">
                  <v>Q1-21</v>
                </pt>
                <pt idx="15">
                  <v>Q2-21</v>
                </pt>
                <pt idx="16">
                  <v>Q3-21</v>
                </pt>
                <pt idx="17">
                  <v>Q4-21</v>
                </pt>
                <pt idx="18">
                  <v>Q1-22</v>
                </pt>
                <pt idx="19">
                  <v>Q2-22</v>
                </pt>
                <pt idx="20">
                  <v>Q3-22</v>
                </pt>
                <pt idx="21">
                  <v>Q4-22</v>
                </pt>
                <pt idx="22">
                  <v>Q1-23</v>
                </pt>
                <pt idx="23">
                  <v>Q2-23</v>
                </pt>
                <pt idx="24">
                  <v>Q3-23</v>
                </pt>
                <pt idx="25">
                  <v>Q4-23</v>
                </pt>
                <pt idx="26">
                  <v>Q1-24</v>
                </pt>
                <pt idx="27">
                  <v>Q2-24</v>
                </pt>
                <pt idx="28">
                  <v>Q3-24</v>
                </pt>
                <pt idx="29">
                  <v>Q4-24</v>
                </pt>
                <pt idx="30">
                  <v>Q1-25</v>
                </pt>
                <pt idx="31">
                  <v>Q2-25</v>
                </pt>
                <pt idx="32">
                  <v>Q3-25</v>
                </pt>
                <pt idx="33">
                  <v>Q4-25</v>
                </pt>
              </strCache>
            </strRef>
          </cat>
          <val>
            <numRef>
              <f>('Market Size'!$J$4:$J$26,'Market Size'!$J$29,'Market Size'!$J$32,'Market Size'!$J$35,'Market Size'!$J$38,'Market Size'!$J$41,'Market Size'!$J$43:$J$48)</f>
              <numCache>
                <formatCode>0%</formatCode>
                <ptCount val="34"/>
                <pt idx="0">
                  <v>0.1325301204819277</v>
                </pt>
                <pt idx="1">
                  <v>0.1485148514851485</v>
                </pt>
                <pt idx="2">
                  <v>0.2</v>
                </pt>
                <pt idx="3">
                  <v>0.1436781609195402</v>
                </pt>
                <pt idx="4">
                  <v>0.2155688622754491</v>
                </pt>
                <pt idx="5">
                  <v>0.2371794871794872</v>
                </pt>
                <pt idx="6">
                  <v>0.2721518987341772</v>
                </pt>
                <pt idx="7">
                  <v>0.4135338345864661</v>
                </pt>
                <pt idx="8">
                  <v>0.4653465346534654</v>
                </pt>
                <pt idx="9">
                  <v>0.38709677</v>
                </pt>
                <pt idx="10">
                  <v>0.3564</v>
                </pt>
                <pt idx="11">
                  <v>0.3107</v>
                </pt>
                <pt idx="12">
                  <v>0.2685</v>
                </pt>
                <pt idx="13">
                  <v>0.2447</v>
                </pt>
                <pt idx="14">
                  <v>0.1855670103092784</v>
                </pt>
                <pt idx="15">
                  <v>0.2911392405063291</v>
                </pt>
                <pt idx="16">
                  <v>0.1511627906976744</v>
                </pt>
                <pt idx="17">
                  <v>0.0761904761904762</v>
                </pt>
                <pt idx="18">
                  <v>0.115702479338843</v>
                </pt>
                <pt idx="19">
                  <v>0.2661290322580645</v>
                </pt>
                <pt idx="20">
                  <v>0.4090909090909091</v>
                </pt>
                <pt idx="21">
                  <v>0.3801652892561984</v>
                </pt>
                <pt idx="22">
                  <v>0.452991452991453</v>
                </pt>
                <pt idx="23">
                  <v>0.3603603603603603</v>
                </pt>
                <pt idx="24">
                  <v>0.36</v>
                </pt>
                <pt idx="25">
                  <v>0.4358974358974359</v>
                </pt>
                <pt idx="26">
                  <v>0.4724409448818898</v>
                </pt>
                <pt idx="27">
                  <v>0.4715447154471545</v>
                </pt>
                <pt idx="28">
                  <v>0.4765625</v>
                </pt>
                <pt idx="29">
                  <v>0.5981308411214953</v>
                </pt>
                <pt idx="30">
                  <v>0.53</v>
                </pt>
                <pt idx="31">
                  <v>0.5257731958762887</v>
                </pt>
                <pt idx="32">
                  <v>0.5578865979381443</v>
                </pt>
                <pt idx="33">
                  <v>0.59</v>
                </pt>
              </numCache>
            </numRef>
          </val>
          <smooth val="0"/>
        </ser>
        <ser>
          <idx val="3"/>
          <order val="3"/>
          <tx>
            <strRef>
              <f>'Market Size'!$T$3</f>
              <strCache>
                <ptCount val="1"/>
                <pt idx="0">
                  <v>10+ Year Term - Price Change</v>
                </pt>
              </strCache>
            </strRef>
          </tx>
          <spPr>
            <a:ln xmlns:a="http://schemas.openxmlformats.org/drawingml/2006/main" w="28575" cap="rnd">
              <a:solidFill>
                <a:srgbClr val="003D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7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2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003DA5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('Market Size'!$A$4:$A$26,'Market Size'!$A$29,'Market Size'!$A$32,'Market Size'!$A$35,'Market Size'!$A$38,'Market Size'!$A$41,'Market Size'!$A$43:$A$48)</f>
              <strCache>
                <ptCount val="34"/>
                <pt idx="0">
                  <v>Q3-17</v>
                </pt>
                <pt idx="1">
                  <v>Q4-17</v>
                </pt>
                <pt idx="2">
                  <v>Q1-18</v>
                </pt>
                <pt idx="3">
                  <v>Q2-18</v>
                </pt>
                <pt idx="4">
                  <v>Q3-18</v>
                </pt>
                <pt idx="5">
                  <v>Q4-18</v>
                </pt>
                <pt idx="6">
                  <v>Q1-19</v>
                </pt>
                <pt idx="7">
                  <v>Q2-19</v>
                </pt>
                <pt idx="8">
                  <v>Q3-19</v>
                </pt>
                <pt idx="9">
                  <v>Q4-19</v>
                </pt>
                <pt idx="10">
                  <v>Q1-20</v>
                </pt>
                <pt idx="11">
                  <v>Q2-20</v>
                </pt>
                <pt idx="12">
                  <v>Q3-20</v>
                </pt>
                <pt idx="13">
                  <v>Q4-20</v>
                </pt>
                <pt idx="14">
                  <v>Q1-21</v>
                </pt>
                <pt idx="15">
                  <v>Q2-21</v>
                </pt>
                <pt idx="16">
                  <v>Q3-21</v>
                </pt>
                <pt idx="17">
                  <v>Q4-21</v>
                </pt>
                <pt idx="18">
                  <v>Q1-22</v>
                </pt>
                <pt idx="19">
                  <v>Q2-22</v>
                </pt>
                <pt idx="20">
                  <v>Q3-22</v>
                </pt>
                <pt idx="21">
                  <v>Q4-22</v>
                </pt>
                <pt idx="22">
                  <v>Q1-23</v>
                </pt>
                <pt idx="23">
                  <v>Q2-23</v>
                </pt>
                <pt idx="24">
                  <v>Q3-23</v>
                </pt>
                <pt idx="25">
                  <v>Q4-23</v>
                </pt>
                <pt idx="26">
                  <v>Q1-24</v>
                </pt>
                <pt idx="27">
                  <v>Q2-24</v>
                </pt>
                <pt idx="28">
                  <v>Q3-24</v>
                </pt>
                <pt idx="29">
                  <v>Q4-24</v>
                </pt>
                <pt idx="30">
                  <v>Q1-25</v>
                </pt>
                <pt idx="31">
                  <v>Q2-25</v>
                </pt>
                <pt idx="32">
                  <v>Q3-25</v>
                </pt>
                <pt idx="33">
                  <v>Q4-25</v>
                </pt>
              </strCache>
            </strRef>
          </cat>
          <val>
            <numRef>
              <f>('Market Size'!$T$4:$T$26,'Market Size'!$T$29,'Market Size'!$T$32,'Market Size'!$T$35,'Market Size'!$T$38,'Market Size'!$T$41,'Market Size'!$T$43:$T$48)</f>
              <numCache>
                <formatCode>0%</formatCode>
                <ptCount val="34"/>
                <pt idx="0">
                  <v>0.3142857142857143</v>
                </pt>
                <pt idx="1">
                  <v>0.2727272727272727</v>
                </pt>
                <pt idx="2">
                  <v>0.3833333333333334</v>
                </pt>
                <pt idx="3">
                  <v>0.4166666666666667</v>
                </pt>
                <pt idx="4">
                  <v>0.4556962025316456</v>
                </pt>
                <pt idx="5">
                  <v>0.4743589743589743</v>
                </pt>
                <pt idx="6">
                  <v>0.3283582089552239</v>
                </pt>
                <pt idx="7">
                  <v>0.4</v>
                </pt>
                <pt idx="8">
                  <v>0.325</v>
                </pt>
                <pt idx="9">
                  <v>0.3658</v>
                </pt>
                <pt idx="10">
                  <v>0.25</v>
                </pt>
                <pt idx="11">
                  <v>0.2609</v>
                </pt>
                <pt idx="12">
                  <v>0.234</v>
                </pt>
                <pt idx="13">
                  <v>0.2143</v>
                </pt>
                <pt idx="14">
                  <v>0.1282051282051282</v>
                </pt>
                <pt idx="15">
                  <v>0.2325581395348837</v>
                </pt>
                <pt idx="16">
                  <v>0.2631578947368421</v>
                </pt>
                <pt idx="17">
                  <v>0.05</v>
                </pt>
                <pt idx="18">
                  <v>0.1818181818181818</v>
                </pt>
                <pt idx="19">
                  <v>0.4285714285714285</v>
                </pt>
                <pt idx="20">
                  <v>0.375</v>
                </pt>
                <pt idx="21">
                  <v>0.3684210526315789</v>
                </pt>
                <pt idx="22">
                  <v>0.4642857142857143</v>
                </pt>
                <pt idx="23">
                  <v>0.3611111111111111</v>
                </pt>
                <pt idx="24">
                  <v>0.3243243243243243</v>
                </pt>
                <pt idx="25">
                  <v>0.5555555555555556</v>
                </pt>
                <pt idx="26">
                  <v>0.5588235294117647</v>
                </pt>
                <pt idx="27">
                  <v>0.5483870967741935</v>
                </pt>
                <pt idx="28">
                  <v>0.6</v>
                </pt>
                <pt idx="29">
                  <v>0.5</v>
                </pt>
                <pt idx="30">
                  <v>0.4375</v>
                </pt>
                <pt idx="31">
                  <v>0.4285714285714285</v>
                </pt>
                <pt idx="32">
                  <v>0.4142857142857143</v>
                </pt>
                <pt idx="33">
                  <v>0.4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35877695"/>
        <axId val="1735877279"/>
      </lineChart>
      <catAx>
        <axId val="173588143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35873535"/>
        <crosses val="autoZero"/>
        <auto val="1"/>
        <lblAlgn val="ctr"/>
        <lblOffset val="100"/>
        <noMultiLvlLbl val="0"/>
      </catAx>
      <valAx>
        <axId val="173587353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35881439"/>
        <crosses val="autoZero"/>
        <crossBetween val="between"/>
      </valAx>
      <catAx>
        <axId val="1735877695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735877279"/>
        <crosses val="autoZero"/>
        <auto val="1"/>
        <lblAlgn val="ctr"/>
        <lblOffset val="100"/>
        <noMultiLvlLbl val="0"/>
      </catAx>
      <valAx>
        <axId val="1735877279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35877695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01331328542075315"/>
          <y val="0.9066199832606063"/>
          <w val="0.9809446621683705"/>
          <h val="0.0668407644864825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9EA9B7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3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192807598396605"/>
          <y val="0.1568425657319151"/>
          <w val="0.924920259407036"/>
          <h val="0.696912191531614"/>
        </manualLayout>
      </layout>
      <lineChart>
        <grouping val="standard"/>
        <varyColors val="0"/>
        <ser>
          <idx val="0"/>
          <order val="0"/>
          <tx>
            <strRef>
              <f>'Market Size'!$C$70</f>
              <strCache>
                <ptCount val="1"/>
                <pt idx="0">
                  <v>Sub 5 Year Ask Cap</v>
                </pt>
              </strCache>
            </strRef>
          </tx>
          <spPr>
            <a:ln xmlns:a="http://schemas.openxmlformats.org/drawingml/2006/main" w="19050" cap="rnd">
              <a:solidFill>
                <a:srgbClr val="B1DAF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B1DAF2"/>
              </a:solidFill>
              <a:ln xmlns:a="http://schemas.openxmlformats.org/drawingml/2006/main" w="9525">
                <a:noFill/>
                <a:prstDash val="solid"/>
              </a:ln>
            </spPr>
          </marker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666666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'Market Size'!$A$71:$A$210</f>
              <strCache>
                <ptCount val="139"/>
                <pt idx="0">
                  <v>Q4-2025</v>
                </pt>
                <pt idx="3">
                  <v>Q3-2025</v>
                </pt>
                <pt idx="6">
                  <v>Q2-2025</v>
                </pt>
                <pt idx="9">
                  <v>Q1-2025</v>
                </pt>
                <pt idx="12">
                  <v>Q4-2024</v>
                </pt>
                <pt idx="15">
                  <v>Q3-2024</v>
                </pt>
                <pt idx="18">
                  <v>Q2-2024</v>
                </pt>
                <pt idx="21">
                  <v>Q1-2024</v>
                </pt>
                <pt idx="24">
                  <v>Q4-2023</v>
                </pt>
                <pt idx="27">
                  <v>Q3-2023</v>
                </pt>
                <pt idx="30">
                  <v>Q2-2023</v>
                </pt>
                <pt idx="33">
                  <v>Q1-2023</v>
                </pt>
                <pt idx="36">
                  <v>Q4-2022</v>
                </pt>
                <pt idx="39">
                  <v>Q3-2022</v>
                </pt>
                <pt idx="42">
                  <v>Q2-2022</v>
                </pt>
                <pt idx="45">
                  <v>Q1-2022</v>
                </pt>
                <pt idx="48">
                  <v>Q4-2021</v>
                </pt>
                <pt idx="51">
                  <v>Q3-2021</v>
                </pt>
                <pt idx="54">
                  <v>Q2-2021</v>
                </pt>
                <pt idx="57">
                  <v>Q1-2021</v>
                </pt>
                <pt idx="60">
                  <v>Q4-2020</v>
                </pt>
                <pt idx="63">
                  <v>Q2-2020</v>
                </pt>
                <pt idx="66">
                  <v>Q2-2020</v>
                </pt>
                <pt idx="69">
                  <v>Q1-2020</v>
                </pt>
                <pt idx="72">
                  <v>Q4-2019</v>
                </pt>
                <pt idx="75">
                  <v>Q3-2019</v>
                </pt>
                <pt idx="78">
                  <v>Q2-2019</v>
                </pt>
                <pt idx="81">
                  <v>Q1-2019</v>
                </pt>
                <pt idx="84">
                  <v>Q4-2018</v>
                </pt>
                <pt idx="87">
                  <v>Q3-2018</v>
                </pt>
                <pt idx="90">
                  <v>Q2-2018</v>
                </pt>
                <pt idx="93">
                  <v>Q1-2018</v>
                </pt>
                <pt idx="96">
                  <v>Q4-2017</v>
                </pt>
                <pt idx="99">
                  <v>Q3-2017</v>
                </pt>
                <pt idx="102">
                  <v>Q2-2017</v>
                </pt>
                <pt idx="105">
                  <v>Q1-2017</v>
                </pt>
                <pt idx="108">
                  <v>Q4-2016</v>
                </pt>
                <pt idx="111">
                  <v>Q3-2016</v>
                </pt>
                <pt idx="114">
                  <v>Q2-2016</v>
                </pt>
                <pt idx="117">
                  <v>Q1-2016</v>
                </pt>
                <pt idx="120">
                  <v>Q4-2015</v>
                </pt>
                <pt idx="123">
                  <v>Q3-2015</v>
                </pt>
                <pt idx="126">
                  <v>Q2-2015</v>
                </pt>
                <pt idx="129">
                  <v>Q1-2015</v>
                </pt>
                <pt idx="132">
                  <v>Q4-2014</v>
                </pt>
                <pt idx="135">
                  <v>Q3-2014</v>
                </pt>
                <pt idx="138">
                  <v>Q2-2014</v>
                </pt>
              </strCache>
            </strRef>
          </cat>
          <val>
            <numRef>
              <f>'Market Size'!$C$71:$C$210</f>
              <numCache>
                <formatCode>0.00%</formatCode>
                <ptCount val="140"/>
                <pt idx="0">
                  <v>0.0721982677578875</v>
                </pt>
                <pt idx="1">
                  <v>0.07197910066665511</v>
                </pt>
                <pt idx="2">
                  <v>0.07188014618072346</v>
                </pt>
                <pt idx="3">
                  <v>0.07162394918503333</v>
                </pt>
                <pt idx="4">
                  <v>0.07022881039558149</v>
                </pt>
                <pt idx="5">
                  <v>0.06973720433155343</v>
                </pt>
                <pt idx="6">
                  <v>0.06983879104032263</v>
                </pt>
                <pt idx="7">
                  <v>0.07060807199796136</v>
                </pt>
                <pt idx="8">
                  <v>0.07049569199974791</v>
                </pt>
                <pt idx="9">
                  <v>0.07072465658396403</v>
                </pt>
                <pt idx="10">
                  <v>0.07316294878110136</v>
                </pt>
                <pt idx="11">
                  <v>0.07388069519686423</v>
                </pt>
                <pt idx="12">
                  <v>0.07421787366586895</v>
                </pt>
                <pt idx="13">
                  <v>0.07460851112060125</v>
                </pt>
                <pt idx="14">
                  <v>0.07453347532522557</v>
                </pt>
                <pt idx="15">
                  <v>0.0744716505402019</v>
                </pt>
                <pt idx="16">
                  <v>0.07577154977980988</v>
                </pt>
                <pt idx="17">
                  <v>0.07598294138465052</v>
                </pt>
                <pt idx="18">
                  <v>0.07516741144389466</v>
                </pt>
                <pt idx="19">
                  <v>0.07540406515665612</v>
                </pt>
                <pt idx="20">
                  <v>0.07475313148609426</v>
                </pt>
                <pt idx="21">
                  <v>0.07336602909591651</v>
                </pt>
                <pt idx="22">
                  <v>0.07246193993465937</v>
                </pt>
                <pt idx="23">
                  <v>0.07169413310878735</v>
                </pt>
                <pt idx="24">
                  <v>0.07185079941688498</v>
                </pt>
                <pt idx="25">
                  <v>0.0711616342248465</v>
                </pt>
                <pt idx="26">
                  <v>0.0714652129718915</v>
                </pt>
                <pt idx="27">
                  <v>0.07377508723260552</v>
                </pt>
                <pt idx="28">
                  <v>0.0738971992621207</v>
                </pt>
                <pt idx="29">
                  <v>0.07360021688800839</v>
                </pt>
                <pt idx="30">
                  <v>0.07379076160081285</v>
                </pt>
                <pt idx="31">
                  <v>0.07240049699305019</v>
                </pt>
                <pt idx="32">
                  <v>0.07181980980870503</v>
                </pt>
                <pt idx="33">
                  <v>0.07227404617428851</v>
                </pt>
                <pt idx="34">
                  <v>0.06951383052624897</v>
                </pt>
                <pt idx="35">
                  <v>0.06989882312452218</v>
                </pt>
                <pt idx="36">
                  <v>0.06837926198949808</v>
                </pt>
                <pt idx="37">
                  <v>0.06844445654477717</v>
                </pt>
                <pt idx="38">
                  <v>0.06757220355174696</v>
                </pt>
                <pt idx="39">
                  <v>0.06413668419908203</v>
                </pt>
                <pt idx="40">
                  <v>0.06349601840903611</v>
                </pt>
                <pt idx="41">
                  <v>0.06374961815363306</v>
                </pt>
                <pt idx="42">
                  <v>0.0636407654362862</v>
                </pt>
                <pt idx="43">
                  <v>0.06347713316841465</v>
                </pt>
                <pt idx="44">
                  <v>0.06339323560542984</v>
                </pt>
                <pt idx="45">
                  <v>0.06289290720836868</v>
                </pt>
                <pt idx="46">
                  <v>0.06583952401598836</v>
                </pt>
                <pt idx="47">
                  <v>0.06818397088655336</v>
                </pt>
                <pt idx="48">
                  <v>0.06950270288183011</v>
                </pt>
                <pt idx="49">
                  <v>0.07000283738643055</v>
                </pt>
                <pt idx="50">
                  <v>0.07119660162170685</v>
                </pt>
                <pt idx="51">
                  <v>0.07112029309243889</v>
                </pt>
                <pt idx="52">
                  <v>0.07112029309243889</v>
                </pt>
                <pt idx="53">
                  <v>0.07204897766547656</v>
                </pt>
                <pt idx="54">
                  <v>0.07310741588952303</v>
                </pt>
                <pt idx="55">
                  <v>0.07661164015307172</v>
                </pt>
                <pt idx="56">
                  <v>0.07724170707310166</v>
                </pt>
                <pt idx="57">
                  <v>0.07865770960531951</v>
                </pt>
                <pt idx="58">
                  <v>0.07572820684985064</v>
                </pt>
                <pt idx="59">
                  <v>0.0725041320697437</v>
                </pt>
                <pt idx="60">
                  <v>0.0725654876066342</v>
                </pt>
                <pt idx="61">
                  <v>0.07238223877090806</v>
                </pt>
                <pt idx="62">
                  <v>0.07182735546655544</v>
                </pt>
                <pt idx="63">
                  <v>0.07672553915104209</v>
                </pt>
                <pt idx="64">
                  <v>0.07553085778311051</v>
                </pt>
                <pt idx="65">
                  <v>0.07576850781670807</v>
                </pt>
                <pt idx="66">
                  <v>0.07628404245490496</v>
                </pt>
                <pt idx="67">
                  <v>0.07682803997644537</v>
                </pt>
                <pt idx="68">
                  <v>0.07691541513010186</v>
                </pt>
                <pt idx="69">
                  <v>0.08330167403662754</v>
                </pt>
                <pt idx="70">
                  <v>0.08427873058783474</v>
                </pt>
                <pt idx="71">
                  <v>0.08407066860135866</v>
                </pt>
                <pt idx="72">
                  <v>0.08394024117166837</v>
                </pt>
                <pt idx="73">
                  <v>0.08350631608264268</v>
                </pt>
                <pt idx="74">
                  <v>0.08375220779004591</v>
                </pt>
                <pt idx="75">
                  <v>0.08234399174538243</v>
                </pt>
                <pt idx="76">
                  <v>0.08463169991703737</v>
                </pt>
                <pt idx="77">
                  <v>0.08407798450354706</v>
                </pt>
                <pt idx="78">
                  <v>0.0863244599241188</v>
                </pt>
                <pt idx="79">
                  <v>0.08677705134237371</v>
                </pt>
                <pt idx="80">
                  <v>0.08672221481584746</v>
                </pt>
                <pt idx="81">
                  <v>0.07981929030999518</v>
                </pt>
                <pt idx="82">
                  <v>0.07980925088277269</v>
                </pt>
                <pt idx="83">
                  <v>0.07907507552659991</v>
                </pt>
                <pt idx="84">
                  <v>0.08057507780993572</v>
                </pt>
                <pt idx="85">
                  <v>0.08164177974710426</v>
                </pt>
                <pt idx="86">
                  <v>0.08143164211970672</v>
                </pt>
                <pt idx="87">
                  <v>0.08171561868149083</v>
                </pt>
                <pt idx="88">
                  <v>0.07786365529765513</v>
                </pt>
                <pt idx="89">
                  <v>0.07702455604089924</v>
                </pt>
                <pt idx="90">
                  <v>0.07707031139653565</v>
                </pt>
                <pt idx="91">
                  <v>0.07620413750148662</v>
                </pt>
                <pt idx="92">
                  <v>0.07697231579685929</v>
                </pt>
                <pt idx="93">
                  <v>0.07747231560657483</v>
                </pt>
                <pt idx="94">
                  <v>0.07664368543072514</v>
                </pt>
                <pt idx="95">
                  <v>0.07760485622997187</v>
                </pt>
                <pt idx="96">
                  <v>0.07644039670827894</v>
                </pt>
                <pt idx="97">
                  <v>0.07601034079020347</v>
                </pt>
                <pt idx="98">
                  <v>0.07526786441808377</v>
                </pt>
                <pt idx="99">
                  <v>0.07510424530436466</v>
                </pt>
                <pt idx="100">
                  <v>0.07601557516106272</v>
                </pt>
                <pt idx="101">
                  <v>0.07678037244724735</v>
                </pt>
                <pt idx="102">
                  <v>0.07660165330967028</v>
                </pt>
                <pt idx="103">
                  <v>0.07695232993788667</v>
                </pt>
                <pt idx="104">
                  <v>0.07436502409937722</v>
                </pt>
                <pt idx="105">
                  <v>0.07374002434473417</v>
                </pt>
                <pt idx="106">
                  <v>0.07535930555475703</v>
                </pt>
                <pt idx="107">
                  <v>0.07239411333690451</v>
                </pt>
                <pt idx="108">
                  <v>0.07379242841976962</v>
                </pt>
                <pt idx="109">
                  <v>0.07379242841976962</v>
                </pt>
                <pt idx="110">
                  <v>0.07316987344889757</v>
                </pt>
                <pt idx="111">
                  <v>0.07405527761871541</v>
                </pt>
                <pt idx="112">
                  <v>0.07787471739499541</v>
                </pt>
                <pt idx="113">
                  <v>0.07724037772062099</v>
                </pt>
                <pt idx="114">
                  <v>0.07724037772062099</v>
                </pt>
                <pt idx="115">
                  <v>0.07724037772062099</v>
                </pt>
                <pt idx="116">
                  <v>0.07724037772062099</v>
                </pt>
                <pt idx="117">
                  <v>0.07648900268866919</v>
                </pt>
                <pt idx="118">
                  <v>0.07557493617611495</v>
                </pt>
                <pt idx="119">
                  <v>0.07707989266000585</v>
                </pt>
                <pt idx="120">
                  <v>0.08007033044209964</v>
                </pt>
                <pt idx="121">
                  <v>0.08007033044209964</v>
                </pt>
                <pt idx="122">
                  <v>0.08007715566406895</v>
                </pt>
                <pt idx="123">
                  <v>0.0801980458393861</v>
                </pt>
                <pt idx="124">
                  <v>0.0782376525161721</v>
                </pt>
                <pt idx="125">
                  <v>0.07959706564521511</v>
                </pt>
                <pt idx="126">
                  <v>0.08167394194103295</v>
                </pt>
                <pt idx="127">
                  <v>0.08167394194103295</v>
                </pt>
                <pt idx="128">
                  <v>0.08139495571080423</v>
                </pt>
                <pt idx="129">
                  <v>0.08139495571080423</v>
                </pt>
                <pt idx="130">
                  <v>0.08383865273531801</v>
                </pt>
                <pt idx="131">
                  <v>0.08383865273531801</v>
                </pt>
                <pt idx="132">
                  <v>0.08104268608100537</v>
                </pt>
                <pt idx="133">
                  <v>0.08104268608100537</v>
                </pt>
                <pt idx="134">
                  <v>0.0813508791093789</v>
                </pt>
                <pt idx="135">
                  <v>0.08499073584198245</v>
                </pt>
                <pt idx="136">
                  <v>0.08499073584198245</v>
                </pt>
                <pt idx="137">
                  <v>0.08499073584198245</v>
                </pt>
                <pt idx="138">
                  <v>0.08000002455966064</v>
                </pt>
                <pt idx="139">
                  <v>0.08000002455966064</v>
                </pt>
              </numCache>
            </numRef>
          </val>
          <smooth val="0"/>
        </ser>
        <ser>
          <idx val="1"/>
          <order val="1"/>
          <tx>
            <strRef>
              <f>'Market Size'!$D$70</f>
              <strCache>
                <ptCount val="1"/>
                <pt idx="0">
                  <v>5-8 Year Ask Cap</v>
                </pt>
              </strCache>
            </strRef>
          </tx>
          <spPr>
            <a:ln xmlns:a="http://schemas.openxmlformats.org/drawingml/2006/main" w="19050" cap="rnd">
              <a:solidFill>
                <a:srgbClr val="62B5E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62B5E5"/>
              </a:solidFill>
              <a:ln xmlns:a="http://schemas.openxmlformats.org/drawingml/2006/main" w="9525">
                <a:noFill/>
                <a:prstDash val="solid"/>
              </a:ln>
            </spPr>
          </marker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666666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'Market Size'!$A$71:$A$210</f>
              <strCache>
                <ptCount val="139"/>
                <pt idx="0">
                  <v>Q4-2025</v>
                </pt>
                <pt idx="3">
                  <v>Q3-2025</v>
                </pt>
                <pt idx="6">
                  <v>Q2-2025</v>
                </pt>
                <pt idx="9">
                  <v>Q1-2025</v>
                </pt>
                <pt idx="12">
                  <v>Q4-2024</v>
                </pt>
                <pt idx="15">
                  <v>Q3-2024</v>
                </pt>
                <pt idx="18">
                  <v>Q2-2024</v>
                </pt>
                <pt idx="21">
                  <v>Q1-2024</v>
                </pt>
                <pt idx="24">
                  <v>Q4-2023</v>
                </pt>
                <pt idx="27">
                  <v>Q3-2023</v>
                </pt>
                <pt idx="30">
                  <v>Q2-2023</v>
                </pt>
                <pt idx="33">
                  <v>Q1-2023</v>
                </pt>
                <pt idx="36">
                  <v>Q4-2022</v>
                </pt>
                <pt idx="39">
                  <v>Q3-2022</v>
                </pt>
                <pt idx="42">
                  <v>Q2-2022</v>
                </pt>
                <pt idx="45">
                  <v>Q1-2022</v>
                </pt>
                <pt idx="48">
                  <v>Q4-2021</v>
                </pt>
                <pt idx="51">
                  <v>Q3-2021</v>
                </pt>
                <pt idx="54">
                  <v>Q2-2021</v>
                </pt>
                <pt idx="57">
                  <v>Q1-2021</v>
                </pt>
                <pt idx="60">
                  <v>Q4-2020</v>
                </pt>
                <pt idx="63">
                  <v>Q2-2020</v>
                </pt>
                <pt idx="66">
                  <v>Q2-2020</v>
                </pt>
                <pt idx="69">
                  <v>Q1-2020</v>
                </pt>
                <pt idx="72">
                  <v>Q4-2019</v>
                </pt>
                <pt idx="75">
                  <v>Q3-2019</v>
                </pt>
                <pt idx="78">
                  <v>Q2-2019</v>
                </pt>
                <pt idx="81">
                  <v>Q1-2019</v>
                </pt>
                <pt idx="84">
                  <v>Q4-2018</v>
                </pt>
                <pt idx="87">
                  <v>Q3-2018</v>
                </pt>
                <pt idx="90">
                  <v>Q2-2018</v>
                </pt>
                <pt idx="93">
                  <v>Q1-2018</v>
                </pt>
                <pt idx="96">
                  <v>Q4-2017</v>
                </pt>
                <pt idx="99">
                  <v>Q3-2017</v>
                </pt>
                <pt idx="102">
                  <v>Q2-2017</v>
                </pt>
                <pt idx="105">
                  <v>Q1-2017</v>
                </pt>
                <pt idx="108">
                  <v>Q4-2016</v>
                </pt>
                <pt idx="111">
                  <v>Q3-2016</v>
                </pt>
                <pt idx="114">
                  <v>Q2-2016</v>
                </pt>
                <pt idx="117">
                  <v>Q1-2016</v>
                </pt>
                <pt idx="120">
                  <v>Q4-2015</v>
                </pt>
                <pt idx="123">
                  <v>Q3-2015</v>
                </pt>
                <pt idx="126">
                  <v>Q2-2015</v>
                </pt>
                <pt idx="129">
                  <v>Q1-2015</v>
                </pt>
                <pt idx="132">
                  <v>Q4-2014</v>
                </pt>
                <pt idx="135">
                  <v>Q3-2014</v>
                </pt>
                <pt idx="138">
                  <v>Q2-2014</v>
                </pt>
              </strCache>
            </strRef>
          </cat>
          <val>
            <numRef>
              <f>'Market Size'!$D$71:$D$210</f>
              <numCache>
                <formatCode>0.00%</formatCode>
                <ptCount val="140"/>
                <pt idx="0">
                  <v>0.06848947925978481</v>
                </pt>
                <pt idx="1">
                  <v>0.06898608986069897</v>
                </pt>
                <pt idx="2">
                  <v>0.06811987330340691</v>
                </pt>
                <pt idx="3">
                  <v>0.06841498882266053</v>
                </pt>
                <pt idx="4">
                  <v>0.06775640822396967</v>
                </pt>
                <pt idx="5">
                  <v>0.06775640822396967</v>
                </pt>
                <pt idx="6">
                  <v>0.06775640822396967</v>
                </pt>
                <pt idx="7">
                  <v>0.06800583066621388</v>
                </pt>
                <pt idx="8">
                  <v>0.06867810915630457</v>
                </pt>
                <pt idx="9">
                  <v>0.06851152109952087</v>
                </pt>
                <pt idx="10">
                  <v>0.0684485093703083</v>
                </pt>
                <pt idx="11">
                  <v>0.06760938097243464</v>
                </pt>
                <pt idx="12">
                  <v>0.06731356976913047</v>
                </pt>
                <pt idx="13">
                  <v>0.06681980844527695</v>
                </pt>
                <pt idx="14">
                  <v>0.06725285979913899</v>
                </pt>
                <pt idx="15">
                  <v>0.06734849912762882</v>
                </pt>
                <pt idx="16">
                  <v>0.0675974192225763</v>
                </pt>
                <pt idx="17">
                  <v>0.0672393405119223</v>
                </pt>
                <pt idx="18">
                  <v>0.0672994295326297</v>
                </pt>
                <pt idx="19">
                  <v>0.06709186876013951</v>
                </pt>
                <pt idx="20">
                  <v>0.06683076803044347</v>
                </pt>
                <pt idx="21">
                  <v>0.06660249986938853</v>
                </pt>
                <pt idx="22">
                  <v>0.0642051217565746</v>
                </pt>
                <pt idx="23">
                  <v>0.06588792897108131</v>
                </pt>
                <pt idx="24">
                  <v>0.06951782825116817</v>
                </pt>
                <pt idx="25">
                  <v>0.06951782825116817</v>
                </pt>
                <pt idx="26">
                  <v>0.06834818501376749</v>
                </pt>
                <pt idx="27">
                  <v>0.06739211950043932</v>
                </pt>
                <pt idx="28">
                  <v>0.06598277329392413</v>
                </pt>
                <pt idx="29">
                  <v>0.06504413024307323</v>
                </pt>
                <pt idx="30">
                  <v>0.06355811851821142</v>
                </pt>
                <pt idx="31">
                  <v>0.06317462386803979</v>
                </pt>
                <pt idx="32">
                  <v>0.06168671476572322</v>
                </pt>
                <pt idx="33">
                  <v>0.06091808772886935</v>
                </pt>
                <pt idx="34">
                  <v>0.06052406011860176</v>
                </pt>
                <pt idx="35">
                  <v>0.06078134106958602</v>
                </pt>
                <pt idx="36">
                  <v>0.05935353182207122</v>
                </pt>
                <pt idx="37">
                  <v>0.05922997729021839</v>
                </pt>
                <pt idx="38">
                  <v>0.05957734138668397</v>
                </pt>
                <pt idx="39">
                  <v>0.05922412038864523</v>
                </pt>
                <pt idx="40">
                  <v>0.0590647342499507</v>
                </pt>
                <pt idx="41">
                  <v>0.05958021010595775</v>
                </pt>
                <pt idx="42">
                  <v>0.05965835996454293</v>
                </pt>
                <pt idx="43">
                  <v>0.06036946887653161</v>
                </pt>
                <pt idx="44">
                  <v>0.06131793402498849</v>
                </pt>
                <pt idx="45">
                  <v>0.06177063306783608</v>
                </pt>
                <pt idx="46">
                  <v>0.06218566262657146</v>
                </pt>
                <pt idx="47">
                  <v>0.06210027159020477</v>
                </pt>
                <pt idx="48">
                  <v>0.06209541535857865</v>
                </pt>
                <pt idx="49">
                  <v>0.06215402467778005</v>
                </pt>
                <pt idx="50">
                  <v>0.06198938166656907</v>
                </pt>
                <pt idx="51">
                  <v>0.06311802977613008</v>
                </pt>
                <pt idx="52">
                  <v>0.06377759859667095</v>
                </pt>
                <pt idx="53">
                  <v>0.06335106811249624</v>
                </pt>
                <pt idx="54">
                  <v>0.06354679648979944</v>
                </pt>
                <pt idx="55">
                  <v>0.06322169112072037</v>
                </pt>
                <pt idx="56">
                  <v>0.0629340757365489</v>
                </pt>
                <pt idx="57">
                  <v>0.0632618981849636</v>
                </pt>
                <pt idx="58">
                  <v>0.0633185219319851</v>
                </pt>
                <pt idx="59">
                  <v>0.06355277988078563</v>
                </pt>
                <pt idx="60">
                  <v>0.06341276816020427</v>
                </pt>
                <pt idx="61">
                  <v>0.06389452611026032</v>
                </pt>
                <pt idx="62">
                  <v>0.06536929615463513</v>
                </pt>
                <pt idx="63">
                  <v>0.0638123161466051</v>
                </pt>
                <pt idx="64">
                  <v>0.0623285592075955</v>
                </pt>
                <pt idx="65">
                  <v>0.06384993600298364</v>
                </pt>
                <pt idx="66">
                  <v>0.06412339069053541</v>
                </pt>
                <pt idx="67">
                  <v>0.0636359008864904</v>
                </pt>
                <pt idx="68">
                  <v>0.06358684130531833</v>
                </pt>
                <pt idx="69">
                  <v>0.06358684130531833</v>
                </pt>
                <pt idx="70">
                  <v>0.06465355594108335</v>
                </pt>
                <pt idx="71">
                  <v>0.06454808078935691</v>
                </pt>
                <pt idx="72">
                  <v>0.0665279626165015</v>
                </pt>
                <pt idx="73">
                  <v>0.06664298125794407</v>
                </pt>
                <pt idx="74">
                  <v>0.0651433868531902</v>
                </pt>
                <pt idx="75">
                  <v>0.06783971772327649</v>
                </pt>
                <pt idx="76">
                  <v>0.07036584985583622</v>
                </pt>
                <pt idx="77">
                  <v>0.07000468574458145</v>
                </pt>
                <pt idx="78">
                  <v>0.07004674453012659</v>
                </pt>
                <pt idx="79">
                  <v>0.07185430725698369</v>
                </pt>
                <pt idx="80">
                  <v>0.07182953547495298</v>
                </pt>
                <pt idx="81">
                  <v>0.07181044371695877</v>
                </pt>
                <pt idx="82">
                  <v>0.07059003859605875</v>
                </pt>
                <pt idx="83">
                  <v>0.07059003859605875</v>
                </pt>
                <pt idx="84">
                  <v>0.0700946702597323</v>
                </pt>
                <pt idx="85">
                  <v>0.07039926428219923</v>
                </pt>
                <pt idx="86">
                  <v>0.07039926428219923</v>
                </pt>
                <pt idx="87">
                  <v>0.06822433765880846</v>
                </pt>
                <pt idx="88">
                  <v>0.067800858762484</v>
                </pt>
                <pt idx="89">
                  <v>0.06760826506664133</v>
                </pt>
                <pt idx="90">
                  <v>0.06707596086738152</v>
                </pt>
                <pt idx="91">
                  <v>0.06760223501486509</v>
                </pt>
                <pt idx="92">
                  <v>0.06812864465132319</v>
                </pt>
                <pt idx="93">
                  <v>0.06668074431046141</v>
                </pt>
                <pt idx="94">
                  <v>0.06893164655142403</v>
                </pt>
                <pt idx="95">
                  <v>0.07060590804571025</v>
                </pt>
                <pt idx="96">
                  <v>0.06745412182463625</v>
                </pt>
                <pt idx="97">
                  <v>0.06745412182463625</v>
                </pt>
                <pt idx="98">
                  <v>0.06823000996917641</v>
                </pt>
                <pt idx="99">
                  <v>0.07084441268402074</v>
                </pt>
                <pt idx="100">
                  <v>0.07097969559119389</v>
                </pt>
                <pt idx="101">
                  <v>0.0718120266995636</v>
                </pt>
                <pt idx="102">
                  <v>0.07229281153322288</v>
                </pt>
                <pt idx="103">
                  <v>0.07199949821659514</v>
                </pt>
                <pt idx="104">
                  <v>0.07202020900090886</v>
                </pt>
                <pt idx="105">
                  <v>0.07202020900090886</v>
                </pt>
                <pt idx="106">
                  <v>0.07038567768606298</v>
                </pt>
                <pt idx="107">
                  <v>0.06902424545466926</v>
                </pt>
                <pt idx="108">
                  <v>0.07258749861098811</v>
                </pt>
                <pt idx="109">
                  <v>0.07339056398347832</v>
                </pt>
                <pt idx="110">
                  <v>0.07313153611787655</v>
                </pt>
                <pt idx="111">
                  <v>0.07371034082790182</v>
                </pt>
                <pt idx="112">
                  <v>0.07391742970420234</v>
                </pt>
                <pt idx="113">
                  <v>0.07449068977746241</v>
                </pt>
                <pt idx="114">
                  <v>0.07449068977746241</v>
                </pt>
                <pt idx="115">
                  <v>0.07723603466619362</v>
                </pt>
                <pt idx="116">
                  <v>0.0796480462215915</v>
                </pt>
                <pt idx="117">
                  <v>0.0796480462215915</v>
                </pt>
                <pt idx="118">
                  <v>0.07913882773295489</v>
                </pt>
                <pt idx="119">
                  <v>0.07913882773295489</v>
                </pt>
                <pt idx="120">
                  <v>0.07826383792561055</v>
                </pt>
                <pt idx="121">
                  <v>0.07817562743057387</v>
                </pt>
                <pt idx="122">
                  <v>0.07887224158982779</v>
                </pt>
                <pt idx="123">
                  <v>0.07739353395210768</v>
                </pt>
                <pt idx="124">
                  <v>0.07619300777984496</v>
                </pt>
                <pt idx="125">
                  <v>0.07468524900322572</v>
                </pt>
                <pt idx="126">
                  <v>0.07401592771705061</v>
                </pt>
                <pt idx="127">
                  <v>0.07401592771705061</v>
                </pt>
                <pt idx="128">
                  <v>0.07401592771705061</v>
                </pt>
                <pt idx="129">
                  <v>0.07401592771705061</v>
                </pt>
                <pt idx="130">
                  <v>0.07227229880387086</v>
                </pt>
                <pt idx="131">
                  <v>0.07227229880387086</v>
                </pt>
                <pt idx="132">
                  <v>0.07186815128261637</v>
                </pt>
                <pt idx="133">
                  <v>0.06966328216992525</v>
                </pt>
                <pt idx="134">
                  <v>0.06966328216992525</v>
                </pt>
                <pt idx="135">
                  <v>0.06726132279777584</v>
                </pt>
                <pt idx="136">
                  <v>0.06639705882352942</v>
                </pt>
                <pt idx="137">
                  <v>0.06639705882352942</v>
                </pt>
                <pt idx="138">
                  <v>0.0724357570100579</v>
                </pt>
                <pt idx="139">
                  <v>0.0724357570100579</v>
                </pt>
              </numCache>
            </numRef>
          </val>
          <smooth val="0"/>
        </ser>
        <ser>
          <idx val="2"/>
          <order val="2"/>
          <tx>
            <strRef>
              <f>'Market Size'!$E$70</f>
              <strCache>
                <ptCount val="1"/>
                <pt idx="0">
                  <v>8-12 Year Ask Cap</v>
                </pt>
              </strCache>
            </strRef>
          </tx>
          <spPr>
            <a:ln xmlns:a="http://schemas.openxmlformats.org/drawingml/2006/main" w="19050" cap="rnd">
              <a:solidFill>
                <a:srgbClr val="E0E8F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E0E8F4"/>
              </a:solidFill>
              <a:ln xmlns:a="http://schemas.openxmlformats.org/drawingml/2006/main" w="9525">
                <a:noFill/>
                <a:prstDash val="solid"/>
              </a:ln>
            </spPr>
          </marker>
          <cat>
            <strRef>
              <f>'Market Size'!$A$71:$A$210</f>
              <strCache>
                <ptCount val="139"/>
                <pt idx="0">
                  <v>Q4-2025</v>
                </pt>
                <pt idx="3">
                  <v>Q3-2025</v>
                </pt>
                <pt idx="6">
                  <v>Q2-2025</v>
                </pt>
                <pt idx="9">
                  <v>Q1-2025</v>
                </pt>
                <pt idx="12">
                  <v>Q4-2024</v>
                </pt>
                <pt idx="15">
                  <v>Q3-2024</v>
                </pt>
                <pt idx="18">
                  <v>Q2-2024</v>
                </pt>
                <pt idx="21">
                  <v>Q1-2024</v>
                </pt>
                <pt idx="24">
                  <v>Q4-2023</v>
                </pt>
                <pt idx="27">
                  <v>Q3-2023</v>
                </pt>
                <pt idx="30">
                  <v>Q2-2023</v>
                </pt>
                <pt idx="33">
                  <v>Q1-2023</v>
                </pt>
                <pt idx="36">
                  <v>Q4-2022</v>
                </pt>
                <pt idx="39">
                  <v>Q3-2022</v>
                </pt>
                <pt idx="42">
                  <v>Q2-2022</v>
                </pt>
                <pt idx="45">
                  <v>Q1-2022</v>
                </pt>
                <pt idx="48">
                  <v>Q4-2021</v>
                </pt>
                <pt idx="51">
                  <v>Q3-2021</v>
                </pt>
                <pt idx="54">
                  <v>Q2-2021</v>
                </pt>
                <pt idx="57">
                  <v>Q1-2021</v>
                </pt>
                <pt idx="60">
                  <v>Q4-2020</v>
                </pt>
                <pt idx="63">
                  <v>Q2-2020</v>
                </pt>
                <pt idx="66">
                  <v>Q2-2020</v>
                </pt>
                <pt idx="69">
                  <v>Q1-2020</v>
                </pt>
                <pt idx="72">
                  <v>Q4-2019</v>
                </pt>
                <pt idx="75">
                  <v>Q3-2019</v>
                </pt>
                <pt idx="78">
                  <v>Q2-2019</v>
                </pt>
                <pt idx="81">
                  <v>Q1-2019</v>
                </pt>
                <pt idx="84">
                  <v>Q4-2018</v>
                </pt>
                <pt idx="87">
                  <v>Q3-2018</v>
                </pt>
                <pt idx="90">
                  <v>Q2-2018</v>
                </pt>
                <pt idx="93">
                  <v>Q1-2018</v>
                </pt>
                <pt idx="96">
                  <v>Q4-2017</v>
                </pt>
                <pt idx="99">
                  <v>Q3-2017</v>
                </pt>
                <pt idx="102">
                  <v>Q2-2017</v>
                </pt>
                <pt idx="105">
                  <v>Q1-2017</v>
                </pt>
                <pt idx="108">
                  <v>Q4-2016</v>
                </pt>
                <pt idx="111">
                  <v>Q3-2016</v>
                </pt>
                <pt idx="114">
                  <v>Q2-2016</v>
                </pt>
                <pt idx="117">
                  <v>Q1-2016</v>
                </pt>
                <pt idx="120">
                  <v>Q4-2015</v>
                </pt>
                <pt idx="123">
                  <v>Q3-2015</v>
                </pt>
                <pt idx="126">
                  <v>Q2-2015</v>
                </pt>
                <pt idx="129">
                  <v>Q1-2015</v>
                </pt>
                <pt idx="132">
                  <v>Q4-2014</v>
                </pt>
                <pt idx="135">
                  <v>Q3-2014</v>
                </pt>
                <pt idx="138">
                  <v>Q2-2014</v>
                </pt>
              </strCache>
            </strRef>
          </cat>
          <val>
            <numRef>
              <f>'Market Size'!$E$71:$E$210</f>
              <numCache>
                <formatCode>0.00%</formatCode>
                <ptCount val="140"/>
                <pt idx="0">
                  <v>0.06241538915883774</v>
                </pt>
                <pt idx="1">
                  <v>0.06219545492829512</v>
                </pt>
                <pt idx="2">
                  <v>0.06219545492829512</v>
                </pt>
                <pt idx="3">
                  <v>0.06264333312746871</v>
                </pt>
                <pt idx="4">
                  <v>0.06281166695409454</v>
                </pt>
                <pt idx="5">
                  <v>0.06352571100429721</v>
                </pt>
                <pt idx="6">
                  <v>0.06369762643910488</v>
                </pt>
                <pt idx="7">
                  <v>0.06345611270804331</v>
                </pt>
                <pt idx="8">
                  <v>0.05998682660650585</v>
                </pt>
                <pt idx="9">
                  <v>0.06040447159656048</v>
                </pt>
                <pt idx="10">
                  <v>0.06068726662721211</v>
                </pt>
                <pt idx="11">
                  <v>0.05984330923424067</v>
                </pt>
                <pt idx="12">
                  <v>0.05974530424248641</v>
                </pt>
                <pt idx="13">
                  <v>0.05972738935817339</v>
                </pt>
                <pt idx="14">
                  <v>0.05986858036385794</v>
                </pt>
                <pt idx="15">
                  <v>0.05906272146246326</v>
                </pt>
                <pt idx="16">
                  <v>0.05877253941762813</v>
                </pt>
                <pt idx="17">
                  <v>0.05859398190147391</v>
                </pt>
                <pt idx="18">
                  <v>0.05754280647125978</v>
                </pt>
                <pt idx="19">
                  <v>0.05659195868418615</v>
                </pt>
                <pt idx="20">
                  <v>0.06159053274230134</v>
                </pt>
                <pt idx="21">
                  <v>0.06053572144312519</v>
                </pt>
                <pt idx="22">
                  <v>0.06046980054363062</v>
                </pt>
                <pt idx="23">
                  <v>0.06070808580038305</v>
                </pt>
                <pt idx="24">
                  <v>0.05906713147550433</v>
                </pt>
                <pt idx="25">
                  <v>0.05906713147550433</v>
                </pt>
                <pt idx="26">
                  <v>0.05883562122817621</v>
                </pt>
                <pt idx="27">
                  <v>0.06074536764612905</v>
                </pt>
                <pt idx="28">
                  <v>0.06086958062590039</v>
                </pt>
                <pt idx="29">
                  <v>0.05957208967908256</v>
                </pt>
                <pt idx="30">
                  <v>0.06013607413190963</v>
                </pt>
                <pt idx="31">
                  <v>0.05961202879065616</v>
                </pt>
                <pt idx="32">
                  <v>0.05902218081026114</v>
                </pt>
                <pt idx="33">
                  <v>0.05902218081026114</v>
                </pt>
                <pt idx="34">
                  <v>0.05830977730533064</v>
                </pt>
                <pt idx="35">
                  <v>0.05722644982184164</v>
                </pt>
                <pt idx="36">
                  <v>0.0575791099318063</v>
                </pt>
                <pt idx="37">
                  <v>0.0575791099318063</v>
                </pt>
                <pt idx="38">
                  <v>0.05734792059384726</v>
                </pt>
                <pt idx="39">
                  <v>0.05545043756888254</v>
                </pt>
                <pt idx="40">
                  <v>0.05506703670333524</v>
                </pt>
                <pt idx="41">
                  <v>0.05461580066071126</v>
                </pt>
                <pt idx="42">
                  <v>0.05291078655584228</v>
                </pt>
                <pt idx="43">
                  <v>0.05308140045410251</v>
                </pt>
                <pt idx="44">
                  <v>0.0541723103007216</v>
                </pt>
                <pt idx="45">
                  <v>0.05441216723288861</v>
                </pt>
                <pt idx="46">
                  <v>0.05514966706691164</v>
                </pt>
                <pt idx="47">
                  <v>0.05628670113211477</v>
                </pt>
                <pt idx="48">
                  <v>0.05594418190763066</v>
                </pt>
                <pt idx="49">
                  <v>0.05594418190763066</v>
                </pt>
                <pt idx="50">
                  <v>0.05614458505345017</v>
                </pt>
                <pt idx="51">
                  <v>0.05744030462693593</v>
                </pt>
                <pt idx="52">
                  <v>0.0586949813466453</v>
                </pt>
                <pt idx="53">
                  <v>0.0583844177401775</v>
                </pt>
                <pt idx="54">
                  <v>0.05946001943310447</v>
                </pt>
                <pt idx="55">
                  <v>0.05987598036208811</v>
                </pt>
                <pt idx="56">
                  <v>0.0597655432216534</v>
                </pt>
                <pt idx="57">
                  <v>0.06143599316287304</v>
                </pt>
                <pt idx="58">
                  <v>0.06160622383166316</v>
                </pt>
                <pt idx="59">
                  <v>0.06056561870679514</v>
                </pt>
                <pt idx="60">
                  <v>0.06103891360239892</v>
                </pt>
                <pt idx="61">
                  <v>0.06074278021434465</v>
                </pt>
                <pt idx="62">
                  <v>0.06065310754391334</v>
                </pt>
                <pt idx="63">
                  <v>0.06067805840637558</v>
                </pt>
                <pt idx="64">
                  <v>0.0605588243191169</v>
                </pt>
                <pt idx="65">
                  <v>0.06075165689104226</v>
                </pt>
                <pt idx="66">
                  <v>0.06058948933195334</v>
                </pt>
                <pt idx="67">
                  <v>0.06042724763689716</v>
                </pt>
                <pt idx="68">
                  <v>0.06057400703110518</v>
                </pt>
                <pt idx="69">
                  <v>0.0601683202254782</v>
                </pt>
                <pt idx="70">
                  <v>0.06007822965056613</v>
                </pt>
                <pt idx="71">
                  <v>0.06042584600041359</v>
                </pt>
                <pt idx="72">
                  <v>0.06088401461432617</v>
                </pt>
                <pt idx="73">
                  <v>0.06113191050100222</v>
                </pt>
                <pt idx="74">
                  <v>0.06134617974992192</v>
                </pt>
                <pt idx="75">
                  <v>0.06113184906483852</v>
                </pt>
                <pt idx="76">
                  <v>0.06065107375389129</v>
                </pt>
                <pt idx="77">
                  <v>0.06109943156585696</v>
                </pt>
                <pt idx="78">
                  <v>0.06152370239904587</v>
                </pt>
                <pt idx="79">
                  <v>0.06135590690092054</v>
                </pt>
                <pt idx="80">
                  <v>0.06149610435360632</v>
                </pt>
                <pt idx="81">
                  <v>0.06316636489065655</v>
                </pt>
                <pt idx="82">
                  <v>0.06257918652517927</v>
                </pt>
                <pt idx="83">
                  <v>0.06296086356739498</v>
                </pt>
                <pt idx="84">
                  <v>0.0626102966509976</v>
                </pt>
                <pt idx="85">
                  <v>0.06271524632273438</v>
                </pt>
                <pt idx="86">
                  <v>0.06259519786905973</v>
                </pt>
                <pt idx="87">
                  <v>0.06302210896650046</v>
                </pt>
                <pt idx="88">
                  <v>0.06323743245969846</v>
                </pt>
                <pt idx="89">
                  <v>0.06325242057843738</v>
                </pt>
                <pt idx="90">
                  <v>0.06321593521842613</v>
                </pt>
                <pt idx="91">
                  <v>0.06321167319477414</v>
                </pt>
                <pt idx="92">
                  <v>0.06287713179373124</v>
                </pt>
                <pt idx="93">
                  <v>0.06161865360516038</v>
                </pt>
                <pt idx="94">
                  <v>0.06245508260982022</v>
                </pt>
                <pt idx="95">
                  <v>0.06351095765154223</v>
                </pt>
                <pt idx="96">
                  <v>0.06410474438509965</v>
                </pt>
                <pt idx="97">
                  <v>0.06417877534278021</v>
                </pt>
                <pt idx="98">
                  <v>0.06551143267417883</v>
                </pt>
                <pt idx="99">
                  <v>0.06536979310522181</v>
                </pt>
                <pt idx="100">
                  <v>0.06602734769625242</v>
                </pt>
                <pt idx="101">
                  <v>0.06509528219355042</v>
                </pt>
                <pt idx="102">
                  <v>0.06549608058140134</v>
                </pt>
                <pt idx="103">
                  <v>0.06804624293502255</v>
                </pt>
                <pt idx="104">
                  <v>0.06964188433261925</v>
                </pt>
                <pt idx="105">
                  <v>0.0683158678243232</v>
                </pt>
                <pt idx="106">
                  <v>0.06809594688472206</v>
                </pt>
                <pt idx="107">
                  <v>0.06715796421222826</v>
                </pt>
                <pt idx="108">
                  <v>0.06719182955205688</v>
                </pt>
                <pt idx="109">
                  <v>0.06608348141096081</v>
                </pt>
                <pt idx="110">
                  <v>0.0645477327728441</v>
                </pt>
                <pt idx="111">
                  <v>0.0645477327728441</v>
                </pt>
                <pt idx="112">
                  <v>0.06467383094839699</v>
                </pt>
                <pt idx="113">
                  <v>0.06291984949947196</v>
                </pt>
                <pt idx="114">
                  <v>0.06363957559605218</v>
                </pt>
                <pt idx="115">
                  <v>0.0592492838509342</v>
                </pt>
                <pt idx="116">
                  <v>0.05909914062112105</v>
                </pt>
                <pt idx="117">
                  <v>0.06201736594429427</v>
                </pt>
                <pt idx="118">
                  <v>0.06201736594429427</v>
                </pt>
                <pt idx="119">
                  <v>0.06201736594429427</v>
                </pt>
                <pt idx="120">
                  <v>0.06747744488264833</v>
                </pt>
                <pt idx="121">
                  <v>0.06667995038677633</v>
                </pt>
                <pt idx="122">
                  <v>0.06667995038677633</v>
                </pt>
                <pt idx="123">
                  <v>0.06578000941674181</v>
                </pt>
                <pt idx="124">
                  <v>0.06578000941674181</v>
                </pt>
                <pt idx="125">
                  <v>0.06786498995238911</v>
                </pt>
                <pt idx="126">
                  <v>0.06750037747096192</v>
                </pt>
                <pt idx="127">
                  <v>0.06750037747096192</v>
                </pt>
                <pt idx="128">
                  <v>0.06928604435122802</v>
                </pt>
                <pt idx="129">
                  <v>0.06966791901965991</v>
                </pt>
                <pt idx="130">
                  <v>0.06966791901965991</v>
                </pt>
                <pt idx="131">
                  <v>0.07114386799418095</v>
                </pt>
                <pt idx="132">
                  <v>0.06760581823072459</v>
                </pt>
                <pt idx="133">
                  <v>0.07052567798973007</v>
                </pt>
                <pt idx="134">
                  <v>0.07052567798973007</v>
                </pt>
                <pt idx="135">
                  <v>0.07255474086836913</v>
                </pt>
                <pt idx="136">
                  <v>0.07255474086836913</v>
                </pt>
                <pt idx="137">
                  <v>0.07440902241573664</v>
                </pt>
                <pt idx="138">
                  <v>0.07352730603228327</v>
                </pt>
                <pt idx="139">
                  <v>0.07352730603228327</v>
                </pt>
              </numCache>
            </numRef>
          </val>
          <smooth val="0"/>
        </ser>
        <ser>
          <idx val="3"/>
          <order val="3"/>
          <tx>
            <strRef>
              <f>'Market Size'!$F$70</f>
              <strCache>
                <ptCount val="1"/>
                <pt idx="0">
                  <v>12+ Year Ask Cap</v>
                </pt>
              </strCache>
            </strRef>
          </tx>
          <spPr>
            <a:ln xmlns:a="http://schemas.openxmlformats.org/drawingml/2006/main" w="19050" cap="rnd">
              <a:solidFill>
                <a:srgbClr val="003DA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003DA5"/>
              </a:solidFill>
              <a:ln xmlns:a="http://schemas.openxmlformats.org/drawingml/2006/main" w="9525">
                <a:noFill/>
                <a:prstDash val="solid"/>
              </a:ln>
            </spPr>
          </marker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666666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'Market Size'!$A$71:$A$210</f>
              <strCache>
                <ptCount val="139"/>
                <pt idx="0">
                  <v>Q4-2025</v>
                </pt>
                <pt idx="3">
                  <v>Q3-2025</v>
                </pt>
                <pt idx="6">
                  <v>Q2-2025</v>
                </pt>
                <pt idx="9">
                  <v>Q1-2025</v>
                </pt>
                <pt idx="12">
                  <v>Q4-2024</v>
                </pt>
                <pt idx="15">
                  <v>Q3-2024</v>
                </pt>
                <pt idx="18">
                  <v>Q2-2024</v>
                </pt>
                <pt idx="21">
                  <v>Q1-2024</v>
                </pt>
                <pt idx="24">
                  <v>Q4-2023</v>
                </pt>
                <pt idx="27">
                  <v>Q3-2023</v>
                </pt>
                <pt idx="30">
                  <v>Q2-2023</v>
                </pt>
                <pt idx="33">
                  <v>Q1-2023</v>
                </pt>
                <pt idx="36">
                  <v>Q4-2022</v>
                </pt>
                <pt idx="39">
                  <v>Q3-2022</v>
                </pt>
                <pt idx="42">
                  <v>Q2-2022</v>
                </pt>
                <pt idx="45">
                  <v>Q1-2022</v>
                </pt>
                <pt idx="48">
                  <v>Q4-2021</v>
                </pt>
                <pt idx="51">
                  <v>Q3-2021</v>
                </pt>
                <pt idx="54">
                  <v>Q2-2021</v>
                </pt>
                <pt idx="57">
                  <v>Q1-2021</v>
                </pt>
                <pt idx="60">
                  <v>Q4-2020</v>
                </pt>
                <pt idx="63">
                  <v>Q2-2020</v>
                </pt>
                <pt idx="66">
                  <v>Q2-2020</v>
                </pt>
                <pt idx="69">
                  <v>Q1-2020</v>
                </pt>
                <pt idx="72">
                  <v>Q4-2019</v>
                </pt>
                <pt idx="75">
                  <v>Q3-2019</v>
                </pt>
                <pt idx="78">
                  <v>Q2-2019</v>
                </pt>
                <pt idx="81">
                  <v>Q1-2019</v>
                </pt>
                <pt idx="84">
                  <v>Q4-2018</v>
                </pt>
                <pt idx="87">
                  <v>Q3-2018</v>
                </pt>
                <pt idx="90">
                  <v>Q2-2018</v>
                </pt>
                <pt idx="93">
                  <v>Q1-2018</v>
                </pt>
                <pt idx="96">
                  <v>Q4-2017</v>
                </pt>
                <pt idx="99">
                  <v>Q3-2017</v>
                </pt>
                <pt idx="102">
                  <v>Q2-2017</v>
                </pt>
                <pt idx="105">
                  <v>Q1-2017</v>
                </pt>
                <pt idx="108">
                  <v>Q4-2016</v>
                </pt>
                <pt idx="111">
                  <v>Q3-2016</v>
                </pt>
                <pt idx="114">
                  <v>Q2-2016</v>
                </pt>
                <pt idx="117">
                  <v>Q1-2016</v>
                </pt>
                <pt idx="120">
                  <v>Q4-2015</v>
                </pt>
                <pt idx="123">
                  <v>Q3-2015</v>
                </pt>
                <pt idx="126">
                  <v>Q2-2015</v>
                </pt>
                <pt idx="129">
                  <v>Q1-2015</v>
                </pt>
                <pt idx="132">
                  <v>Q4-2014</v>
                </pt>
                <pt idx="135">
                  <v>Q3-2014</v>
                </pt>
                <pt idx="138">
                  <v>Q2-2014</v>
                </pt>
              </strCache>
            </strRef>
          </cat>
          <val>
            <numRef>
              <f>'Market Size'!$F$71:$F$210</f>
              <numCache>
                <formatCode>0.00%</formatCode>
                <ptCount val="140"/>
                <pt idx="0">
                  <v>0.06299774193548387</v>
                </pt>
                <pt idx="1">
                  <v>0.06299774193548387</v>
                </pt>
                <pt idx="2">
                  <v>0.06299774193548387</v>
                </pt>
                <pt idx="3">
                  <v>0.06299774193548387</v>
                </pt>
                <pt idx="4">
                  <v>0.06299774193548387</v>
                </pt>
                <pt idx="5">
                  <v>0.06649941170314208</v>
                </pt>
                <pt idx="6">
                  <v>0.06433293987620432</v>
                </pt>
                <pt idx="7">
                  <v>0.06433293987620432</v>
                </pt>
                <pt idx="8">
                  <v>0.06433293987620432</v>
                </pt>
                <pt idx="9">
                  <v>0.06433293987620432</v>
                </pt>
                <pt idx="10">
                  <v>0.06249971447392279</v>
                </pt>
                <pt idx="11">
                  <v>0.06249971447392279</v>
                </pt>
                <pt idx="12">
                  <v>0.06233370532006909</v>
                </pt>
                <pt idx="13">
                  <v>0.05987777899005182</v>
                </pt>
                <pt idx="14">
                  <v>0.05977788112130356</v>
                </pt>
                <pt idx="15">
                  <v>0.05977788112130356</v>
                </pt>
                <pt idx="16">
                  <v>0.05927168531656943</v>
                </pt>
                <pt idx="17">
                  <v>0.05793051079729058</v>
                </pt>
                <pt idx="18">
                  <v>0.05761801084362658</v>
                </pt>
                <pt idx="19">
                  <v>0.05786134593457921</v>
                </pt>
                <pt idx="20">
                  <v>0.05928829206116027</v>
                </pt>
                <pt idx="21">
                  <v>0.05928829206116027</v>
                </pt>
                <pt idx="22">
                  <v>0.0589929550659201</v>
                </pt>
                <pt idx="23">
                  <v>0.0589929550659201</v>
                </pt>
                <pt idx="24">
                  <v>0.05862722181493121</v>
                </pt>
                <pt idx="25">
                  <v>0.05906416623028345</v>
                </pt>
                <pt idx="26">
                  <v>0.05890584321227732</v>
                </pt>
                <pt idx="27">
                  <v>0.05856277632254506</v>
                </pt>
                <pt idx="28">
                  <v>0.05875600838118962</v>
                </pt>
                <pt idx="29">
                  <v>0.05819257035222273</v>
                </pt>
                <pt idx="30">
                  <v>0.05844258355783787</v>
                </pt>
                <pt idx="31">
                  <v>0.05842003157363286</v>
                </pt>
                <pt idx="32">
                  <v>0.05508992677998038</v>
                </pt>
                <pt idx="33">
                  <v>0.0562712337228459</v>
                </pt>
                <pt idx="34">
                  <v>0.05575404694920979</v>
                </pt>
                <pt idx="35">
                  <v>0.05509542699741072</v>
                </pt>
                <pt idx="36">
                  <v>0.05395135735561644</v>
                </pt>
                <pt idx="37">
                  <v>0.05362208863683235</v>
                </pt>
                <pt idx="38">
                  <v>0.05282309978395154</v>
                </pt>
                <pt idx="39">
                  <v>0.05218096500977384</v>
                </pt>
                <pt idx="40">
                  <v>0.05210433218735181</v>
                </pt>
                <pt idx="41">
                  <v>0.05171472601524829</v>
                </pt>
                <pt idx="42">
                  <v>0.05040040056643023</v>
                </pt>
                <pt idx="43">
                  <v>0.05059076257395</v>
                </pt>
                <pt idx="44">
                  <v>0.05103110993459679</v>
                </pt>
                <pt idx="45">
                  <v>0.04962364259711093</v>
                </pt>
                <pt idx="46">
                  <v>0.04978504927867874</v>
                </pt>
                <pt idx="47">
                  <v>0.05164762546317107</v>
                </pt>
                <pt idx="48">
                  <v>0.05181832314200387</v>
                </pt>
                <pt idx="49">
                  <v>0.05205445847325001</v>
                </pt>
                <pt idx="50">
                  <v>0.05226088369410043</v>
                </pt>
                <pt idx="51">
                  <v>0.0522191703611523</v>
                </pt>
                <pt idx="52">
                  <v>0.05224863882824628</v>
                </pt>
                <pt idx="53">
                  <v>0.05244284482881433</v>
                </pt>
                <pt idx="54">
                  <v>0.05268224245449583</v>
                </pt>
                <pt idx="55">
                  <v>0.05344460625016551</v>
                </pt>
                <pt idx="56">
                  <v>0.05339666998329164</v>
                </pt>
                <pt idx="57">
                  <v>0.05341347192159523</v>
                </pt>
                <pt idx="58">
                  <v>0.05379541006509846</v>
                </pt>
                <pt idx="59">
                  <v>0.05473834103066584</v>
                </pt>
                <pt idx="60">
                  <v>0.0549750444402121</v>
                </pt>
                <pt idx="61">
                  <v>0.05528932697406339</v>
                </pt>
                <pt idx="62">
                  <v>0.05509874104168539</v>
                </pt>
                <pt idx="63">
                  <v>0.05513057169331</v>
                </pt>
                <pt idx="64">
                  <v>0.05513057169331</v>
                </pt>
                <pt idx="65">
                  <v>0.05548106432316221</v>
                </pt>
                <pt idx="66">
                  <v>0.05543481497951615</v>
                </pt>
                <pt idx="67">
                  <v>0.05490468980845396</v>
                </pt>
                <pt idx="68">
                  <v>0.05560875914588957</v>
                </pt>
                <pt idx="69">
                  <v>0.0558713228389263</v>
                </pt>
                <pt idx="70">
                  <v>0.05596906190522082</v>
                </pt>
                <pt idx="71">
                  <v>0.05585117664615244</v>
                </pt>
                <pt idx="72">
                  <v>0.05611270542024355</v>
                </pt>
                <pt idx="73">
                  <v>0.0558910249531318</v>
                </pt>
                <pt idx="74">
                  <v>0.05582782145023716</v>
                </pt>
                <pt idx="75">
                  <v>0.05637622742658865</v>
                </pt>
                <pt idx="76">
                  <v>0.05611161720573784</v>
                </pt>
                <pt idx="77">
                  <v>0.05596727264168239</v>
                </pt>
                <pt idx="78">
                  <v>0.05640139977161359</v>
                </pt>
                <pt idx="79">
                  <v>0.05709306278059393</v>
                </pt>
                <pt idx="80">
                  <v>0.05680784818663118</v>
                </pt>
                <pt idx="81">
                  <v>0.05633305179599345</v>
                </pt>
                <pt idx="82">
                  <v>0.0562285061839448</v>
                </pt>
                <pt idx="83">
                  <v>0.05616902460393547</v>
                </pt>
                <pt idx="84">
                  <v>0.0558855943174727</v>
                </pt>
                <pt idx="85">
                  <v>0.05588117593855008</v>
                </pt>
                <pt idx="86">
                  <v>0.0562023641820936</v>
                </pt>
                <pt idx="87">
                  <v>0.05626872444322931</v>
                </pt>
                <pt idx="88">
                  <v>0.05632327813494638</v>
                </pt>
                <pt idx="89">
                  <v>0.05632353239563491</v>
                </pt>
                <pt idx="90">
                  <v>0.05624051252982512</v>
                </pt>
                <pt idx="91">
                  <v>0.05579540123018806</v>
                </pt>
                <pt idx="92">
                  <v>0.05589187549807639</v>
                </pt>
                <pt idx="93">
                  <v>0.05625956388381563</v>
                </pt>
                <pt idx="94">
                  <v>0.05636778495436863</v>
                </pt>
                <pt idx="95">
                  <v>0.05641513666532624</v>
                </pt>
                <pt idx="96">
                  <v>0.05649930000775843</v>
                </pt>
                <pt idx="97">
                  <v>0.05635429880521456</v>
                </pt>
                <pt idx="98">
                  <v>0.05651015505487722</v>
                </pt>
                <pt idx="99">
                  <v>0.05624517838984021</v>
                </pt>
                <pt idx="100">
                  <v>0.05642986328279043</v>
                </pt>
                <pt idx="101">
                  <v>0.05643000442677292</v>
                </pt>
                <pt idx="102">
                  <v>0.05651780300948761</v>
                </pt>
                <pt idx="103">
                  <v>0.0567465765319948</v>
                </pt>
                <pt idx="104">
                  <v>0.05644001665101608</v>
                </pt>
                <pt idx="105">
                  <v>0.05623050381133082</v>
                </pt>
                <pt idx="106">
                  <v>0.0558414767780055</v>
                </pt>
                <pt idx="107">
                  <v>0.05577190530276199</v>
                </pt>
                <pt idx="108">
                  <v>0.05547450197744781</v>
                </pt>
                <pt idx="109">
                  <v>0.05561641347314804</v>
                </pt>
                <pt idx="110">
                  <v>0.05472041643600484</v>
                </pt>
                <pt idx="111">
                  <v>0.05470671595661827</v>
                </pt>
                <pt idx="112">
                  <v>0.05503756617738075</v>
                </pt>
                <pt idx="113">
                  <v>0.05507643413358541</v>
                </pt>
                <pt idx="114">
                  <v>0.05491543854018839</v>
                </pt>
                <pt idx="115">
                  <v>0.05688859463828913</v>
                </pt>
                <pt idx="116">
                  <v>0.05752371200811721</v>
                </pt>
                <pt idx="117">
                  <v>0.05783788086192478</v>
                </pt>
                <pt idx="118">
                  <v>0.05862706045992721</v>
                </pt>
                <pt idx="119">
                  <v>0.05941687828095586</v>
                </pt>
                <pt idx="120">
                  <v>0.05926950418413852</v>
                </pt>
                <pt idx="121">
                  <v>0.06004196286615008</v>
                </pt>
                <pt idx="122">
                  <v>0.06013528628812913</v>
                </pt>
                <pt idx="123">
                  <v>0.06081710580643387</v>
                </pt>
                <pt idx="124">
                  <v>0.06089878443819548</v>
                </pt>
                <pt idx="125">
                  <v>0.06127018677074279</v>
                </pt>
                <pt idx="126">
                  <v>0.06127018677074279</v>
                </pt>
                <pt idx="127">
                  <v>0.05910490899881438</v>
                </pt>
                <pt idx="128">
                  <v>0.05910490899881438</v>
                </pt>
                <pt idx="129">
                  <v>0.05910490899881438</v>
                </pt>
                <pt idx="130">
                  <v>0.06117700709800118</v>
                </pt>
                <pt idx="131">
                  <v>0.06226223649434768</v>
                </pt>
                <pt idx="132">
                  <v>0.06382249860616065</v>
                </pt>
                <pt idx="133">
                  <v>0.06382249860616065</v>
                </pt>
                <pt idx="134">
                  <v>0.06382249860616065</v>
                </pt>
                <pt idx="135">
                  <v>0.06231524919845782</v>
                </pt>
                <pt idx="136">
                  <v>0.06231524919845782</v>
                </pt>
                <pt idx="137">
                  <v>0.06359954217898289</v>
                </pt>
                <pt idx="138">
                  <v>0.06199048899450858</v>
                </pt>
                <pt idx="139">
                  <v>0.06199048899450858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550725071"/>
        <axId val="1550723823"/>
      </lineChart>
      <catAx>
        <axId val="1550725071"/>
        <scaling>
          <orientation val="maxMin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66666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50723823"/>
        <crosses val="autoZero"/>
        <auto val="1"/>
        <lblAlgn val="ctr"/>
        <lblOffset val="100"/>
        <noMultiLvlLbl val="1"/>
      </catAx>
      <valAx>
        <axId val="1550723823"/>
        <scaling>
          <orientation val="minMax"/>
          <min val="0.04500000000000001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66666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50725071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666666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3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2"/>
          <order val="0"/>
          <tx>
            <strRef>
              <f>'Market Size'!$K$3</f>
              <strCache>
                <ptCount val="1"/>
                <pt idx="0">
                  <v>Total Market - Monthly Clear Pace</v>
                </pt>
              </strCache>
            </strRef>
          </tx>
          <spPr>
            <a:solidFill xmlns:a="http://schemas.openxmlformats.org/drawingml/2006/main">
              <a:srgbClr val="003DA5"/>
            </a:solidFill>
            <a:ln xmlns:a="http://schemas.openxmlformats.org/drawingml/2006/main">
              <a:solidFill>
                <a:schemeClr val="accent1">
                  <a:alpha val="34000"/>
                </a:schemeClr>
              </a:solidFill>
              <a:prstDash val="solid"/>
            </a:ln>
          </spPr>
          <invertIfNegative val="0"/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7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9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7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9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3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('Market Size'!$A$4:$A$26,'Market Size'!$A$29,'Market Size'!$A$32,'Market Size'!$A$35,'Market Size'!$A$38,'Market Size'!$A$41,'Market Size'!$A$43:$A$48)</f>
              <strCache>
                <ptCount val="34"/>
                <pt idx="0">
                  <v>Q3-17</v>
                </pt>
                <pt idx="1">
                  <v>Q4-17</v>
                </pt>
                <pt idx="2">
                  <v>Q1-18</v>
                </pt>
                <pt idx="3">
                  <v>Q2-18</v>
                </pt>
                <pt idx="4">
                  <v>Q3-18</v>
                </pt>
                <pt idx="5">
                  <v>Q4-18</v>
                </pt>
                <pt idx="6">
                  <v>Q1-19</v>
                </pt>
                <pt idx="7">
                  <v>Q2-19</v>
                </pt>
                <pt idx="8">
                  <v>Q3-19</v>
                </pt>
                <pt idx="9">
                  <v>Q4-19</v>
                </pt>
                <pt idx="10">
                  <v>Q1-20</v>
                </pt>
                <pt idx="11">
                  <v>Q2-20</v>
                </pt>
                <pt idx="12">
                  <v>Q3-20</v>
                </pt>
                <pt idx="13">
                  <v>Q4-20</v>
                </pt>
                <pt idx="14">
                  <v>Q1-21</v>
                </pt>
                <pt idx="15">
                  <v>Q2-21</v>
                </pt>
                <pt idx="16">
                  <v>Q3-21</v>
                </pt>
                <pt idx="17">
                  <v>Q4-21</v>
                </pt>
                <pt idx="18">
                  <v>Q1-22</v>
                </pt>
                <pt idx="19">
                  <v>Q2-22</v>
                </pt>
                <pt idx="20">
                  <v>Q3-22</v>
                </pt>
                <pt idx="21">
                  <v>Q4-22</v>
                </pt>
                <pt idx="22">
                  <v>Q1-23</v>
                </pt>
                <pt idx="23">
                  <v>Q2-23</v>
                </pt>
                <pt idx="24">
                  <v>Q3-23</v>
                </pt>
                <pt idx="25">
                  <v>Q4-23</v>
                </pt>
                <pt idx="26">
                  <v>Q1-24</v>
                </pt>
                <pt idx="27">
                  <v>Q2-24</v>
                </pt>
                <pt idx="28">
                  <v>Q3-24</v>
                </pt>
                <pt idx="29">
                  <v>Q4-24</v>
                </pt>
                <pt idx="30">
                  <v>Q1-25</v>
                </pt>
                <pt idx="31">
                  <v>Q2-25</v>
                </pt>
                <pt idx="32">
                  <v>Q3-25</v>
                </pt>
                <pt idx="33">
                  <v>Q4-25</v>
                </pt>
              </strCache>
            </strRef>
          </cat>
          <val>
            <numRef>
              <f>('Market Size'!$K$4:$K$26,'Market Size'!$K$29,'Market Size'!$K$32,'Market Size'!$K$35,'Market Size'!$K$38,'Market Size'!$K$41,'Market Size'!$K$43:$K$48)</f>
              <numCache>
                <formatCode>#,##0.0_);[Red]\(#,##0.0\)</formatCode>
                <ptCount val="34"/>
                <pt idx="0">
                  <v>15</v>
                </pt>
                <pt idx="1">
                  <v>14.91666666666667</v>
                </pt>
                <pt idx="2">
                  <v>14.66666666666667</v>
                </pt>
                <pt idx="3">
                  <v>15.91666666666667</v>
                </pt>
                <pt idx="4">
                  <v>18.08333333333333</v>
                </pt>
                <pt idx="5">
                  <v>19.91666666666667</v>
                </pt>
                <pt idx="6">
                  <v>20.75</v>
                </pt>
                <pt idx="7">
                  <v>20.75</v>
                </pt>
                <pt idx="8">
                  <v>18</v>
                </pt>
                <pt idx="9">
                  <v>18.16666666666667</v>
                </pt>
                <pt idx="10">
                  <v>19.5</v>
                </pt>
                <pt idx="11">
                  <v>20.08333333333333</v>
                </pt>
                <pt idx="12">
                  <v>19.16666666666667</v>
                </pt>
                <pt idx="13">
                  <v>21.08333333333333</v>
                </pt>
                <pt idx="14">
                  <v>21.75</v>
                </pt>
                <pt idx="15">
                  <v>25.25</v>
                </pt>
                <pt idx="16">
                  <v>25.66666666666667</v>
                </pt>
                <pt idx="17">
                  <v>24.33333333333333</v>
                </pt>
                <pt idx="18">
                  <v>23.33333333333333</v>
                </pt>
                <pt idx="19">
                  <v>23.33333333333333</v>
                </pt>
                <pt idx="20">
                  <v>24.16666666666667</v>
                </pt>
                <pt idx="21">
                  <v>21.5</v>
                </pt>
                <pt idx="22">
                  <v>21.08333333333333</v>
                </pt>
                <pt idx="23">
                  <v>19.16666666666667</v>
                </pt>
                <pt idx="24">
                  <v>16.5</v>
                </pt>
                <pt idx="25">
                  <v>13.83333333333333</v>
                </pt>
                <pt idx="26">
                  <v>12.75</v>
                </pt>
                <pt idx="27">
                  <v>11.41666666666667</v>
                </pt>
                <pt idx="28">
                  <v>8.583333333333334</v>
                </pt>
                <pt idx="29">
                  <v>9.75</v>
                </pt>
                <pt idx="30">
                  <v>10</v>
                </pt>
                <pt idx="31">
                  <v>10.75</v>
                </pt>
                <pt idx="32">
                  <v>11.41666666666667</v>
                </pt>
                <pt idx="33">
                  <v>12.08333333333333</v>
                </pt>
              </numCache>
            </numRef>
          </val>
        </ser>
        <ser>
          <idx val="3"/>
          <order val="1"/>
          <tx>
            <strRef>
              <f>'Market Size'!$U$3</f>
              <strCache>
                <ptCount val="1"/>
                <pt idx="0">
                  <v>10+ Year Term - Monthly Clear Pace</v>
                </pt>
              </strCache>
            </strRef>
          </tx>
          <spPr>
            <a:solidFill xmlns:a="http://schemas.openxmlformats.org/drawingml/2006/main">
              <a:srgbClr val="265AB2"/>
            </a:solidFill>
            <a:ln xmlns:a="http://schemas.openxmlformats.org/drawingml/2006/main">
              <a:solidFill>
                <a:schemeClr val="accent1">
                  <a:alpha val="30000"/>
                </a:schemeClr>
              </a:solidFill>
              <a:prstDash val="solid"/>
            </a:ln>
          </spPr>
          <invertIfNegative val="0"/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7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9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7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9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3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('Market Size'!$A$4:$A$26,'Market Size'!$A$29,'Market Size'!$A$32,'Market Size'!$A$35,'Market Size'!$A$38,'Market Size'!$A$41,'Market Size'!$A$43:$A$48)</f>
              <strCache>
                <ptCount val="34"/>
                <pt idx="0">
                  <v>Q3-17</v>
                </pt>
                <pt idx="1">
                  <v>Q4-17</v>
                </pt>
                <pt idx="2">
                  <v>Q1-18</v>
                </pt>
                <pt idx="3">
                  <v>Q2-18</v>
                </pt>
                <pt idx="4">
                  <v>Q3-18</v>
                </pt>
                <pt idx="5">
                  <v>Q4-18</v>
                </pt>
                <pt idx="6">
                  <v>Q1-19</v>
                </pt>
                <pt idx="7">
                  <v>Q2-19</v>
                </pt>
                <pt idx="8">
                  <v>Q3-19</v>
                </pt>
                <pt idx="9">
                  <v>Q4-19</v>
                </pt>
                <pt idx="10">
                  <v>Q1-20</v>
                </pt>
                <pt idx="11">
                  <v>Q2-20</v>
                </pt>
                <pt idx="12">
                  <v>Q3-20</v>
                </pt>
                <pt idx="13">
                  <v>Q4-20</v>
                </pt>
                <pt idx="14">
                  <v>Q1-21</v>
                </pt>
                <pt idx="15">
                  <v>Q2-21</v>
                </pt>
                <pt idx="16">
                  <v>Q3-21</v>
                </pt>
                <pt idx="17">
                  <v>Q4-21</v>
                </pt>
                <pt idx="18">
                  <v>Q1-22</v>
                </pt>
                <pt idx="19">
                  <v>Q2-22</v>
                </pt>
                <pt idx="20">
                  <v>Q3-22</v>
                </pt>
                <pt idx="21">
                  <v>Q4-22</v>
                </pt>
                <pt idx="22">
                  <v>Q1-23</v>
                </pt>
                <pt idx="23">
                  <v>Q2-23</v>
                </pt>
                <pt idx="24">
                  <v>Q3-23</v>
                </pt>
                <pt idx="25">
                  <v>Q4-23</v>
                </pt>
                <pt idx="26">
                  <v>Q1-24</v>
                </pt>
                <pt idx="27">
                  <v>Q2-24</v>
                </pt>
                <pt idx="28">
                  <v>Q3-24</v>
                </pt>
                <pt idx="29">
                  <v>Q4-24</v>
                </pt>
                <pt idx="30">
                  <v>Q1-25</v>
                </pt>
                <pt idx="31">
                  <v>Q2-25</v>
                </pt>
                <pt idx="32">
                  <v>Q3-25</v>
                </pt>
                <pt idx="33">
                  <v>Q4-25</v>
                </pt>
              </strCache>
            </strRef>
          </cat>
          <val>
            <numRef>
              <f>('Market Size'!$U$4:$U$26,'Market Size'!$U$29,'Market Size'!$U$32,'Market Size'!$U$35,'Market Size'!$U$38,'Market Size'!$U$41,'Market Size'!$U$43:$U$48)</f>
              <numCache>
                <formatCode>#,##0.0_);[Red]\(#,##0.0\)</formatCode>
                <ptCount val="34"/>
                <pt idx="0">
                  <v>7.25</v>
                </pt>
                <pt idx="1">
                  <v>8</v>
                </pt>
                <pt idx="2">
                  <v>7.083333333333333</v>
                </pt>
                <pt idx="3">
                  <v>7.75</v>
                </pt>
                <pt idx="4">
                  <v>8.166666666666666</v>
                </pt>
                <pt idx="5">
                  <v>9.166666666666666</v>
                </pt>
                <pt idx="6">
                  <v>9.5</v>
                </pt>
                <pt idx="7">
                  <v>9.25</v>
                </pt>
                <pt idx="8">
                  <v>8.333333333333334</v>
                </pt>
                <pt idx="9">
                  <v>7.416666666666667</v>
                </pt>
                <pt idx="10">
                  <v>7.416666666666667</v>
                </pt>
                <pt idx="11">
                  <v>7</v>
                </pt>
                <pt idx="12">
                  <v>6.916666666666667</v>
                </pt>
                <pt idx="13">
                  <v>6.5</v>
                </pt>
                <pt idx="14">
                  <v>6.416666666666667</v>
                </pt>
                <pt idx="15">
                  <v>6.416666666666667</v>
                </pt>
                <pt idx="16">
                  <v>6.166666666666667</v>
                </pt>
                <pt idx="17">
                  <v>5.333333333333333</v>
                </pt>
                <pt idx="18">
                  <v>4.25</v>
                </pt>
                <pt idx="19">
                  <v>3.666666666666667</v>
                </pt>
                <pt idx="20">
                  <v>3.833333333333333</v>
                </pt>
                <pt idx="21">
                  <v>2.583333333333333</v>
                </pt>
                <pt idx="22">
                  <v>2.666666666666667</v>
                </pt>
                <pt idx="23">
                  <v>2.166666666666667</v>
                </pt>
                <pt idx="24">
                  <v>1.833333333333333</v>
                </pt>
                <pt idx="25">
                  <v>1.583333333333333</v>
                </pt>
                <pt idx="26">
                  <v>1.666666666666667</v>
                </pt>
                <pt idx="27">
                  <v>1.666666666666667</v>
                </pt>
                <pt idx="28">
                  <v>1.25</v>
                </pt>
                <pt idx="29">
                  <v>1.5</v>
                </pt>
                <pt idx="30">
                  <v>1.5</v>
                </pt>
                <pt idx="31">
                  <v>1.416666666666667</v>
                </pt>
                <pt idx="32">
                  <v>1.125</v>
                </pt>
                <pt idx="33">
                  <v>0.8333333333333334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9"/>
        <overlap val="100"/>
        <axId val="2121222704"/>
        <axId val="2121208976"/>
      </barChart>
      <lineChart>
        <grouping val="standard"/>
        <varyColors val="0"/>
        <ser>
          <idx val="4"/>
          <order val="4"/>
          <tx>
            <strRef>
              <f>'Market Size'!$L$3</f>
              <strCache>
                <ptCount val="1"/>
                <pt idx="0">
                  <v>Total Market - Inventory Backlog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9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('Market Size'!$A$4:$A$26,'Market Size'!$A$29,'Market Size'!$A$32,'Market Size'!$A$35,'Market Size'!$A$38,'Market Size'!$A$41,'Market Size'!$A$43:$A$48)</f>
              <strCache>
                <ptCount val="34"/>
                <pt idx="0">
                  <v>Q3-17</v>
                </pt>
                <pt idx="1">
                  <v>Q4-17</v>
                </pt>
                <pt idx="2">
                  <v>Q1-18</v>
                </pt>
                <pt idx="3">
                  <v>Q2-18</v>
                </pt>
                <pt idx="4">
                  <v>Q3-18</v>
                </pt>
                <pt idx="5">
                  <v>Q4-18</v>
                </pt>
                <pt idx="6">
                  <v>Q1-19</v>
                </pt>
                <pt idx="7">
                  <v>Q2-19</v>
                </pt>
                <pt idx="8">
                  <v>Q3-19</v>
                </pt>
                <pt idx="9">
                  <v>Q4-19</v>
                </pt>
                <pt idx="10">
                  <v>Q1-20</v>
                </pt>
                <pt idx="11">
                  <v>Q2-20</v>
                </pt>
                <pt idx="12">
                  <v>Q3-20</v>
                </pt>
                <pt idx="13">
                  <v>Q4-20</v>
                </pt>
                <pt idx="14">
                  <v>Q1-21</v>
                </pt>
                <pt idx="15">
                  <v>Q2-21</v>
                </pt>
                <pt idx="16">
                  <v>Q3-21</v>
                </pt>
                <pt idx="17">
                  <v>Q4-21</v>
                </pt>
                <pt idx="18">
                  <v>Q1-22</v>
                </pt>
                <pt idx="19">
                  <v>Q2-22</v>
                </pt>
                <pt idx="20">
                  <v>Q3-22</v>
                </pt>
                <pt idx="21">
                  <v>Q4-22</v>
                </pt>
                <pt idx="22">
                  <v>Q1-23</v>
                </pt>
                <pt idx="23">
                  <v>Q2-23</v>
                </pt>
                <pt idx="24">
                  <v>Q3-23</v>
                </pt>
                <pt idx="25">
                  <v>Q4-23</v>
                </pt>
                <pt idx="26">
                  <v>Q1-24</v>
                </pt>
                <pt idx="27">
                  <v>Q2-24</v>
                </pt>
                <pt idx="28">
                  <v>Q3-24</v>
                </pt>
                <pt idx="29">
                  <v>Q4-24</v>
                </pt>
                <pt idx="30">
                  <v>Q1-25</v>
                </pt>
                <pt idx="31">
                  <v>Q2-25</v>
                </pt>
                <pt idx="32">
                  <v>Q3-25</v>
                </pt>
                <pt idx="33">
                  <v>Q4-25</v>
                </pt>
              </strCache>
            </strRef>
          </cat>
          <val>
            <numRef>
              <f>('Market Size'!$L$4:$L$26,'Market Size'!$L$29,'Market Size'!$L$32,'Market Size'!$L$35,'Market Size'!$L$38,'Market Size'!$L$41,'Market Size'!$L$43:$L$48)</f>
              <numCache>
                <formatCode>#,##0.0_);[Red]\(#,##0.0\)</formatCode>
                <ptCount val="34"/>
                <pt idx="0">
                  <v>5.533333333333333</v>
                </pt>
                <pt idx="1">
                  <v>6.770949720670392</v>
                </pt>
                <pt idx="2">
                  <v>7.840909090909091</v>
                </pt>
                <pt idx="3">
                  <v>7.476439790575917</v>
                </pt>
                <pt idx="4">
                  <v>9.235023041474655</v>
                </pt>
                <pt idx="5">
                  <v>7.832635983263597</v>
                </pt>
                <pt idx="6">
                  <v>7.614457831325301</v>
                </pt>
                <pt idx="7">
                  <v>6.409638554216867</v>
                </pt>
                <pt idx="8">
                  <v>5.611111111111111</v>
                </pt>
                <pt idx="9">
                  <v>5.119266055045872</v>
                </pt>
                <pt idx="10">
                  <v>5.17948717948718</v>
                </pt>
                <pt idx="11">
                  <v>5.128630705394191</v>
                </pt>
                <pt idx="12">
                  <v>5.634782608695652</v>
                </pt>
                <pt idx="13">
                  <v>4.458498023715415</v>
                </pt>
                <pt idx="14">
                  <v>4.459770114942529</v>
                </pt>
                <pt idx="15">
                  <v>3.128712871287129</v>
                </pt>
                <pt idx="16">
                  <v>3.701298701298701</v>
                </pt>
                <pt idx="17">
                  <v>4.52054794520548</v>
                </pt>
                <pt idx="18">
                  <v>5.185714285714286</v>
                </pt>
                <pt idx="19">
                  <v>5.314285714285715</v>
                </pt>
                <pt idx="20">
                  <v>4.717241379310344</v>
                </pt>
                <pt idx="21">
                  <v>5.627906976744186</v>
                </pt>
                <pt idx="22">
                  <v>5.739130434782609</v>
                </pt>
                <pt idx="23">
                  <v>6.260869565217391</v>
                </pt>
                <pt idx="24">
                  <v>7.575757575757576</v>
                </pt>
                <pt idx="25">
                  <v>8.457831325301205</v>
                </pt>
                <pt idx="26">
                  <v>9.96078431372549</v>
                </pt>
                <pt idx="27">
                  <v>10.77372262773723</v>
                </pt>
                <pt idx="28">
                  <v>14.9126213592233</v>
                </pt>
                <pt idx="29">
                  <v>10.97435897435897</v>
                </pt>
                <pt idx="30">
                  <v>10</v>
                </pt>
                <pt idx="31">
                  <v>9.023255813953488</v>
                </pt>
                <pt idx="32">
                  <v>8.649558941459503</v>
                </pt>
                <pt idx="33">
                  <v>8.275862068965516</v>
                </pt>
              </numCache>
            </numRef>
          </val>
          <smooth val="0"/>
        </ser>
        <ser>
          <idx val="5"/>
          <order val="5"/>
          <tx>
            <strRef>
              <f>'Market Size'!$V$3</f>
              <strCache>
                <ptCount val="1"/>
                <pt idx="0">
                  <v>10+ Year Term - Inventory Backlog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7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9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('Market Size'!$A$4:$A$26,'Market Size'!$A$29,'Market Size'!$A$32,'Market Size'!$A$35,'Market Size'!$A$38,'Market Size'!$A$41,'Market Size'!$A$43:$A$48)</f>
              <strCache>
                <ptCount val="34"/>
                <pt idx="0">
                  <v>Q3-17</v>
                </pt>
                <pt idx="1">
                  <v>Q4-17</v>
                </pt>
                <pt idx="2">
                  <v>Q1-18</v>
                </pt>
                <pt idx="3">
                  <v>Q2-18</v>
                </pt>
                <pt idx="4">
                  <v>Q3-18</v>
                </pt>
                <pt idx="5">
                  <v>Q4-18</v>
                </pt>
                <pt idx="6">
                  <v>Q1-19</v>
                </pt>
                <pt idx="7">
                  <v>Q2-19</v>
                </pt>
                <pt idx="8">
                  <v>Q3-19</v>
                </pt>
                <pt idx="9">
                  <v>Q4-19</v>
                </pt>
                <pt idx="10">
                  <v>Q1-20</v>
                </pt>
                <pt idx="11">
                  <v>Q2-20</v>
                </pt>
                <pt idx="12">
                  <v>Q3-20</v>
                </pt>
                <pt idx="13">
                  <v>Q4-20</v>
                </pt>
                <pt idx="14">
                  <v>Q1-21</v>
                </pt>
                <pt idx="15">
                  <v>Q2-21</v>
                </pt>
                <pt idx="16">
                  <v>Q3-21</v>
                </pt>
                <pt idx="17">
                  <v>Q4-21</v>
                </pt>
                <pt idx="18">
                  <v>Q1-22</v>
                </pt>
                <pt idx="19">
                  <v>Q2-22</v>
                </pt>
                <pt idx="20">
                  <v>Q3-22</v>
                </pt>
                <pt idx="21">
                  <v>Q4-22</v>
                </pt>
                <pt idx="22">
                  <v>Q1-23</v>
                </pt>
                <pt idx="23">
                  <v>Q2-23</v>
                </pt>
                <pt idx="24">
                  <v>Q3-23</v>
                </pt>
                <pt idx="25">
                  <v>Q4-23</v>
                </pt>
                <pt idx="26">
                  <v>Q1-24</v>
                </pt>
                <pt idx="27">
                  <v>Q2-24</v>
                </pt>
                <pt idx="28">
                  <v>Q3-24</v>
                </pt>
                <pt idx="29">
                  <v>Q4-24</v>
                </pt>
                <pt idx="30">
                  <v>Q1-25</v>
                </pt>
                <pt idx="31">
                  <v>Q2-25</v>
                </pt>
                <pt idx="32">
                  <v>Q3-25</v>
                </pt>
                <pt idx="33">
                  <v>Q4-25</v>
                </pt>
              </strCache>
            </strRef>
          </cat>
          <val>
            <numRef>
              <f>('Market Size'!$V$4:$V$26,'Market Size'!$V$29,'Market Size'!$V$32,'Market Size'!$V$35,'Market Size'!$V$38,'Market Size'!$V$41,'Market Size'!$V$43:$V$48)</f>
              <numCache>
                <formatCode>#,##0.0_);[Red]\(#,##0.0\)</formatCode>
                <ptCount val="34"/>
                <pt idx="0">
                  <v>4.827586206896552</v>
                </pt>
                <pt idx="1">
                  <v>6.875</v>
                </pt>
                <pt idx="2">
                  <v>8.470588235294118</v>
                </pt>
                <pt idx="3">
                  <v>7.741935483870968</v>
                </pt>
                <pt idx="4">
                  <v>9.673469387755103</v>
                </pt>
                <pt idx="5">
                  <v>8.50909090909091</v>
                </pt>
                <pt idx="6">
                  <v>7.052631578947368</v>
                </pt>
                <pt idx="7">
                  <v>6.486486486486487</v>
                </pt>
                <pt idx="8">
                  <v>4.8</v>
                </pt>
                <pt idx="9">
                  <v>5.52808988764045</v>
                </pt>
                <pt idx="10">
                  <v>6.47191011235955</v>
                </pt>
                <pt idx="11">
                  <v>6.857142857142857</v>
                </pt>
                <pt idx="12">
                  <v>6.795180722891566</v>
                </pt>
                <pt idx="13">
                  <v>4.307692307692307</v>
                </pt>
                <pt idx="14">
                  <v>6.077922077922078</v>
                </pt>
                <pt idx="15">
                  <v>6.701298701298701</v>
                </pt>
                <pt idx="16">
                  <v>2.108108108108108</v>
                </pt>
                <pt idx="17">
                  <v>3.75</v>
                </pt>
                <pt idx="18">
                  <v>5.176470588235294</v>
                </pt>
                <pt idx="19">
                  <v>5.727272727272728</v>
                </pt>
                <pt idx="20">
                  <v>6.260869565217391</v>
                </pt>
                <pt idx="21">
                  <v>14.70967741935484</v>
                </pt>
                <pt idx="22">
                  <v>10.5</v>
                </pt>
                <pt idx="23">
                  <v>16.61538461538462</v>
                </pt>
                <pt idx="24">
                  <v>20.18181818181818</v>
                </pt>
                <pt idx="25">
                  <v>22.73684210526316</v>
                </pt>
                <pt idx="26">
                  <v>20.4</v>
                </pt>
                <pt idx="27">
                  <v>18.6</v>
                </pt>
                <pt idx="28">
                  <v>24</v>
                </pt>
                <pt idx="29">
                  <v>10.66666666666667</v>
                </pt>
                <pt idx="30">
                  <v>10.66666666666667</v>
                </pt>
                <pt idx="31">
                  <v>9.882352941176469</v>
                </pt>
                <pt idx="32">
                  <v>10.94117647058824</v>
                </pt>
                <pt idx="33">
                  <v>12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3084816"/>
        <axId val="103077424"/>
      </lineChart>
      <catAx>
        <axId val="21212227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121208976"/>
        <crosses val="autoZero"/>
        <auto val="1"/>
        <lblAlgn val="ctr"/>
        <lblOffset val="100"/>
        <noMultiLvlLbl val="0"/>
      </catAx>
      <valAx>
        <axId val="21212089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_);[Red]\(#,##0.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121222704"/>
        <crosses val="autoZero"/>
        <crossBetween val="between"/>
      </valAx>
      <catAx>
        <axId val="10308481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03077424"/>
        <crosses val="autoZero"/>
        <auto val="1"/>
        <lblAlgn val="ctr"/>
        <lblOffset val="100"/>
        <noMultiLvlLbl val="0"/>
      </catAx>
      <valAx>
        <axId val="103077424"/>
        <scaling>
          <orientation val="minMax"/>
        </scaling>
        <delete val="0"/>
        <axPos val="r"/>
        <numFmt formatCode="#,##0.0_);[Red]\(#,##0.0\)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3084816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strRef>
              <f>'Market Size'!$C$64</f>
              <strCache>
                <ptCount val="1"/>
                <pt idx="0">
                  <v>No. Available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dLbl>
              <idx val="0"/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"/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2"/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3"/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t" anchorCtr="1">
                <a:no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1"/>
            <showSerName val="0"/>
            <showPercent val="1"/>
            <showBubbleSize val="0"/>
            <showLeaderLines val="1"/>
          </dLbls>
          <cat>
            <strRef>
              <f>'Market Size'!$B$65:$B$68</f>
              <strCache>
                <ptCount val="4"/>
                <pt idx="0">
                  <v>Sub 5 Year Term</v>
                </pt>
                <pt idx="1">
                  <v>5-8 Year Term</v>
                </pt>
                <pt idx="2">
                  <v>8-12 Year Term</v>
                </pt>
                <pt idx="3">
                  <v>12+ Year Term</v>
                </pt>
              </strCache>
            </strRef>
          </cat>
          <val>
            <numRef>
              <f>'Market Size'!$C$65:$C$68</f>
              <numCache>
                <formatCode>#,##0_);[Red]\(#,##0\)</formatCode>
                <ptCount val="4"/>
                <pt idx="0">
                  <v>38</v>
                </pt>
                <pt idx="1">
                  <v>41</v>
                </pt>
                <pt idx="2">
                  <v>15</v>
                </pt>
                <pt idx="3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 &amp; Price Adjustments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1"/>
          <order val="0"/>
          <tx>
            <strRef>
              <f>'Market Size'!$E$64</f>
              <strCache>
                <ptCount val="1"/>
                <pt idx="0">
                  <v>DOM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'Market Size'!$B$65:$B$68</f>
              <strCache>
                <ptCount val="4"/>
                <pt idx="0">
                  <v>Sub 5 Year Term</v>
                </pt>
                <pt idx="1">
                  <v>5-8 Year Term</v>
                </pt>
                <pt idx="2">
                  <v>8-12 Year Term</v>
                </pt>
                <pt idx="3">
                  <v>12+ Year Term</v>
                </pt>
              </strCache>
            </strRef>
          </cat>
          <val>
            <numRef>
              <f>'Market Size'!$E$65:$E$68</f>
              <numCache>
                <formatCode>#,##0_);[Red]\(#,##0\)</formatCode>
                <ptCount val="4"/>
                <pt idx="0">
                  <v>472</v>
                </pt>
                <pt idx="1">
                  <v>280</v>
                </pt>
                <pt idx="2">
                  <v>386</v>
                </pt>
                <pt idx="3">
                  <v>603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25268927"/>
        <axId val="2020729311"/>
      </barChart>
      <scatterChart>
        <scatterStyle val="lineMarker"/>
        <varyColors val="0"/>
        <ser>
          <idx val="2"/>
          <order val="2"/>
          <tx>
            <strRef>
              <f>'Market Size'!$D$64</f>
              <strCache>
                <ptCount val="1"/>
                <pt idx="0">
                  <v>Price Change</v>
                </pt>
              </strCache>
            </strRef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dLbl>
              <idx val="0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strRef>
              <f>'Market Size'!$B$65:$B$68</f>
              <strCache>
                <ptCount val="4"/>
                <pt idx="0">
                  <v>Sub 5 Year Term</v>
                </pt>
                <pt idx="1">
                  <v>5-8 Year Term</v>
                </pt>
                <pt idx="2">
                  <v>8-12 Year Term</v>
                </pt>
                <pt idx="3">
                  <v>12+ Year Term</v>
                </pt>
              </strCache>
            </strRef>
          </xVal>
          <yVal>
            <numRef>
              <f>'Market Size'!$D$65:$D$68</f>
              <numCache>
                <formatCode>0%</formatCode>
                <ptCount val="4"/>
                <pt idx="0">
                  <v>0.5</v>
                </pt>
                <pt idx="1">
                  <v>0.3414634146341464</v>
                </pt>
                <pt idx="2">
                  <v>0.2666666666666667</v>
                </pt>
                <pt idx="3">
                  <v>0.75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5280447"/>
        <axId val="2020729807"/>
      </scatterChart>
      <catAx>
        <axId val="252689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20729311"/>
        <crosses val="autoZero"/>
        <auto val="1"/>
        <lblAlgn val="ctr"/>
        <lblOffset val="100"/>
        <noMultiLvlLbl val="0"/>
      </catAx>
      <valAx>
        <axId val="202072931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5268927"/>
        <crosses val="autoZero"/>
        <crossBetween val="between"/>
      </valAx>
      <valAx>
        <axId val="25280447"/>
        <scaling>
          <orientation val="minMax"/>
        </scaling>
        <delete val="1"/>
        <axPos val="b"/>
        <majorTickMark val="out"/>
        <minorTickMark val="none"/>
        <tickLblPos val="nextTo"/>
        <crossAx val="2020729807"/>
        <crosses val="autoZero"/>
        <crossBetween val="midCat"/>
      </valAx>
      <valAx>
        <axId val="2020729807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5280447"/>
        <crosses val="max"/>
        <crossBetween val="midCat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4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Sheet1!$Q$3</f>
              <strCache>
                <ptCount val="1"/>
                <pt idx="0">
                  <v>Ask</v>
                </pt>
              </strCache>
            </strRef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lt1"/>
                </a:solidFill>
                <a:prstDash val="solid"/>
              </a:ln>
            </spPr>
          </marker>
          <dLbls>
            <delete val="1"/>
          </dLbls>
          <xVal>
            <numRef>
              <f>Sheet1!$S$4:$S$233</f>
              <numCache>
                <formatCode>General</formatCode>
                <ptCount val="230"/>
                <pt idx="0">
                  <v>45089</v>
                </pt>
                <pt idx="1">
                  <v>44987</v>
                </pt>
                <pt idx="2">
                  <v>44979</v>
                </pt>
                <pt idx="3">
                  <v>44932</v>
                </pt>
                <pt idx="4">
                  <v>44894</v>
                </pt>
                <pt idx="5">
                  <v>44862</v>
                </pt>
                <pt idx="6">
                  <v>44858</v>
                </pt>
                <pt idx="7">
                  <v>44837</v>
                </pt>
                <pt idx="8">
                  <v>44834</v>
                </pt>
                <pt idx="10">
                  <v>44789</v>
                </pt>
                <pt idx="11">
                  <v>44757</v>
                </pt>
                <pt idx="14">
                  <v>44715</v>
                </pt>
                <pt idx="15">
                  <v>44712</v>
                </pt>
                <pt idx="17">
                  <v>44705</v>
                </pt>
                <pt idx="18">
                  <v>44691</v>
                </pt>
                <pt idx="19">
                  <v>44677</v>
                </pt>
                <pt idx="20">
                  <v>44671</v>
                </pt>
                <pt idx="21">
                  <v>44669</v>
                </pt>
                <pt idx="22">
                  <v>44607</v>
                </pt>
                <pt idx="23">
                  <v>44607</v>
                </pt>
                <pt idx="24">
                  <v>44594</v>
                </pt>
                <pt idx="25">
                  <v>44582</v>
                </pt>
                <pt idx="26">
                  <v>44575</v>
                </pt>
                <pt idx="28">
                  <v>44564</v>
                </pt>
                <pt idx="29">
                  <v>44551</v>
                </pt>
                <pt idx="30">
                  <v>44540</v>
                </pt>
                <pt idx="31">
                  <v>44533</v>
                </pt>
                <pt idx="33">
                  <v>44518</v>
                </pt>
                <pt idx="34">
                  <v>44502</v>
                </pt>
                <pt idx="35">
                  <v>44494</v>
                </pt>
                <pt idx="37">
                  <v>44469</v>
                </pt>
                <pt idx="38">
                  <v>44466</v>
                </pt>
                <pt idx="39">
                  <v>44461</v>
                </pt>
                <pt idx="41">
                  <v>44454</v>
                </pt>
                <pt idx="43">
                  <v>44438</v>
                </pt>
                <pt idx="45">
                  <v>44427</v>
                </pt>
                <pt idx="46">
                  <v>44420</v>
                </pt>
                <pt idx="47">
                  <v>44418</v>
                </pt>
                <pt idx="48">
                  <v>44412</v>
                </pt>
                <pt idx="49">
                  <v>44406</v>
                </pt>
                <pt idx="50">
                  <v>44396</v>
                </pt>
                <pt idx="51">
                  <v>44386</v>
                </pt>
                <pt idx="52">
                  <v>44382</v>
                </pt>
                <pt idx="55">
                  <v>44361</v>
                </pt>
                <pt idx="56">
                  <v>44355</v>
                </pt>
                <pt idx="57">
                  <v>44355</v>
                </pt>
                <pt idx="58">
                  <v>44351</v>
                </pt>
                <pt idx="59">
                  <v>44350</v>
                </pt>
                <pt idx="60">
                  <v>44344</v>
                </pt>
                <pt idx="61">
                  <v>44337</v>
                </pt>
                <pt idx="62">
                  <v>44337</v>
                </pt>
                <pt idx="63">
                  <v>44337</v>
                </pt>
                <pt idx="64">
                  <v>44320</v>
                </pt>
                <pt idx="67">
                  <v>44306</v>
                </pt>
                <pt idx="68">
                  <v>44306</v>
                </pt>
                <pt idx="69">
                  <v>44286</v>
                </pt>
                <pt idx="70">
                  <v>44284</v>
                </pt>
                <pt idx="71">
                  <v>44284</v>
                </pt>
                <pt idx="72">
                  <v>44281</v>
                </pt>
                <pt idx="73">
                  <v>44279</v>
                </pt>
                <pt idx="74">
                  <v>44273</v>
                </pt>
                <pt idx="75">
                  <v>44257</v>
                </pt>
                <pt idx="76">
                  <v>44253</v>
                </pt>
                <pt idx="77">
                  <v>44236</v>
                </pt>
                <pt idx="78">
                  <v>44235</v>
                </pt>
                <pt idx="80">
                  <v>44225</v>
                </pt>
                <pt idx="81">
                  <v>44224</v>
                </pt>
                <pt idx="82">
                  <v>44210</v>
                </pt>
                <pt idx="83">
                  <v>44209</v>
                </pt>
                <pt idx="84">
                  <v>44203</v>
                </pt>
                <pt idx="85">
                  <v>44203</v>
                </pt>
                <pt idx="86">
                  <v>44194</v>
                </pt>
                <pt idx="87">
                  <v>44193</v>
                </pt>
                <pt idx="88">
                  <v>44187</v>
                </pt>
                <pt idx="89">
                  <v>44182</v>
                </pt>
                <pt idx="90">
                  <v>44173</v>
                </pt>
                <pt idx="91">
                  <v>44159</v>
                </pt>
                <pt idx="92">
                  <v>44148</v>
                </pt>
                <pt idx="93">
                  <v>44134</v>
                </pt>
                <pt idx="94">
                  <v>44124</v>
                </pt>
                <pt idx="95">
                  <v>44124</v>
                </pt>
                <pt idx="96">
                  <v>44118</v>
                </pt>
                <pt idx="97">
                  <v>44117</v>
                </pt>
                <pt idx="98">
                  <v>44103</v>
                </pt>
                <pt idx="99">
                  <v>44103</v>
                </pt>
                <pt idx="100">
                  <v>44103</v>
                </pt>
                <pt idx="101">
                  <v>44099</v>
                </pt>
                <pt idx="102">
                  <v>44095</v>
                </pt>
                <pt idx="103">
                  <v>44089</v>
                </pt>
                <pt idx="104">
                  <v>44085</v>
                </pt>
                <pt idx="105">
                  <v>44082</v>
                </pt>
                <pt idx="106">
                  <v>44070</v>
                </pt>
                <pt idx="107">
                  <v>44068</v>
                </pt>
                <pt idx="108">
                  <v>44063</v>
                </pt>
                <pt idx="109">
                  <v>44063</v>
                </pt>
                <pt idx="110">
                  <v>44057</v>
                </pt>
                <pt idx="111">
                  <v>44047</v>
                </pt>
                <pt idx="113">
                  <v>44043</v>
                </pt>
                <pt idx="114">
                  <v>44042</v>
                </pt>
                <pt idx="116">
                  <v>44037</v>
                </pt>
                <pt idx="118">
                  <v>44012</v>
                </pt>
                <pt idx="119">
                  <v>44011</v>
                </pt>
                <pt idx="120">
                  <v>44008</v>
                </pt>
                <pt idx="121">
                  <v>44007</v>
                </pt>
                <pt idx="122">
                  <v>44004</v>
                </pt>
                <pt idx="124">
                  <v>44001</v>
                </pt>
                <pt idx="125">
                  <v>44001</v>
                </pt>
                <pt idx="126">
                  <v>43997</v>
                </pt>
                <pt idx="127">
                  <v>43988</v>
                </pt>
                <pt idx="128">
                  <v>43973</v>
                </pt>
                <pt idx="129">
                  <v>43958</v>
                </pt>
                <pt idx="130">
                  <v>43938</v>
                </pt>
                <pt idx="131">
                  <v>43938</v>
                </pt>
                <pt idx="132">
                  <v>43921</v>
                </pt>
                <pt idx="133">
                  <v>43921</v>
                </pt>
                <pt idx="134">
                  <v>43916</v>
                </pt>
                <pt idx="135">
                  <v>43906</v>
                </pt>
                <pt idx="136">
                  <v>43906</v>
                </pt>
                <pt idx="137">
                  <v>43906</v>
                </pt>
                <pt idx="138">
                  <v>43906</v>
                </pt>
                <pt idx="139">
                  <v>43903</v>
                </pt>
                <pt idx="140">
                  <v>43889</v>
                </pt>
                <pt idx="141">
                  <v>43886</v>
                </pt>
                <pt idx="142">
                  <v>43880</v>
                </pt>
                <pt idx="143">
                  <v>43879</v>
                </pt>
                <pt idx="144">
                  <v>43860</v>
                </pt>
                <pt idx="145">
                  <v>43859</v>
                </pt>
                <pt idx="146">
                  <v>43853</v>
                </pt>
                <pt idx="147">
                  <v>43847</v>
                </pt>
                <pt idx="148">
                  <v>43846</v>
                </pt>
                <pt idx="149">
                  <v>43846</v>
                </pt>
                <pt idx="150">
                  <v>43843</v>
                </pt>
                <pt idx="151">
                  <v>43843</v>
                </pt>
                <pt idx="152">
                  <v>43838</v>
                </pt>
                <pt idx="153">
                  <v>43837</v>
                </pt>
                <pt idx="154">
                  <v>43829</v>
                </pt>
                <pt idx="155">
                  <v>43822</v>
                </pt>
                <pt idx="156">
                  <v>43822</v>
                </pt>
                <pt idx="157">
                  <v>43815</v>
                </pt>
                <pt idx="159">
                  <v>43805</v>
                </pt>
                <pt idx="160">
                  <v>43805</v>
                </pt>
                <pt idx="161">
                  <v>43800</v>
                </pt>
                <pt idx="162">
                  <v>43794</v>
                </pt>
                <pt idx="166">
                  <v>43787</v>
                </pt>
                <pt idx="167">
                  <v>43774</v>
                </pt>
                <pt idx="170">
                  <v>43760</v>
                </pt>
                <pt idx="171">
                  <v>43760</v>
                </pt>
                <pt idx="173">
                  <v>43738</v>
                </pt>
                <pt idx="174">
                  <v>43733</v>
                </pt>
                <pt idx="175">
                  <v>43719</v>
                </pt>
                <pt idx="176">
                  <v>43719</v>
                </pt>
                <pt idx="178">
                  <v>43709</v>
                </pt>
                <pt idx="180">
                  <v>43700</v>
                </pt>
                <pt idx="181">
                  <v>43691</v>
                </pt>
                <pt idx="182">
                  <v>43675</v>
                </pt>
                <pt idx="183">
                  <v>43675</v>
                </pt>
                <pt idx="184">
                  <v>43672</v>
                </pt>
                <pt idx="185">
                  <v>43672</v>
                </pt>
                <pt idx="186">
                  <v>43671</v>
                </pt>
                <pt idx="187">
                  <v>43657</v>
                </pt>
                <pt idx="189">
                  <v>43656</v>
                </pt>
                <pt idx="191">
                  <v>43642</v>
                </pt>
                <pt idx="192">
                  <v>43641</v>
                </pt>
                <pt idx="193">
                  <v>43641</v>
                </pt>
                <pt idx="194">
                  <v>43630</v>
                </pt>
                <pt idx="195">
                  <v>43627</v>
                </pt>
                <pt idx="196">
                  <v>43627</v>
                </pt>
                <pt idx="197">
                  <v>43619</v>
                </pt>
                <pt idx="198">
                  <v>43616</v>
                </pt>
                <pt idx="200">
                  <v>43606</v>
                </pt>
                <pt idx="201">
                  <v>43599</v>
                </pt>
                <pt idx="202">
                  <v>43594</v>
                </pt>
                <pt idx="203">
                  <v>43581</v>
                </pt>
                <pt idx="204">
                  <v>43580</v>
                </pt>
                <pt idx="205">
                  <v>43579</v>
                </pt>
                <pt idx="206">
                  <v>43570</v>
                </pt>
                <pt idx="208">
                  <v>43565</v>
                </pt>
                <pt idx="209">
                  <v>43565</v>
                </pt>
                <pt idx="210">
                  <v>43565</v>
                </pt>
                <pt idx="212">
                  <v>43559</v>
                </pt>
                <pt idx="213">
                  <v>43553</v>
                </pt>
                <pt idx="214">
                  <v>43546</v>
                </pt>
                <pt idx="216">
                  <v>43542</v>
                </pt>
                <pt idx="217">
                  <v>43539</v>
                </pt>
                <pt idx="218">
                  <v>43532</v>
                </pt>
                <pt idx="219">
                  <v>43532</v>
                </pt>
                <pt idx="220">
                  <v>43531</v>
                </pt>
                <pt idx="221">
                  <v>43500</v>
                </pt>
                <pt idx="222">
                  <v>43497</v>
                </pt>
                <pt idx="223">
                  <v>43497</v>
                </pt>
                <pt idx="224">
                  <v>43496</v>
                </pt>
                <pt idx="225">
                  <v>43495</v>
                </pt>
                <pt idx="226">
                  <v>43494</v>
                </pt>
                <pt idx="228">
                  <v>43490</v>
                </pt>
                <pt idx="229">
                  <v>43479</v>
                </pt>
              </numCache>
            </numRef>
          </xVal>
          <yVal>
            <numRef>
              <f>Sheet1!$Q$4:$Q$233</f>
              <numCache>
                <formatCode>General</formatCode>
                <ptCount val="230"/>
                <pt idx="0">
                  <v>0.05500000271604952</v>
                </pt>
                <pt idx="1">
                  <v>0.05000050466818067</v>
                </pt>
                <pt idx="2">
                  <v>0.05350021321961621</v>
                </pt>
                <pt idx="3">
                  <v>0.0509999511603199</v>
                </pt>
                <pt idx="4">
                  <v>0.04391186863437955</v>
                </pt>
                <pt idx="5">
                  <v>0.05650000269865406</v>
                </pt>
                <pt idx="6">
                  <v>0.05</v>
                </pt>
                <pt idx="7">
                  <v>0.06317422222222221</v>
                </pt>
                <pt idx="8">
                  <v>0.04501375631067961</v>
                </pt>
                <pt idx="10">
                  <v>0.045</v>
                </pt>
                <pt idx="11">
                  <v>0.05149990258086375</v>
                </pt>
                <pt idx="14">
                  <v>0.04500000052562357</v>
                </pt>
                <pt idx="15">
                  <v>0.04998889644232948</v>
                </pt>
                <pt idx="17">
                  <v>0.05350000973505586</v>
                </pt>
                <pt idx="18">
                  <v>0.05000013273020727</v>
                </pt>
                <pt idx="19">
                  <v>0.05</v>
                </pt>
                <pt idx="20">
                  <v>0.05</v>
                </pt>
                <pt idx="21">
                  <v>0.04481971830985915</v>
                </pt>
                <pt idx="22">
                  <v>0.05</v>
                </pt>
                <pt idx="23">
                  <v>0.05065456150792086</v>
                </pt>
                <pt idx="24">
                  <v>0.045</v>
                </pt>
                <pt idx="25">
                  <v>0.05330017406330967</v>
                </pt>
                <pt idx="26">
                  <v>0.05300885278817194</v>
                </pt>
                <pt idx="28">
                  <v>0.04605833333333333</v>
                </pt>
                <pt idx="29">
                  <v>0.04654026562413779</v>
                </pt>
                <pt idx="30">
                  <v>0.03246698763726569</v>
                </pt>
                <pt idx="31">
                  <v>0.05349984855192339</v>
                </pt>
                <pt idx="33">
                  <v>0.04249999934337583</v>
                </pt>
                <pt idx="34">
                  <v>0.05250000161831257</v>
                </pt>
                <pt idx="35">
                  <v>0.0474999955216849</v>
                </pt>
                <pt idx="37">
                  <v>0.0475</v>
                </pt>
                <pt idx="38">
                  <v>0.04649994901429273</v>
                </pt>
                <pt idx="39">
                  <v>0.05153695364238411</v>
                </pt>
                <pt idx="41">
                  <v>0.04982727243281643</v>
                </pt>
                <pt idx="43">
                  <v>0.04715328467153285</v>
                </pt>
                <pt idx="45">
                  <v>0.05349994844056134</v>
                </pt>
                <pt idx="46">
                  <v>0.053</v>
                </pt>
                <pt idx="47">
                  <v>0.05349994844056134</v>
                </pt>
                <pt idx="48">
                  <v>0.05499980457685305</v>
                </pt>
                <pt idx="49">
                  <v>0.04999988084343781</v>
                </pt>
                <pt idx="50">
                  <v>0.05350000013207398</v>
                </pt>
                <pt idx="51">
                  <v>0.05850503887129283</v>
                </pt>
                <pt idx="52">
                  <v>0.05499986145286916</v>
                </pt>
                <pt idx="55">
                  <v>0.0625</v>
                </pt>
                <pt idx="56">
                  <v>0.05</v>
                </pt>
                <pt idx="57">
                  <v>0.04433946153846154</v>
                </pt>
                <pt idx="58">
                  <v>0.05249999589377019</v>
                </pt>
                <pt idx="59">
                  <v>0.05650000418039729</v>
                </pt>
                <pt idx="60">
                  <v>0.04999842710223835</v>
                </pt>
                <pt idx="61">
                  <v>0.05349991409820293</v>
                </pt>
                <pt idx="62">
                  <v>0.05000008810484712</v>
                </pt>
                <pt idx="63">
                  <v>0.05249995803226479</v>
                </pt>
                <pt idx="64">
                  <v>0.05249987590518171</v>
                </pt>
                <pt idx="67">
                  <v>0.05649988400343224</v>
                </pt>
                <pt idx="68">
                  <v>0.05250020919010887</v>
                </pt>
                <pt idx="69">
                  <v>0.05</v>
                </pt>
                <pt idx="70">
                  <v>0.05650000682579213</v>
                </pt>
                <pt idx="71">
                  <v>0.05499999762751063</v>
                </pt>
                <pt idx="72">
                  <v>0.05249981522569276</v>
                </pt>
                <pt idx="73">
                  <v>0.05749998954979939</v>
                </pt>
                <pt idx="74">
                  <v>0.0534000700159462</v>
                </pt>
                <pt idx="75">
                  <v>0.05752261904761904</v>
                </pt>
                <pt idx="76">
                  <v>0.05851090086384204</v>
                </pt>
                <pt idx="77">
                  <v>0.05000823485753696</v>
                </pt>
                <pt idx="78">
                  <v>0.05249999354203375</v>
                </pt>
                <pt idx="80">
                  <v>0.06</v>
                </pt>
                <pt idx="81">
                  <v>0.06</v>
                </pt>
                <pt idx="82">
                  <v>0.05750000580792495</v>
                </pt>
                <pt idx="83">
                  <v>0.05649999576188579</v>
                </pt>
                <pt idx="84">
                  <v>0.06</v>
                </pt>
                <pt idx="85">
                  <v>0.06</v>
                </pt>
                <pt idx="86">
                  <v>0.06000463473846833</v>
                </pt>
                <pt idx="87">
                  <v>0.05151513513513514</v>
                </pt>
                <pt idx="88">
                  <v>0.05299989351685126</v>
                </pt>
                <pt idx="89">
                  <v>0.05449853276817737</v>
                </pt>
                <pt idx="90">
                  <v>0.04749911816578483</v>
                </pt>
                <pt idx="91">
                  <v>0.05649995350431954</v>
                </pt>
                <pt idx="92">
                  <v>0.05124854766085236</v>
                </pt>
                <pt idx="93">
                  <v>0.0575</v>
                </pt>
                <pt idx="94">
                  <v>0.0575000008913568</v>
                </pt>
                <pt idx="95">
                  <v>0.05749168945101202</v>
                </pt>
                <pt idx="96">
                  <v>0.0578421052631579</v>
                </pt>
                <pt idx="97">
                  <v>0.05</v>
                </pt>
                <pt idx="98">
                  <v>0.05700000543539073</v>
                </pt>
                <pt idx="99">
                  <v>0.05699981800812422</v>
                </pt>
                <pt idx="100">
                  <v>0.05999981623558598</v>
                </pt>
                <pt idx="101">
                  <v>0.05350000033901132</v>
                </pt>
                <pt idx="102">
                  <v>0.05497629513343799</v>
                </pt>
                <pt idx="103">
                  <v>0.0574945128034586</v>
                </pt>
                <pt idx="104">
                  <v>0.05837950413223141</v>
                </pt>
                <pt idx="105">
                  <v>0.04500000136003438</v>
                </pt>
                <pt idx="106">
                  <v>0.05</v>
                </pt>
                <pt idx="107">
                  <v>0.05250000433778505</v>
                </pt>
                <pt idx="108">
                  <v>0.05999548140424053</v>
                </pt>
                <pt idx="109">
                  <v>0.06427083333333333</v>
                </pt>
                <pt idx="110">
                  <v>0.05399974883837749</v>
                </pt>
                <pt idx="111">
                  <v>0.05392153035330861</v>
                </pt>
                <pt idx="113">
                  <v>0.05349640287769784</v>
                </pt>
                <pt idx="114">
                  <v>0.06250531511009871</v>
                </pt>
                <pt idx="116">
                  <v>0.05749991048782683</v>
                </pt>
                <pt idx="118">
                  <v>0.05299365234375</v>
                </pt>
                <pt idx="119">
                  <v>0.07000000000000001</v>
                </pt>
                <pt idx="120">
                  <v>0.06499999558619846</v>
                </pt>
                <pt idx="121">
                  <v>0.05499946380697051</v>
                </pt>
                <pt idx="122">
                  <v>0.05600000436016132</v>
                </pt>
                <pt idx="124">
                  <v>0.05263652892561983</v>
                </pt>
                <pt idx="125">
                  <v>0.0573</v>
                </pt>
                <pt idx="126">
                  <v>0.05</v>
                </pt>
                <pt idx="127">
                  <v>0.0599999056195553</v>
                </pt>
                <pt idx="128">
                  <v>0.05099999272927979</v>
                </pt>
                <pt idx="129">
                  <v>0.0601</v>
                </pt>
                <pt idx="130">
                  <v>0.06</v>
                </pt>
                <pt idx="131">
                  <v>0.06</v>
                </pt>
                <pt idx="132">
                  <v>0.0575</v>
                </pt>
                <pt idx="133">
                  <v>0.06</v>
                </pt>
                <pt idx="134">
                  <v>0.06500002088354084</v>
                </pt>
                <pt idx="135">
                  <v>0.06</v>
                </pt>
                <pt idx="136">
                  <v>0.06</v>
                </pt>
                <pt idx="137">
                  <v>0.05103401360544218</v>
                </pt>
                <pt idx="138">
                  <v>0.06200000958430683</v>
                </pt>
                <pt idx="139">
                  <v>0.06002505219206681</v>
                </pt>
                <pt idx="140">
                  <v>0.05744796380090498</v>
                </pt>
                <pt idx="141">
                  <v>0.04770000145841116</v>
                </pt>
                <pt idx="142">
                  <v>0.05249296084469864</v>
                </pt>
                <pt idx="143">
                  <v>0.06797033041132838</v>
                </pt>
                <pt idx="144">
                  <v>0.0600386292834891</v>
                </pt>
                <pt idx="145">
                  <v>0.05649978927314156</v>
                </pt>
                <pt idx="146">
                  <v>0.05159649670714448</v>
                </pt>
                <pt idx="147">
                  <v>0.05593483894853758</v>
                </pt>
                <pt idx="148">
                  <v>0.0615</v>
                </pt>
                <pt idx="149">
                  <v>0.05443317073170732</v>
                </pt>
                <pt idx="150">
                  <v>0.05593662769967084</v>
                </pt>
                <pt idx="151">
                  <v>0.0585112302427223</v>
                </pt>
                <pt idx="152">
                  <v>0.06</v>
                </pt>
                <pt idx="153">
                  <v>0.05461864406779661</v>
                </pt>
                <pt idx="154">
                  <v>0.05399992357492655</v>
                </pt>
                <pt idx="155">
                  <v>0.05400010628148905</v>
                </pt>
                <pt idx="156">
                  <v>0.05500010114496096</v>
                </pt>
                <pt idx="157">
                  <v>0.05149999538239691</v>
                </pt>
                <pt idx="159">
                  <v>0.05063941206224523</v>
                </pt>
                <pt idx="160">
                  <v>0.05089905767992716</v>
                </pt>
                <pt idx="161">
                  <v>0.0564999985227324</v>
                </pt>
                <pt idx="162">
                  <v>0.05749993027860669</v>
                </pt>
                <pt idx="166">
                  <v>0.05000414722654225</v>
                </pt>
                <pt idx="167">
                  <v>0.05691886633539621</v>
                </pt>
                <pt idx="170">
                  <v>0.05699999965073958</v>
                </pt>
                <pt idx="171">
                  <v>0.05349999932041487</v>
                </pt>
                <pt idx="173">
                  <v>0.05948793475244271</v>
                </pt>
                <pt idx="174">
                  <v>0.055</v>
                </pt>
                <pt idx="175">
                  <v>0.05867002418694183</v>
                </pt>
                <pt idx="176">
                  <v>0.05750000405243527</v>
                </pt>
                <pt idx="178">
                  <v>0.05750001398056515</v>
                </pt>
                <pt idx="180">
                  <v>0.05251420560747663</v>
                </pt>
                <pt idx="181">
                  <v>0.05249999804215527</v>
                </pt>
                <pt idx="182">
                  <v>0.063</v>
                </pt>
                <pt idx="183">
                  <v>0.06299999059448042</v>
                </pt>
                <pt idx="184">
                  <v>0.06249104320337197</v>
                </pt>
                <pt idx="185">
                  <v>0.0550043808411215</v>
                </pt>
                <pt idx="186">
                  <v>0.07029643579206238</v>
                </pt>
                <pt idx="187">
                  <v>0.05713106295149638</v>
                </pt>
                <pt idx="189">
                  <v>0.057500000866998</v>
                </pt>
                <pt idx="191">
                  <v>0.05749995009153799</v>
                </pt>
                <pt idx="192">
                  <v>0.05746938775510204</v>
                </pt>
                <pt idx="193">
                  <v>0.06105420353982301</v>
                </pt>
                <pt idx="194">
                  <v>0.0792014792144861</v>
                </pt>
                <pt idx="195">
                  <v>0.05400000551541052</v>
                </pt>
                <pt idx="196">
                  <v>0.054</v>
                </pt>
                <pt idx="197">
                  <v>0.05500000243794337</v>
                </pt>
                <pt idx="198">
                  <v>0.07448727272727272</v>
                </pt>
                <pt idx="200">
                  <v>0.06731891891891892</v>
                </pt>
                <pt idx="201">
                  <v>0.05149957877000842</v>
                </pt>
                <pt idx="202">
                  <v>0.04901297071129707</v>
                </pt>
                <pt idx="203">
                  <v>0.05506760087693682</v>
                </pt>
                <pt idx="204">
                  <v>0.05700012668340795</v>
                </pt>
                <pt idx="205">
                  <v>0.0475000021713918</v>
                </pt>
                <pt idx="206">
                  <v>0.05664635462763705</v>
                </pt>
                <pt idx="208">
                  <v>0.05999634397163121</v>
                </pt>
                <pt idx="209">
                  <v>0.05500001132736305</v>
                </pt>
                <pt idx="210">
                  <v>0.05349999576528038</v>
                </pt>
                <pt idx="212">
                  <v>0.0659993961352657</v>
                </pt>
                <pt idx="213">
                  <v>0.05260871559633028</v>
                </pt>
                <pt idx="214">
                  <v>0.06279999999999999</v>
                </pt>
                <pt idx="216">
                  <v>0.06249529190207156</v>
                </pt>
                <pt idx="217">
                  <v>0.05</v>
                </pt>
                <pt idx="218">
                  <v>0.05500001931926633</v>
                </pt>
                <pt idx="219">
                  <v>0.05500009534686129</v>
                </pt>
                <pt idx="220">
                  <v>0.05991555652173913</v>
                </pt>
                <pt idx="221">
                  <v>0.05499304084720121</v>
                </pt>
                <pt idx="222">
                  <v>0.055</v>
                </pt>
                <pt idx="223">
                  <v>0.05499999773030208</v>
                </pt>
                <pt idx="224">
                  <v>0.05249999933693704</v>
                </pt>
                <pt idx="225">
                  <v>0.05150146493912364</v>
                </pt>
                <pt idx="226">
                  <v>0.05500180668473351</v>
                </pt>
                <pt idx="228">
                  <v>0.06400713860797144</v>
                </pt>
                <pt idx="229">
                  <v>0.06099144981412639</v>
                </pt>
              </numCache>
            </numRef>
          </yVal>
          <smooth val="0"/>
        </ser>
        <ser>
          <idx val="1"/>
          <order val="1"/>
          <tx>
            <strRef>
              <f>Sheet1!$R$3</f>
              <strCache>
                <ptCount val="1"/>
                <pt idx="0">
                  <v>Trade</v>
                </pt>
              </strCache>
            </strRef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lt1"/>
                </a:solidFill>
                <a:prstDash val="solid"/>
              </a:ln>
            </spPr>
          </marker>
          <dLbls>
            <delete val="1"/>
          </dLbls>
          <trendline>
            <spPr>
              <a:ln xmlns:a="http://schemas.openxmlformats.org/drawingml/2006/main" w="19050" cap="rnd">
                <a:solidFill>
                  <a:schemeClr val="accent2"/>
                </a:solidFill>
                <a:prstDash val="sysDash"/>
              </a:ln>
            </spPr>
            <trendlineType val="linear"/>
            <forward val="90"/>
            <dispRSqr val="0"/>
            <dispEq val="0"/>
          </trendline>
          <xVal>
            <numRef>
              <f>Sheet1!$S$4:$S$233</f>
              <numCache>
                <formatCode>General</formatCode>
                <ptCount val="230"/>
                <pt idx="0">
                  <v>45089</v>
                </pt>
                <pt idx="1">
                  <v>44987</v>
                </pt>
                <pt idx="2">
                  <v>44979</v>
                </pt>
                <pt idx="3">
                  <v>44932</v>
                </pt>
                <pt idx="4">
                  <v>44894</v>
                </pt>
                <pt idx="5">
                  <v>44862</v>
                </pt>
                <pt idx="6">
                  <v>44858</v>
                </pt>
                <pt idx="7">
                  <v>44837</v>
                </pt>
                <pt idx="8">
                  <v>44834</v>
                </pt>
                <pt idx="10">
                  <v>44789</v>
                </pt>
                <pt idx="11">
                  <v>44757</v>
                </pt>
                <pt idx="14">
                  <v>44715</v>
                </pt>
                <pt idx="15">
                  <v>44712</v>
                </pt>
                <pt idx="17">
                  <v>44705</v>
                </pt>
                <pt idx="18">
                  <v>44691</v>
                </pt>
                <pt idx="19">
                  <v>44677</v>
                </pt>
                <pt idx="20">
                  <v>44671</v>
                </pt>
                <pt idx="21">
                  <v>44669</v>
                </pt>
                <pt idx="22">
                  <v>44607</v>
                </pt>
                <pt idx="23">
                  <v>44607</v>
                </pt>
                <pt idx="24">
                  <v>44594</v>
                </pt>
                <pt idx="25">
                  <v>44582</v>
                </pt>
                <pt idx="26">
                  <v>44575</v>
                </pt>
                <pt idx="28">
                  <v>44564</v>
                </pt>
                <pt idx="29">
                  <v>44551</v>
                </pt>
                <pt idx="30">
                  <v>44540</v>
                </pt>
                <pt idx="31">
                  <v>44533</v>
                </pt>
                <pt idx="33">
                  <v>44518</v>
                </pt>
                <pt idx="34">
                  <v>44502</v>
                </pt>
                <pt idx="35">
                  <v>44494</v>
                </pt>
                <pt idx="37">
                  <v>44469</v>
                </pt>
                <pt idx="38">
                  <v>44466</v>
                </pt>
                <pt idx="39">
                  <v>44461</v>
                </pt>
                <pt idx="41">
                  <v>44454</v>
                </pt>
                <pt idx="43">
                  <v>44438</v>
                </pt>
                <pt idx="45">
                  <v>44427</v>
                </pt>
                <pt idx="46">
                  <v>44420</v>
                </pt>
                <pt idx="47">
                  <v>44418</v>
                </pt>
                <pt idx="48">
                  <v>44412</v>
                </pt>
                <pt idx="49">
                  <v>44406</v>
                </pt>
                <pt idx="50">
                  <v>44396</v>
                </pt>
                <pt idx="51">
                  <v>44386</v>
                </pt>
                <pt idx="52">
                  <v>44382</v>
                </pt>
                <pt idx="55">
                  <v>44361</v>
                </pt>
                <pt idx="56">
                  <v>44355</v>
                </pt>
                <pt idx="57">
                  <v>44355</v>
                </pt>
                <pt idx="58">
                  <v>44351</v>
                </pt>
                <pt idx="59">
                  <v>44350</v>
                </pt>
                <pt idx="60">
                  <v>44344</v>
                </pt>
                <pt idx="61">
                  <v>44337</v>
                </pt>
                <pt idx="62">
                  <v>44337</v>
                </pt>
                <pt idx="63">
                  <v>44337</v>
                </pt>
                <pt idx="64">
                  <v>44320</v>
                </pt>
                <pt idx="67">
                  <v>44306</v>
                </pt>
                <pt idx="68">
                  <v>44306</v>
                </pt>
                <pt idx="69">
                  <v>44286</v>
                </pt>
                <pt idx="70">
                  <v>44284</v>
                </pt>
                <pt idx="71">
                  <v>44284</v>
                </pt>
                <pt idx="72">
                  <v>44281</v>
                </pt>
                <pt idx="73">
                  <v>44279</v>
                </pt>
                <pt idx="74">
                  <v>44273</v>
                </pt>
                <pt idx="75">
                  <v>44257</v>
                </pt>
                <pt idx="76">
                  <v>44253</v>
                </pt>
                <pt idx="77">
                  <v>44236</v>
                </pt>
                <pt idx="78">
                  <v>44235</v>
                </pt>
                <pt idx="80">
                  <v>44225</v>
                </pt>
                <pt idx="81">
                  <v>44224</v>
                </pt>
                <pt idx="82">
                  <v>44210</v>
                </pt>
                <pt idx="83">
                  <v>44209</v>
                </pt>
                <pt idx="84">
                  <v>44203</v>
                </pt>
                <pt idx="85">
                  <v>44203</v>
                </pt>
                <pt idx="86">
                  <v>44194</v>
                </pt>
                <pt idx="87">
                  <v>44193</v>
                </pt>
                <pt idx="88">
                  <v>44187</v>
                </pt>
                <pt idx="89">
                  <v>44182</v>
                </pt>
                <pt idx="90">
                  <v>44173</v>
                </pt>
                <pt idx="91">
                  <v>44159</v>
                </pt>
                <pt idx="92">
                  <v>44148</v>
                </pt>
                <pt idx="93">
                  <v>44134</v>
                </pt>
                <pt idx="94">
                  <v>44124</v>
                </pt>
                <pt idx="95">
                  <v>44124</v>
                </pt>
                <pt idx="96">
                  <v>44118</v>
                </pt>
                <pt idx="97">
                  <v>44117</v>
                </pt>
                <pt idx="98">
                  <v>44103</v>
                </pt>
                <pt idx="99">
                  <v>44103</v>
                </pt>
                <pt idx="100">
                  <v>44103</v>
                </pt>
                <pt idx="101">
                  <v>44099</v>
                </pt>
                <pt idx="102">
                  <v>44095</v>
                </pt>
                <pt idx="103">
                  <v>44089</v>
                </pt>
                <pt idx="104">
                  <v>44085</v>
                </pt>
                <pt idx="105">
                  <v>44082</v>
                </pt>
                <pt idx="106">
                  <v>44070</v>
                </pt>
                <pt idx="107">
                  <v>44068</v>
                </pt>
                <pt idx="108">
                  <v>44063</v>
                </pt>
                <pt idx="109">
                  <v>44063</v>
                </pt>
                <pt idx="110">
                  <v>44057</v>
                </pt>
                <pt idx="111">
                  <v>44047</v>
                </pt>
                <pt idx="113">
                  <v>44043</v>
                </pt>
                <pt idx="114">
                  <v>44042</v>
                </pt>
                <pt idx="116">
                  <v>44037</v>
                </pt>
                <pt idx="118">
                  <v>44012</v>
                </pt>
                <pt idx="119">
                  <v>44011</v>
                </pt>
                <pt idx="120">
                  <v>44008</v>
                </pt>
                <pt idx="121">
                  <v>44007</v>
                </pt>
                <pt idx="122">
                  <v>44004</v>
                </pt>
                <pt idx="124">
                  <v>44001</v>
                </pt>
                <pt idx="125">
                  <v>44001</v>
                </pt>
                <pt idx="126">
                  <v>43997</v>
                </pt>
                <pt idx="127">
                  <v>43988</v>
                </pt>
                <pt idx="128">
                  <v>43973</v>
                </pt>
                <pt idx="129">
                  <v>43958</v>
                </pt>
                <pt idx="130">
                  <v>43938</v>
                </pt>
                <pt idx="131">
                  <v>43938</v>
                </pt>
                <pt idx="132">
                  <v>43921</v>
                </pt>
                <pt idx="133">
                  <v>43921</v>
                </pt>
                <pt idx="134">
                  <v>43916</v>
                </pt>
                <pt idx="135">
                  <v>43906</v>
                </pt>
                <pt idx="136">
                  <v>43906</v>
                </pt>
                <pt idx="137">
                  <v>43906</v>
                </pt>
                <pt idx="138">
                  <v>43906</v>
                </pt>
                <pt idx="139">
                  <v>43903</v>
                </pt>
                <pt idx="140">
                  <v>43889</v>
                </pt>
                <pt idx="141">
                  <v>43886</v>
                </pt>
                <pt idx="142">
                  <v>43880</v>
                </pt>
                <pt idx="143">
                  <v>43879</v>
                </pt>
                <pt idx="144">
                  <v>43860</v>
                </pt>
                <pt idx="145">
                  <v>43859</v>
                </pt>
                <pt idx="146">
                  <v>43853</v>
                </pt>
                <pt idx="147">
                  <v>43847</v>
                </pt>
                <pt idx="148">
                  <v>43846</v>
                </pt>
                <pt idx="149">
                  <v>43846</v>
                </pt>
                <pt idx="150">
                  <v>43843</v>
                </pt>
                <pt idx="151">
                  <v>43843</v>
                </pt>
                <pt idx="152">
                  <v>43838</v>
                </pt>
                <pt idx="153">
                  <v>43837</v>
                </pt>
                <pt idx="154">
                  <v>43829</v>
                </pt>
                <pt idx="155">
                  <v>43822</v>
                </pt>
                <pt idx="156">
                  <v>43822</v>
                </pt>
                <pt idx="157">
                  <v>43815</v>
                </pt>
                <pt idx="159">
                  <v>43805</v>
                </pt>
                <pt idx="160">
                  <v>43805</v>
                </pt>
                <pt idx="161">
                  <v>43800</v>
                </pt>
                <pt idx="162">
                  <v>43794</v>
                </pt>
                <pt idx="166">
                  <v>43787</v>
                </pt>
                <pt idx="167">
                  <v>43774</v>
                </pt>
                <pt idx="170">
                  <v>43760</v>
                </pt>
                <pt idx="171">
                  <v>43760</v>
                </pt>
                <pt idx="173">
                  <v>43738</v>
                </pt>
                <pt idx="174">
                  <v>43733</v>
                </pt>
                <pt idx="175">
                  <v>43719</v>
                </pt>
                <pt idx="176">
                  <v>43719</v>
                </pt>
                <pt idx="178">
                  <v>43709</v>
                </pt>
                <pt idx="180">
                  <v>43700</v>
                </pt>
                <pt idx="181">
                  <v>43691</v>
                </pt>
                <pt idx="182">
                  <v>43675</v>
                </pt>
                <pt idx="183">
                  <v>43675</v>
                </pt>
                <pt idx="184">
                  <v>43672</v>
                </pt>
                <pt idx="185">
                  <v>43672</v>
                </pt>
                <pt idx="186">
                  <v>43671</v>
                </pt>
                <pt idx="187">
                  <v>43657</v>
                </pt>
                <pt idx="189">
                  <v>43656</v>
                </pt>
                <pt idx="191">
                  <v>43642</v>
                </pt>
                <pt idx="192">
                  <v>43641</v>
                </pt>
                <pt idx="193">
                  <v>43641</v>
                </pt>
                <pt idx="194">
                  <v>43630</v>
                </pt>
                <pt idx="195">
                  <v>43627</v>
                </pt>
                <pt idx="196">
                  <v>43627</v>
                </pt>
                <pt idx="197">
                  <v>43619</v>
                </pt>
                <pt idx="198">
                  <v>43616</v>
                </pt>
                <pt idx="200">
                  <v>43606</v>
                </pt>
                <pt idx="201">
                  <v>43599</v>
                </pt>
                <pt idx="202">
                  <v>43594</v>
                </pt>
                <pt idx="203">
                  <v>43581</v>
                </pt>
                <pt idx="204">
                  <v>43580</v>
                </pt>
                <pt idx="205">
                  <v>43579</v>
                </pt>
                <pt idx="206">
                  <v>43570</v>
                </pt>
                <pt idx="208">
                  <v>43565</v>
                </pt>
                <pt idx="209">
                  <v>43565</v>
                </pt>
                <pt idx="210">
                  <v>43565</v>
                </pt>
                <pt idx="212">
                  <v>43559</v>
                </pt>
                <pt idx="213">
                  <v>43553</v>
                </pt>
                <pt idx="214">
                  <v>43546</v>
                </pt>
                <pt idx="216">
                  <v>43542</v>
                </pt>
                <pt idx="217">
                  <v>43539</v>
                </pt>
                <pt idx="218">
                  <v>43532</v>
                </pt>
                <pt idx="219">
                  <v>43532</v>
                </pt>
                <pt idx="220">
                  <v>43531</v>
                </pt>
                <pt idx="221">
                  <v>43500</v>
                </pt>
                <pt idx="222">
                  <v>43497</v>
                </pt>
                <pt idx="223">
                  <v>43497</v>
                </pt>
                <pt idx="224">
                  <v>43496</v>
                </pt>
                <pt idx="225">
                  <v>43495</v>
                </pt>
                <pt idx="226">
                  <v>43494</v>
                </pt>
                <pt idx="228">
                  <v>43490</v>
                </pt>
                <pt idx="229">
                  <v>43479</v>
                </pt>
              </numCache>
            </numRef>
          </xVal>
          <yVal>
            <numRef>
              <f>Sheet1!$R$4:$R$233</f>
              <numCache>
                <formatCode>General</formatCode>
                <ptCount val="230"/>
                <pt idx="0">
                  <v>0.05750390458611387</v>
                </pt>
                <pt idx="1">
                  <v>0.05504222222222222</v>
                </pt>
                <pt idx="2">
                  <v>0.05478515283842795</v>
                </pt>
                <pt idx="3">
                  <v>0.05688315789473684</v>
                </pt>
                <pt idx="4">
                  <v>0.0525</v>
                </pt>
                <pt idx="5">
                  <v>0.05742295358938757</v>
                </pt>
                <pt idx="6">
                  <v>0.05329785407725322</v>
                </pt>
                <pt idx="7">
                  <v>0.06436618867924528</v>
                </pt>
                <pt idx="8">
                  <v>0.04464102541883305</v>
                </pt>
                <pt idx="10">
                  <v>0.04768876519594956</v>
                </pt>
                <pt idx="11">
                  <v>0.05249999980058041</v>
                </pt>
                <pt idx="14">
                  <v>0.04599860305179454</v>
                </pt>
                <pt idx="15">
                  <v>0.04902244444444444</v>
                </pt>
                <pt idx="17">
                  <v>0.0536403314917127</v>
                </pt>
                <pt idx="18">
                  <v>0.05144654651851897</v>
                </pt>
                <pt idx="19">
                  <v>0.05250312246577262</v>
                </pt>
                <pt idx="20">
                  <v>0.05237582788450094</v>
                </pt>
                <pt idx="21">
                  <v>0.04481971830985915</v>
                </pt>
                <pt idx="22">
                  <v>0.05200964608804942</v>
                </pt>
                <pt idx="23">
                  <v>0.05298913957060746</v>
                </pt>
                <pt idx="24">
                  <v>0.04527439024390244</v>
                </pt>
                <pt idx="25">
                  <v>0.0608295652173913</v>
                </pt>
                <pt idx="26">
                  <v>0.0525</v>
                </pt>
                <pt idx="28">
                  <v>0.04605833333333333</v>
                </pt>
                <pt idx="29">
                  <v>0.0461</v>
                </pt>
                <pt idx="30">
                  <v>0.07058586206896551</v>
                </pt>
                <pt idx="31">
                  <v>0.05249985709876191</v>
                </pt>
                <pt idx="33">
                  <v>0.0449999979142527</v>
                </pt>
                <pt idx="34">
                  <v>0.05280143229166667</v>
                </pt>
                <pt idx="35">
                  <v>0.05000000000000001</v>
                </pt>
                <pt idx="37">
                  <v>0.0475</v>
                </pt>
                <pt idx="38">
                  <v>0.04879798913043478</v>
                </pt>
                <pt idx="39">
                  <v>0.05153695364238411</v>
                </pt>
                <pt idx="41">
                  <v>0.05449717493770453</v>
                </pt>
                <pt idx="43">
                  <v>0.05046875</v>
                </pt>
                <pt idx="45">
                  <v>0.05349994844056134</v>
                </pt>
                <pt idx="46">
                  <v>0.05309636363636364</v>
                </pt>
                <pt idx="47">
                  <v>0.05349994844056134</v>
                </pt>
                <pt idx="48">
                  <v>0.05499980457685305</v>
                </pt>
                <pt idx="49">
                  <v>0.04999988084343781</v>
                </pt>
                <pt idx="50">
                  <v>0.0534294337516227</v>
                </pt>
                <pt idx="51">
                  <v>0.05850503887129283</v>
                </pt>
                <pt idx="52">
                  <v>0.04723330912708178</v>
                </pt>
                <pt idx="55">
                  <v>0.06256807817589577</v>
                </pt>
                <pt idx="56">
                  <v>0.05740733333333333</v>
                </pt>
                <pt idx="57">
                  <v>0.04740043583734221</v>
                </pt>
                <pt idx="58">
                  <v>0.05350000533516668</v>
                </pt>
                <pt idx="59">
                  <v>0.05726891041162228</v>
                </pt>
                <pt idx="60">
                  <v>0.05332090322580645</v>
                </pt>
                <pt idx="61">
                  <v>0.05249991368073958</v>
                </pt>
                <pt idx="62">
                  <v>0.05000008810484712</v>
                </pt>
                <pt idx="63">
                  <v>0.05249995803226479</v>
                </pt>
                <pt idx="64">
                  <v>0.05249987590518171</v>
                </pt>
                <pt idx="67">
                  <v>0.0543090338332752</v>
                </pt>
                <pt idx="68">
                  <v>0.05293875</v>
                </pt>
                <pt idx="69">
                  <v>0.05006210526315789</v>
                </pt>
                <pt idx="70">
                  <v>0.05732617358031349</v>
                </pt>
                <pt idx="71">
                  <v>0.05945671727231178</v>
                </pt>
                <pt idx="72">
                  <v>0.04999993098984033</v>
                </pt>
                <pt idx="73">
                  <v>0.06249756604140975</v>
                </pt>
                <pt idx="74">
                  <v>0.05398151547751398</v>
                </pt>
                <pt idx="75">
                  <v>0.05965308641975309</v>
                </pt>
                <pt idx="76">
                  <v>0.05865567010309278</v>
                </pt>
                <pt idx="77">
                  <v>0.05137041602465332</v>
                </pt>
                <pt idx="78">
                  <v>0.05256137931034483</v>
                </pt>
                <pt idx="80">
                  <v>0.06500000284167926</v>
                </pt>
                <pt idx="81">
                  <v>0.06430872461708595</v>
                </pt>
                <pt idx="82">
                  <v>0.05849999803035615</v>
                </pt>
                <pt idx="83">
                  <v>0.06001080351114112</v>
                </pt>
                <pt idx="84">
                  <v>0.06148451612903226</v>
                </pt>
                <pt idx="85">
                  <v>0.0615225</v>
                </pt>
                <pt idx="86">
                  <v>0.06250137931034483</v>
                </pt>
                <pt idx="87">
                  <v>0.05606058823529412</v>
                </pt>
                <pt idx="88">
                  <v>0.05399989028872351</v>
                </pt>
                <pt idx="89">
                  <v>0.05700000988950018</v>
                </pt>
                <pt idx="90">
                  <v>0.04946693877551021</v>
                </pt>
                <pt idx="91">
                  <v>0.05950000315415623</v>
                </pt>
                <pt idx="92">
                  <v>0.05124854766085236</v>
                </pt>
                <pt idx="93">
                  <v>0.06102970297029703</v>
                </pt>
                <pt idx="94">
                  <v>0.05949999944658371</v>
                </pt>
                <pt idx="95">
                  <v>0.05949140771486005</v>
                </pt>
                <pt idx="96">
                  <v>0.05881074925643734</v>
                </pt>
                <pt idx="97">
                  <v>0.05517352024138943</v>
                </pt>
                <pt idx="98">
                  <v>0.05700000543539073</v>
                </pt>
                <pt idx="99">
                  <v>0.05699981800812422</v>
                </pt>
                <pt idx="100">
                  <v>0.06102878504672897</v>
                </pt>
                <pt idx="101">
                  <v>0.05550001125391073</v>
                </pt>
                <pt idx="102">
                  <v>0.0524491595904281</v>
                </pt>
                <pt idx="103">
                  <v>0.06073721771506282</v>
                </pt>
                <pt idx="104">
                  <v>0.0658808378973553</v>
                </pt>
                <pt idx="105">
                  <v>0.04699914772727273</v>
                </pt>
                <pt idx="106">
                  <v>0.05750442345179187</v>
                </pt>
                <pt idx="107">
                  <v>0.05400642421525047</v>
                </pt>
                <pt idx="108">
                  <v>0.0591525017135024</v>
                </pt>
                <pt idx="109">
                  <v>0.065</v>
                </pt>
                <pt idx="110">
                  <v>0.05649973553768276</v>
                </pt>
                <pt idx="111">
                  <v>0.05416470588235294</v>
                </pt>
                <pt idx="113">
                  <v>0.06196666666666667</v>
                </pt>
                <pt idx="114">
                  <v>0.06507470355731225</v>
                </pt>
                <pt idx="116">
                  <v>0.06</v>
                </pt>
                <pt idx="118">
                  <v>0.05800074818298418</v>
                </pt>
                <pt idx="119">
                  <v>0.07143823529411765</v>
                </pt>
                <pt idx="120">
                  <v>0.06593970149253732</v>
                </pt>
                <pt idx="121">
                  <v>0.059205772005772</v>
                </pt>
                <pt idx="122">
                  <v>0.06079999763305556</v>
                </pt>
                <pt idx="124">
                  <v>0.05939993292463871</v>
                </pt>
                <pt idx="125">
                  <v>0.06703474504888017</v>
                </pt>
                <pt idx="126">
                  <v>0.0502997941156937</v>
                </pt>
                <pt idx="127">
                  <v>0.06150010515247108</v>
                </pt>
                <pt idx="128">
                  <v>0.05599861159319681</v>
                </pt>
                <pt idx="129">
                  <v>0.0601</v>
                </pt>
                <pt idx="130">
                  <v>0.06</v>
                </pt>
                <pt idx="131">
                  <v>0.06</v>
                </pt>
                <pt idx="132">
                  <v>0.05999983810132902</v>
                </pt>
                <pt idx="133">
                  <v>0.06</v>
                </pt>
                <pt idx="134">
                  <v>0.07217391304347825</v>
                </pt>
                <pt idx="135">
                  <v>0.06</v>
                </pt>
                <pt idx="136">
                  <v>0.06</v>
                </pt>
                <pt idx="137">
                  <v>0.05283098591549296</v>
                </pt>
                <pt idx="138">
                  <v>0.06530503613628542</v>
                </pt>
                <pt idx="139">
                  <v>0.06845714285714286</v>
                </pt>
                <pt idx="140">
                  <v>0.06595324675324675</v>
                </pt>
                <pt idx="141">
                  <v>0.0476568826619965</v>
                </pt>
                <pt idx="142">
                  <v>0.05249296084469864</v>
                </pt>
                <pt idx="143">
                  <v>0.06934874783543157</v>
                </pt>
                <pt idx="144">
                  <v>0.06200900900900901</v>
                </pt>
                <pt idx="145">
                  <v>0.05999977840939688</v>
                </pt>
                <pt idx="146">
                  <v>0.05745169712793734</v>
                </pt>
                <pt idx="147">
                  <v>0.06255900621118013</v>
                </pt>
                <pt idx="148">
                  <v>0.0615</v>
                </pt>
                <pt idx="149">
                  <v>0.05443317073170732</v>
                </pt>
                <pt idx="150">
                  <v>0.0608</v>
                </pt>
                <pt idx="151">
                  <v>0.06081167913364548</v>
                </pt>
                <pt idx="152">
                  <v>0.06094117647058823</v>
                </pt>
                <pt idx="153">
                  <v>0.056716</v>
                </pt>
                <pt idx="154">
                  <v>0.05981864077669903</v>
                </pt>
                <pt idx="155">
                  <v>0.05800011632856187</v>
                </pt>
                <pt idx="156">
                  <v>0.05800009532910708</v>
                </pt>
                <pt idx="157">
                  <v>0.05275054054054054</v>
                </pt>
                <pt idx="159">
                  <v>0.05119999326133795</v>
                </pt>
                <pt idx="160">
                  <v>0.05128265306122449</v>
                </pt>
                <pt idx="161">
                  <v>0.06249393090569561</v>
                </pt>
                <pt idx="162">
                  <v>0.06562679045092838</v>
                </pt>
                <pt idx="166">
                  <v>0.05149919914575547</v>
                </pt>
                <pt idx="167">
                  <v>0.06379656480035691</v>
                </pt>
                <pt idx="170">
                  <v>0.05749586048969526</v>
                </pt>
                <pt idx="171">
                  <v>0.05688186416184971</v>
                </pt>
                <pt idx="173">
                  <v>0.06080109630354159</v>
                </pt>
                <pt idx="174">
                  <v>0.055</v>
                </pt>
                <pt idx="175">
                  <v>0.05920385964912281</v>
                </pt>
                <pt idx="176">
                  <v>0.05750000405243527</v>
                </pt>
                <pt idx="178">
                  <v>0.05958354259223488</v>
                </pt>
                <pt idx="180">
                  <v>0.05377052631578948</v>
                </pt>
                <pt idx="181">
                  <v>0.05303639240506329</v>
                </pt>
                <pt idx="182">
                  <v>0.06349999768586015</v>
                </pt>
                <pt idx="183">
                  <v>0.06350000489299031</v>
                </pt>
                <pt idx="184">
                  <v>0.06411243243243243</v>
                </pt>
                <pt idx="185">
                  <v>0.06494310344827586</v>
                </pt>
                <pt idx="186">
                  <v>0.07435202343197411</v>
                </pt>
                <pt idx="187">
                  <v>0.06151111111111111</v>
                </pt>
                <pt idx="189">
                  <v>0.05850000458679666</v>
                </pt>
                <pt idx="191">
                  <v>0.06000563725490196</v>
                </pt>
                <pt idx="192">
                  <v>0.05727457627118644</v>
                </pt>
                <pt idx="193">
                  <v>0.06551097922848664</v>
                </pt>
                <pt idx="194">
                  <v>0.08484945355191256</v>
                </pt>
                <pt idx="195">
                  <v>0.05696436363636364</v>
                </pt>
                <pt idx="196">
                  <v>0.05457446808510638</v>
                </pt>
                <pt idx="197">
                  <v>0.0564</v>
                </pt>
                <pt idx="198">
                  <v>0.08447010309278351</v>
                </pt>
                <pt idx="200">
                  <v>0.07116571428571429</v>
                </pt>
                <pt idx="201">
                  <v>0.05277410071942446</v>
                </pt>
                <pt idx="202">
                  <v>0.05020328571428571</v>
                </pt>
                <pt idx="203">
                  <v>0.06148546786803632</v>
                </pt>
                <pt idx="204">
                  <v>0.06250014002746779</v>
                </pt>
                <pt idx="205">
                  <v>0.04980484961711495</v>
                </pt>
                <pt idx="206">
                  <v>0.05799987677967054</v>
                </pt>
                <pt idx="208">
                  <v>0.08193205326876514</v>
                </pt>
                <pt idx="209">
                  <v>0.05909330628803246</v>
                </pt>
                <pt idx="210">
                  <v>0.05449971651835236</v>
                </pt>
                <pt idx="212">
                  <v>0.0659993961352657</v>
                </pt>
                <pt idx="213">
                  <v>0.05350000606433231</v>
                </pt>
                <pt idx="214">
                  <v>0.06279999999999999</v>
                </pt>
                <pt idx="216">
                  <v>0.06761134428099914</v>
                </pt>
                <pt idx="217">
                  <v>0.05407329997677708</v>
                </pt>
                <pt idx="218">
                  <v>0.06099998928659432</v>
                </pt>
                <pt idx="219">
                  <v>0.05807136465324385</v>
                </pt>
                <pt idx="220">
                  <v>0.06216802105263158</v>
                </pt>
                <pt idx="221">
                  <v>0.05499304084720121</v>
                </pt>
                <pt idx="222">
                  <v>0.06150000123649575</v>
                </pt>
                <pt idx="223">
                  <v>0.0576959492063492</v>
                </pt>
                <pt idx="224">
                  <v>0.05392156862745098</v>
                </pt>
                <pt idx="225">
                  <v>0.05273406666666667</v>
                </pt>
                <pt idx="226">
                  <v>0.05750000531209502</v>
                </pt>
                <pt idx="228">
                  <v>0.06501268882175226</v>
                </pt>
                <pt idx="229">
                  <v>0.0673233483791547</v>
                </pt>
              </numCache>
            </numRef>
          </yVal>
          <smooth val="0"/>
        </ser>
        <ser>
          <idx val="2"/>
          <order val="2"/>
          <tx>
            <strRef>
              <f>Sheet1!$T$3</f>
              <strCache>
                <ptCount val="1"/>
                <pt idx="0">
                  <v>Moving Avg.</v>
                </pt>
              </strCache>
            </strRef>
          </tx>
          <spPr>
            <a:ln xmlns:a="http://schemas.openxmlformats.org/drawingml/2006/main" w="28575" cap="rnd">
              <a:noFill/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trendline>
            <spPr>
              <a:ln xmlns:a="http://schemas.openxmlformats.org/drawingml/2006/main" w="19050" cap="rnd">
                <a:solidFill>
                  <a:schemeClr val="accent3"/>
                </a:solidFill>
                <a:prstDash val="sysDash"/>
              </a:ln>
            </spPr>
            <trendlineType val="linear"/>
            <dispRSqr val="0"/>
            <dispEq val="0"/>
          </trendline>
          <xVal>
            <numRef>
              <f>Sheet1!$S$4:$S$18</f>
              <numCache>
                <formatCode>General</formatCode>
                <ptCount val="15"/>
                <pt idx="0">
                  <v>45089</v>
                </pt>
                <pt idx="1">
                  <v>44987</v>
                </pt>
                <pt idx="2">
                  <v>44979</v>
                </pt>
                <pt idx="3">
                  <v>44932</v>
                </pt>
                <pt idx="4">
                  <v>44894</v>
                </pt>
                <pt idx="5">
                  <v>44862</v>
                </pt>
                <pt idx="6">
                  <v>44858</v>
                </pt>
                <pt idx="7">
                  <v>44837</v>
                </pt>
                <pt idx="8">
                  <v>44834</v>
                </pt>
                <pt idx="10">
                  <v>44789</v>
                </pt>
                <pt idx="11">
                  <v>44757</v>
                </pt>
                <pt idx="14">
                  <v>44715</v>
                </pt>
              </numCache>
            </numRef>
          </xVal>
          <yVal>
            <numRef>
              <f>Sheet1!$T$4:$T$18</f>
              <numCache>
                <formatCode>General</formatCode>
                <ptCount val="15"/>
                <pt idx="0">
                  <v>0.05355248561287871</v>
                </pt>
                <pt idx="1">
                  <v>0.05319326570622097</v>
                </pt>
                <pt idx="2">
                  <v>0.05300837005462083</v>
                </pt>
                <pt idx="3">
                  <v>0.05281094974530894</v>
                </pt>
                <pt idx="4">
                  <v>0.05230192372663044</v>
                </pt>
                <pt idx="5">
                  <v>0.05227362711614909</v>
                </pt>
                <pt idx="6">
                  <v>0.05141540603727601</v>
                </pt>
                <pt idx="7">
                  <v>0.05103891642928056</v>
                </pt>
                <pt idx="8">
                  <v>0.04770709836678939</v>
                </pt>
                <pt idx="10">
                  <v>0.04872912268277483</v>
                </pt>
                <pt idx="11">
                  <v>0.04924930142618747</v>
                </pt>
                <pt idx="14">
                  <v>0.04599860305179454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398291727"/>
        <axId val="398273487"/>
      </scatterChart>
      <valAx>
        <axId val="398291727"/>
        <scaling>
          <orientation val="minMax"/>
          <min val="43450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98273487"/>
        <crosses val="autoZero"/>
        <crossBetween val="midCat"/>
      </valAx>
      <valAx>
        <axId val="398273487"/>
        <scaling>
          <orientation val="minMax"/>
          <min val="0.03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98291727"/>
        <crosses val="autoZero"/>
        <crossBetween val="midCat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1535455053042993"/>
          <y val="0.02658160552897395"/>
          <w val="0.9315660762253964"/>
          <h val="0.7990956498260684"/>
        </manualLayout>
      </layout>
      <lineChart>
        <grouping val="standard"/>
        <varyColors val="0"/>
        <ser>
          <idx val="1"/>
          <order val="0"/>
          <tx>
            <strRef>
              <f>'Rent Survey'!$I$2</f>
              <strCache>
                <ptCount val="1"/>
                <pt idx="0">
                  <v>Upper Quartile Rent</v>
                </pt>
              </strCache>
            </strRef>
          </tx>
          <spPr>
            <a:ln xmlns:a="http://schemas.openxmlformats.org/drawingml/2006/main" w="28575" cap="rnd">
              <a:noFill/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6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otham Light" pitchFamily="50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'Rent Survey'!$B$3:$B$36</f>
              <numCache>
                <formatCode>0</formatCode>
                <ptCount val="34"/>
                <pt idx="0">
                  <v>2023</v>
                </pt>
                <pt idx="1">
                  <v>2022</v>
                </pt>
                <pt idx="2">
                  <v>2021</v>
                </pt>
                <pt idx="3">
                  <v>2020</v>
                </pt>
                <pt idx="4">
                  <v>2019</v>
                </pt>
                <pt idx="5">
                  <v>2018</v>
                </pt>
                <pt idx="6">
                  <v>2017</v>
                </pt>
                <pt idx="7">
                  <v>2016</v>
                </pt>
                <pt idx="8">
                  <v>2015</v>
                </pt>
                <pt idx="9">
                  <v>2014</v>
                </pt>
                <pt idx="10">
                  <v>2013</v>
                </pt>
                <pt idx="11">
                  <v>2012</v>
                </pt>
                <pt idx="12">
                  <v>2011</v>
                </pt>
                <pt idx="13">
                  <v>2010</v>
                </pt>
                <pt idx="14">
                  <v>2009</v>
                </pt>
                <pt idx="15">
                  <v>2008</v>
                </pt>
                <pt idx="16">
                  <v>2007</v>
                </pt>
                <pt idx="17">
                  <v>2006</v>
                </pt>
                <pt idx="18">
                  <v>2005</v>
                </pt>
                <pt idx="19">
                  <v>2004</v>
                </pt>
                <pt idx="20">
                  <v>2003</v>
                </pt>
                <pt idx="21">
                  <v>2002</v>
                </pt>
                <pt idx="22">
                  <v>2001</v>
                </pt>
                <pt idx="23">
                  <v>2000</v>
                </pt>
                <pt idx="24">
                  <v>1999</v>
                </pt>
                <pt idx="25">
                  <v>1998</v>
                </pt>
                <pt idx="26">
                  <v>1997</v>
                </pt>
                <pt idx="27">
                  <v>1996</v>
                </pt>
                <pt idx="28">
                  <v>1995</v>
                </pt>
                <pt idx="29">
                  <v>1994</v>
                </pt>
                <pt idx="30">
                  <v>1993</v>
                </pt>
                <pt idx="31">
                  <v>1992</v>
                </pt>
                <pt idx="32">
                  <v>1991</v>
                </pt>
                <pt idx="33">
                  <v>1990</v>
                </pt>
              </numCache>
            </numRef>
          </cat>
          <val>
            <numRef>
              <f>'Rent Survey'!$I$3:$I$36</f>
              <numCache>
                <formatCode>"$"#,##0.00_);[Red]\("$"#,##0.00\)</formatCode>
                <ptCount val="34"/>
                <pt idx="0">
                  <v>41.78766330974415</v>
                </pt>
                <pt idx="1">
                  <v>32.65505886970173</v>
                </pt>
                <pt idx="2">
                  <v>26.21003668763103</v>
                </pt>
                <pt idx="3">
                  <v>35.97383720930232</v>
                </pt>
                <pt idx="4">
                  <v>31.05700722573045</v>
                </pt>
                <pt idx="5">
                  <v>30.68577312972772</v>
                </pt>
                <pt idx="6">
                  <v>33.35380512781364</v>
                </pt>
                <pt idx="7">
                  <v>34.86054512338568</v>
                </pt>
                <pt idx="8">
                  <v>33.71029231158942</v>
                </pt>
                <pt idx="9">
                  <v>30.3248764443173</v>
                </pt>
                <pt idx="10">
                  <v>27.98307336713391</v>
                </pt>
                <pt idx="11">
                  <v>21.96551820176395</v>
                </pt>
                <pt idx="12">
                  <v>23</v>
                </pt>
                <pt idx="13">
                  <v>27.08689629757256</v>
                </pt>
                <pt idx="14">
                  <v>26.83654666666667</v>
                </pt>
                <pt idx="15">
                  <v>23.5861736175641</v>
                </pt>
                <pt idx="16">
                  <v>26.46659030164185</v>
                </pt>
                <pt idx="17">
                  <v>23.30889868741981</v>
                </pt>
                <pt idx="18">
                  <v>22.5500786163522</v>
                </pt>
                <pt idx="19">
                  <v>22.7830496108601</v>
                </pt>
                <pt idx="20">
                  <v>22.38856192156986</v>
                </pt>
                <pt idx="21">
                  <v>22.49260840998686</v>
                </pt>
                <pt idx="22">
                  <v>22.57760601629413</v>
                </pt>
                <pt idx="23">
                  <v>19.93175510204082</v>
                </pt>
                <pt idx="24">
                  <v>21.3622683098218</v>
                </pt>
                <pt idx="25">
                  <v>19.90489957395009</v>
                </pt>
                <pt idx="26">
                  <v>18.75751886001676</v>
                </pt>
                <pt idx="27">
                  <v>21.64319713396683</v>
                </pt>
                <pt idx="28">
                  <v>20.86965467883342</v>
                </pt>
                <pt idx="29">
                  <v>22.97890493155822</v>
                </pt>
                <pt idx="30">
                  <v>30.57436342592592</v>
                </pt>
                <pt idx="31">
                  <v>19.625</v>
                </pt>
                <pt idx="32">
                  <v>18.81786131358254</v>
                </pt>
                <pt idx="33">
                  <v>18.61</v>
                </pt>
              </numCache>
            </numRef>
          </val>
          <smooth val="0"/>
        </ser>
        <ser>
          <idx val="2"/>
          <order val="1"/>
          <tx>
            <strRef>
              <f>'Rent Survey'!$J$2</f>
              <strCache>
                <ptCount val="1"/>
                <pt idx="0">
                  <v>Lower Quartile Rent</v>
                </pt>
              </strCache>
            </strRef>
          </tx>
          <spPr>
            <a:ln xmlns:a="http://schemas.openxmlformats.org/drawingml/2006/main" w="28575" cap="rnd">
              <a:noFill/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6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otham Light" pitchFamily="50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'Rent Survey'!$B$3:$B$36</f>
              <numCache>
                <formatCode>0</formatCode>
                <ptCount val="34"/>
                <pt idx="0">
                  <v>2023</v>
                </pt>
                <pt idx="1">
                  <v>2022</v>
                </pt>
                <pt idx="2">
                  <v>2021</v>
                </pt>
                <pt idx="3">
                  <v>2020</v>
                </pt>
                <pt idx="4">
                  <v>2019</v>
                </pt>
                <pt idx="5">
                  <v>2018</v>
                </pt>
                <pt idx="6">
                  <v>2017</v>
                </pt>
                <pt idx="7">
                  <v>2016</v>
                </pt>
                <pt idx="8">
                  <v>2015</v>
                </pt>
                <pt idx="9">
                  <v>2014</v>
                </pt>
                <pt idx="10">
                  <v>2013</v>
                </pt>
                <pt idx="11">
                  <v>2012</v>
                </pt>
                <pt idx="12">
                  <v>2011</v>
                </pt>
                <pt idx="13">
                  <v>2010</v>
                </pt>
                <pt idx="14">
                  <v>2009</v>
                </pt>
                <pt idx="15">
                  <v>2008</v>
                </pt>
                <pt idx="16">
                  <v>2007</v>
                </pt>
                <pt idx="17">
                  <v>2006</v>
                </pt>
                <pt idx="18">
                  <v>2005</v>
                </pt>
                <pt idx="19">
                  <v>2004</v>
                </pt>
                <pt idx="20">
                  <v>2003</v>
                </pt>
                <pt idx="21">
                  <v>2002</v>
                </pt>
                <pt idx="22">
                  <v>2001</v>
                </pt>
                <pt idx="23">
                  <v>2000</v>
                </pt>
                <pt idx="24">
                  <v>1999</v>
                </pt>
                <pt idx="25">
                  <v>1998</v>
                </pt>
                <pt idx="26">
                  <v>1997</v>
                </pt>
                <pt idx="27">
                  <v>1996</v>
                </pt>
                <pt idx="28">
                  <v>1995</v>
                </pt>
                <pt idx="29">
                  <v>1994</v>
                </pt>
                <pt idx="30">
                  <v>1993</v>
                </pt>
                <pt idx="31">
                  <v>1992</v>
                </pt>
                <pt idx="32">
                  <v>1991</v>
                </pt>
                <pt idx="33">
                  <v>1990</v>
                </pt>
              </numCache>
            </numRef>
          </cat>
          <val>
            <numRef>
              <f>'Rent Survey'!$J$3:$J$36</f>
              <numCache>
                <formatCode>"$"#,##0.00_);[Red]\("$"#,##0.00\)</formatCode>
                <ptCount val="34"/>
                <pt idx="0">
                  <v>31.48300542740841</v>
                </pt>
                <pt idx="1">
                  <v>20.97401938595169</v>
                </pt>
                <pt idx="2">
                  <v>17.31331985813894</v>
                </pt>
                <pt idx="3">
                  <v>24.28475250843637</v>
                </pt>
                <pt idx="4">
                  <v>23.28</v>
                </pt>
                <pt idx="5">
                  <v>21.79829768171128</v>
                </pt>
                <pt idx="6">
                  <v>21.65558007522739</v>
                </pt>
                <pt idx="7">
                  <v>21</v>
                </pt>
                <pt idx="8">
                  <v>23.84003226240086</v>
                </pt>
                <pt idx="9">
                  <v>19.26817905179408</v>
                </pt>
                <pt idx="10">
                  <v>20.49404721687331</v>
                </pt>
                <pt idx="11">
                  <v>16.25953374770268</v>
                </pt>
                <pt idx="12">
                  <v>15.59805424135403</v>
                </pt>
                <pt idx="13">
                  <v>18.02142851289437</v>
                </pt>
                <pt idx="14">
                  <v>20.32</v>
                </pt>
                <pt idx="15">
                  <v>16.000375</v>
                </pt>
                <pt idx="16">
                  <v>15.59112634141942</v>
                </pt>
                <pt idx="17">
                  <v>16.08367618041623</v>
                </pt>
                <pt idx="18">
                  <v>16.08689524059263</v>
                </pt>
                <pt idx="19">
                  <v>15.79279623265877</v>
                </pt>
                <pt idx="20">
                  <v>15.65181146871239</v>
                </pt>
                <pt idx="21">
                  <v>15.64810700195207</v>
                </pt>
                <pt idx="22">
                  <v>15.40212477396021</v>
                </pt>
                <pt idx="23">
                  <v>14.67543316831683</v>
                </pt>
                <pt idx="24">
                  <v>14.28770675803403</v>
                </pt>
                <pt idx="25">
                  <v>14.37857142857143</v>
                </pt>
                <pt idx="26">
                  <v>13.62581101936968</v>
                </pt>
                <pt idx="27">
                  <v>13.41675157465728</v>
                </pt>
                <pt idx="28">
                  <v>15.41795329012144</v>
                </pt>
                <pt idx="29">
                  <v>14.8314269047619</v>
                </pt>
                <pt idx="30">
                  <v>13.57255090497738</v>
                </pt>
                <pt idx="31">
                  <v>14.1523720620192</v>
                </pt>
                <pt idx="32">
                  <v>11.04535140623106</v>
                </pt>
                <pt idx="33">
                  <v>13.71505468637669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22225" cap="flat" cmpd="sng" algn="ctr">
              <a:solidFill>
                <a:srgbClr val="081F2C"/>
              </a:solidFill>
              <a:prstDash val="solid"/>
              <a:round/>
            </a:ln>
          </spPr>
        </hiLowLines>
        <marker val="1"/>
        <smooth val="0"/>
        <axId val="840554608"/>
        <axId val="840555856"/>
      </lineChart>
      <scatterChart>
        <scatterStyle val="lineMarker"/>
        <varyColors val="0"/>
        <ser>
          <idx val="3"/>
          <order val="3"/>
          <tx>
            <strRef>
              <f>'Rent Survey'!$H$2</f>
              <strCache>
                <ptCount val="1"/>
                <pt idx="0">
                  <v>Average RPSF</v>
                </pt>
              </strCache>
            </strRef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5B7F95"/>
              </a:solidFill>
              <a:ln xmlns:a="http://schemas.openxmlformats.org/drawingml/2006/main" w="9525">
                <a:noFill/>
                <a:prstDash val="solid"/>
              </a:ln>
            </spPr>
          </marker>
          <yVal>
            <numRef>
              <f>'Rent Survey'!$H$3:$H$36</f>
              <numCache>
                <formatCode>"$"#,##0.00_);[Red]\("$"#,##0.00\)</formatCode>
                <ptCount val="34"/>
                <pt idx="0">
                  <v>42.74254674605662</v>
                </pt>
                <pt idx="1">
                  <v>30.64920917391401</v>
                </pt>
                <pt idx="2">
                  <v>25.14741462130616</v>
                </pt>
                <pt idx="3">
                  <v>28.0022934549669</v>
                </pt>
                <pt idx="4">
                  <v>27.43983200587271</v>
                </pt>
                <pt idx="5">
                  <v>28.5708911646722</v>
                </pt>
                <pt idx="6">
                  <v>28.2329640949091</v>
                </pt>
                <pt idx="7">
                  <v>28.24859099345191</v>
                </pt>
                <pt idx="8">
                  <v>28.56325780696031</v>
                </pt>
                <pt idx="9">
                  <v>25.1368961200388</v>
                </pt>
                <pt idx="10">
                  <v>23.7845875410014</v>
                </pt>
                <pt idx="11">
                  <v>19.2935204355052</v>
                </pt>
                <pt idx="12">
                  <v>20.87726777140979</v>
                </pt>
                <pt idx="13">
                  <v>22.73955753309527</v>
                </pt>
                <pt idx="14">
                  <v>25.22618163501381</v>
                </pt>
                <pt idx="15">
                  <v>20.78744002068734</v>
                </pt>
                <pt idx="16">
                  <v>20.192809914147</v>
                </pt>
                <pt idx="17">
                  <v>19.65135525016504</v>
                </pt>
                <pt idx="18">
                  <v>19.44166452428881</v>
                </pt>
                <pt idx="19">
                  <v>19.78699517280882</v>
                </pt>
                <pt idx="20">
                  <v>19.86778173875985</v>
                </pt>
                <pt idx="21">
                  <v>20.69288327899852</v>
                </pt>
                <pt idx="22">
                  <v>19.61635837451259</v>
                </pt>
                <pt idx="23">
                  <v>17.48773490542628</v>
                </pt>
                <pt idx="24">
                  <v>17.72507677346061</v>
                </pt>
                <pt idx="25">
                  <v>17.64471350959771</v>
                </pt>
                <pt idx="26">
                  <v>17.30720986862899</v>
                </pt>
                <pt idx="27">
                  <v>19.83165976285357</v>
                </pt>
                <pt idx="28">
                  <v>19.21488271313786</v>
                </pt>
                <pt idx="29">
                  <v>20.84144711718994</v>
                </pt>
                <pt idx="30">
                  <v>20.68423856051401</v>
                </pt>
                <pt idx="31">
                  <v>16.16925393339871</v>
                </pt>
                <pt idx="32">
                  <v>14.5316283642458</v>
                </pt>
                <pt idx="33">
                  <v>16.30787350990331</v>
                </pt>
              </numCache>
            </numRef>
          </yVal>
          <smooth val="0"/>
        </ser>
        <ser>
          <idx val="4"/>
          <order val="4"/>
          <tx>
            <strRef>
              <f>'Rent Survey'!$K$2</f>
              <strCache>
                <ptCount val="1"/>
                <pt idx="0">
                  <v>Median Rent PSF</v>
                </pt>
              </strCache>
            </strRef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7"/>
            <spPr>
              <a:solidFill xmlns:a="http://schemas.openxmlformats.org/drawingml/2006/main">
                <a:srgbClr val="A8AD00"/>
              </a:solidFill>
              <a:ln xmlns:a="http://schemas.openxmlformats.org/drawingml/2006/main" w="9525">
                <a:noFill/>
                <a:prstDash val="solid"/>
              </a:ln>
            </spPr>
          </marker>
          <yVal>
            <numRef>
              <f>'Rent Survey'!$K$3:$K$36</f>
              <numCache>
                <formatCode>"$"#,##0.00_);[Red]\("$"#,##0.00\)</formatCode>
                <ptCount val="34"/>
                <pt idx="0">
                  <v>39.35998101566208</v>
                </pt>
                <pt idx="1">
                  <v>25.73500158570545</v>
                </pt>
                <pt idx="2">
                  <v>23.50772758464606</v>
                </pt>
                <pt idx="3">
                  <v>26.71852610030706</v>
                </pt>
                <pt idx="4">
                  <v>25.67497607884413</v>
                </pt>
                <pt idx="5">
                  <v>25.23418164837731</v>
                </pt>
                <pt idx="6">
                  <v>28.46980987585232</v>
                </pt>
                <pt idx="7">
                  <v>26.94645175170037</v>
                </pt>
                <pt idx="8">
                  <v>28.48085279970815</v>
                </pt>
                <pt idx="9">
                  <v>23.78048780487805</v>
                </pt>
                <pt idx="10">
                  <v>22.9899675420478</v>
                </pt>
                <pt idx="11">
                  <v>18.829687970302</v>
                </pt>
                <pt idx="12">
                  <v>20.14346666666667</v>
                </pt>
                <pt idx="13">
                  <v>23.5</v>
                </pt>
                <pt idx="14">
                  <v>22.83668709659923</v>
                </pt>
                <pt idx="15">
                  <v>20.29187776327776</v>
                </pt>
                <pt idx="16">
                  <v>19.3599358974359</v>
                </pt>
                <pt idx="17">
                  <v>19.8</v>
                </pt>
                <pt idx="18">
                  <v>19.31785714285714</v>
                </pt>
                <pt idx="19">
                  <v>18.65839488873205</v>
                </pt>
                <pt idx="20">
                  <v>19.40681589537223</v>
                </pt>
                <pt idx="21">
                  <v>18.86</v>
                </pt>
                <pt idx="22">
                  <v>19.27882882882883</v>
                </pt>
                <pt idx="23">
                  <v>17.04061346208464</v>
                </pt>
                <pt idx="24">
                  <v>17.63781268334743</v>
                </pt>
                <pt idx="25">
                  <v>17.82567494197353</v>
                </pt>
                <pt idx="26">
                  <v>16.26043668909178</v>
                </pt>
                <pt idx="27">
                  <v>18.95188037514447</v>
                </pt>
                <pt idx="28">
                  <v>18.53999305475171</v>
                </pt>
                <pt idx="29">
                  <v>17.26845238095238</v>
                </pt>
                <pt idx="30">
                  <v>21.78412583959707</v>
                </pt>
                <pt idx="31">
                  <v>17.9259336263241</v>
                </pt>
                <pt idx="32">
                  <v>13.29344655149633</v>
                </pt>
                <pt idx="33">
                  <v>15.62236149442217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840554608"/>
        <axId val="840555856"/>
      </scatterChart>
      <catAx>
        <axId val="840554608"/>
        <scaling>
          <orientation val="maxMin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otham Light" pitchFamily="50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40555856"/>
        <crosses val="autoZero"/>
        <auto val="1"/>
        <lblAlgn val="ctr"/>
        <lblOffset val="100"/>
        <noMultiLvlLbl val="0"/>
      </catAx>
      <valAx>
        <axId val="840555856"/>
        <scaling>
          <orientation val="minMax"/>
        </scaling>
        <delete val="0"/>
        <axPos val="r"/>
        <majorGridlines>
          <spPr>
            <a:ln xmlns:a="http://schemas.openxmlformats.org/drawingml/2006/main" w="6350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&quot;$&quot;#,##0.00_);[Red]\(&quot;$&quot;#,##0.0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otham Light" pitchFamily="50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4055460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otham Light" pitchFamily="50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 Share - Sold TTM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strRef>
              <f>Competition!$N$22</f>
              <strCache>
                <ptCount val="1"/>
                <pt idx="0">
                  <v>Market Share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chemeClr val="accent5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chemeClr val="accent2">
                  <a:lumMod val="80000"/>
                  <a:lumOff val="2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dLbl>
              <idx val="8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9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0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1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2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3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Competition!$I$23:$I$36</f>
              <strCache>
                <ptCount val="14"/>
                <pt idx="0">
                  <v>M&amp;M</v>
                </pt>
                <pt idx="1">
                  <v>SJC</v>
                </pt>
                <pt idx="2">
                  <v>C&amp;W</v>
                </pt>
                <pt idx="3">
                  <v>PH</v>
                </pt>
                <pt idx="4">
                  <v>Colliers</v>
                </pt>
                <pt idx="5">
                  <v>Matthews</v>
                </pt>
                <pt idx="6">
                  <v>CBRE</v>
                </pt>
                <pt idx="7">
                  <v>SVN</v>
                </pt>
                <pt idx="8">
                  <v>SRS</v>
                </pt>
                <pt idx="9">
                  <v>Capital Pacific</v>
                </pt>
                <pt idx="10">
                  <v>JLL</v>
                </pt>
                <pt idx="11">
                  <v>Sands</v>
                </pt>
                <pt idx="12">
                  <v>Avison Young</v>
                </pt>
                <pt idx="13">
                  <v>Boulder</v>
                </pt>
              </strCache>
            </strRef>
          </cat>
          <val>
            <numRef>
              <f>Competition!$N$23:$N$36</f>
              <numCache>
                <formatCode>General</formatCode>
                <ptCount val="14"/>
                <pt idx="0">
                  <v>0.01941747572815534</v>
                </pt>
                <pt idx="1">
                  <v>0.05825242718446602</v>
                </pt>
                <pt idx="2">
                  <v>0.01941747572815534</v>
                </pt>
                <pt idx="3">
                  <v>0</v>
                </pt>
                <pt idx="4">
                  <v>0.009708737864077669</v>
                </pt>
                <pt idx="5">
                  <v>0.009708737864077669</v>
                </pt>
                <pt idx="6">
                  <v>0.009708737864077669</v>
                </pt>
                <pt idx="7">
                  <v>0</v>
                </pt>
                <pt idx="8">
                  <v>0</v>
                </pt>
                <pt idx="9">
                  <v>0.009708737864077669</v>
                </pt>
                <pt idx="10">
                  <v>0</v>
                </pt>
                <pt idx="11">
                  <v>0</v>
                </pt>
                <pt idx="12">
                  <v>0.01941747572815534</v>
                </pt>
                <pt idx="1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 Share - On Market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strRef>
              <f>Competition!$N$41</f>
              <strCache>
                <ptCount val="1"/>
                <pt idx="0">
                  <v>Market Share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chemeClr val="accent5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chemeClr val="accent2">
                  <a:lumMod val="80000"/>
                  <a:lumOff val="2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dLbl>
              <idx val="1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2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8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9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0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1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Competition!$I$42:$I$55</f>
              <strCache>
                <ptCount val="14"/>
                <pt idx="0">
                  <v>M&amp;M</v>
                </pt>
                <pt idx="1">
                  <v>SJC</v>
                </pt>
                <pt idx="2">
                  <v>Matthews</v>
                </pt>
                <pt idx="3">
                  <v>SRS</v>
                </pt>
                <pt idx="4">
                  <v>Colliers</v>
                </pt>
                <pt idx="5">
                  <v>PH</v>
                </pt>
                <pt idx="6">
                  <v>Capital Pacific</v>
                </pt>
                <pt idx="7">
                  <v>C&amp;W</v>
                </pt>
                <pt idx="8">
                  <v>Sands</v>
                </pt>
                <pt idx="9">
                  <v>CBRE</v>
                </pt>
                <pt idx="10">
                  <v>SVN</v>
                </pt>
                <pt idx="11">
                  <v>JLL</v>
                </pt>
                <pt idx="12">
                  <v>Boulder</v>
                </pt>
                <pt idx="13">
                  <v>Avison Young</v>
                </pt>
              </strCache>
            </strRef>
          </cat>
          <val>
            <numRef>
              <f>Competition!$N$42:$N$55</f>
              <numCache>
                <formatCode>General</formatCode>
                <ptCount val="14"/>
                <pt idx="0">
                  <v>1.2</v>
                </pt>
                <pt idx="1">
                  <v>1.6</v>
                </pt>
                <pt idx="2">
                  <v>0.6</v>
                </pt>
                <pt idx="3">
                  <v>1.7</v>
                </pt>
                <pt idx="4">
                  <v>0.5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0.1</v>
                </pt>
                <pt idx="9">
                  <v>0.3</v>
                </pt>
                <pt idx="10">
                  <v>0.1</v>
                </pt>
                <pt idx="11">
                  <v>0.1</v>
                </pt>
                <pt idx="12">
                  <v>0.2</v>
                </pt>
                <pt idx="13">
                  <v>0.2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Relationship Type="http://schemas.openxmlformats.org/officeDocument/2006/relationships/chart" Target="/xl/charts/chart16.xml" Id="rId14"/><Relationship Type="http://schemas.openxmlformats.org/officeDocument/2006/relationships/chart" Target="/xl/charts/chart17.xml" Id="rId15"/><Relationship Type="http://schemas.openxmlformats.org/officeDocument/2006/relationships/chart" Target="/xl/charts/chart18.xml" Id="rId16"/><Relationship Type="http://schemas.openxmlformats.org/officeDocument/2006/relationships/chart" Target="/xl/charts/chart19.xml" Id="rId17"/><Relationship Type="http://schemas.openxmlformats.org/officeDocument/2006/relationships/chart" Target="/xl/charts/chart20.xml" Id="rId18"/><Relationship Type="http://schemas.openxmlformats.org/officeDocument/2006/relationships/chart" Target="/xl/charts/chart21.xml" Id="rId19"/><Relationship Type="http://schemas.openxmlformats.org/officeDocument/2006/relationships/chart" Target="/xl/charts/chart22.xml" Id="rId20"/><Relationship Type="http://schemas.openxmlformats.org/officeDocument/2006/relationships/chart" Target="/xl/charts/chart23.xml" Id="rId21"/><Relationship Type="http://schemas.openxmlformats.org/officeDocument/2006/relationships/chart" Target="/xl/charts/chart24.xml" Id="rId22"/><Relationship Type="http://schemas.openxmlformats.org/officeDocument/2006/relationships/chart" Target="/xl/charts/chart25.xml" Id="rId2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6.xml" Id="rId1"/><Relationship Type="http://schemas.openxmlformats.org/officeDocument/2006/relationships/chart" Target="/xl/charts/chart27.xml" Id="rId2"/><Relationship Type="http://schemas.openxmlformats.org/officeDocument/2006/relationships/chart" Target="/xl/charts/chart28.xml" Id="rId3"/><Relationship Type="http://schemas.openxmlformats.org/officeDocument/2006/relationships/chart" Target="/xl/charts/chart29.xml" Id="rId4"/><Relationship Type="http://schemas.openxmlformats.org/officeDocument/2006/relationships/chart" Target="/xl/charts/chart30.xml" Id="rId5"/><Relationship Type="http://schemas.openxmlformats.org/officeDocument/2006/relationships/chart" Target="/xl/charts/chart31.xml" Id="rId6"/><Relationship Type="http://schemas.openxmlformats.org/officeDocument/2006/relationships/chart" Target="/xl/charts/chart32.xml" Id="rId7"/><Relationship Type="http://schemas.openxmlformats.org/officeDocument/2006/relationships/chart" Target="/xl/charts/chart33.xml" Id="rId8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35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36.xml" Id="rId1"/><Relationship Type="http://schemas.openxmlformats.org/officeDocument/2006/relationships/chart" Target="/xl/charts/chart37.xml" Id="rId2"/></Relationships>
</file>

<file path=xl/drawings/drawing1.xml><?xml version="1.0" encoding="utf-8"?>
<wsDr xmlns="http://schemas.openxmlformats.org/drawingml/2006/spreadsheetDrawing">
  <twoCellAnchor>
    <from>
      <col>14</col>
      <colOff>176893</colOff>
      <row>162</row>
      <rowOff>87690</rowOff>
    </from>
    <to>
      <col>22</col>
      <colOff>161773</colOff>
      <row>208</row>
      <rowOff>19654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6</col>
      <colOff>28575</colOff>
      <row>577</row>
      <rowOff>47625</rowOff>
    </from>
    <to>
      <col>33</col>
      <colOff>28575</colOff>
      <row>611</row>
      <rowOff>114300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66</col>
      <colOff>41872</colOff>
      <row>6</row>
      <rowOff>111912</rowOff>
    </from>
    <to>
      <col>80</col>
      <colOff>696049</colOff>
      <row>30</row>
      <rowOff>126485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65</col>
      <colOff>561974</colOff>
      <row>135</row>
      <rowOff>142874</rowOff>
    </from>
    <to>
      <col>80</col>
      <colOff>1028318</colOff>
      <row>161</row>
      <rowOff>124967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65</col>
      <colOff>533397</colOff>
      <row>40</row>
      <rowOff>23810</rowOff>
    </from>
    <to>
      <col>80</col>
      <colOff>661413</colOff>
      <row>60</row>
      <rowOff>137348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65</col>
      <colOff>570438</colOff>
      <row>66</row>
      <rowOff>109534</rowOff>
    </from>
    <to>
      <col>80</col>
      <colOff>688167</colOff>
      <row>90</row>
      <rowOff>141538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65</col>
      <colOff>604833</colOff>
      <row>97</row>
      <rowOff>95778</rowOff>
    </from>
    <to>
      <col>80</col>
      <colOff>760281</colOff>
      <row>123</row>
      <rowOff>68727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80</col>
      <colOff>1455394</colOff>
      <row>68</row>
      <rowOff>8121</rowOff>
    </from>
    <to>
      <col>92</col>
      <colOff>445363</colOff>
      <row>88</row>
      <rowOff>136137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80</col>
      <colOff>1313101</colOff>
      <row>6</row>
      <rowOff>109024</rowOff>
    </from>
    <to>
      <col>92</col>
      <colOff>419942</colOff>
      <row>31</row>
      <rowOff>73019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80</col>
      <colOff>1472670</colOff>
      <row>38</row>
      <rowOff>105333</rowOff>
    </from>
    <to>
      <col>93</col>
      <colOff>63351</colOff>
      <row>63</row>
      <rowOff>34657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67</col>
      <colOff>600075</colOff>
      <row>164</row>
      <rowOff>38098</rowOff>
    </from>
    <to>
      <col>78</col>
      <colOff>184785</colOff>
      <row>179</row>
      <rowOff>145540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80</col>
      <colOff>1390650</colOff>
      <row>96</row>
      <rowOff>16668</rowOff>
    </from>
    <to>
      <col>84</col>
      <colOff>557689</colOff>
      <row>122</row>
      <rowOff>71913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83</col>
      <colOff>515410</colOff>
      <row>164</row>
      <rowOff>1057</rowOff>
    </from>
    <to>
      <col>88</col>
      <colOff>606028</colOff>
      <row>173</row>
      <rowOff>40481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66</col>
      <colOff>541643</colOff>
      <row>190</row>
      <rowOff>72015</rowOff>
    </from>
    <to>
      <col>81</col>
      <colOff>19958</colOff>
      <row>215</row>
      <rowOff>101923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  <twoCellAnchor>
    <from>
      <col>81</col>
      <colOff>48437</colOff>
      <row>189</row>
      <rowOff>89906</rowOff>
    </from>
    <to>
      <col>93</col>
      <colOff>79298</colOff>
      <row>209</row>
      <rowOff>75428</rowOff>
    </to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twoCellAnchor>
  <twoCellAnchor>
    <from>
      <col>67</col>
      <colOff>2378</colOff>
      <row>234</row>
      <rowOff>0</rowOff>
    </from>
    <to>
      <col>80</col>
      <colOff>1338449</colOff>
      <row>245</row>
      <rowOff>104965</rowOff>
    </to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twoCellAnchor>
  <twoCellAnchor>
    <from>
      <col>81</col>
      <colOff>80961</colOff>
      <row>235</row>
      <rowOff>95249</rowOff>
    </from>
    <to>
      <col>93</col>
      <colOff>75246</colOff>
      <row>247</row>
      <rowOff>88391</rowOff>
    </to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twoCellAnchor>
  <twoCellAnchor>
    <from>
      <col>80</col>
      <colOff>1394883</colOff>
      <row>135</row>
      <rowOff>35983</rowOff>
    </from>
    <to>
      <col>92</col>
      <colOff>492580</colOff>
      <row>154</row>
      <rowOff>115041</rowOff>
    </to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twoCellAnchor>
  <twoCellAnchor>
    <from>
      <col>81</col>
      <colOff>130969</colOff>
      <row>254</row>
      <rowOff>85725</rowOff>
    </from>
    <to>
      <col>93</col>
      <colOff>216694</colOff>
      <row>276</row>
      <rowOff>85344</rowOff>
    </to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twoCellAnchor>
  <twoCellAnchor>
    <from>
      <col>11</col>
      <colOff>781050</colOff>
      <row>224</row>
      <rowOff>85724</rowOff>
    </from>
    <to>
      <col>27</col>
      <colOff>357187</colOff>
      <row>257</row>
      <rowOff>104774</rowOff>
    </to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twoCellAnchor>
  <twoCellAnchor>
    <from>
      <col>66</col>
      <colOff>530226</colOff>
      <row>251</row>
      <rowOff>1587</rowOff>
    </from>
    <to>
      <col>80</col>
      <colOff>1303275</colOff>
      <row>276</row>
      <rowOff>31496</rowOff>
    </to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twoCellAnchor>
  <twoCellAnchor>
    <from>
      <col>85</col>
      <colOff>200025</colOff>
      <row>96</row>
      <rowOff>9525</rowOff>
    </from>
    <to>
      <col>90</col>
      <colOff>208598</colOff>
      <row>122</row>
      <rowOff>46482</rowOff>
    </to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twoCellAnchor>
  <twoCellAnchor>
    <from>
      <col>28</col>
      <colOff>295274</colOff>
      <row>224</row>
      <rowOff>0</rowOff>
    </from>
    <to>
      <col>44</col>
      <colOff>380999</colOff>
      <row>251</row>
      <rowOff>28575</rowOff>
    </to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twoCellAnchor>
  <twoCellAnchor>
    <from>
      <col>1</col>
      <colOff>581024</colOff>
      <row>225</row>
      <rowOff>104774</rowOff>
    </from>
    <to>
      <col>10</col>
      <colOff>619124</colOff>
      <row>251</row>
      <rowOff>142875</rowOff>
    </to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twoCellAnchor>
  <twoCellAnchor>
    <from>
      <col>11</col>
      <colOff>666750</colOff>
      <row>260</row>
      <rowOff>9525</rowOff>
    </from>
    <to>
      <col>27</col>
      <colOff>242887</colOff>
      <row>293</row>
      <rowOff>28575</rowOff>
    </to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11</col>
      <colOff>481010</colOff>
      <row>59</row>
      <rowOff>0</rowOff>
    </from>
    <to>
      <col>20</col>
      <colOff>67244</colOff>
      <row>77</row>
      <rowOff>13716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12</col>
      <colOff>19049</colOff>
      <row>105</row>
      <rowOff>85724</rowOff>
    </from>
    <to>
      <col>20</col>
      <colOff>533780</colOff>
      <row>123</row>
      <rowOff>90296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23</col>
      <colOff>257174</colOff>
      <row>56</row>
      <rowOff>161924</rowOff>
    </from>
    <to>
      <col>31</col>
      <colOff>625601</colOff>
      <row>72</row>
      <rowOff>88772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22</col>
      <colOff>552450</colOff>
      <row>105</row>
      <rowOff>133349</rowOff>
    </from>
    <to>
      <col>31</col>
      <colOff>366141</colOff>
      <row>125</row>
      <rowOff>14477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9</col>
      <colOff>180975</colOff>
      <row>125</row>
      <rowOff>130174</rowOff>
    </from>
    <to>
      <col>25</col>
      <colOff>511175</colOff>
      <row>155</row>
      <rowOff>152399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10</col>
      <colOff>257175</colOff>
      <row>158</row>
      <rowOff>76200</rowOff>
    </from>
    <to>
      <col>23</col>
      <colOff>438150</colOff>
      <row>193</row>
      <rowOff>66675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34</col>
      <colOff>433387</colOff>
      <row>54</row>
      <rowOff>19050</rowOff>
    </from>
    <to>
      <col>45</col>
      <colOff>28575</colOff>
      <row>103</row>
      <rowOff>95250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34</col>
      <colOff>409575</colOff>
      <row>105</row>
      <rowOff>28574</rowOff>
    </from>
    <to>
      <col>45</col>
      <colOff>161925</colOff>
      <row>128</row>
      <rowOff>47624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21</col>
      <colOff>238125</colOff>
      <row>184</row>
      <rowOff>66675</rowOff>
    </from>
    <to>
      <col>38</col>
      <colOff>438150</colOff>
      <row>213</row>
      <rowOff>57150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13</col>
      <colOff>9524</colOff>
      <row>5</row>
      <rowOff>133350</rowOff>
    </from>
    <to>
      <col>27</col>
      <colOff>573404</colOff>
      <row>29</row>
      <rowOff>69342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>
    <from>
      <col>18</col>
      <colOff>511968</colOff>
      <row>1</row>
      <rowOff>9524</rowOff>
    </from>
    <to>
      <col>32</col>
      <colOff>404812</colOff>
      <row>32</row>
      <rowOff>130968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18</col>
      <colOff>583406</colOff>
      <row>34</row>
      <rowOff>122635</rowOff>
    </from>
    <to>
      <col>32</col>
      <colOff>559594</colOff>
      <row>63</row>
      <rowOff>142875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Scott Briggs" refreshedDate="45022.4183082176" createdVersion="7" refreshedVersion="8" minRefreshableVersion="3" recordCount="121" r:id="rId1">
  <cacheSource type="worksheet">
    <worksheetSource name="Available"/>
  </cacheSource>
  <cacheFields count="27">
    <cacheField name="TENANT" uniqueList="1" numFmtId="0" sqlType="0" hierarchy="0" level="0" databaseField="1">
      <sharedItems count="0"/>
    </cacheField>
    <cacheField name="ADDRESS" uniqueList="1" numFmtId="0" sqlType="0" hierarchy="0" level="0" databaseField="1">
      <sharedItems count="0"/>
    </cacheField>
    <cacheField name="CITY" uniqueList="1" numFmtId="0" sqlType="0" hierarchy="0" level="0" databaseField="1">
      <sharedItems count="0"/>
    </cacheField>
    <cacheField name="STATE" uniqueList="1" numFmtId="0" sqlType="0" hierarchy="0" level="0" databaseField="1">
      <sharedItems count="0"/>
    </cacheField>
    <cacheField name="LAND" uniqueList="1" numFmtId="40" sqlType="0" hierarchy="0" level="0" databaseField="1">
      <sharedItems count="0" containsBlank="1" containsMixedTypes="1" containsNumber="1" minValue="0.08" maxValue="7.84"/>
    </cacheField>
    <cacheField name="BUILT" uniqueList="1" numFmtId="0" sqlType="0" hierarchy="0" level="0" databaseField="1">
      <sharedItems count="0" containsBlank="1" containsInteger="1" containsMixedTypes="1" containsNumber="1" minValue="1922" maxValue="2023"/>
    </cacheField>
    <cacheField name="RBA" uniqueList="1" numFmtId="38" sqlType="0" hierarchy="0" level="0" databaseField="1">
      <sharedItems count="0" containsInteger="1" containsNumber="1" containsSemiMixedTypes="0" containsString="0" minValue="1639" maxValue="38400"/>
    </cacheField>
    <cacheField name="RENT" uniqueList="1" numFmtId="6" sqlType="0" hierarchy="0" level="0" databaseField="1">
      <sharedItems count="0" containsBlank="1" containsNumber="1" containsString="0" minValue="50430" maxValue="910291"/>
    </cacheField>
    <cacheField name="RENT/SF" uniqueList="1" numFmtId="8" sqlType="0" hierarchy="0" level="0" databaseField="1">
      <sharedItems count="0" containsMixedTypes="1" containsNumber="1" minValue="7.150009871668312" maxValue="67.60140210315473"/>
    </cacheField>
    <cacheField name="EXP" uniqueList="1" numFmtId="164" sqlType="0" hierarchy="0" level="0" databaseField="1">
      <sharedItems count="0" containsBlank="1" containsDate="1" containsMixedTypes="1" minDate="2023-11-30T00:00:00" maxDate="2038-04-01T00:00:00"/>
    </cacheField>
    <cacheField name="TERM" uniqueList="1" numFmtId="165" sqlType="0" hierarchy="0" level="0" databaseField="1">
      <sharedItems count="86" containsMixedTypes="1" containsNumber="1" minValue="0.6509091225900641" maxValue="14.99337487601472">
        <n v="4.653648848617461"/>
        <n v="9.659128300672256"/>
        <n v="5.57419679382294"/>
        <n v="4.23447076642568"/>
        <n v="11.49200501300102"/>
        <n v="6.322141999302393"/>
        <n v="11.07282693080924"/>
        <n v="0.7358406294393792"/>
        <n v="8.489265286973625"/>
        <n v="0.6509091225900641"/>
        <s v=" "/>
        <n v="6.738580355466777"/>
        <n v="5.070087204781845"/>
        <n v="9.409813232179106"/>
        <n v="2.234470766425681"/>
        <n v="4.40433378012431"/>
        <n v="8.57419679382294"/>
        <n v="8.070087204781846"/>
        <n v="9.492005013001023"/>
        <n v="14.24268994450787"/>
        <n v="3.823511862316091"/>
        <n v="4.286525560946228"/>
        <n v="6.741320081494174"/>
        <n v="3.653648848617461"/>
        <n v="5.322141999302393"/>
        <n v="10.57693651985034"/>
        <n v="1.067347478754448"/>
        <n v="8.270087204781845"/>
        <n v="14.74679953354897"/>
        <n v="5.289265286973626"/>
        <n v="9.828991314370885"/>
        <n v="10.6152926842339"/>
        <n v="11.53310090341198"/>
        <n v="1.823511862316092"/>
        <n v="13.719402273275"/>
        <n v="8.407073506151708"/>
        <n v="3.486525560946228"/>
        <n v="1.401594054096913"/>
        <n v="14.99337487601472"/>
        <n v="12.74405980752157"/>
        <n v="3.152278985603763"/>
        <n v="14.27008720478185"/>
        <n v="3.98515569793253"/>
        <n v="7.489265286973626"/>
        <n v="5.987895423959927"/>
        <n v="8.741320081494173"/>
        <n v="9.744059807521571"/>
        <n v="8.152278985603763"/>
        <n v="5.557758437658557"/>
        <n v="13.90844336916541"/>
        <n v="2.152278985603763"/>
        <n v="9.32488172532979"/>
        <n v="4.475566656836639"/>
        <n v="8.237210492453078"/>
        <n v="10.49200501300102"/>
        <n v="7.741320081494174"/>
        <n v="10.07282693080924"/>
        <n v="4.738580355466777"/>
        <n v="7.407073506151708"/>
        <n v="10.48926528697362"/>
        <n v="5.407073506151708"/>
        <n v="8.656388574644859"/>
        <n v="14.62077213628869"/>
        <n v="1.900224191083215"/>
        <n v="14.04542967053527"/>
        <n v="12.65912830067226"/>
        <n v="8.905703643138009"/>
        <n v="13.32762145135719"/>
        <n v="3.965977615740749"/>
        <n v="12.57693651985034"/>
        <n v="12.49200501300102"/>
        <n v="5.826251588343489"/>
        <n v="14.3166625472476"/>
        <n v="6.237210492453078"/>
        <n v="10.99063514998732"/>
        <n v="9.239950218480475"/>
        <n v="10"/>
        <n v="0.9824159719051326"/>
        <n v="11.65912830067226"/>
        <n v="3.741320081494174"/>
        <n v="7.826251588343489"/>
        <n v="6.902963917110612"/>
        <n v="2.823511862316091"/>
        <n v="9.905703643138009"/>
        <n v="8.902963917110611"/>
        <n v="9"/>
      </sharedItems>
    </cacheField>
    <cacheField name="EXPENSES" uniqueList="1" numFmtId="0" sqlType="0" hierarchy="0" level="0" databaseField="1">
      <sharedItems count="0" containsBlank="1"/>
    </cacheField>
    <cacheField name="BUMPS" uniqueList="1" numFmtId="0" sqlType="0" hierarchy="0" level="0" databaseField="1">
      <sharedItems count="0" containsBlank="1"/>
    </cacheField>
    <cacheField name="RENEWAL OPTIONS" uniqueList="1" numFmtId="0" sqlType="0" hierarchy="0" level="0" databaseField="1">
      <sharedItems count="0" containsBlank="1"/>
    </cacheField>
    <cacheField name="OM Link" uniqueList="1" numFmtId="0" sqlType="0" hierarchy="0" level="0" databaseField="1">
      <sharedItems count="0" containsBlank="1"/>
    </cacheField>
    <cacheField name="SELLER" uniqueList="1" numFmtId="164" sqlType="0" hierarchy="0" level="0" databaseField="1">
      <sharedItems count="275" containsBlank="1">
        <s v="Newell Atkinson"/>
        <s v="Abdul Khan"/>
        <s v="Ridgeline Capital Partners"/>
        <s v="Tom Kotula"/>
        <s v="Palestra Real Estate"/>
        <s v="Nephrology Specialists of Oklahoma"/>
        <s v="Obrien Family Trust"/>
        <m/>
        <s v="Rick Birdoff"/>
        <s v="John Casano"/>
        <s v="Capri Development"/>
        <s v="Gary Cerveny"/>
        <s v="Bond Oman"/>
        <s v="PAI Real Estate Investments"/>
        <s v="John Battle"/>
        <s v="Sandeep Shah"/>
        <s v="Brad Franklin"/>
        <s v="Dr. Hla Maung Hwang"/>
        <s v="Mei-Ming Shih"/>
        <s v="DaVita Inc"/>
        <s v="Balian Market, Inc"/>
        <s v="Gregory Stagnone"/>
        <s v="Sonoma Oaks LP"/>
        <s v="Dean Carlton"/>
        <s v="Jerry Bloeser"/>
        <s v="Truist Securities, Inc (SunTrust / BB&amp;T)"/>
        <s v="Gary Wright Family, LLC"/>
        <s v="Sam Colson"/>
        <s v="Kassem Realty, LLC"/>
        <s v="Robert Hager"/>
        <s v="Raas Realty, LLC"/>
        <s v="HW Holdings, LLC"/>
        <s v="J &amp; A General Contracting"/>
        <s v="Investment Grade Loans "/>
        <s v="Lumina Properties Group"/>
        <s v="Guy Gross"/>
        <s v="Tyler Angle"/>
        <s v="Crescent Property Management, LLC"/>
        <s v="Prep Property Group"/>
        <s v="Sundance Capital Partners"/>
        <s v="SKC Properties"/>
        <s v="Larry Wilson"/>
        <s v="Anupama Hiremaglur"/>
        <s v="Joseph Ramani"/>
        <s v="David Shohuse"/>
        <s v="PTM Development"/>
        <s v="Ted Sitzlar"/>
        <s v="Franciscan Alliance Inc"/>
        <s v="Miller Dialysis Services, LLC"/>
        <s v="James Martin"/>
        <s v="Elliot Bay Capital Trust"/>
        <s v="PNP, LLC"/>
        <s v="Forestwood Partners II, LLC "/>
        <s v="Hill Gray Seven"/>
        <s v="Lean Klein"/>
        <s v="Gina Zhang"/>
        <s v="Noor Khan"/>
        <s v="Pacific Properties Group"/>
        <s v="Alan Ziess"/>
        <s v="Hossein Alizadeh"/>
        <s v="CIRE Partners"/>
        <s v="The Peninsula Group, LLC"/>
        <s v="John Chambers"/>
        <s v="TCP Properties"/>
        <s v="Rashmi Kumar"/>
        <s v="Venkata Parsa"/>
        <s v="Lillian Woo"/>
        <s v="Steven Vicks"/>
        <s v="Keith Ramos"/>
        <s v="Menlo Capital Group"/>
        <s v="Kurt Hilbers"/>
        <s v="RMD Properties"/>
        <s v="Renal Southwest Investments"/>
        <s v="STRC South Flores Properties, LLC"/>
        <s v="Market Street Development"/>
        <s v="J M Sharp Company"/>
        <s v="Healthcare Associates, LLC"/>
        <s v="Dr Mandeep Singh"/>
        <s v="UnityPoint Health Hospital System"/>
        <s v="Mark Gendel"/>
        <s v="Paragon Health, P.C"/>
        <s v="Terry Mammen"/>
        <s v="Alan Kahana"/>
        <s v="JAMLAF Properties, LLC"/>
        <s v="David Chang"/>
        <s v="AEI Capital Corp"/>
        <s v="Rocky DiFrancesco"/>
        <s v="Intero Real Estate"/>
        <s v="Ronald Blake"/>
        <s v="Dr. Adam Morgan"/>
        <s v="Adel Korkor"/>
        <s v="Altera Development Company" u="1"/>
        <s v="Ari Ryan" u="1"/>
        <s v="Linden Juno Dora, LLC" u="1"/>
        <s v="American Renal Holdings" u="1"/>
        <s v="Frontier Real Estate " u="1"/>
        <s v="Elliott Bay" u="1"/>
        <s v="Condo Master " u="1"/>
        <s v="Wadi N Suki" u="1"/>
        <s v="Luke Family of Brands" u="1"/>
        <s v="RHGC Investmetns" u="1"/>
        <s v="Kairos Real Estate Partners" u="1"/>
        <s v="Club Oil &amp; Gas" u="1"/>
        <s v="The O'Neal Family, LP" u="1"/>
        <s v="Burton Lewis" u="1"/>
        <s v="David Waller | Jack and Denise Stephens" u="1"/>
        <s v="Stevan Josepho" u="1"/>
        <s v="Holcombe Financial" u="1"/>
        <s v="4 C Investment, LLC" u="1"/>
        <s v="Beverly Johnson" u="1"/>
        <s v="Larry &amp; Kimi Fukumoto" u="1"/>
        <s v="Bruce Schreiber" u="1"/>
        <s v="David Oddo" u="1"/>
        <s v="Titus Properties" u="1"/>
        <s v="Pacfici Properties Group" u="1"/>
        <s v="Meister Property Management, LTD" u="1"/>
        <s v="Centres, Inc" u="1"/>
        <s v="Matravers Trust" u="1"/>
        <s v="Odell Mitchell Moore" u="1"/>
        <s v="Kenwood Grove Properties" u="1"/>
        <s v="Brock, LLC" u="1"/>
        <s v="1801 Avenue H LLC" u="1"/>
        <s v="DBI Commercial Real Estate" u="1"/>
        <s v="American Healthcare Investors" u="1"/>
        <s v="Krishna Mohan" u="1"/>
        <s v="Clinton Realty" u="1"/>
        <s v="Heidar Jonsson" u="1"/>
        <s v="WXR &amp; Associates" u="1"/>
        <s v="InCommercial, Inc" u="1"/>
        <s v="Kingsbarn Realty" u="1"/>
        <s v="Altair Development Group, LLC" u="1"/>
        <s v="Brad &amp; Suzanne Bard" u="1"/>
        <s v="Newport Capital Partners" u="1"/>
        <s v="Leibsohn Family Trust" u="1"/>
        <s v="RG Properties" u="1"/>
        <s v="North Cado Hospital District" u="1"/>
        <s v="Elle Stern" u="1"/>
        <s v="AJJMD Realty Corp" u="1"/>
        <s v="Roopani Development" u="1"/>
        <s v="Northwest Lousiana Nephrology" u="1"/>
        <s v="Holcombe Financial Inc" u="1"/>
        <s v="Mildford Jones" u="1"/>
        <s v="Steve Novenstein" u="1"/>
        <s v="First Development Group" u="1"/>
        <s v="Dr. Adeel Khan" u="1"/>
        <s v="Subhash Kumar" u="1"/>
        <s v="Silveira Family Trust" u="1"/>
        <s v="Yoon Sook Cho" u="1"/>
        <s v="Reza Mirzadeh" u="1"/>
        <s v="Jeffrey Kimpson" u="1"/>
        <s v="CoAction Group" u="1"/>
        <s v="Lat Purser &amp; Associates" u="1"/>
        <s v="Madison Realty Management" u="1"/>
        <s v="Alliance Consolidated Group of Companies" u="1"/>
        <s v="Dialysis Clinic, Inc" u="1"/>
        <s v="Brenda Spira" u="1"/>
        <s v="JCD General Partnership" u="1"/>
        <s v="GP Real Estate Holding, LLC" u="1"/>
        <s v="Kwon Family" u="1"/>
        <s v="Suntrust" u="1"/>
        <s v="Red Mountain Retail Group" u="1"/>
        <s v="Phil Buteau" u="1"/>
        <s v="Shaukat Rashid" u="1"/>
        <s v="Kaplan Properties" u="1"/>
        <s v="Ashok Kumar" u="1"/>
        <s v="Bunker Farms LTD" u="1"/>
        <s v="Marc Barber" u="1"/>
        <s v="Taheer Rasheed" u="1"/>
        <s v="Castagnolo Properties, Inc" u="1"/>
        <s v="Dr. Emad Ahmed" u="1"/>
        <s v="WM Stenton LP" u="1"/>
        <s v="Steve Shelton" u="1"/>
        <s v="Stenstrom Companies" u="1"/>
        <s v="Shepherd Controls" u="1"/>
        <s v="Gary Olimpia" u="1"/>
        <s v="AMA Investments of Florida, LLC" u="1"/>
        <s v="Beeson Hill Properties, LLC" u="1"/>
        <s v="Hill Gray Seven, LLC" u="1"/>
        <s v="Stablewood Properties" u="1"/>
        <s v="ABG Holdings" u="1"/>
        <s v="Don Devine" u="1"/>
        <s v="Stanley Hess" u="1"/>
        <s v="Vakili Family Trust" u="1"/>
        <s v="NAF Holdings, LLC " u="1"/>
        <s v="Pennone Financial" u="1"/>
        <s v="Muhizi Condo" u="1"/>
        <s v="Colosseum Properties" u="1"/>
        <s v="JRS Properties, LLC" u="1"/>
        <s v="Heights Medical Group" u="1"/>
        <s v="Eric Kung" u="1"/>
        <s v="CMC Advisors International" u="1"/>
        <s v="Steven Berkowitz" u="1"/>
        <s v="Oman Gibson" u="1"/>
        <s v="Larry &amp; Anne Persons" u="1"/>
        <s v="Michael Seelye" u="1"/>
        <s v="Pheonix Realty" u="1"/>
        <s v="Net Lease Alliance" u="1"/>
        <s v="Fresenius Medical Care" u="1"/>
        <s v="Kent Whiteaker" u="1"/>
        <s v="OM Management" u="1"/>
        <s v="Mount Corporation | Kaplan Properties" u="1"/>
        <s v="Rohit Pankhaniya" u="1"/>
        <s v="RSM Properties" u="1"/>
        <s v="Luis Ardon" u="1"/>
        <s v="Pettigrew Enterprises" u="1"/>
        <s v="Davita" u="1"/>
        <s v="Greg Wedin" u="1"/>
        <s v="James Mitchell" u="1"/>
        <s v="Seakay Construction" u="1"/>
        <s v="Dr. Charles Finch" u="1"/>
        <s v="Tri Star Willow Grove, LP" u="1"/>
        <s v="Orion Real Estate" u="1"/>
        <s v="Montecitio Medical" u="1"/>
        <s v="R Bazzi Enterprises, LLC " u="1"/>
        <s v="South Texas Renal Care Group" u="1"/>
        <s v="Dr Edward Fillippone" u="1"/>
        <s v="RPM Realty, LLC " u="1"/>
        <s v="Palestra Real Estate Partners, Inc" u="1"/>
        <s v="Daniel Gonzales" u="1"/>
        <s v="RCG Ventures" u="1"/>
        <s v="VA Development, Inc" u="1"/>
        <s v="Marz Investments, LLC" u="1"/>
        <s v="Kirby Family Trust" u="1"/>
        <s v="Ridgeline Capital" u="1"/>
        <s v="Sweeny Leaders" u="1"/>
        <s v="Frank Pannizzo" u="1"/>
        <s v="The Horowitz Group" u="1"/>
        <s v="Don &amp; Sandy Buswell-Charkow" u="1"/>
        <s v="Phyllis Gutman" u="1"/>
        <s v="Aresh Family Trust" u="1"/>
        <s v="Genesis Investment Properties" u="1"/>
        <s v="PCI | HealthDev" u="1"/>
        <s v="Chuck Johnston" u="1"/>
        <s v="Harris Investment Group" u="1"/>
        <s v="A&amp;D Holding Company" u="1"/>
        <s v="James W. Morgan Jr." u="1"/>
        <s v="HF FMC Income Fund II Opelousas, LLC" u="1"/>
        <s v="Yashushi Yamada Family Trust" u="1"/>
        <s v="Epic Real Estate Partners" u="1"/>
        <s v="MOB SR56, LLC" u="1"/>
        <s v="George Huffman" u="1"/>
        <s v="Sundance Capital" u="1"/>
        <s v="Hamm Investments" u="1"/>
        <s v="Terra Firma Investments, LLC" u="1"/>
        <s v="27th Street North, LLC" u="1"/>
        <s v="Daughters of Sarah Jewish Foundation" u="1"/>
        <s v="Purity Real Estate" u="1"/>
        <s v="Mohamed El-Shahaway" u="1"/>
        <s v="Marino Equity Partners, LLC " u="1"/>
        <s v="Michael Colohan" u="1"/>
        <s v="Judd Construction" u="1"/>
        <s v="Newport Capital Parners" u="1"/>
        <s v="Eugene Ivan" u="1"/>
        <s v="Donald &amp; Judith Morelli" u="1"/>
        <s v="RAGA" u="1"/>
        <s v="Hilbers, Inc" u="1"/>
        <s v="Phoenix Realty Management" u="1"/>
        <s v="Gregory Bancroft" u="1"/>
        <s v="Marshall Berkson" u="1"/>
        <s v="Moody Rambin" u="1"/>
        <s v="Merit Acquisition Ii Llc" u="1"/>
        <s v="Nephrology Associates of Utah" u="1"/>
        <s v="ALZ Industries" u="1"/>
        <s v="Two Beans Properties" u="1"/>
        <s v="RHC Investments" u="1"/>
        <s v="The Cloverleaf Group, Inc" u="1"/>
        <s v="Hamm Investments " u="1"/>
        <s v="Matt Kaufman" u="1"/>
        <s v="M M Mona, LLC" u="1"/>
        <s v="Raul De Las Fuentes" u="1"/>
        <s v="DaVita " u="1"/>
        <s v="Western Neprhology" u="1"/>
        <s v="Puckett Family Trust" u="1"/>
        <s v="Charles &amp; Kimi Warner" u="1"/>
        <s v="Northwood, Inc." u="1"/>
      </sharedItems>
    </cacheField>
    <cacheField name="L. BROKER" uniqueList="1" numFmtId="164" sqlType="0" hierarchy="0" level="0" databaseField="1">
      <sharedItems count="0"/>
    </cacheField>
    <cacheField name="DEVELOPER" uniqueList="1" numFmtId="164" sqlType="0" hierarchy="0" level="0" databaseField="1">
      <sharedItems count="0" containsBlank="1"/>
    </cacheField>
    <cacheField name="Client Coverage" uniqueList="1" numFmtId="164" sqlType="0" hierarchy="0" level="0" databaseField="1">
      <sharedItems count="0" containsBlank="1"/>
    </cacheField>
    <cacheField name="INITIAL PRICE" uniqueList="1" numFmtId="6" sqlType="0" hierarchy="0" level="0" databaseField="1">
      <sharedItems count="0" containsBlank="1" containsInteger="1" containsNumber="1" containsString="0" minValue="825000" maxValue="17341093"/>
    </cacheField>
    <cacheField name="INITIAL CAP" uniqueList="1" numFmtId="10" sqlType="0" hierarchy="0" level="0" databaseField="1">
      <sharedItems count="0" containsMixedTypes="1" containsNumber="1" minValue="0.0315054268292683" maxValue="0.095722"/>
    </cacheField>
    <cacheField name="LAST PRICE" uniqueList="1" numFmtId="6" sqlType="0" hierarchy="0" level="0" databaseField="1">
      <sharedItems count="0" containsBlank="1" containsInteger="1" containsNumber="1" containsString="0" minValue="825000" maxValue="15870400"/>
    </cacheField>
    <cacheField name="LAST CAP" uniqueList="1" numFmtId="10" sqlType="0" hierarchy="0" level="0" databaseField="1">
      <sharedItems count="103" containsMixedTypes="1" containsNumber="1" minValue="0.03717187050359713" maxValue="0.10076">
        <n v="0.06017143716734816"/>
        <n v="0.056"/>
        <n v="0.06394683544303797"/>
        <n v="0.06991330275664948"/>
        <n v="0.055"/>
        <n v="0.0600001024403861"/>
        <n v="0.07140000000000001"/>
        <n v="0.05250027855153203"/>
        <n v="0.05749999581650873"/>
        <n v="0.05921957446808511"/>
        <n v="0.06155905368516833"/>
        <n v="0.05"/>
        <n v="0.06149918145832468"/>
        <n v="0.05250294064621985"/>
        <n v="0.0684997528651333"/>
        <s v=" "/>
        <n v="0.06"/>
        <n v="0.06404539325842697"/>
        <n v="0.0549998965050004"/>
        <n v="0.03717187050359713"/>
        <n v="0.07300007571210528"/>
        <n v="0.05995827814569536"/>
        <n v="0.07749964131485304"/>
        <n v="0.05688412017167382"/>
        <n v="0.05999996442468038"/>
        <n v="0.06279069767441861"/>
        <n v="0.06000815047021944"/>
        <n v="0.05750000968499808"/>
        <n v="0.054"/>
        <n v="0.06064672"/>
        <n v="0.05749999638251045"/>
        <n v="0.05749999756229237"/>
        <n v="0.06250016694490818"/>
        <n v="0.07000809511763217"/>
        <n v="0.05100584793090925"/>
        <n v="0.06270000000000001"/>
        <n v="0.06750002010125673"/>
        <n v="0.05823289397590362"/>
        <n v="0.0607242494226328"/>
        <n v="0.06850001710141612"/>
        <n v="0.05500000271604952"/>
        <n v="0.05198789712556733"/>
        <n v="0.05299117647058824"/>
        <n v="0.06450000726718534"/>
        <n v="0.05100000644818774"/>
        <n v="0.0563"/>
        <n v="0.05999973235646748"/>
        <n v="0.0449999925990506"/>
        <n v="0.06999498360023153"/>
        <n v="0.06116885245901639"/>
        <n v="0.06750000597104759"/>
        <n v="0.05848809231524674"/>
        <n v="0.06951457627118644"/>
        <n v="0.0528"/>
        <n v="0.0575063244047619"/>
        <n v="0.06249986655060721"/>
        <n v="0.05749999428293089"/>
        <n v="0.07000000000000001"/>
        <n v="0.0539985401459854"/>
        <n v="0.07467435897435898"/>
        <n v="0.0475"/>
        <n v="0.05999895959771111"/>
        <n v="0.05500003255679941"/>
        <n v="0.053"/>
        <n v="0.10076"/>
        <n v="0.04503709844559586"/>
        <n v="0.06000100016669445"/>
        <n v="0.05500000261143107"/>
        <n v="0.06750324534833406"/>
        <n v="0.06153333333333334"/>
        <n v="0.05500011252369113"/>
        <n v="0.062"/>
        <n v="0.05999395313681028"/>
        <n v="0.04"/>
        <n v="0.0625"/>
        <n v="0.07207804878048781"/>
        <n v="0.06000000770925917"/>
        <n v="0.05250139275766016"/>
        <n v="0.05535090909090909"/>
        <n v="0.06190933333333333"/>
        <n v="0.05249905277401894"/>
        <n v="0.05735778556306079"/>
        <n v="0.06842883720930233"/>
        <n v="0.05749990865095734"/>
        <n v="0.05882520729684909"/>
        <n v="0.05250000274840345"/>
        <n v="0.065"/>
        <n v="0.06499993765352818"/>
        <n v="0.05649988904185184"/>
        <n v="0.05849999661626022"/>
        <n v="0.05499986365172629"/>
        <n v="0.05801976592977894"/>
        <n v="0.06099997454887888"/>
        <n v="0.05999998860476777"/>
        <n v="0.05350004199771402"/>
        <n v="0.08044553191489362"/>
        <n v="0.06262857142857142"/>
        <n v="0.04525746341463414"/>
        <n v="0.05558544652701213"/>
        <n v="0.06469999999999999"/>
        <n v="0.06284705882352941"/>
        <n v="0.06724594594594595"/>
        <n v="0.06014941369447634"/>
      </sharedItems>
    </cacheField>
    <cacheField name="PRICE CHG" uniqueList="1" numFmtId="0" sqlType="0" hierarchy="0" level="0" databaseField="1">
      <sharedItems count="0"/>
    </cacheField>
    <cacheField name="ON MARKET" uniqueList="1" numFmtId="164" sqlType="0" hierarchy="0" level="0" databaseField="1">
      <sharedItems count="0" containsBlank="1" containsDate="1" containsNonDate="0" containsString="0" minDate="2018-07-04T00:00:00" maxDate="2023-04-04T00:00:00"/>
    </cacheField>
    <cacheField name="DOM" uniqueList="1" numFmtId="38" sqlType="0" hierarchy="0" level="0" databaseField="1">
      <sharedItems count="0" containsMixedTypes="1" containsNumber="1" minValue="3.418170254626602" maxValue="1737.418170254627"/>
    </cacheField>
    <cacheField name="STATUS" uniqueList="1" numFmtId="38" sqlType="0" hierarchy="0" level="0" databaseField="1">
      <sharedItems count="0" containsBlank="1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Scott Briggs" refreshedDate="45398.44061539352" createdVersion="6" refreshedVersion="8" minRefreshableVersion="3" recordCount="2286" r:id="rId1">
  <cacheSource type="worksheet">
    <worksheetSource name="Comps"/>
  </cacheSource>
  <cacheFields count="33">
    <cacheField name="TENANT" uniqueList="1" numFmtId="0" sqlType="0" hierarchy="0" level="0" databaseField="1">
      <sharedItems count="0" containsBlank="1"/>
    </cacheField>
    <cacheField name="ADDRESS" uniqueList="1" numFmtId="0" sqlType="0" hierarchy="0" level="0" databaseField="1">
      <sharedItems count="0" containsBlank="1"/>
    </cacheField>
    <cacheField name="CITY" uniqueList="1" numFmtId="0" sqlType="0" hierarchy="0" level="0" databaseField="1">
      <sharedItems count="0" containsBlank="1"/>
    </cacheField>
    <cacheField name="STATE" uniqueList="1" numFmtId="0" sqlType="0" hierarchy="0" level="0" databaseField="1">
      <sharedItems count="0" containsBlank="1"/>
    </cacheField>
    <cacheField name="LAND" uniqueList="1" numFmtId="0" sqlType="0" hierarchy="0" level="0" databaseField="1">
      <sharedItems count="0" containsBlank="1" containsMixedTypes="1" containsNumber="1" minValue="0" maxValue="90250"/>
    </cacheField>
    <cacheField name="BUILT" uniqueList="1" numFmtId="0" sqlType="0" hierarchy="0" level="0" databaseField="1">
      <sharedItems count="0" containsBlank="1" containsInteger="1" containsMixedTypes="1" containsNumber="1" minValue="1917" maxValue="2023"/>
    </cacheField>
    <cacheField name="RBA" uniqueList="1" numFmtId="38" sqlType="0" hierarchy="0" level="0" databaseField="1">
      <sharedItems count="0" containsBlank="1" containsInteger="1" containsNumber="1" containsString="0" minValue="1500" maxValue="590525"/>
    </cacheField>
    <cacheField name="RENT" uniqueList="1" numFmtId="0" sqlType="0" hierarchy="0" level="0" databaseField="1">
      <sharedItems count="0" containsBlank="1" containsMixedTypes="1" containsNumber="1" minValue="0" maxValue="10145900"/>
    </cacheField>
    <cacheField name="RENT/SF" uniqueList="1" numFmtId="8" sqlType="0" hierarchy="0" level="0" databaseField="1">
      <sharedItems count="0" containsBlank="1" containsMixedTypes="1" containsNumber="1" minValue="1.171320884015762" maxValue="143.9359379943056"/>
    </cacheField>
    <cacheField name="EXP" uniqueList="1" numFmtId="0" sqlType="0" hierarchy="0" level="0" databaseField="1">
      <sharedItems count="0" containsBlank="1" containsDate="1" containsMixedTypes="1" minDate="2004-11-30T00:00:00" maxDate="2040-06-01T00:00:00"/>
    </cacheField>
    <cacheField name="TERM" uniqueList="1" numFmtId="165" sqlType="0" hierarchy="0" level="0" databaseField="1">
      <sharedItems count="0" containsBlank="1" containsMixedTypes="1" containsNumber="1" minValue="-0.673972602739726" maxValue="138.1835616438356"/>
    </cacheField>
    <cacheField name="EXPENSES" uniqueList="1" numFmtId="0" sqlType="0" hierarchy="0" level="0" databaseField="1">
      <sharedItems count="0" containsBlank="1"/>
    </cacheField>
    <cacheField name="BUMPS" uniqueList="1" numFmtId="0" sqlType="0" hierarchy="0" level="0" databaseField="1">
      <sharedItems count="0" containsBlank="1"/>
    </cacheField>
    <cacheField name="RENEWAL OPTIONS" uniqueList="1" numFmtId="0" sqlType="0" hierarchy="0" level="0" databaseField="1">
      <sharedItems count="0" containsBlank="1"/>
    </cacheField>
    <cacheField name="SOLD PRICE" uniqueList="1" numFmtId="0" sqlType="0" hierarchy="0" level="0" databaseField="1">
      <sharedItems count="0" containsBlank="1" containsNumber="1" containsString="0" minValue="300000" maxValue="142900000"/>
    </cacheField>
    <cacheField name="SOLD/SF" uniqueList="1" numFmtId="6" sqlType="0" hierarchy="0" level="0" databaseField="1">
      <sharedItems count="0" containsBlank="1" containsMixedTypes="1" containsNumber="1" minValue="25.76923076923077" maxValue="2194.721115537849"/>
    </cacheField>
    <cacheField name="SOLD CAP" uniqueList="1" numFmtId="10" sqlType="0" hierarchy="0" level="0" databaseField="1">
      <sharedItems count="0" containsBlank="1" containsMixedTypes="1" containsNumber="1" minValue="0.03245272457790999" maxValue="0.2025862433862434"/>
    </cacheField>
    <cacheField name="DATE" uniqueList="1" numFmtId="164" sqlType="0" hierarchy="0" level="0" databaseField="1">
      <sharedItems count="1468" containsBlank="1" containsDate="1" containsNonDate="0" containsString="0" minDate="1900-01-15T14:09:36" maxDate="2024-03-16T00:00:00">
        <d v="2024-03-15T00:00:00"/>
        <d v="2024-03-13T00:00:00"/>
        <d v="2024-03-11T00:00:00"/>
        <d v="2024-02-28T00:00:00"/>
        <d v="2024-02-23T00:00:00"/>
        <d v="2024-02-20T00:00:00"/>
        <d v="2024-01-26T00:00:00"/>
        <d v="2024-01-24T00:00:00"/>
        <d v="2024-01-23T00:00:00"/>
        <d v="2024-01-16T00:00:00"/>
        <d v="2024-01-12T00:00:00"/>
        <d v="2024-01-04T00:00:00"/>
        <d v="2023-12-29T00:00:00"/>
        <d v="2023-12-28T00:00:00"/>
        <d v="2023-12-21T00:00:00"/>
        <d v="2023-12-20T00:00:00"/>
        <d v="2023-12-18T00:00:00"/>
        <d v="2023-12-15T00:00:00"/>
        <d v="2023-12-11T00:00:00"/>
        <d v="2023-12-07T00:00:00"/>
        <d v="2023-11-30T00:00:00"/>
        <d v="2023-11-21T00:00:00"/>
        <d v="2023-11-09T00:00:00"/>
        <d v="2023-11-02T00:00:00"/>
        <d v="2023-10-31T00:00:00"/>
        <d v="2023-10-25T00:00:00"/>
        <d v="2023-10-19T00:00:00"/>
        <d v="2023-10-16T00:00:00"/>
        <d v="2023-10-12T00:00:00"/>
        <d v="2023-10-06T00:00:00"/>
        <d v="2023-10-05T00:00:00"/>
        <d v="2023-10-04T00:00:00"/>
        <d v="2023-10-02T00:00:00"/>
        <d v="2023-09-29T00:00:00"/>
        <d v="2023-09-28T00:00:00"/>
        <d v="2023-09-26T00:00:00"/>
        <d v="2023-09-21T00:00:00"/>
        <d v="2023-09-20T00:00:00"/>
        <d v="2023-09-19T00:00:00"/>
        <d v="2023-09-18T00:00:00"/>
        <d v="2023-09-15T00:00:00"/>
        <d v="2023-09-14T00:00:00"/>
        <d v="2023-09-13T00:00:00"/>
        <d v="2023-09-11T00:00:00"/>
        <d v="2023-09-08T00:00:00"/>
        <d v="2023-09-07T00:00:00"/>
        <d v="2023-09-01T00:00:00"/>
        <d v="2023-08-29T00:00:00"/>
        <d v="2023-08-25T00:00:00"/>
        <d v="2023-08-24T00:00:00"/>
        <d v="2023-08-21T00:00:00"/>
        <d v="2023-08-18T00:00:00"/>
        <d v="2023-08-16T00:00:00"/>
        <d v="2023-08-15T00:00:00"/>
        <d v="2023-08-11T00:00:00"/>
        <d v="2023-08-08T00:00:00"/>
        <d v="2023-08-04T00:00:00"/>
        <d v="2023-08-03T00:00:00"/>
        <d v="2023-08-02T00:00:00"/>
        <d v="2023-08-01T00:00:00"/>
        <d v="2023-07-31T00:00:00"/>
        <d v="2023-07-27T00:00:00"/>
        <d v="2023-07-26T00:00:00"/>
        <d v="2023-07-25T00:00:00"/>
        <d v="2023-07-20T00:00:00"/>
        <d v="2023-07-17T00:00:00"/>
        <d v="2023-07-12T00:00:00"/>
        <d v="2023-07-11T00:00:00"/>
        <d v="2023-07-07T00:00:00"/>
        <d v="2023-07-05T00:00:00"/>
        <d v="2023-06-30T00:00:00"/>
        <d v="2023-06-29T00:00:00"/>
        <d v="2023-06-28T00:00:00"/>
        <d v="2023-06-23T00:00:00"/>
        <d v="2023-06-22T00:00:00"/>
        <d v="2023-06-21T00:00:00"/>
        <d v="2023-06-20T00:00:00"/>
        <d v="2023-06-15T00:00:00"/>
        <d v="2023-06-14T00:00:00"/>
        <d v="2023-06-12T00:00:00"/>
        <d v="2023-06-06T00:00:00"/>
        <d v="2023-06-05T00:00:00"/>
        <d v="2023-06-02T00:00:00"/>
        <d v="2023-06-01T00:00:00"/>
        <d v="2023-05-30T00:00:00"/>
        <d v="2023-05-25T00:00:00"/>
        <d v="2023-05-19T00:00:00"/>
        <d v="2023-05-18T00:00:00"/>
        <d v="2023-05-17T00:00:00"/>
        <d v="2023-05-08T00:00:00"/>
        <d v="2023-05-05T00:00:00"/>
        <d v="2023-05-04T00:00:00"/>
        <d v="2023-04-25T00:00:00"/>
        <d v="2023-04-24T00:00:00"/>
        <d v="2023-04-21T00:00:00"/>
        <d v="2023-04-14T00:00:00"/>
        <d v="2023-04-10T00:00:00"/>
        <d v="2023-04-03T00:00:00"/>
        <d v="2023-03-31T00:00:00"/>
        <d v="2023-03-30T00:00:00"/>
        <d v="2023-03-29T00:00:00"/>
        <d v="2023-03-28T00:00:00"/>
        <d v="2023-03-14T00:00:00"/>
        <d v="2023-03-13T00:00:00"/>
        <d v="2023-03-07T00:00:00"/>
        <d v="2023-03-02T00:00:00"/>
        <d v="2023-02-27T00:00:00"/>
        <d v="2023-02-23T00:00:00"/>
        <d v="2023-02-22T00:00:00"/>
        <d v="2023-02-20T00:00:00"/>
        <d v="2023-02-17T00:00:00"/>
        <d v="2023-02-13T00:00:00"/>
        <d v="2023-02-10T00:00:00"/>
        <d v="2023-02-06T00:00:00"/>
        <d v="2023-02-05T00:00:00"/>
        <d v="2023-02-02T00:00:00"/>
        <d v="2023-01-31T00:00:00"/>
        <d v="2023-01-27T00:00:00"/>
        <d v="2023-01-26T00:00:00"/>
        <d v="2023-01-25T00:00:00"/>
        <d v="2023-01-19T00:00:00"/>
        <d v="2023-01-18T00:00:00"/>
        <d v="2023-01-13T00:00:00"/>
        <d v="2023-01-10T00:00:00"/>
        <d v="2023-01-06T00:00:00"/>
        <d v="2023-01-05T00:00:00"/>
        <d v="2023-01-03T00:00:00"/>
        <d v="2022-12-30T00:00:00"/>
        <d v="2022-12-22T00:00:00"/>
        <d v="2022-12-19T00:00:00"/>
        <d v="2022-12-16T00:00:00"/>
        <d v="2022-12-15T00:00:00"/>
        <d v="2022-12-14T00:00:00"/>
        <d v="2022-12-12T00:00:00"/>
        <d v="2022-12-09T00:00:00"/>
        <d v="2022-12-05T00:00:00"/>
        <d v="2022-12-02T00:00:00"/>
        <d v="2022-12-01T00:00:00"/>
        <d v="2022-11-29T00:00:00"/>
        <d v="2022-11-21T00:00:00"/>
        <d v="2022-11-18T00:00:00"/>
        <d v="2022-11-15T00:00:00"/>
        <d v="2022-11-11T00:00:00"/>
        <d v="2022-11-10T00:00:00"/>
        <d v="2022-11-07T00:00:00"/>
        <d v="2022-11-04T00:00:00"/>
        <d v="2022-11-03T00:00:00"/>
        <d v="2022-10-31T00:00:00"/>
        <d v="2022-10-28T00:00:00"/>
        <d v="2022-10-27T00:00:00"/>
        <d v="2022-10-25T00:00:00"/>
        <d v="2022-10-24T00:00:00"/>
        <d v="2022-10-14T00:00:00"/>
        <d v="2022-10-12T00:00:00"/>
        <d v="2022-10-11T00:00:00"/>
        <d v="2022-10-10T00:00:00"/>
        <d v="2022-10-07T00:00:00"/>
        <d v="2022-10-03T00:00:00"/>
        <d v="2022-09-30T00:00:00"/>
        <d v="2022-09-28T00:00:00"/>
        <d v="2022-09-23T00:00:00"/>
        <d v="2022-09-22T00:00:00"/>
        <d v="2022-09-19T00:00:00"/>
        <d v="2022-09-17T00:00:00"/>
        <d v="2022-09-16T00:00:00"/>
        <d v="2022-09-15T00:00:00"/>
        <d v="2022-09-14T00:00:00"/>
        <d v="2022-09-12T00:00:00"/>
        <d v="2022-09-09T00:00:00"/>
        <d v="2022-09-08T00:00:00"/>
        <d v="2022-09-07T00:00:00"/>
        <d v="2022-09-06T00:00:00"/>
        <d v="2022-09-02T00:00:00"/>
        <d v="2022-09-01T00:00:00"/>
        <d v="2022-08-31T00:00:00"/>
        <d v="2022-08-30T00:00:00"/>
        <d v="2022-08-24T00:00:00"/>
        <d v="2022-08-23T00:00:00"/>
        <d v="2022-08-20T00:00:00"/>
        <d v="2022-08-16T00:00:00"/>
        <d v="2022-08-15T00:00:00"/>
        <d v="2022-08-12T00:00:00"/>
        <d v="2022-08-11T00:00:00"/>
        <d v="2022-08-10T00:00:00"/>
        <d v="2022-08-03T00:00:00"/>
        <d v="2022-08-01T00:00:00"/>
        <d v="2022-07-29T00:00:00"/>
        <d v="2022-07-28T00:00:00"/>
        <d v="2022-07-27T00:00:00"/>
        <d v="2022-07-26T00:00:00"/>
        <d v="2022-07-22T00:00:00"/>
        <d v="2022-07-20T00:00:00"/>
        <d v="2022-07-19T00:00:00"/>
        <d v="2022-07-18T00:00:00"/>
        <d v="2022-07-15T00:00:00"/>
        <d v="2022-07-07T00:00:00"/>
        <d v="2022-07-01T00:00:00"/>
        <d v="2022-06-30T00:00:00"/>
        <d v="2022-06-29T00:00:00"/>
        <d v="2022-06-27T00:00:00"/>
        <d v="2022-06-24T00:00:00"/>
        <d v="2022-06-23T00:00:00"/>
        <d v="2022-06-22T00:00:00"/>
        <d v="2022-06-21T00:00:00"/>
        <d v="2022-06-17T00:00:00"/>
        <d v="2022-06-14T00:00:00"/>
        <d v="2022-06-08T00:00:00"/>
        <d v="2022-06-03T00:00:00"/>
        <d v="2022-06-01T00:00:00"/>
        <d v="2022-05-31T00:00:00"/>
        <d v="2022-05-27T00:00:00"/>
        <d v="2022-05-26T00:00:00"/>
        <d v="2022-05-24T00:00:00"/>
        <d v="2022-05-19T00:00:00"/>
        <d v="2022-05-16T00:00:00"/>
        <d v="2022-05-13T00:00:00"/>
        <d v="2022-05-12T00:00:00"/>
        <d v="2022-05-10T00:00:00"/>
        <d v="2022-05-09T00:00:00"/>
        <d v="2022-05-05T00:00:00"/>
        <d v="2022-05-03T00:00:00"/>
        <d v="2022-05-02T00:00:00"/>
        <d v="2022-04-29T00:00:00"/>
        <d v="2022-04-26T00:00:00"/>
        <d v="2022-04-20T00:00:00"/>
        <d v="2022-04-18T00:00:00"/>
        <d v="2022-04-13T00:00:00"/>
        <d v="2022-04-11T00:00:00"/>
        <d v="2022-04-07T00:00:00"/>
        <d v="2022-04-06T00:00:00"/>
        <d v="2022-04-04T00:00:00"/>
        <d v="2022-04-01T00:00:00"/>
        <d v="2022-03-31T00:00:00"/>
        <d v="2022-03-30T00:00:00"/>
        <d v="2022-03-29T00:00:00"/>
        <d v="2022-03-25T00:00:00"/>
        <d v="2022-03-24T00:00:00"/>
        <d v="2022-03-21T00:00:00"/>
        <d v="2022-03-18T00:00:00"/>
        <d v="2022-03-15T00:00:00"/>
        <d v="2022-03-14T00:00:00"/>
        <d v="2022-03-10T00:00:00"/>
        <d v="2022-03-09T00:00:00"/>
        <d v="2022-03-08T00:00:00"/>
        <d v="2022-03-03T00:00:00"/>
        <d v="2022-03-02T00:00:00"/>
        <d v="2022-03-01T00:00:00"/>
        <d v="2022-02-24T00:00:00"/>
        <d v="2022-02-20T00:00:00"/>
        <d v="2022-02-18T00:00:00"/>
        <d v="2022-02-17T00:00:00"/>
        <d v="2022-02-16T00:00:00"/>
        <d v="2022-02-15T00:00:00"/>
        <d v="2022-02-14T00:00:00"/>
        <d v="2022-02-11T00:00:00"/>
        <d v="2022-02-10T00:00:00"/>
        <d v="2022-02-08T00:00:00"/>
        <d v="2022-02-04T00:00:00"/>
        <d v="2022-02-02T00:00:00"/>
        <d v="2022-01-28T00:00:00"/>
        <d v="2022-01-27T00:00:00"/>
        <d v="2022-01-26T00:00:00"/>
        <d v="2022-01-21T00:00:00"/>
        <d v="2022-01-20T00:00:00"/>
        <d v="2022-01-19T00:00:00"/>
        <d v="2022-01-16T00:00:00"/>
        <d v="2022-01-14T00:00:00"/>
        <d v="2022-01-13T00:00:00"/>
        <d v="2022-01-11T00:00:00"/>
        <d v="2022-01-07T00:00:00"/>
        <d v="2022-01-05T00:00:00"/>
        <d v="2022-01-04T00:00:00"/>
        <d v="2022-01-03T00:00:00"/>
        <d v="2022-01-01T00:00:00"/>
        <d v="2021-12-31T00:00:00"/>
        <d v="2021-12-30T00:00:00"/>
        <d v="2021-12-28T00:00:00"/>
        <d v="2021-12-22T00:00:00"/>
        <d v="2021-12-21T00:00:00"/>
        <d v="2021-12-20T00:00:00"/>
        <d v="2021-12-17T00:00:00"/>
        <d v="2021-12-13T00:00:00"/>
        <d v="2021-12-10T00:00:00"/>
        <d v="2021-12-08T00:00:00"/>
        <d v="2021-12-06T00:00:00"/>
        <d v="2021-12-03T00:00:00"/>
        <d v="2021-12-02T00:00:00"/>
        <d v="2021-12-01T00:00:00"/>
        <d v="2021-11-30T00:00:00"/>
        <d v="2021-11-29T00:00:00"/>
        <d v="2021-11-23T00:00:00"/>
        <d v="2021-11-22T00:00:00"/>
        <d v="2021-11-20T00:00:00"/>
        <d v="2021-11-18T00:00:00"/>
        <d v="2021-11-17T00:00:00"/>
        <d v="2021-11-16T00:00:00"/>
        <d v="2021-11-15T00:00:00"/>
        <d v="2021-11-12T00:00:00"/>
        <d v="2021-11-10T00:00:00"/>
        <d v="2021-11-08T00:00:00"/>
        <d v="2021-11-03T00:00:00"/>
        <d v="2021-11-02T00:00:00"/>
        <d v="2021-11-01T00:00:00"/>
        <d v="2021-10-29T00:00:00"/>
        <d v="2021-10-25T00:00:00"/>
        <d v="2021-10-23T00:00:00"/>
        <d v="2021-10-22T00:00:00"/>
        <d v="2021-10-20T00:00:00"/>
        <d v="2021-10-15T00:00:00"/>
        <d v="2021-10-14T00:00:00"/>
        <d v="2021-10-12T00:00:00"/>
        <d v="2021-10-07T00:00:00"/>
        <d v="2021-10-06T00:00:00"/>
        <d v="2021-10-05T00:00:00"/>
        <d v="2021-09-30T00:00:00"/>
        <d v="2021-09-29T00:00:00"/>
        <d v="2021-09-27T00:00:00"/>
        <d v="2021-09-22T00:00:00"/>
        <d v="2021-09-17T00:00:00"/>
        <d v="2021-09-16T00:00:00"/>
        <d v="2021-09-15T00:00:00"/>
        <d v="2021-09-14T00:00:00"/>
        <d v="2021-09-03T00:00:00"/>
        <d v="2021-09-02T00:00:00"/>
        <d v="2021-09-01T00:00:00"/>
        <d v="2021-08-31T00:00:00"/>
        <d v="2021-08-30T00:00:00"/>
        <d v="2021-08-27T00:00:00"/>
        <d v="2021-08-26T00:00:00"/>
        <d v="2021-08-25T00:00:00"/>
        <d v="2021-08-24T00:00:00"/>
        <d v="2021-08-23T00:00:00"/>
        <d v="2021-08-20T00:00:00"/>
        <d v="2021-08-19T00:00:00"/>
        <d v="2021-08-13T00:00:00"/>
        <d v="2021-08-12T00:00:00"/>
        <d v="2021-08-10T00:00:00"/>
        <d v="2021-08-06T00:00:00"/>
        <d v="2021-08-05T00:00:00"/>
        <d v="2021-08-04T00:00:00"/>
        <d v="2021-08-02T00:00:00"/>
        <d v="2021-07-29T00:00:00"/>
        <d v="2021-07-26T00:00:00"/>
        <d v="2021-07-23T00:00:00"/>
        <d v="2021-07-22T00:00:00"/>
        <d v="2021-07-19T00:00:00"/>
        <d v="2021-07-16T00:00:00"/>
        <d v="2021-07-12T00:00:00"/>
        <d v="2021-07-09T00:00:00"/>
        <d v="2021-07-08T00:00:00"/>
        <d v="2021-07-05T00:00:00"/>
        <d v="2021-07-01T00:00:00"/>
        <d v="2021-06-30T00:00:00"/>
        <d v="2021-06-25T00:00:00"/>
        <d v="2021-06-24T00:00:00"/>
        <d v="2021-06-22T00:00:00"/>
        <d v="2021-06-21T00:00:00"/>
        <d v="2021-06-18T00:00:00"/>
        <d v="2021-06-17T00:00:00"/>
        <d v="2021-06-16T00:00:00"/>
        <d v="2021-06-14T00:00:00"/>
        <d v="2021-06-11T00:00:00"/>
        <d v="2021-06-10T00:00:00"/>
        <d v="2021-06-09T00:00:00"/>
        <d v="2021-06-08T00:00:00"/>
        <d v="2021-06-04T00:00:00"/>
        <d v="2021-06-03T00:00:00"/>
        <d v="2021-06-02T00:00:00"/>
        <d v="2021-06-01T00:00:00"/>
        <d v="2021-05-31T00:00:00"/>
        <d v="2021-05-28T00:00:00"/>
        <d v="2021-05-26T00:00:00"/>
        <d v="2021-05-25T00:00:00"/>
        <d v="2021-05-24T00:00:00"/>
        <d v="2021-05-21T00:00:00"/>
        <d v="2021-05-20T00:00:00"/>
        <d v="2021-05-19T00:00:00"/>
        <d v="2021-05-18T00:00:00"/>
        <d v="2021-05-14T00:00:00"/>
        <d v="2021-05-13T00:00:00"/>
        <d v="2021-05-12T00:00:00"/>
        <d v="2021-05-11T00:00:00"/>
        <d v="2021-05-07T00:00:00"/>
        <d v="2021-05-06T00:00:00"/>
        <d v="2021-05-05T00:00:00"/>
        <d v="2021-05-04T00:00:00"/>
        <d v="2021-05-03T00:00:00"/>
        <d v="2021-04-30T00:00:00"/>
        <d v="2021-04-29T00:00:00"/>
        <d v="2021-04-28T00:00:00"/>
        <d v="2021-04-27T00:00:00"/>
        <d v="2021-04-23T00:00:00"/>
        <d v="2021-04-22T00:00:00"/>
        <d v="2021-04-21T00:00:00"/>
        <d v="2021-04-20T00:00:00"/>
        <d v="2021-04-16T00:00:00"/>
        <d v="2021-04-09T00:00:00"/>
        <d v="2021-04-07T00:00:00"/>
        <d v="2021-04-05T00:00:00"/>
        <d v="2021-04-02T00:00:00"/>
        <d v="2021-03-31T00:00:00"/>
        <d v="2021-03-30T00:00:00"/>
        <d v="2021-03-29T00:00:00"/>
        <d v="2021-03-26T00:00:00"/>
        <d v="2021-03-25T00:00:00"/>
        <d v="2021-03-24T00:00:00"/>
        <d v="2021-03-23T00:00:00"/>
        <d v="2021-03-19T00:00:00"/>
        <d v="2021-03-18T00:00:00"/>
        <d v="2021-03-15T00:00:00"/>
        <d v="2021-03-12T00:00:00"/>
        <d v="2021-03-03T00:00:00"/>
        <d v="2021-03-02T00:00:00"/>
        <d v="2021-02-26T00:00:00"/>
        <d v="2021-02-25T00:00:00"/>
        <d v="2021-02-18T00:00:00"/>
        <d v="2021-02-16T00:00:00"/>
        <d v="2021-02-15T00:00:00"/>
        <d v="2021-02-10T00:00:00"/>
        <d v="2021-02-09T00:00:00"/>
        <d v="2021-02-08T00:00:00"/>
        <d v="2021-02-03T00:00:00"/>
        <d v="2021-01-29T00:00:00"/>
        <d v="2021-01-28T00:00:00"/>
        <d v="2021-01-27T00:00:00"/>
        <d v="2021-01-25T00:00:00"/>
        <d v="2021-01-22T00:00:00"/>
        <d v="2021-01-21T00:00:00"/>
        <d v="2021-01-20T00:00:00"/>
        <d v="2021-01-18T00:00:00"/>
        <d v="2021-01-14T00:00:00"/>
        <d v="2021-01-13T00:00:00"/>
        <d v="2021-01-07T00:00:00"/>
        <d v="2021-01-05T00:00:00"/>
        <d v="2020-12-31T00:00:00"/>
        <d v="2020-12-30T00:00:00"/>
        <d v="2020-12-29T00:00:00"/>
        <d v="2020-12-28T00:00:00"/>
        <d v="2020-12-22T00:00:00"/>
        <d v="2020-12-18T00:00:00"/>
        <d v="2020-12-17T00:00:00"/>
        <d v="2020-12-14T00:00:00"/>
        <d v="2020-12-10T00:00:00"/>
        <d v="2020-12-09T00:00:00"/>
        <d v="2020-12-08T00:00:00"/>
        <d v="2020-12-04T00:00:00"/>
        <d v="2020-12-03T00:00:00"/>
        <d v="2020-11-30T00:00:00"/>
        <d v="2020-11-25T00:00:00"/>
        <d v="2020-11-24T00:00:00"/>
        <d v="2020-11-23T00:00:00"/>
        <d v="2020-11-19T00:00:00"/>
        <d v="2020-11-18T00:00:00"/>
        <d v="2020-11-17T00:00:00"/>
        <d v="2020-11-13T00:00:00"/>
        <d v="2020-11-12T00:00:00"/>
        <d v="2020-11-09T00:00:00"/>
        <d v="2020-11-04T00:00:00"/>
        <d v="2020-10-30T00:00:00"/>
        <d v="2020-10-23T00:00:00"/>
        <d v="2020-10-20T00:00:00"/>
        <d v="2020-10-15T00:00:00"/>
        <d v="2020-10-14T00:00:00"/>
        <d v="2020-10-13T00:00:00"/>
        <d v="2020-10-09T00:00:00"/>
        <d v="2020-10-05T00:00:00"/>
        <d v="2020-10-02T00:00:00"/>
        <d v="2020-10-01T00:00:00"/>
        <d v="2020-09-30T00:00:00"/>
        <d v="2020-09-29T00:00:00"/>
        <d v="2020-09-25T00:00:00"/>
        <d v="2020-09-24T00:00:00"/>
        <d v="2020-09-23T00:00:00"/>
        <d v="2020-09-21T00:00:00"/>
        <d v="2020-09-18T00:00:00"/>
        <d v="2020-09-16T00:00:00"/>
        <d v="2020-09-15T00:00:00"/>
        <d v="2020-09-11T00:00:00"/>
        <d v="2020-09-08T00:00:00"/>
        <d v="2020-08-28T00:00:00"/>
        <d v="2020-08-27T00:00:00"/>
        <d v="2020-08-25T00:00:00"/>
        <d v="2020-08-24T00:00:00"/>
        <d v="2020-08-20T00:00:00"/>
        <d v="2020-08-18T00:00:00"/>
        <d v="2020-08-14T00:00:00"/>
        <d v="2020-08-07T00:00:00"/>
        <d v="2020-08-04T00:00:00"/>
        <d v="2020-08-03T00:00:00"/>
        <d v="2020-08-01T00:00:00"/>
        <d v="2020-07-31T00:00:00"/>
        <d v="2020-07-30T00:00:00"/>
        <d v="2020-07-28T00:00:00"/>
        <d v="2020-07-27T00:00:00"/>
        <d v="2020-07-25T00:00:00"/>
        <d v="2020-07-20T00:00:00"/>
        <d v="2020-07-17T00:00:00"/>
        <d v="2020-07-16T00:00:00"/>
        <d v="2020-07-15T00:00:00"/>
        <d v="2020-07-10T00:00:00"/>
        <d v="2020-07-08T00:00:00"/>
        <d v="2020-07-06T00:00:00"/>
        <d v="2020-07-02T00:00:00"/>
        <d v="2020-06-30T00:00:00"/>
        <d v="2020-06-29T00:00:00"/>
        <d v="2020-06-26T00:00:00"/>
        <d v="2020-06-25T00:00:00"/>
        <d v="2020-06-24T00:00:00"/>
        <d v="2020-06-22T00:00:00"/>
        <d v="2020-06-19T00:00:00"/>
        <d v="2020-06-18T00:00:00"/>
        <d v="2020-06-15T00:00:00"/>
        <d v="2020-06-12T00:00:00"/>
        <d v="2020-06-10T00:00:00"/>
        <d v="2020-06-09T00:00:00"/>
        <d v="2020-06-08T00:00:00"/>
        <d v="2020-06-06T00:00:00"/>
        <d v="2020-06-05T00:00:00"/>
        <d v="2020-06-01T00:00:00"/>
        <d v="2020-05-31T00:00:00"/>
        <d v="2020-05-29T00:00:00"/>
        <d v="2020-05-27T00:00:00"/>
        <d v="2020-05-22T00:00:00"/>
        <d v="2020-05-20T00:00:00"/>
        <d v="2020-05-08T00:00:00"/>
        <d v="2020-05-07T00:00:00"/>
        <d v="2020-05-05T00:00:00"/>
        <d v="2020-04-30T00:00:00"/>
        <d v="2020-04-23T00:00:00"/>
        <d v="2020-04-22T00:00:00"/>
        <d v="2020-04-17T00:00:00"/>
        <d v="2020-04-14T00:00:00"/>
        <d v="2020-04-10T00:00:00"/>
        <d v="2020-04-07T00:00:00"/>
        <d v="2020-04-02T00:00:00"/>
        <d v="2020-03-31T00:00:00"/>
        <d v="2020-03-29T00:00:00"/>
        <d v="2020-03-27T00:00:00"/>
        <d v="2020-03-26T00:00:00"/>
        <d v="2020-03-25T00:00:00"/>
        <d v="2020-03-24T00:00:00"/>
        <d v="2020-03-23T00:00:00"/>
        <d v="2020-03-20T00:00:00"/>
        <d v="2020-03-18T00:00:00"/>
        <d v="2020-03-16T00:00:00"/>
        <d v="2020-03-13T00:00:00"/>
        <d v="2020-03-10T00:00:00"/>
        <d v="2020-03-05T00:00:00"/>
        <d v="2020-03-03T00:00:00"/>
        <d v="2020-02-28T00:00:00"/>
        <d v="2020-02-27T00:00:00"/>
        <d v="2020-02-25T00:00:00"/>
        <d v="2020-02-19T00:00:00"/>
        <d v="2020-02-18T00:00:00"/>
        <d v="2020-02-14T00:00:00"/>
        <d v="2020-02-12T00:00:00"/>
        <d v="2020-02-11T00:00:00"/>
        <d v="2020-02-07T00:00:00"/>
        <d v="2020-02-06T00:00:00"/>
        <d v="2020-01-31T00:00:00"/>
        <d v="2020-01-30T00:00:00"/>
        <d v="2020-01-29T00:00:00"/>
        <d v="2020-01-27T00:00:00"/>
        <d v="2020-01-24T00:00:00"/>
        <d v="2020-01-23T00:00:00"/>
        <d v="2020-01-21T00:00:00"/>
        <d v="2020-01-17T00:00:00"/>
        <d v="2020-01-16T00:00:00"/>
        <d v="2020-01-15T00:00:00"/>
        <d v="2020-01-13T00:00:00"/>
        <d v="2020-01-11T00:00:00"/>
        <d v="2020-01-08T00:00:00"/>
        <d v="2020-01-07T00:00:00"/>
        <d v="2020-01-06T00:00:00"/>
        <d v="2019-12-31T00:00:00"/>
        <d v="2019-12-30T00:00:00"/>
        <d v="2019-12-27T00:00:00"/>
        <d v="2019-12-23T00:00:00"/>
        <d v="2019-12-20T00:00:00"/>
        <d v="2019-12-19T00:00:00"/>
        <d v="2019-12-16T00:00:00"/>
        <d v="2019-12-11T00:00:00"/>
        <d v="2019-12-06T00:00:00"/>
        <d v="2019-12-01T00:00:00"/>
        <d v="2019-11-25T00:00:00"/>
        <d v="2019-11-22T00:00:00"/>
        <d v="2019-11-20T00:00:00"/>
        <d v="2019-11-19T00:00:00"/>
        <d v="2019-11-18T00:00:00"/>
        <d v="2019-11-15T00:00:00"/>
        <d v="2019-11-13T00:00:00"/>
        <d v="2019-11-07T00:00:00"/>
        <d v="2019-11-05T00:00:00"/>
        <d v="2019-11-04T00:00:00"/>
        <d v="2019-10-31T00:00:00"/>
        <d v="2019-10-28T00:00:00"/>
        <d v="2019-10-23T00:00:00"/>
        <d v="2019-10-22T00:00:00"/>
        <d v="2019-10-16T00:00:00"/>
        <d v="2019-10-15T00:00:00"/>
        <d v="2019-10-10T00:00:00"/>
        <d v="2019-10-08T00:00:00"/>
        <d v="2019-10-07T00:00:00"/>
        <d v="2019-10-04T00:00:00"/>
        <d v="2019-10-03T00:00:00"/>
        <d v="2019-09-30T00:00:00"/>
        <d v="2019-09-27T00:00:00"/>
        <d v="2019-09-25T00:00:00"/>
        <d v="2019-09-24T00:00:00"/>
        <d v="2019-09-19T00:00:00"/>
        <d v="2019-09-14T00:00:00"/>
        <d v="2019-09-12T00:00:00"/>
        <d v="2019-09-11T00:00:00"/>
        <d v="2019-09-10T00:00:00"/>
        <d v="2019-09-09T00:00:00"/>
        <d v="2019-09-06T00:00:00"/>
        <d v="2019-09-04T00:00:00"/>
        <d v="2019-09-03T00:00:00"/>
        <d v="2019-09-01T00:00:00"/>
        <d v="2019-08-31T00:00:00"/>
        <d v="2019-08-30T00:00:00"/>
        <d v="2019-08-27T00:00:00"/>
        <d v="2019-08-23T00:00:00"/>
        <d v="2019-08-21T00:00:00"/>
        <d v="2019-08-16T00:00:00"/>
        <d v="2019-08-15T00:00:00"/>
        <d v="2019-08-14T00:00:00"/>
        <d v="2019-08-09T00:00:00"/>
        <d v="2019-08-07T00:00:00"/>
        <d v="2019-08-01T00:00:00"/>
        <d v="2019-07-31T00:00:00"/>
        <d v="2019-07-29T00:00:00"/>
        <d v="2019-07-26T00:00:00"/>
        <d v="2019-07-25T00:00:00"/>
        <d v="2019-07-24T00:00:00"/>
        <d v="2019-07-19T00:00:00"/>
        <d v="2019-07-16T00:00:00"/>
        <d v="2019-07-12T00:00:00"/>
        <d v="2019-07-11T00:00:00"/>
        <d v="2019-07-10T00:00:00"/>
        <d v="2019-07-02T00:00:00"/>
        <d v="2019-06-28T00:00:00"/>
        <d v="2019-06-26T00:00:00"/>
        <d v="2019-06-25T00:00:00"/>
        <d v="2019-06-19T00:00:00"/>
        <d v="2019-06-18T00:00:00"/>
        <d v="2019-06-17T00:00:00"/>
        <d v="2019-06-14T00:00:00"/>
        <d v="2019-06-13T00:00:00"/>
        <d v="2019-06-11T00:00:00"/>
        <d v="2019-06-07T00:00:00"/>
        <d v="2019-06-06T00:00:00"/>
        <d v="2019-06-05T00:00:00"/>
        <d v="2019-06-03T00:00:00"/>
        <d v="2019-05-31T00:00:00"/>
        <d v="2019-05-30T00:00:00"/>
        <d v="2019-05-29T00:00:00"/>
        <d v="2019-05-28T00:00:00"/>
        <d v="2019-05-23T00:00:00"/>
        <d v="2019-05-21T00:00:00"/>
        <d v="2019-05-14T00:00:00"/>
        <d v="2019-05-13T00:00:00"/>
        <d v="2019-05-09T00:00:00"/>
        <d v="2019-05-07T00:00:00"/>
        <d v="2019-05-01T00:00:00"/>
        <d v="2019-04-30T00:00:00"/>
        <d v="2019-04-26T00:00:00"/>
        <d v="2019-04-25T00:00:00"/>
        <d v="2019-04-24T00:00:00"/>
        <d v="2019-04-18T00:00:00"/>
        <d v="2019-04-15T00:00:00"/>
        <d v="2019-04-12T00:00:00"/>
        <d v="2019-04-10T00:00:00"/>
        <d v="2019-04-08T00:00:00"/>
        <d v="2019-04-04T00:00:00"/>
        <d v="2019-04-03T00:00:00"/>
        <d v="2019-03-29T00:00:00"/>
        <d v="2019-03-22T00:00:00"/>
        <d v="2019-03-19T00:00:00"/>
        <d v="2019-03-18T00:00:00"/>
        <d v="2019-03-15T00:00:00"/>
        <d v="2019-03-14T00:00:00"/>
        <d v="2019-03-08T00:00:00"/>
        <d v="2019-03-07T00:00:00"/>
        <d v="2019-03-05T00:00:00"/>
        <d v="2019-03-03T00:00:00"/>
        <d v="2019-03-01T00:00:00"/>
        <d v="2019-02-27T00:00:00"/>
        <d v="2019-02-25T00:00:00"/>
        <d v="2019-02-07T00:00:00"/>
        <d v="2019-02-05T00:00:00"/>
        <d v="2019-02-04T00:00:00"/>
        <d v="2019-02-01T00:00:00"/>
        <d v="2019-01-31T00:00:00"/>
        <d v="2019-01-30T00:00:00"/>
        <d v="2019-01-29T00:00:00"/>
        <d v="2019-01-28T00:00:00"/>
        <d v="2019-01-25T00:00:00"/>
        <d v="2019-01-14T00:00:00"/>
        <d v="2019-01-11T00:00:00"/>
        <d v="2019-01-10T00:00:00"/>
        <d v="2019-01-09T00:00:00"/>
        <d v="2019-01-08T00:00:00"/>
        <d v="2019-01-04T00:00:00"/>
        <d v="2019-01-03T00:00:00"/>
        <d v="2019-01-02T00:00:00"/>
        <d v="2018-12-31T00:00:00"/>
        <d v="2018-12-29T00:00:00"/>
        <d v="2018-12-27T00:00:00"/>
        <d v="2018-12-21T00:00:00"/>
        <d v="2018-12-20T00:00:00"/>
        <d v="2018-12-19T00:00:00"/>
        <d v="2018-12-14T00:00:00"/>
        <d v="2018-12-13T00:00:00"/>
        <d v="2018-12-12T00:00:00"/>
        <d v="2018-12-10T00:00:00"/>
        <d v="2018-12-07T00:00:00"/>
        <d v="2018-12-05T00:00:00"/>
        <d v="2018-12-04T00:00:00"/>
        <d v="2018-11-30T00:00:00"/>
        <d v="2018-11-29T00:00:00"/>
        <d v="2018-11-28T00:00:00"/>
        <d v="2018-11-26T00:00:00"/>
        <d v="2018-11-19T00:00:00"/>
        <d v="2018-11-17T00:00:00"/>
        <d v="2018-11-15T00:00:00"/>
        <d v="2018-11-13T00:00:00"/>
        <d v="2018-11-08T00:00:00"/>
        <d v="2018-11-06T00:00:00"/>
        <d v="2018-11-05T00:00:00"/>
        <d v="2018-11-02T00:00:00"/>
        <d v="2018-10-30T00:00:00"/>
        <d v="2018-10-27T00:00:00"/>
        <d v="2018-10-26T00:00:00"/>
        <d v="2018-10-24T00:00:00"/>
        <d v="2018-10-23T00:00:00"/>
        <d v="2018-10-22T00:00:00"/>
        <d v="2018-10-19T00:00:00"/>
        <d v="2018-10-18T00:00:00"/>
        <d v="2018-10-17T00:00:00"/>
        <d v="2018-10-15T00:00:00"/>
        <d v="2018-10-11T00:00:00"/>
        <d v="2018-10-10T00:00:00"/>
        <d v="2018-10-05T00:00:00"/>
        <d v="2018-10-04T00:00:00"/>
        <d v="2018-09-28T00:00:00"/>
        <d v="2018-09-27T00:00:00"/>
        <d v="2018-09-26T00:00:00"/>
        <d v="2018-09-25T00:00:00"/>
        <d v="2018-09-19T00:00:00"/>
        <d v="2018-09-15T00:00:00"/>
        <d v="2018-09-14T00:00:00"/>
        <d v="2018-09-06T00:00:00"/>
        <d v="2018-09-05T00:00:00"/>
        <d v="2018-08-31T00:00:00"/>
        <d v="2018-08-30T00:00:00"/>
        <d v="2018-08-29T00:00:00"/>
        <d v="2018-08-28T00:00:00"/>
        <d v="2018-08-22T00:00:00"/>
        <d v="2018-08-21T00:00:00"/>
        <d v="2018-08-20T00:00:00"/>
        <d v="2018-08-17T00:00:00"/>
        <d v="2018-08-14T00:00:00"/>
        <d v="2018-08-13T00:00:00"/>
        <d v="2018-08-10T00:00:00"/>
        <d v="2018-08-09T00:00:00"/>
        <d v="2018-08-06T00:00:00"/>
        <d v="2018-08-02T00:00:00"/>
        <d v="2018-08-01T00:00:00"/>
        <d v="2018-07-31T00:00:00"/>
        <d v="2018-07-30T00:00:00"/>
        <d v="2018-07-27T00:00:00"/>
        <d v="2018-07-26T00:00:00"/>
        <d v="2018-07-24T00:00:00"/>
        <d v="2018-07-20T00:00:00"/>
        <d v="2018-07-17T00:00:00"/>
        <d v="2018-07-11T00:00:00"/>
        <d v="2018-07-05T00:00:00"/>
        <d v="2018-06-29T00:00:00"/>
        <d v="2018-06-28T00:00:00"/>
        <d v="2018-06-26T00:00:00"/>
        <d v="2018-06-22T00:00:00"/>
        <d v="2018-06-20T00:00:00"/>
        <d v="2018-06-18T00:00:00"/>
        <d v="2018-06-15T00:00:00"/>
        <d v="2018-06-13T00:00:00"/>
        <d v="2018-06-12T00:00:00"/>
        <d v="2018-06-11T00:00:00"/>
        <d v="2018-06-08T00:00:00"/>
        <d v="2018-06-07T00:00:00"/>
        <d v="2018-06-05T00:00:00"/>
        <d v="2018-06-01T00:00:00"/>
        <d v="2018-05-31T00:00:00"/>
        <d v="2018-05-29T00:00:00"/>
        <d v="2018-05-22T00:00:00"/>
        <d v="2018-05-18T00:00:00"/>
        <d v="2018-05-17T00:00:00"/>
        <d v="2018-05-16T00:00:00"/>
        <d v="2018-05-11T00:00:00"/>
        <d v="2018-05-10T00:00:00"/>
        <d v="2018-05-09T00:00:00"/>
        <d v="2018-05-08T00:00:00"/>
        <d v="2018-05-07T00:00:00"/>
        <d v="2018-05-04T00:00:00"/>
        <d v="2018-05-02T00:00:00"/>
        <d v="2018-05-01T00:00:00"/>
        <d v="2018-04-30T00:00:00"/>
        <d v="2018-04-23T00:00:00"/>
        <d v="2018-04-12T00:00:00"/>
        <d v="2018-04-10T00:00:00"/>
        <d v="2018-04-04T00:00:00"/>
        <d v="2018-04-03T00:00:00"/>
        <d v="2018-04-02T00:00:00"/>
        <d v="2018-03-31T00:00:00"/>
        <d v="2018-03-30T00:00:00"/>
        <d v="2018-03-29T00:00:00"/>
        <d v="2018-03-27T00:00:00"/>
        <d v="2018-03-26T00:00:00"/>
        <d v="2018-03-23T00:00:00"/>
        <d v="2018-03-22T00:00:00"/>
        <d v="2018-03-20T00:00:00"/>
        <d v="2018-03-16T00:00:00"/>
        <d v="2018-03-14T00:00:00"/>
        <d v="2018-03-12T00:00:00"/>
        <d v="2018-03-08T00:00:00"/>
        <d v="2018-03-07T00:00:00"/>
        <d v="2018-03-03T00:00:00"/>
        <d v="2018-03-02T00:00:00"/>
        <d v="2018-02-28T00:00:00"/>
        <d v="2018-02-27T00:00:00"/>
        <d v="2018-02-26T00:00:00"/>
        <d v="2018-02-20T00:00:00"/>
        <d v="2018-02-17T00:00:00"/>
        <d v="2018-02-06T00:00:00"/>
        <d v="2018-02-05T00:00:00"/>
        <d v="2018-02-02T00:00:00"/>
        <d v="2018-02-01T00:00:00"/>
        <d v="2018-01-23T00:00:00"/>
        <d v="2018-01-19T00:00:00"/>
        <d v="2018-01-12T00:00:00"/>
        <d v="2018-01-09T00:00:00"/>
        <d v="2018-01-08T00:00:00"/>
        <d v="2018-01-06T00:00:00"/>
        <d v="2018-01-05T00:00:00"/>
        <d v="2018-01-04T00:00:00"/>
        <d v="2018-01-02T00:00:00"/>
        <d v="2017-12-30T00:00:00"/>
        <d v="2017-12-29T00:00:00"/>
        <d v="2017-12-28T00:00:00"/>
        <d v="2017-12-27T00:00:00"/>
        <d v="2017-12-22T00:00:00"/>
        <d v="2017-12-21T00:00:00"/>
        <d v="2017-12-20T00:00:00"/>
        <d v="2017-12-19T00:00:00"/>
        <d v="2017-12-18T00:00:00"/>
        <d v="2017-12-15T00:00:00"/>
        <d v="2017-12-14T00:00:00"/>
        <d v="2017-12-12T00:00:00"/>
        <d v="2017-12-11T00:00:00"/>
        <d v="2017-12-08T00:00:00"/>
        <d v="2017-12-05T00:00:00"/>
        <d v="2017-12-04T00:00:00"/>
        <d v="2017-12-01T00:00:00"/>
        <d v="2017-11-30T00:00:00"/>
        <d v="2017-11-28T00:00:00"/>
        <d v="2017-11-22T00:00:00"/>
        <d v="2017-11-21T00:00:00"/>
        <d v="2017-11-15T00:00:00"/>
        <d v="2017-11-10T00:00:00"/>
        <d v="2017-11-06T00:00:00"/>
        <d v="2017-11-01T00:00:00"/>
        <d v="2017-10-31T00:00:00"/>
        <d v="2017-10-30T00:00:00"/>
        <d v="2017-10-23T00:00:00"/>
        <d v="2017-10-20T00:00:00"/>
        <d v="2017-10-19T00:00:00"/>
        <d v="2017-10-18T00:00:00"/>
        <d v="2017-10-17T00:00:00"/>
        <d v="2017-10-09T00:00:00"/>
        <d v="2017-10-06T00:00:00"/>
        <d v="2017-10-05T00:00:00"/>
        <d v="2017-10-03T00:00:00"/>
        <d v="2017-10-02T00:00:00"/>
        <d v="2017-09-29T00:00:00"/>
        <d v="2017-09-28T00:00:00"/>
        <d v="2017-09-18T00:00:00"/>
        <d v="2017-09-06T00:00:00"/>
        <d v="2017-09-01T00:00:00"/>
        <d v="2017-08-31T00:00:00"/>
        <d v="2017-08-30T00:00:00"/>
        <d v="2017-08-28T00:00:00"/>
        <d v="2017-08-26T00:00:00"/>
        <d v="2017-08-24T00:00:00"/>
        <d v="2017-08-16T00:00:00"/>
        <d v="2017-08-14T00:00:00"/>
        <d v="2017-08-11T00:00:00"/>
        <d v="2017-08-10T00:00:00"/>
        <d v="2017-08-07T00:00:00"/>
        <d v="2017-08-03T00:00:00"/>
        <d v="2017-08-01T00:00:00"/>
        <d v="2017-07-28T00:00:00"/>
        <d v="2017-07-27T00:00:00"/>
        <d v="2017-07-20T00:00:00"/>
        <d v="2017-07-19T00:00:00"/>
        <d v="2017-07-17T00:00:00"/>
        <d v="2017-07-14T00:00:00"/>
        <d v="2017-07-07T00:00:00"/>
        <d v="2017-07-06T00:00:00"/>
        <d v="2017-07-05T00:00:00"/>
        <d v="2017-06-30T00:00:00"/>
        <d v="2017-06-29T00:00:00"/>
        <d v="2017-06-28T00:00:00"/>
        <d v="2017-06-23T00:00:00"/>
        <d v="2017-06-22T00:00:00"/>
        <d v="2017-06-16T00:00:00"/>
        <d v="2017-06-15T00:00:00"/>
        <d v="2017-06-14T00:00:00"/>
        <d v="2017-06-07T00:00:00"/>
        <d v="2017-05-31T00:00:00"/>
        <d v="2017-05-30T00:00:00"/>
        <d v="2017-05-23T00:00:00"/>
        <d v="2017-05-20T00:00:00"/>
        <d v="2017-05-17T00:00:00"/>
        <d v="2017-05-15T00:00:00"/>
        <d v="2017-05-11T00:00:00"/>
        <d v="2017-05-10T00:00:00"/>
        <d v="2017-05-09T00:00:00"/>
        <d v="2017-05-03T00:00:00"/>
        <d v="2017-05-01T00:00:00"/>
        <d v="2017-04-28T00:00:00"/>
        <d v="2017-04-26T00:00:00"/>
        <d v="2017-04-24T00:00:00"/>
        <d v="2017-04-21T00:00:00"/>
        <d v="2017-04-17T00:00:00"/>
        <d v="2017-04-13T00:00:00"/>
        <d v="2017-04-12T00:00:00"/>
        <d v="2017-04-11T00:00:00"/>
        <d v="2017-04-10T00:00:00"/>
        <d v="2017-04-07T00:00:00"/>
        <d v="2017-04-04T00:00:00"/>
        <d v="2017-03-29T00:00:00"/>
        <d v="2017-03-28T00:00:00"/>
        <d v="2017-03-21T00:00:00"/>
        <d v="2017-03-17T00:00:00"/>
        <d v="2017-03-09T00:00:00"/>
        <d v="2017-03-02T00:00:00"/>
        <d v="2017-02-28T00:00:00"/>
        <d v="2017-02-27T00:00:00"/>
        <d v="2017-02-14T00:00:00"/>
        <d v="2017-02-07T00:00:00"/>
        <d v="2017-02-02T00:00:00"/>
        <d v="2017-02-01T00:00:00"/>
        <d v="2017-01-31T00:00:00"/>
        <d v="2017-01-25T00:00:00"/>
        <d v="2017-01-24T00:00:00"/>
        <d v="2017-01-23T00:00:00"/>
        <d v="2017-01-19T00:00:00"/>
        <d v="2017-01-18T00:00:00"/>
        <d v="2017-01-17T00:00:00"/>
        <d v="2017-01-15T00:00:00"/>
        <d v="2017-01-13T00:00:00"/>
        <d v="2017-01-11T00:00:00"/>
        <d v="2016-12-30T00:00:00"/>
        <d v="2016-12-28T00:00:00"/>
        <d v="2016-12-21T00:00:00"/>
        <d v="2016-12-16T00:00:00"/>
        <d v="2016-12-08T00:00:00"/>
        <d v="2016-11-30T00:00:00"/>
        <d v="2016-11-21T00:00:00"/>
        <d v="2016-11-18T00:00:00"/>
        <d v="2016-11-17T00:00:00"/>
        <d v="2016-11-15T00:00:00"/>
        <d v="2016-11-14T00:00:00"/>
        <d v="2016-11-08T00:00:00"/>
        <d v="2016-11-03T00:00:00"/>
        <d v="2016-11-02T00:00:00"/>
        <d v="2016-11-01T00:00:00"/>
        <d v="2016-10-31T00:00:00"/>
        <d v="2016-10-30T00:00:00"/>
        <d v="2016-10-28T00:00:00"/>
        <d v="2016-10-27T00:00:00"/>
        <d v="2016-10-25T00:00:00"/>
        <d v="2016-10-24T00:00:00"/>
        <d v="2016-10-20T00:00:00"/>
        <d v="2016-10-19T00:00:00"/>
        <d v="2016-10-18T00:00:00"/>
        <d v="2016-10-16T00:00:00"/>
        <d v="2016-10-11T00:00:00"/>
        <d v="2016-10-07T00:00:00"/>
        <d v="2016-10-06T00:00:00"/>
        <d v="2016-10-04T00:00:00"/>
        <d v="2016-10-03T00:00:00"/>
        <d v="2016-10-02T00:00:00"/>
        <d v="2016-09-29T00:00:00"/>
        <d v="2016-09-27T00:00:00"/>
        <d v="2016-09-26T00:00:00"/>
        <d v="2016-09-23T00:00:00"/>
        <d v="2016-09-21T00:00:00"/>
        <d v="2016-09-13T00:00:00"/>
        <d v="2016-09-01T00:00:00"/>
        <d v="2016-08-31T00:00:00"/>
        <d v="2016-08-30T00:00:00"/>
        <d v="2016-08-26T00:00:00"/>
        <d v="2016-08-19T00:00:00"/>
        <d v="2016-08-15T00:00:00"/>
        <d v="2016-08-12T00:00:00"/>
        <d v="2016-08-10T00:00:00"/>
        <d v="2016-08-09T00:00:00"/>
        <d v="2016-07-29T00:00:00"/>
        <d v="2016-07-28T00:00:00"/>
        <d v="2016-07-22T00:00:00"/>
        <d v="2016-07-21T00:00:00"/>
        <d v="2016-07-20T00:00:00"/>
        <d v="2016-07-06T00:00:00"/>
        <d v="2016-06-29T00:00:00"/>
        <d v="2016-06-24T00:00:00"/>
        <d v="2016-06-21T00:00:00"/>
        <d v="2016-06-17T00:00:00"/>
        <d v="2016-06-08T00:00:00"/>
        <d v="2016-06-07T00:00:00"/>
        <d v="2016-06-06T00:00:00"/>
        <d v="2016-06-01T00:00:00"/>
        <d v="2016-05-31T00:00:00"/>
        <d v="2016-05-25T00:00:00"/>
        <d v="2016-05-20T00:00:00"/>
        <d v="2016-05-12T00:00:00"/>
        <d v="2016-05-11T00:00:00"/>
        <d v="2016-05-09T00:00:00"/>
        <d v="2016-05-06T00:00:00"/>
        <d v="2016-05-02T00:00:00"/>
        <d v="2016-04-29T00:00:00"/>
        <d v="2016-04-28T00:00:00"/>
        <d v="2016-04-22T00:00:00"/>
        <d v="2016-04-16T00:00:00"/>
        <d v="2016-04-13T00:00:00"/>
        <d v="2016-04-11T00:00:00"/>
        <d v="2016-04-07T00:00:00"/>
        <d v="2016-04-01T00:00:00"/>
        <d v="2016-03-25T00:00:00"/>
        <d v="2016-03-18T00:00:00"/>
        <d v="2016-03-17T00:00:00"/>
        <d v="2016-03-15T00:00:00"/>
        <d v="2016-03-11T00:00:00"/>
        <d v="2016-03-10T00:00:00"/>
        <d v="2016-03-09T00:00:00"/>
        <d v="2016-03-03T00:00:00"/>
        <d v="2016-03-01T00:00:00"/>
        <d v="2016-02-25T00:00:00"/>
        <d v="2016-02-23T00:00:00"/>
        <d v="2016-02-22T00:00:00"/>
        <d v="2016-02-19T00:00:00"/>
        <d v="2016-02-16T00:00:00"/>
        <d v="2016-02-03T00:00:00"/>
        <d v="2016-01-28T00:00:00"/>
        <d v="2016-01-21T00:00:00"/>
        <d v="2016-01-20T00:00:00"/>
        <d v="2016-01-19T00:00:00"/>
        <d v="2016-01-14T00:00:00"/>
        <d v="2016-01-08T00:00:00"/>
        <d v="2016-01-06T00:00:00"/>
        <d v="2016-01-04T00:00:00"/>
        <d v="2016-01-01T00:00:00"/>
        <d v="2015-12-31T00:00:00"/>
        <d v="2015-12-30T00:00:00"/>
        <d v="2015-12-22T00:00:00"/>
        <d v="2015-12-21T00:00:00"/>
        <d v="2015-12-18T00:00:00"/>
        <d v="2015-12-17T00:00:00"/>
        <d v="2015-12-15T00:00:00"/>
        <d v="2015-12-09T00:00:00"/>
        <d v="2015-12-04T00:00:00"/>
        <d v="2015-12-03T00:00:00"/>
        <d v="2015-12-01T00:00:00"/>
        <d v="2015-11-23T00:00:00"/>
        <d v="2015-11-19T00:00:00"/>
        <d v="2015-11-06T00:00:00"/>
        <d v="2015-11-01T00:00:00"/>
        <d v="2015-10-23T00:00:00"/>
        <d v="2015-10-14T00:00:00"/>
        <d v="2015-10-13T00:00:00"/>
        <d v="2015-10-09T00:00:00"/>
        <d v="2015-10-06T00:00:00"/>
        <d v="2015-10-02T00:00:00"/>
        <d v="2015-10-01T00:00:00"/>
        <d v="2015-09-28T00:00:00"/>
        <d v="2015-09-17T00:00:00"/>
        <d v="2015-09-15T00:00:00"/>
        <d v="2015-09-11T00:00:00"/>
        <d v="2015-09-01T00:00:00"/>
        <d v="2015-08-28T00:00:00"/>
        <d v="2015-08-27T00:00:00"/>
        <d v="2015-08-24T00:00:00"/>
        <d v="2015-08-21T00:00:00"/>
        <d v="2015-08-20T00:00:00"/>
        <d v="2015-08-18T00:00:00"/>
        <d v="2015-08-17T00:00:00"/>
        <d v="2015-08-12T00:00:00"/>
        <d v="2015-08-01T00:00:00"/>
        <d v="2015-07-21T00:00:00"/>
        <d v="2015-07-17T00:00:00"/>
        <d v="2015-07-15T00:00:00"/>
        <d v="2015-07-10T00:00:00"/>
        <d v="2015-07-09T00:00:00"/>
        <d v="2015-07-08T00:00:00"/>
        <d v="2015-07-07T00:00:00"/>
        <d v="2015-07-01T00:00:00"/>
        <d v="2015-06-09T00:00:00"/>
        <d v="2015-06-05T00:00:00"/>
        <d v="2015-06-04T00:00:00"/>
        <d v="2015-06-02T00:00:00"/>
        <d v="2015-06-01T00:00:00"/>
        <d v="2015-05-18T00:00:00"/>
        <d v="2015-05-13T00:00:00"/>
        <d v="2015-05-11T00:00:00"/>
        <d v="2015-05-04T00:00:00"/>
        <d v="2015-05-01T00:00:00"/>
        <d v="2015-04-29T00:00:00"/>
        <d v="2015-04-28T00:00:00"/>
        <d v="2015-04-27T00:00:00"/>
        <d v="2015-04-23T00:00:00"/>
        <d v="2015-04-22T00:00:00"/>
        <d v="2015-04-20T00:00:00"/>
        <d v="2015-04-16T00:00:00"/>
        <d v="2015-04-15T00:00:00"/>
        <d v="2015-04-13T00:00:00"/>
        <d v="2015-04-06T00:00:00"/>
        <d v="2015-04-01T00:00:00"/>
        <d v="2015-03-31T00:00:00"/>
        <d v="2015-03-23T00:00:00"/>
        <d v="2015-03-13T00:00:00"/>
        <d v="2015-03-12T00:00:00"/>
        <d v="2015-03-10T00:00:00"/>
        <d v="2015-03-09T00:00:00"/>
        <d v="2015-03-02T00:00:00"/>
        <d v="2015-02-04T00:00:00"/>
        <d v="2015-01-29T00:00:00"/>
        <d v="2015-01-22T00:00:00"/>
        <d v="2015-01-21T00:00:00"/>
        <d v="2015-01-16T00:00:00"/>
        <d v="2015-01-15T00:00:00"/>
        <d v="2015-01-13T00:00:00"/>
        <d v="2015-01-08T00:00:00"/>
        <d v="2015-01-07T00:00:00"/>
        <d v="2015-01-06T00:00:00"/>
        <d v="2015-01-05T00:00:00"/>
        <d v="2015-01-01T00:00:00"/>
        <d v="2014-12-30T00:00:00"/>
        <d v="2014-12-24T00:00:00"/>
        <d v="2014-12-23T00:00:00"/>
        <d v="2014-12-22T00:00:00"/>
        <d v="2014-12-20T00:00:00"/>
        <d v="2014-12-19T00:00:00"/>
        <d v="2014-12-15T00:00:00"/>
        <d v="2014-12-04T00:00:00"/>
        <d v="2014-12-03T00:00:00"/>
        <d v="2014-12-01T00:00:00"/>
        <d v="2014-11-25T00:00:00"/>
        <d v="2014-11-19T00:00:00"/>
        <d v="2014-11-10T00:00:00"/>
        <d v="2014-11-07T00:00:00"/>
        <d v="2014-11-04T00:00:00"/>
        <d v="2014-11-03T00:00:00"/>
        <d v="2014-10-29T00:00:00"/>
        <d v="2014-10-28T00:00:00"/>
        <d v="2014-10-22T00:00:00"/>
        <d v="2014-10-21T00:00:00"/>
        <d v="2014-10-15T00:00:00"/>
        <d v="2014-10-13T00:00:00"/>
        <d v="2014-10-08T00:00:00"/>
        <d v="2014-09-30T00:00:00"/>
        <d v="2014-09-16T00:00:00"/>
        <d v="2014-09-10T00:00:00"/>
        <d v="2014-09-09T00:00:00"/>
        <d v="2014-09-08T00:00:00"/>
        <d v="2014-09-03T00:00:00"/>
        <d v="2014-08-25T00:00:00"/>
        <d v="2014-08-22T00:00:00"/>
        <d v="2014-08-21T00:00:00"/>
        <d v="2014-08-19T00:00:00"/>
        <d v="2014-08-18T00:00:00"/>
        <d v="2014-08-07T00:00:00"/>
        <d v="2014-08-05T00:00:00"/>
        <d v="2014-07-31T00:00:00"/>
        <d v="2014-07-25T00:00:00"/>
        <d v="2014-07-24T00:00:00"/>
        <d v="2014-07-21T00:00:00"/>
        <d v="2014-07-17T00:00:00"/>
        <d v="2014-07-11T00:00:00"/>
        <d v="2014-07-10T00:00:00"/>
        <d v="2014-07-07T00:00:00"/>
        <d v="2014-07-03T00:00:00"/>
        <d v="2014-06-30T00:00:00"/>
        <d v="2014-06-20T00:00:00"/>
        <d v="2014-06-17T00:00:00"/>
        <d v="2014-06-13T00:00:00"/>
        <d v="2014-06-09T00:00:00"/>
        <d v="2014-06-06T00:00:00"/>
        <d v="2014-06-05T00:00:00"/>
        <d v="2014-05-23T00:00:00"/>
        <d v="2014-05-19T00:00:00"/>
        <d v="2014-05-15T00:00:00"/>
        <d v="2014-05-12T00:00:00"/>
        <d v="2014-05-09T00:00:00"/>
        <d v="2014-05-08T00:00:00"/>
        <d v="2014-05-07T00:00:00"/>
        <d v="2014-05-01T00:00:00"/>
        <d v="2014-04-30T00:00:00"/>
        <d v="2014-04-25T00:00:00"/>
        <d v="2014-04-08T00:00:00"/>
        <d v="2014-04-07T00:00:00"/>
        <d v="2014-04-01T00:00:00"/>
        <d v="2014-03-31T00:00:00"/>
        <d v="2014-03-25T00:00:00"/>
        <d v="2014-03-13T00:00:00"/>
        <d v="2014-03-06T00:00:00"/>
        <d v="2014-02-28T00:00:00"/>
        <d v="2014-02-27T00:00:00"/>
        <d v="2014-02-26T00:00:00"/>
        <d v="2014-02-14T00:00:00"/>
        <d v="2014-02-07T00:00:00"/>
        <d v="2014-01-14T00:00:00"/>
        <d v="2014-01-10T00:00:00"/>
        <d v="2014-01-07T00:00:00"/>
        <d v="2013-12-31T00:00:00"/>
        <d v="2013-12-23T00:00:00"/>
        <d v="2013-12-20T00:00:00"/>
        <d v="2013-12-19T00:00:00"/>
        <d v="2013-12-04T00:00:00"/>
        <d v="2013-12-03T00:00:00"/>
        <d v="2013-12-01T00:00:00"/>
        <d v="2013-11-25T00:00:00"/>
        <d v="2013-11-22T00:00:00"/>
        <d v="2013-11-19T00:00:00"/>
        <d v="2013-11-16T00:00:00"/>
        <d v="2013-11-15T00:00:00"/>
        <d v="2013-11-13T00:00:00"/>
        <d v="2013-11-12T00:00:00"/>
        <d v="2013-10-31T00:00:00"/>
        <d v="2013-10-15T00:00:00"/>
        <d v="2013-10-07T00:00:00"/>
        <d v="2013-09-30T00:00:00"/>
        <d v="2013-09-27T00:00:00"/>
        <d v="2013-09-12T00:00:00"/>
        <d v="2013-08-30T00:00:00"/>
        <d v="2013-08-16T00:00:00"/>
        <d v="2013-08-09T00:00:00"/>
        <d v="2013-07-25T00:00:00"/>
        <d v="2013-07-22T00:00:00"/>
        <d v="2013-07-08T00:00:00"/>
        <d v="2013-07-06T00:00:00"/>
        <d v="2013-07-03T00:00:00"/>
        <d v="2013-06-13T00:00:00"/>
        <d v="2013-06-11T00:00:00"/>
        <d v="2013-06-10T00:00:00"/>
        <d v="2013-06-05T00:00:00"/>
        <d v="2013-06-01T00:00:00"/>
        <d v="2013-05-28T00:00:00"/>
        <d v="2013-05-17T00:00:00"/>
        <d v="2013-05-16T00:00:00"/>
        <d v="2013-05-13T00:00:00"/>
        <d v="2013-05-10T00:00:00"/>
        <d v="2013-05-01T00:00:00"/>
        <d v="2013-04-30T00:00:00"/>
        <d v="2013-04-10T00:00:00"/>
        <d v="2013-04-01T00:00:00"/>
        <d v="2013-03-27T00:00:00"/>
        <d v="2013-03-22T00:00:00"/>
        <d v="2013-03-15T00:00:00"/>
        <d v="2013-03-01T00:00:00"/>
        <d v="2013-02-28T00:00:00"/>
        <d v="2013-02-27T00:00:00"/>
        <d v="2013-02-21T00:00:00"/>
        <d v="2013-01-30T00:00:00"/>
        <d v="2013-01-22T00:00:00"/>
        <d v="2013-01-03T00:00:00"/>
        <d v="2013-01-01T00:00:00"/>
        <d v="2012-12-25T00:00:00"/>
        <d v="2012-12-21T00:00:00"/>
        <d v="2012-12-01T00:00:00"/>
        <d v="2012-11-30T00:00:00"/>
        <d v="2012-11-20T00:00:00"/>
        <d v="2012-11-01T00:00:00"/>
        <d v="2012-10-29T00:00:00"/>
        <d v="2012-10-25T00:00:00"/>
        <d v="2012-10-15T00:00:00"/>
        <d v="2012-10-12T00:00:00"/>
        <d v="2012-09-25T00:00:00"/>
        <d v="2012-09-17T00:00:00"/>
        <d v="2012-09-06T00:00:00"/>
        <d v="2012-08-30T00:00:00"/>
        <d v="2012-08-14T00:00:00"/>
        <d v="2012-08-09T00:00:00"/>
        <d v="2012-08-02T00:00:00"/>
        <d v="2012-07-18T00:00:00"/>
        <d v="2012-07-13T00:00:00"/>
        <d v="2012-07-11T00:00:00"/>
        <d v="2012-06-19T00:00:00"/>
        <d v="2012-06-18T00:00:00"/>
        <d v="2012-05-30T00:00:00"/>
        <d v="2012-05-17T00:00:00"/>
        <d v="2012-05-11T00:00:00"/>
        <d v="2012-05-01T00:00:00"/>
        <d v="2012-04-20T00:00:00"/>
        <d v="2012-04-10T00:00:00"/>
        <d v="2012-04-01T00:00:00"/>
        <d v="2012-03-15T00:00:00"/>
        <d v="2012-03-09T00:00:00"/>
        <d v="2012-03-01T00:00:00"/>
        <d v="2012-02-29T00:00:00"/>
        <d v="2012-02-16T00:00:00"/>
        <d v="2012-02-01T00:00:00"/>
        <d v="2012-01-31T00:00:00"/>
        <d v="2012-01-01T00:00:00"/>
        <d v="2011-12-22T00:00:00"/>
        <d v="2011-12-21T00:00:00"/>
        <d v="2011-12-15T00:00:00"/>
        <d v="2011-12-01T00:00:00"/>
        <d v="2011-11-21T00:00:00"/>
        <d v="2011-11-15T00:00:00"/>
        <d v="2011-11-01T00:00:00"/>
        <d v="2011-10-31T00:00:00"/>
        <d v="2011-10-19T00:00:00"/>
        <d v="2011-10-01T00:00:00"/>
        <d v="2011-09-29T00:00:00"/>
        <d v="2011-09-23T00:00:00"/>
        <d v="2011-09-16T00:00:00"/>
        <d v="2011-08-30T00:00:00"/>
        <d v="2011-08-26T00:00:00"/>
        <d v="2011-08-19T00:00:00"/>
        <d v="2011-08-01T00:00:00"/>
        <d v="2011-07-29T00:00:00"/>
        <d v="2011-07-01T00:00:00"/>
        <d v="2011-06-30T00:00:00"/>
        <d v="2011-06-25T00:00:00"/>
        <d v="2011-06-16T00:00:00"/>
        <d v="2011-06-15T00:00:00"/>
        <d v="2011-06-01T00:00:00"/>
        <d v="2011-05-06T00:00:00"/>
        <d v="2011-05-01T00:00:00"/>
        <d v="2011-04-01T00:00:00"/>
        <d v="2011-03-31T00:00:00"/>
        <d v="2011-02-28T00:00:00"/>
        <d v="2011-02-07T00:00:00"/>
        <d v="2011-01-01T00:00:00"/>
        <d v="2010-12-14T00:00:00"/>
        <d v="2010-12-01T00:00:00"/>
        <d v="2010-10-20T00:00:00"/>
        <d v="2010-10-14T00:00:00"/>
        <d v="2010-08-24T00:00:00"/>
        <d v="2010-08-11T00:00:00"/>
        <d v="2010-07-23T00:00:00"/>
        <d v="2010-07-16T00:00:00"/>
        <d v="2010-07-13T00:00:00"/>
        <d v="2010-07-09T00:00:00"/>
        <d v="2010-07-07T00:00:00"/>
        <d v="2010-06-16T00:00:00"/>
        <d v="2010-05-20T00:00:00"/>
        <d v="2010-04-23T00:00:00"/>
        <d v="2010-04-01T00:00:00"/>
        <d v="2010-03-31T00:00:00"/>
        <d v="2010-03-23T00:00:00"/>
        <d v="2010-03-08T00:00:00"/>
        <d v="2010-03-01T00:00:00"/>
        <d v="2010-02-01T00:00:00"/>
        <d v="2010-01-29T00:00:00"/>
        <d v="2010-01-19T00:00:00"/>
        <d v="2009-11-01T00:00:00"/>
        <d v="2009-10-01T00:00:00"/>
        <d v="2009-08-20T00:00:00"/>
        <d v="2009-07-31T00:00:00"/>
        <d v="2009-06-12T00:00:00"/>
        <d v="2009-05-29T00:00:00"/>
        <d v="2009-05-11T00:00:00"/>
        <d v="2009-05-06T00:00:00"/>
        <d v="2009-05-01T00:00:00"/>
        <d v="2009-03-23T00:00:00"/>
        <d v="2008-12-01T00:00:00"/>
        <d v="2008-10-24T00:00:00"/>
        <d v="2008-10-22T00:00:00"/>
        <d v="2008-10-06T00:00:00"/>
        <d v="2008-10-02T00:00:00"/>
        <d v="2008-09-05T00:00:00"/>
        <d v="2008-08-20T00:00:00"/>
        <d v="2008-08-13T00:00:00"/>
        <d v="2008-07-16T00:00:00"/>
        <d v="2008-06-28T00:00:00"/>
        <d v="2008-06-26T00:00:00"/>
        <d v="2008-06-23T00:00:00"/>
        <d v="2008-04-18T00:00:00"/>
        <d v="2008-04-09T00:00:00"/>
        <d v="2008-02-29T00:00:00"/>
        <d v="2008-02-26T00:00:00"/>
        <d v="2008-02-21T00:00:00"/>
        <d v="2008-01-25T00:00:00"/>
        <d v="2008-01-24T00:00:00"/>
        <d v="2008-01-16T00:00:00"/>
        <d v="2007-12-20T00:00:00"/>
        <d v="2007-12-13T00:00:00"/>
        <d v="2007-12-05T00:00:00"/>
        <d v="2007-11-09T00:00:00"/>
        <d v="2007-11-08T00:00:00"/>
        <d v="2007-10-26T00:00:00"/>
        <d v="2007-09-14T00:00:00"/>
        <d v="2007-09-05T00:00:00"/>
        <d v="2007-07-01T00:00:00"/>
        <d v="2007-06-29T00:00:00"/>
        <d v="2007-05-07T00:00:00"/>
        <d v="2007-05-01T00:00:00"/>
        <d v="2007-04-19T00:00:00"/>
        <d v="2007-03-15T00:00:00"/>
        <d v="2007-03-13T00:00:00"/>
        <d v="2007-03-12T00:00:00"/>
        <d v="2007-02-27T00:00:00"/>
        <d v="2007-01-26T00:00:00"/>
        <d v="2007-01-25T00:00:00"/>
        <d v="2007-01-16T00:00:00"/>
        <d v="2006-08-03T00:00:00"/>
        <d v="2006-07-31T00:00:00"/>
        <d v="2006-07-26T00:00:00"/>
        <d v="2006-06-13T00:00:00"/>
        <d v="2006-05-30T00:00:00"/>
        <d v="2006-03-31T00:00:00"/>
        <d v="2006-03-28T00:00:00"/>
        <d v="2006-02-28T00:00:00"/>
        <d v="2005-12-01T00:00:00"/>
        <d v="2005-02-23T00:00:00"/>
        <d v="2004-10-18T00:00:00"/>
        <d v="2004-08-25T00:00:00"/>
        <d v="2004-07-31T00:00:00"/>
        <d v="2004-03-09T00:00:00"/>
        <d v="2004-01-01T00:00:00"/>
        <d v="2002-01-14T00:00:00"/>
        <d v="1997-10-23T00:00:00"/>
        <m/>
        <d v="2023-03-10T00:00:00" u="1"/>
        <d v="2017-11-20T00:00:00" u="1"/>
        <d v="2017-11-27T00:00:00" u="1"/>
        <d v="2019-03-02T00:00:00" u="1"/>
        <d v="2014-12-31T00:00:00" u="1"/>
        <d v="2015-02-14T00:00:00" u="1"/>
        <d v="2018-01-26T00:00:00" u="1"/>
        <d v="2015-01-30T00:00:00" u="1"/>
        <d v="2018-05-14T00:00:00" u="1"/>
        <d v="2011-03-26T00:00:00" u="1"/>
        <d v="2011-11-02T00:00:00" u="1"/>
        <d v="2020-07-22T00:00:00" u="1"/>
        <d v="2017-10-10T00:00:00" u="1"/>
        <d v="2020-08-30T00:00:00" u="1"/>
        <d v="2018-12-18T00:00:00" u="1"/>
        <d v="2021-01-03T00:00:00" u="1"/>
        <d v="2021-02-01T00:00:00" u="1"/>
        <d v="2014-11-30T00:00:00" u="1"/>
        <d v="2015-02-03T00:00:00" u="1"/>
        <d v="2018-02-13T00:00:00" u="1"/>
        <d v="2014-04-11T00:00:00" u="1"/>
        <d v="2018-03-21T00:00:00" u="1"/>
        <d v="2017-06-13T00:00:00" u="1"/>
        <d v="2014-06-15T00:00:00" u="1"/>
        <d v="2018-12-01T00:00:00" u="1"/>
        <d v="2019-07-23T00:00:00" u="1"/>
        <d v="2019-12-03T00:00:00" u="1"/>
        <d v="2019-09-17T00:00:00" u="1"/>
        <d v="2017-08-23T00:00:00" u="1"/>
        <d v="2018-12-09T00:00:00" u="1"/>
        <d v="1900-01-15T14:09:36" u="1"/>
        <d v="2015-10-19T00:00:00" u="1"/>
        <d v="2011-10-21T00:00:00" u="1"/>
        <d v="2017-12-13T00:00:00" u="1"/>
      </sharedItems>
    </cacheField>
    <cacheField name="SELLER" uniqueList="1" numFmtId="0" sqlType="0" hierarchy="0" level="0" databaseField="1">
      <sharedItems count="1476" containsBlank="1">
        <s v="American Realty Capital"/>
        <s v="JR Burkes, Inc."/>
        <s v="Charles Pruitt"/>
        <s v="YB Development"/>
        <s v="Joe Mae Street Foundation"/>
        <s v="Market Street Development"/>
        <s v="Vista Investments LLC"/>
        <s v="Erlene Smith"/>
        <s v="Shelton Renal Care, LLC"/>
        <s v="HW Holdings, LLC"/>
        <s v="Frisone Management Co."/>
        <s v="Dean Carlton"/>
        <s v="DaVita Healthcare Partners"/>
        <m/>
        <s v="TNA ww-carthage Complexes, LLC"/>
        <s v="Peakstone Realty Trust"/>
        <s v="Ruben Laurel"/>
        <s v="Asante Health Systems"/>
        <s v="Sonora Dialysis, LLC"/>
        <s v="Karen Moculeski"/>
        <s v="Colonial Associates of NC LLC"/>
        <s v="Chijan Enterprises LLC"/>
        <s v="DRK FUND 1 LLC"/>
        <s v="Betty Henson"/>
        <s v="Ventures Real Estate, LLC"/>
        <s v="Dominic Cortese Family Partnership"/>
        <s v="James Heck"/>
        <s v="Scott Ketterer &amp; Frank Taubenkraut"/>
        <s v="J Goots, Inc."/>
        <s v="ICC I FRE 5 Pack LLC"/>
        <s v="W-e Realty Llc"/>
        <s v="PPW Enterprises, LLC"/>
        <s v="Founders Properties"/>
        <s v="Howard Weintraub 1990 Trust"/>
        <s v="CGM Capital Holdings, LLC"/>
        <s v="Choice One"/>
        <s v="Choice One Development"/>
        <s v="Caleb RE Holdings, LLC"/>
        <s v="Aaron Shoaf"/>
        <s v="Frank Cemo"/>
        <s v="Dialysis Clinc Inc."/>
        <s v="CommPros"/>
        <s v="TCP Properties"/>
        <s v="Fox Meadows GP"/>
        <s v="Siobhan Caswell"/>
        <s v="PacWest Management"/>
        <s v="Rood Investments"/>
        <s v="James Benson"/>
        <s v="Glenn Laiken"/>
        <s v="Ecker Construction"/>
        <s v="Ruth Mcnamara Revocable Trust"/>
        <s v="Laurel Ridge Ventures IV LLC"/>
        <s v="Donhal Properties"/>
        <s v="Tomlinson Properties, LLC"/>
        <s v="Antonio Dinardo"/>
        <s v="AEI Captial Corp"/>
        <s v="John Coscarat Rovocable Trust"/>
        <s v="Zacarah Realty"/>
        <s v="Rolla Real Estate Ents, LLC"/>
        <s v="JBL Asset Manamgement"/>
        <s v="Thunder Mountain Campground"/>
        <s v="Gregory Stagnone"/>
        <s v="Renal Development, LLC"/>
        <s v="Capital Square 1031"/>
        <s v="Net Lease Alliance"/>
        <s v="Bond Oman"/>
        <s v="DaVita"/>
        <s v="Alan Zeiss"/>
        <s v="Mercy South II, LLC"/>
        <s v="Hill Gray Seven, LLC"/>
        <s v="Lillian Woo"/>
        <s v="Silver Star Properties"/>
        <s v="Palestra Real Estate"/>
        <s v="Elliott Bay Capital"/>
        <s v="8 1 Company"/>
        <s v="Park Hill Group "/>
        <s v="Elliott Bay"/>
        <s v="West Hamilton Venture, LLC"/>
        <s v="Cheran Investments, LLC"/>
        <s v="Dr. Adam Morgan"/>
        <s v="JRA Associates, LLC"/>
        <s v="Adel Korkor"/>
        <s v="Gregory Smith"/>
        <s v="Palestra"/>
        <s v="James Martin"/>
        <s v="Sundance Capital Partners"/>
        <s v="RSM Properties, LLC"/>
        <s v="Sonoma Oaks LP"/>
        <s v="The Peninsula Group, LLC"/>
        <s v="Dr Mufid Othman"/>
        <s v="Menlo Capital Group"/>
        <s v="SR 70 Properties"/>
        <s v="Noor Khan"/>
        <s v="Riverton Spring Creek Investments, LLC"/>
        <s v="Herman Nieces Trust"/>
        <s v="Dale Byrd"/>
        <s v="Granger Group"/>
        <s v="Adeel Khan"/>
        <s v="Venkata Parsa"/>
        <s v="Mattox Purvis"/>
        <s v="Coaction Companies"/>
        <s v="PMF Trailers, Inc."/>
        <s v="Sandeep Shah"/>
        <s v="American Healthcare Investors"/>
        <s v="Ventas Inc"/>
        <s v="Brad Franklin"/>
        <s v="RAGA"/>
        <s v="Healthcare Assocs Of Pennsylvania LLC"/>
        <s v="Lewis Lane, LLC"/>
        <s v="Paragon Health, P.C"/>
        <s v="Madison Realty Management"/>
        <s v="Dialysis Clinic Inc"/>
        <s v="Jamison Services, Inc."/>
        <s v="Beeson Hill Properties, LLC"/>
        <s v="First Development Group"/>
        <s v="Neal David Lubetsky"/>
        <s v="Luke Family of Brands"/>
        <s v="Ventas, Inc."/>
        <s v="Truist Securities, Inc (SunTrust / BB&amp;T)"/>
        <s v="Argonne Capital Group"/>
        <s v="Raas Realty, LLC"/>
        <s v="Liberty Mill Plaza, LLC"/>
        <s v="Kidney Center Properties LLC"/>
        <s v="International Capital Inc."/>
        <s v="27th Street North, LLC"/>
        <s v="Linda Hess"/>
        <s v="Brad &amp; Suzanne Bard"/>
        <s v="Pennone Financial"/>
        <s v="Oak Street Capital"/>
        <s v="Mona Strong"/>
        <s v="Mount Corporation | Kaplan Properties"/>
        <s v="Chad Middendorf"/>
        <s v="Phoenix Realty Management"/>
        <s v="BHWS Enterprises"/>
        <s v="Stough Investments, LLC"/>
        <s v="Steve Shelton"/>
        <s v="Terry Mammen"/>
        <s v="Johnson Professional Building"/>
        <s v="Shuford Development"/>
        <s v="RHGC Investments, LLC"/>
        <s v="W&amp;L Associates"/>
        <s v="Remedy Medical Properties"/>
        <s v="Dominga Hernandez"/>
        <s v="Teri Harper"/>
        <s v="Charles Lomangino"/>
        <s v="Healthcare Realty Trust"/>
        <s v="AMA Investments of Florida, LLC"/>
        <s v="William McKenzie"/>
        <s v="GP Real Estate Holding, LLC"/>
        <s v="A&amp;D Holding Company"/>
        <s v="Glenneth Smith"/>
        <s v="Lohn Owens"/>
        <s v="Dr. Emad Ahmed"/>
        <s v="Marz Investments, LLC"/>
        <s v="David Alderman"/>
        <s v="Othman Family Investments, LP"/>
        <s v="Ken Grogan"/>
        <s v="Seakay Construction"/>
        <s v="Moody Rambin"/>
        <s v="Linden Tree Capital, LLC"/>
        <s v="Ted Sitzlar"/>
        <s v="ABG Holdings"/>
        <s v="Dr. Edward Fiedland"/>
        <s v="Ridgeline Capital"/>
        <s v="John Reed"/>
        <s v="Ascension Property"/>
        <s v="John Hwanq"/>
        <s v="Palestra Properties"/>
        <s v="9N Medical Building"/>
        <s v="North Carolina Nephrology"/>
        <s v="Eric Young"/>
        <s v="Hernandez Dominga"/>
        <s v="Sundance Capital"/>
        <s v="PCD Bristow Real Estate, LLC"/>
        <s v="Stenstrom Companies"/>
        <s v="Peloton Medical Properties"/>
        <s v="Richard Fontana"/>
        <s v="Stablewood Properties"/>
        <s v="PCD Jacksonville Real Estate LLC"/>
        <s v="Dan Hennessy"/>
        <s v="Platform Ventures"/>
        <s v="Eric Kung"/>
        <s v="David Oddo"/>
        <s v="Altera Development Company"/>
        <s v="The Niki Group"/>
        <s v="Marilynn Rabie"/>
        <s v="Franklin Wade"/>
        <s v="RCG Ventures"/>
        <s v="Bruce Schreiber"/>
        <s v="Michael Choo"/>
        <s v="DE Young Investment Partners"/>
        <s v="MOB SR56, LLC"/>
        <s v="PCI | HealthDev"/>
        <s v="Larry Wilson"/>
        <s v="White Oak Healthcare"/>
        <s v="Taheer Rasheed"/>
        <s v="Fox Street Holdings"/>
        <s v="Toot Inc"/>
        <s v="3 SP Investments"/>
        <s v="SWD Property Development"/>
        <s v="Summit Land Development"/>
        <s v="Kimco Realty"/>
        <s v="Aresh Family Trust"/>
        <s v="Greg Vandenberg"/>
        <s v="Turbo Investments International"/>
        <s v="Genesis Investment Properties"/>
        <s v="Kaplan Properties"/>
        <s v="Alliance Consolidated Group of Companies"/>
        <s v="Physicians Choice Dialysis"/>
        <s v="The Horowitz Group"/>
        <s v="James Mitchell"/>
        <s v="Benjamin Ferguson"/>
        <s v="Net3 Real Estate"/>
        <s v="David Cunningham"/>
        <s v="Rohit Pankhaniya"/>
        <s v="Cypress West Realty"/>
        <s v="Dayan Gandhi"/>
        <s v="RAI Ventures LLC"/>
        <s v="Rajendra Baliga"/>
        <s v="Castagnolo Properties, Inc"/>
        <s v="Nicholas Taylor"/>
        <s v="JRS Properties, LLC"/>
        <s v="Ficus Tree Partners"/>
        <s v="Newport Capital Partners"/>
        <s v="Orion Real Estate Group"/>
        <s v="Manases Ltd. "/>
        <s v="A3M Family, LLC"/>
        <s v="Marjorie Stanton Trust"/>
        <s v="Capital West Development"/>
        <s v="Lake Mead MLK LLC"/>
        <s v="UV Galleria Holdings LLC"/>
        <s v="aEON Real Estate"/>
        <s v="Alliance Consolidated Group of Companies LLC"/>
        <s v="Yaakov Schwarzman"/>
        <s v="Pettigrew Enterprises"/>
        <s v="John Chambers"/>
        <s v="Muhizi Condo"/>
        <s v="Dr. Nina Kelly"/>
        <s v="RHC Investments"/>
        <s v="Gregory Bancroft"/>
        <s v="Sun Rise Independence, LLC"/>
        <s v="Conway Holdings, LLC"/>
        <s v="RG Properties"/>
        <s v="Kirby Family Trust"/>
        <s v="Bamber Holdings LLC"/>
        <s v="Vasallo Construction"/>
        <s v="The Waterfall"/>
        <s v="Frank Pannizzo"/>
        <s v="Kingsbarn Realty"/>
        <s v="Arunas Urbnoas"/>
        <s v="Holcombe Financial Inc"/>
        <s v="Raul De Las Fuentes"/>
        <s v="Suny Wang"/>
        <s v="Kingsbarn Realty Capital"/>
        <s v="Wellington Development "/>
        <s v="Britshaw Haven, LP"/>
        <s v="B&amp;P Properties, LLC"/>
        <s v="David Lord"/>
        <s v="Silveira Family Trust"/>
        <s v="Chester Amedia"/>
        <s v="Spirit Realty"/>
        <s v="Don Devine"/>
        <s v="Michael Seelye"/>
        <s v="Piyush Kothary"/>
        <s v="Lester Boihem"/>
        <s v="Lat Purser &amp; Associates"/>
        <s v="Centres, Inc"/>
        <s v="Williams-Takahashi"/>
        <s v="Nephrology Associates of Central Florida"/>
        <s v="Donald Aull"/>
        <s v="Kwon Family"/>
        <s v="GBC Investments LLC"/>
        <s v="Steven Berkowitz"/>
        <s v="DaVita "/>
        <s v="Hubbard Health Systems"/>
        <s v="Dr Edward Fillippone"/>
        <s v="Richard Bundy"/>
        <s v="Ashok Kumar"/>
        <s v="DRA Advisors"/>
        <s v="Nuveen"/>
        <s v="Stephenson General Contractors"/>
        <s v="David Waller | Jack and Denise Stephens"/>
        <s v="Shaukat Rashid"/>
        <s v="Moschouris Management LLC"/>
        <s v="Judd Construction"/>
        <s v="Heidar Jonsson"/>
        <s v="Equity Investment Group, Inc."/>
        <s v="Dakota Plains Development, Inc."/>
        <s v="Tri Star Willow Grove, LP"/>
        <s v="Steven Vicks"/>
        <s v="CMC Advisors International"/>
        <s v="Steven L Vicks"/>
        <s v="RTS Orchards; Paul Nugent"/>
        <s v="Terra Firma Investments, LLC"/>
        <s v="Eric Young &amp; Amy Wang"/>
        <s v="Club Oil &amp; Gas"/>
        <s v="Oman-Gibson Assocs"/>
        <s v="Physicians' Capital Investments"/>
        <s v="Yoon Sook Cho"/>
        <s v="Andre Gros-Balthazard"/>
        <s v="Brock, LLC"/>
        <s v="Merritt Trailers, Inc"/>
        <s v="Shan Real Estate, LLC"/>
        <s v="Merlone Geier Management, Inc."/>
        <s v="Peter Matravers"/>
        <s v="Patricia Restrepo"/>
        <s v="Don &amp; Sandy Buswell-Charkow"/>
        <s v="Chuck Johnston"/>
        <s v="RHGC Surf City, LLC"/>
        <s v="Stephen Leung"/>
        <s v="1801 Avenue H LLC"/>
        <s v="Steven Su"/>
        <s v="Brenda Spira"/>
        <s v="The Subotnick Family Limited Partnership"/>
        <s v="Hess-Junction Plaza LLC"/>
        <s v="George M Lee"/>
        <s v="Shiva Naidu"/>
        <s v="Sperlazza Family Trust"/>
        <s v="Dean Goetz"/>
        <s v="Pedrp Vergne Marini"/>
        <s v="Douglas Lanier"/>
        <s v="Albers Properties, LP"/>
        <s v="Clinton Simpson"/>
        <s v="R F Toft Construction Inc"/>
        <s v="Western Avenue Capital"/>
        <s v="Integra-toepperwein Llc"/>
        <s v="Don Marino"/>
        <s v="Matt Kaufman"/>
        <s v="Seymore Rubin Associates"/>
        <s v="Purity Real Estate LLC"/>
        <s v="JC Capital Holding Group, LLC"/>
        <s v="Jasmine Iganian"/>
        <s v="New Orleans Nephrology Clinic"/>
        <s v="Dirk Binnema"/>
        <s v="Kairos Real Estate Partners"/>
        <s v="Bay Dev III LLC"/>
        <s v="DBI Commercial Real Estate"/>
        <s v="WM Stenton LP"/>
        <s v="D&amp;T Food International"/>
        <s v="OA Development, Inc."/>
        <s v="Tidewater Physicians Multispecialty Group"/>
        <s v="IRA Capital"/>
        <s v="Kent Whiteaker"/>
        <s v="Department of Economic Development"/>
        <s v="South Texas Renal Care"/>
        <s v="Western Nephrology"/>
        <s v="Stevan Josepho"/>
        <s v="BR FMC Warner Robins GA LLC"/>
        <s v="Montecito Medical Real Estate"/>
        <s v="Beverly Johnson"/>
        <s v="Bay Development"/>
        <s v="Suntrust"/>
        <s v="Dialysis Clinic, Inc"/>
        <s v="Creekside Companies/Michael Colohan"/>
        <s v="Michael Olander"/>
        <s v="JCD General Partnership"/>
        <s v="Larry Oates"/>
        <s v="Hill Gray Seven"/>
        <s v="HJB Properties"/>
        <s v="Vakili Family Trust"/>
        <s v="Hamm Investments "/>
        <s v="Two Beans Properties"/>
        <s v="Ghayas Habach"/>
        <s v="Kathryn Ramstad"/>
        <s v="Yasushi Yamada Family Trust"/>
        <s v="Sand Hill Property Company"/>
        <s v="HG7 Tampa LLC"/>
        <s v="Anthony Zirille (Equity Investment Group)"/>
        <s v="Mary Shield"/>
        <s v="Krishna Mohan"/>
        <s v="George Huffman"/>
        <s v="Frank Benningfield"/>
        <s v="Mark Vasallo"/>
        <s v="Vino Patel"/>
        <s v="Shepherd Controls"/>
        <s v="YJ Lee Realty Inc"/>
        <s v="2014 City Line Developers Corporation"/>
        <s v="Montgomery Kidney Specialists"/>
        <s v="American Renal Holdings"/>
        <s v="Phoenix Realty Mgmt"/>
        <s v="Remington, Scott"/>
        <s v="RPM Realty, LLC "/>
        <s v="Montecitio Medical"/>
        <s v="STNL FMC Decatur LLC"/>
        <s v="Elle Stern"/>
        <s v="STNL Development"/>
        <s v="Red Mountain Retail Group"/>
        <s v="Simborg Development"/>
        <s v="Net Lease Alliance LLC"/>
        <s v="Dialysis Venture Partners"/>
        <s v="Dialysis Venture Partners of Greenville, LLC"/>
        <s v="DVP of Boiling Springs LLC"/>
        <s v="NAF Holdings, LLC "/>
        <s v="Phyllis Gutman"/>
        <s v="WXR &amp; Associates"/>
        <s v="Cove Capital Investments LLC"/>
        <s v="1616 Champa, LLC "/>
        <s v="Michael Colohan"/>
        <s v="Odell Mitchell Moore"/>
        <s v="Broadview Property Partnership"/>
        <s v="Michael Hand"/>
        <s v="Tiffany S Ferreri"/>
        <s v="James Porile"/>
        <s v="Newell Atkinson"/>
        <s v="Rockford 550 LLC"/>
        <s v="Daniel Gonzales"/>
        <s v="Embree Asset Group"/>
        <s v="TCII Capital Group"/>
        <s v="Christopher Rhett"/>
        <s v="CJCM Investments"/>
        <s v="NAI Mid-Michigan"/>
        <s v="Richard Standmark"/>
        <s v="Gary Kantor"/>
        <s v="Fox Developments, LLC"/>
        <s v="Hamm Investments"/>
        <s v="American International Alliance"/>
        <s v="Rajiv Poduval"/>
        <s v="Emad Ahmed"/>
        <s v="Stephen F. Moore"/>
        <s v="MARKDEV-DV Shelton LLC"/>
        <s v="Anderson 1.0 LLC"/>
        <s v="Brian Warsh"/>
        <s v="Wesley Calhoun"/>
        <s v="James Vigesaa"/>
        <s v="Robert Crivello"/>
        <s v="SAKDC"/>
        <s v="HG7 Miami LLC"/>
        <s v="Renal Associates"/>
        <s v="Fresenius Medical Care"/>
        <s v="Hein Nguyen"/>
        <s v="Ed Properties"/>
        <s v="MPH Partners"/>
        <s v="EIG Shelbyville LLC"/>
        <s v="M. Fishman &amp; co."/>
        <s v="Austin Kidney Associates"/>
        <s v="Jack DeBlaey"/>
        <s v="Net Lease Alliance, LLC"/>
        <s v="Saga Memphis LLC"/>
        <s v="Amanda Chan"/>
        <s v="David Bernstein"/>
        <s v="Robert Fischback"/>
        <s v="Moss Group"/>
        <s v="Poaul Jayachandra"/>
        <s v="VEREIT"/>
        <s v="Mark Kabbes"/>
        <s v="Istvan Bognar"/>
        <s v="Parkade Plaza Co"/>
        <s v="Stephen Owens"/>
        <s v="Ocean Block Capital"/>
        <s v="Roebling"/>
        <s v="Emma Sapp"/>
        <s v="Belpointe"/>
        <s v="Torrey Financial"/>
        <s v="James Bill Moore"/>
        <s v="Marc Palmer"/>
        <s v="Front Properties, LLC"/>
        <s v="Carrol Castille"/>
        <s v="Baker Building Partners LLC"/>
        <s v="McAdam Family Trust"/>
        <s v="Stephen Harper"/>
        <s v="Lakewood Boulevard Building Partnership, LLC"/>
        <s v="Oman-Gibson Associates"/>
        <s v="Dwight Jones"/>
        <s v="Gordon Ragan"/>
        <s v="Hathaway Dinwiddie "/>
        <s v="Ronco Development"/>
        <s v="NNA of Alabama"/>
        <s v="The Brown Companies"/>
        <s v="Cameron Management LLC"/>
        <s v="AR-Global"/>
        <s v="William Carroll"/>
        <s v="Midland Complex LP"/>
        <s v="Northwest Nephrology Associates"/>
        <s v="Boyce Garrison Trust"/>
        <s v="US Federal Properties"/>
        <s v="Dr. Harshavardhan R. Krishna, MD"/>
        <s v="UMA Holdings"/>
        <s v="Yellowhammer Partners"/>
        <s v="Diomidio Ramirez"/>
        <s v="Marketstreet Development"/>
        <s v="FRE Corpus Christi TX Realty LLC"/>
        <s v="Anna Hayes "/>
        <s v="Nephrology Associates Real Estate Ii LLC"/>
        <s v="Clue Drive LLC"/>
        <s v="Southwest LTC Management Services, LLC"/>
        <s v="Leap Tide Real Estate Partners"/>
        <s v="Thomas Taylor"/>
        <s v="MPT Holdings "/>
        <s v="Taylor Properties Land Company"/>
        <s v="Hugh Doss"/>
        <s v="West Mall Dr"/>
        <s v="Dominick Veliko-Shapko"/>
        <s v="Rip Tenaya Village, LLC/Dan Donnellan"/>
        <s v="Palmetto Pines Golf Couse"/>
        <s v="MDG Development Group, LLC"/>
        <s v="Judy Mason"/>
        <s v="Thomas Kenkel"/>
        <s v="Michael Cramer"/>
        <s v="Genesis Kc DEV, LLC"/>
        <s v="Vault Equity Partners"/>
        <s v="Ocala Critical Care &amp; Kidney Group"/>
        <s v="Brody Co (NC)"/>
        <s v="Christopher Richter"/>
        <s v="Stephen Carpey"/>
        <s v="Dr. Kamlesh Patel"/>
        <s v="Ray Mucci "/>
        <s v="Orion RE Group"/>
        <s v="Stenstrom Companies Ltd"/>
        <s v="Richard Portillo"/>
        <s v="Andrew Radoszewski"/>
        <s v="Renal Care Properties, LLC "/>
        <s v="Meridian Property Company "/>
        <s v="George Dawson"/>
        <s v="Block RE Services"/>
        <s v="Stanley Greenspon"/>
        <s v="Josepho Group"/>
        <s v="C &amp; C Real Estate Ventures, LLC"/>
        <s v="John Delcambre"/>
        <s v="Kaiju LLC"/>
        <s v="Gary DeLanois"/>
        <s v="Cross Development "/>
        <s v="Apollo Commercial Properties "/>
        <s v="Hooda &amp; Kumar "/>
        <s v="Dennis Woods"/>
        <s v="Christopher O'Brien; Brock Transportation"/>
        <s v="Stephenson General Constractors"/>
        <s v="Brahin-Depg Dev Group"/>
        <s v="Lloyd Berhoff"/>
        <s v="Paul Williams "/>
        <s v="Wellington Stevens"/>
        <s v="RJR, LLC"/>
        <s v="Steve McLure"/>
        <s v="R&amp;T Tash"/>
        <s v="Dr Ramanath Bhandari"/>
        <s v="HPT, Inc "/>
        <s v="UP Enterprises, LLC "/>
        <s v="Dina Letarte"/>
        <s v="Laplace Healthcare LLC"/>
        <s v="Oman Gibson Associates"/>
        <s v="Snapfinger Woods LLC"/>
        <s v="UnitedHealth Group"/>
        <s v="Holcombe Financial"/>
        <s v="Krishna Thavarajah "/>
        <s v="Atlas Stark"/>
        <s v="Grace Family Properties LLC; MMG-Fountain Inn LLC; MMG-Freedom Boulevard LLC"/>
        <s v="Mark Barsotti"/>
        <s v="Saginaw Real Estate LLC"/>
        <s v="SDF Investment Properties"/>
        <s v="2001 W 34th Realty Ltd"/>
        <s v="Kumar Subhash"/>
        <s v="End-IRA, INC"/>
        <s v="Springfield Light, LLC"/>
        <s v="Young Brothers LLC"/>
        <s v="Floyd Brown Living Trust 11/3/98"/>
        <s v="G3 Development"/>
        <s v="Marianne Widener Mullins Revocable Trust "/>
        <s v="Ross Health Care"/>
        <s v="Kevin Louie; Joseph W Cammarata; Mark William Melbye, Epoch Realty Capital"/>
        <s v="Dewayne &amp; Kristie Carter"/>
        <s v="Crevo Capital"/>
        <s v="BridgeJoin, LLC"/>
        <s v="David Terry"/>
        <s v="Emil Capital Partners"/>
        <s v="Sylvia S Belikian"/>
        <s v="Kevork Belikian"/>
        <s v="EDG-DV - East Wenatchee, LLC"/>
        <s v="Weitzman Realty "/>
        <s v="Tamer Ahmed"/>
        <s v="Schlesinger Companies"/>
        <s v="Paul Bedhora"/>
        <s v="Perfect Health"/>
        <s v="Rashmi Kumar"/>
        <s v="Jormungandr LLC"/>
        <s v="OKC Prime Investments"/>
        <s v="Galen Rogers"/>
        <s v="Grissom Family Land &amp; Cattle"/>
        <s v="BlueRoad Ventures"/>
        <s v="Gina Regnier"/>
        <s v="Todd Avant"/>
        <s v="Gladys Apcar"/>
        <s v="Applegate-Hansen Building Partners"/>
        <s v="CRG, Venture One"/>
        <s v="DV Wyoming, LLC"/>
        <s v="Courtney Hobbs"/>
        <s v="Eastpointe Development Inc"/>
        <s v="Hensen Property Company "/>
        <s v="Merit Acquisition, LLC"/>
        <s v="Iron Stone Real Estate Partners"/>
        <s v="Raymond Ellis"/>
        <s v="Northwest Arkansas Renal Investments"/>
        <s v="George Hast"/>
        <s v="B &amp; P Properties LLC"/>
        <s v="Eastern Medical Properties-Winterville LLC"/>
        <s v="Vanderson Construction"/>
        <s v="Senior Housing Properties Trust"/>
        <s v="Bhasker Patel"/>
        <s v="Dilip Patel"/>
        <s v="Professional Boulevard Medical Clinical Facility Inc"/>
        <s v="GW Properties"/>
        <s v="Richard L Weeks"/>
        <s v="Eyoung Investment/Eric Young"/>
        <s v="Roy Messick"/>
        <s v="Baker and Baker"/>
        <s v="Ocala Kidney Group, Inc"/>
        <s v="David Shenton"/>
        <s v="Triangle Capital Group"/>
        <s v="Seinehand, LLc"/>
        <s v="Crest Properties"/>
        <s v="Rockland Capital"/>
        <s v="Seth Arnowitz"/>
        <s v="Jill R Myers"/>
        <s v="Embree"/>
        <s v="Dad and His Daughter, LLC "/>
        <s v="RE Holding, LLC"/>
        <s v="Kessinger Hunter &amp; Company"/>
        <s v="Moma Wind Gap LLC"/>
        <s v="The Robinson Group"/>
        <s v="Flintridge Georgia, LLC"/>
        <s v="Port Salerno Properties, LLC"/>
        <s v="Salt &amp; Water Club II LLC"/>
        <s v="Dallas Dialysis Real Estate, LLC"/>
        <s v="Baptist Gardens LLC"/>
        <s v="SNG Realty LP"/>
        <s v="Nephrology Associates Medical Group"/>
        <s v="Tarrant Nephrology Assoc."/>
        <s v="Lon Raby"/>
        <s v="Yazoo Medical Realty LLC"/>
        <s v="Sherry Family Trust"/>
        <s v="Athalie Okken"/>
        <s v="Irwin Sherry"/>
        <s v="Brixmor"/>
        <s v="Pro Health Properties II LP"/>
        <s v="William Sanders Trust"/>
        <s v="Michael Carpenter"/>
        <s v="4CD LLC"/>
        <s v="Anthony Property Group"/>
        <s v="Carp Realty 1946 Grand LLC"/>
        <s v="Eastern Medical Properties LLC"/>
        <s v="Sharama Associates"/>
        <s v="Illinois Renal Services"/>
        <s v="Sanderling Renal Services - SRS"/>
        <s v="Natria LLC"/>
        <s v="Dialysis Owners LLC"/>
        <s v="James Hates"/>
        <s v="MGB Development Group"/>
        <s v="Corva Property Holdings LLC"/>
        <s v="Practice Real Estate Group"/>
        <s v="RDH Properties, Inc"/>
        <s v="Allan Rankin"/>
        <s v="Vegas Summerlin, LLC"/>
        <s v="Garrod Moltz"/>
        <s v="Tabani Group, Inc."/>
        <s v="Berkowitz Properties/ Abbey Berkowitz"/>
        <s v="Robert Mittelstaedt"/>
        <s v="NewQuest Properties"/>
        <s v="Hammes Partners"/>
        <s v="Brands Properties"/>
        <s v="Nathan Benderson Trust"/>
        <s v="ExchangeRight"/>
        <s v="East Hollywood Building Co LLC"/>
        <s v="Youngblood Development Corporation"/>
        <s v="Diversified Heatlhcare Trust, Senior Housing Properties Trust"/>
        <s v="Consuelo Coquis"/>
        <s v="Gerard Flores"/>
        <s v="Monroe RE LLC "/>
        <s v="Jerry Huffman"/>
        <s v="Hurd Real Estate"/>
        <s v="Linton Family Trust"/>
        <s v="Falcon Bishop Medical Building"/>
        <s v="Vesey Street Capital Partners "/>
        <s v="Clark Street Real Estate"/>
        <s v="SETNA Real Estate Holdings, LLC"/>
        <s v="Ave Maria Development LP"/>
        <s v="139 Javit Associates LLC"/>
        <s v="James Schwartz"/>
        <s v="Net Lease Alliance "/>
        <s v="255 Warm Springs Holdings LLC"/>
        <s v="SAMBAV, LLC"/>
        <s v="Airport Center"/>
        <s v="Vequity, LLC"/>
        <s v="Berkes Realty &amp; Investments, LLC"/>
        <s v="DMC Properties, Inc"/>
        <s v="Brian J O'Dea"/>
        <s v="Matthew Moschetti"/>
        <s v="Steven Mischel"/>
        <s v="The Lundy Group"/>
        <s v="1849 Davisville Road LP"/>
        <s v="Metrolina Nephrology Associates"/>
        <s v="The Garth Organization Ltd"/>
        <s v="Dan Stein"/>
        <s v="THN REAL ESTATE LLC"/>
        <s v="Adray Plaza, LLC"/>
        <s v="Richmond Building LLC"/>
        <s v="Behringer "/>
        <s v="DGZ Carmichaels LLC"/>
        <s v="Lerg Development Co"/>
        <s v="Fairlawn Enterprises LLC"/>
        <s v="Craig D Urban"/>
        <s v="Leroy &amp; Winifred Jebian Trust"/>
        <s v="RCF-NC Properties, LLC"/>
        <s v="Leigh Properties"/>
        <s v="Montesacro Capital Partners"/>
        <s v="820 Thompson Development Co"/>
        <s v="Huffman Development"/>
        <s v="Samet Properties"/>
        <s v="James Spoto Trust"/>
        <s v="The Weitzman Group"/>
        <s v="John Dunnett"/>
        <s v="Bridgeport 110 LLC"/>
        <s v="Wilmington, LLC"/>
        <s v="Bronco Professional Park, LLC"/>
        <s v="Tracy Hospital Foundation"/>
        <s v="SKI Properties"/>
        <s v="Foresight DEV LLC"/>
        <s v="Graham Family Investment LP"/>
        <s v="Marianne Sanchez"/>
        <s v="Southwest Kidney Institute"/>
        <s v="James Bangert"/>
        <s v="Rhett Taylor"/>
        <s v="Nephron Properties, LLC"/>
        <s v="Timothy Bush"/>
        <s v="Spinnaker Investments, LLC"/>
        <s v="Harrison Street RE Cap"/>
        <s v="Medical Investments of Jonesboro, LLC"/>
        <s v="Dayton Street Partners"/>
        <s v="Joel Brunt"/>
        <s v="Mosaic Properties &amp; Development"/>
        <s v="Kilya Properties Inc"/>
        <s v="Dr Ronak Shah"/>
        <s v="Carlyle Associates"/>
        <s v="Ryan Transportation Services"/>
        <s v="Ouroboros LLC"/>
        <s v="Tna Idabel Complex LLC"/>
        <s v="Leonard Vaccariello"/>
        <s v="Choice Entertainment "/>
        <s v="RNP-13 LLC, Novalis LLC"/>
        <s v="Patterson Construction Co"/>
        <s v="Barshay Real Estate"/>
        <s v="Henry Sloma"/>
        <s v="Derreck Gibbs"/>
        <s v="Kwabena Adjei"/>
        <s v="Atwood &amp; Atwood Investments"/>
        <s v="Edward Applefield"/>
        <s v="Oxford Enterprises"/>
        <s v="Merchant's Fine Wine"/>
        <s v="Kilya Properties"/>
        <s v="Judd Properties"/>
        <s v="Heather Marshall"/>
        <s v="JRH Sherman, LLC"/>
        <s v="Troutman Dams"/>
        <s v="Tams Family, LLC"/>
        <s v="Hirschi Associates"/>
        <s v="James Raymond"/>
        <s v="The Mainland Companies"/>
        <s v="Art Alger Heights, LLC"/>
        <s v="Ice Components Inc"/>
        <s v="Trent Gustafson"/>
        <s v="Pennmark Management Company"/>
        <s v="Avalon Properties, LLC"/>
        <s v="Akshar Development &amp; Investments LLC; Vishna Patel"/>
        <s v="Arizon Kidney Disease &amp; Hypertension Center"/>
        <s v="Anthony Holschbach"/>
        <s v="Mainland Companies"/>
        <s v="Columbia Nephrology Associates"/>
        <s v="Uma Kumar"/>
        <s v="T5 Real Estate"/>
        <s v="Westview 1116 LLC"/>
        <s v="Alpine Endeavors LLC"/>
        <s v="William Cleveland"/>
        <s v="Great Southern Corporation"/>
        <s v="AL Saad &amp; Co."/>
        <s v="Punta Rassa Capital LLC"/>
        <s v="Kupsch Trust"/>
        <s v="Allen Phillips"/>
        <s v="Robert S Young"/>
        <s v="Nominee Owen Trust"/>
        <s v="200 Pier Associates"/>
        <s v="River Blue LLC"/>
        <s v="Haw Creek FMC, LLC"/>
        <s v="Nucor Steel"/>
        <s v="Curis Development"/>
        <s v="Eli Erlich"/>
        <s v="Pike Street Partners"/>
        <s v="New Highway Realty LLC"/>
        <s v="Crescent Property"/>
        <s v="Chris Thieneman"/>
        <s v="Danson Properties"/>
        <s v="Landmark"/>
        <s v="ASP Development"/>
        <s v="DSCO Real Estate"/>
        <s v="SBS PAC Property, LLC"/>
        <s v="North Property Management LLC; Justo Holdings LLC"/>
        <s v="Yellow Hammer"/>
        <s v="Brian Buchert"/>
        <s v="Ravi Kopuri"/>
        <s v="J.A. Street &amp; Associates"/>
        <s v="Edgefield Properties, LLC"/>
        <s v="JDA Do LLC"/>
        <s v="Colorado Dollar LLC"/>
        <s v="Barry Shulman"/>
        <s v="AFE, LLC"/>
        <s v="Thomas Woodridge"/>
        <s v="Ami"/>
        <s v="Sukwon Lee"/>
        <s v="Jeffrey Lock"/>
        <s v="SugarOak Realty, LLC"/>
        <s v="RF Fulton"/>
        <s v="Tatum Real Estate"/>
        <s v="Raywood Hasten"/>
        <s v="545 Mibit, LLC"/>
        <s v="Stanick Properties LLC"/>
        <s v="Cobra Development Company"/>
        <s v="Lincoln Way Properties "/>
        <s v="Harford Baltimore"/>
        <s v="Peter Ventoklis"/>
        <s v="David Church"/>
        <s v="Blair Companies Real Estate"/>
        <s v="Doctor Properties LLC"/>
        <s v="Depietro Trust"/>
        <s v="MHS Properties LLC"/>
        <s v="Satellite Healthcare, Inc."/>
        <s v="Michael Rozowicz"/>
        <s v="Bevil Creek Investments"/>
        <s v="Kendrew Development Company"/>
        <s v="Rosenbaum Sharon LLC"/>
        <s v="Rathnakara Avilei"/>
        <s v="Mid-Ohio Screen Print"/>
        <s v="INBRI Investment"/>
        <s v="Inco, Inc."/>
        <s v="Dr. Ray Halker"/>
        <s v="11707 Whittier, LLC"/>
        <s v="MD Ventures FMC Marietta, LLC"/>
        <s v="Ravi Ainpudy"/>
        <s v="Mike Howren"/>
        <s v="Empire Building, LLC"/>
        <s v="Samuel Offerman"/>
        <s v="Clarence Spannuth"/>
        <s v="Lada, LP"/>
        <s v="Dan C, Inc."/>
        <s v="Strategic Realty Trust, Inc."/>
        <s v="Randy Owens"/>
        <s v="LemRX"/>
        <s v="Gerald Nielsen"/>
        <s v="Sammie Mohan"/>
        <s v="Dhimant Sheth"/>
        <s v="Clermont Hancock Road, LLC"/>
        <s v="Bharati Enterprises, LP"/>
        <s v="Nwrc-Raines LLC"/>
        <s v="The Surnow Company"/>
        <s v="SP Kingmount, LLC"/>
        <s v="Larco Enterprises, Inc."/>
        <s v="Bridgeville Professional Center, LLC"/>
        <s v="F&amp;M Enterprises LLC"/>
        <s v="Stonelake Capital Partners"/>
        <s v="Dr. Hemant Dhingra"/>
        <s v="Alderson Commercial"/>
        <s v="DBI Group"/>
        <s v="Franklin Investment Group LLC"/>
        <s v="Intermountain Medical Group"/>
        <s v="Grand Dalworth Street Realty LLC"/>
        <s v="Robert Brown Associates"/>
        <s v="RSC Development Group"/>
        <s v="Solutions Healthcare Management"/>
        <s v="Cary Kopczynski"/>
        <s v="Padova Trust"/>
        <s v="Owen &amp; Associates"/>
        <s v="Erika McNamara"/>
        <s v="Lindo Beverly"/>
        <s v="Abd Noghnogh"/>
        <s v="Dr. William Early"/>
        <s v="JKL Real Estate Co LLC"/>
        <s v="220 Crystal Run Road LLC"/>
        <s v="David Holmes"/>
        <s v="Sherwin Jarol"/>
        <s v="William Shackelford, Jr."/>
        <s v="Bakke Development"/>
        <s v="Carion Clinic"/>
        <s v="Bradley Associates"/>
        <s v="Bryan Mello; Fresenius Medical Care"/>
        <s v="Charles Cooperberg"/>
        <s v="Rob L Miller"/>
        <s v="Melvin Oakley"/>
        <s v="Daniel Hoeller"/>
        <s v="Hugo &amp; Judith Tapia"/>
        <s v="NWI Medical Realty"/>
        <s v="Global Net Lease"/>
        <s v="Investors RE Trust"/>
        <s v="Ronald Rogers"/>
        <s v="Oman-Gibson"/>
        <s v="NNA Prop of TN"/>
        <s v="AR Capital Trust"/>
        <s v="Four Springs Capital"/>
        <s v="Dr. Arvind Madan"/>
        <s v="Sheela Nayak"/>
        <s v="MSP Commercial"/>
        <s v="Schindler RE"/>
        <s v="Thomas &amp; Mac"/>
        <s v="Dr. Charles Effiong"/>
        <s v="Bianchi Land Co."/>
        <s v="Kim Delgado"/>
        <s v="Claw Realty"/>
        <s v="Downey Partners LLC"/>
        <s v="American Renal Associates"/>
        <s v="Paul Alfino"/>
        <s v="Norman Fargo"/>
        <s v="Sage Design Build"/>
        <s v="Blue Ocean"/>
        <s v="Uchida Greenhouses"/>
        <s v="Desi Moreno"/>
        <s v="Bashar Mourad"/>
        <s v="US Renal Care"/>
        <s v="Allen Gooding"/>
        <s v="Okmok Development"/>
        <s v="Carriage House"/>
        <s v="Kendall Swenson"/>
        <s v="Rocky Stevens/Wellington Development"/>
        <s v="Greg Margetich"/>
        <s v="Elcan &amp; Associates"/>
        <s v="NWRC Ventures"/>
        <s v="JSJ Property Management"/>
        <s v="2007 Logan Ave LLC"/>
        <s v="Lemone Family Limted"/>
        <s v="Donald Head"/>
        <s v="Weiss Entities"/>
        <s v="Eaton-Provident Group"/>
        <s v="Chagrin Realty Inc"/>
        <s v="Yellowhammer"/>
        <s v="Winchester Properties"/>
        <s v="Martin Teitelbaum"/>
        <s v="Jack Glaves"/>
        <s v="Haritha Properties LLC"/>
        <s v="Richard Walker"/>
        <s v="RSR Realtors"/>
        <s v="SB Pacific Group"/>
        <s v="Urfan Dar"/>
        <s v="Bowmar LLC"/>
        <s v="NMSBPCSLDHB"/>
        <s v="J Keith Keener"/>
        <s v="Eric Scowden"/>
        <s v="Cary Wake Nephrology"/>
        <s v="Rochester Group"/>
        <s v="Jayant Kumar"/>
        <s v="GW Paramount Investment LLC"/>
        <s v="Fiveash"/>
        <s v="Weas Development Co"/>
        <s v="Kothary Investments"/>
        <s v="Coral Development Company"/>
        <s v="Lupe Medical Three"/>
        <s v="Maria Villareal Starnes"/>
        <s v="Satellite Healthcare Inc."/>
        <s v="Santa Rosa Investments"/>
        <s v="The Kidney Institute"/>
        <s v="JB Realty Partners"/>
        <s v="Saca Developent"/>
        <s v="DDYS Investments"/>
        <s v="Richard Nogleberg"/>
        <s v="Luther Properties"/>
        <s v="Virgata Property Company"/>
        <s v="Glendale Investors"/>
        <s v="Phillip Owen"/>
        <s v="AKC LLC"/>
        <s v="Equity Inc"/>
        <s v="CRC Development Group, LLC"/>
        <s v="Dr. James Askew"/>
        <s v="Delaney Land Co."/>
        <s v="Keith Holcomb"/>
        <s v="Brink Ave"/>
        <s v="Duke Realty"/>
        <s v="HOA Management"/>
        <s v="Michael Milone"/>
        <s v="Samuel Colson"/>
        <s v="Southern Gas Partners"/>
        <s v="Cascadia Development Partners"/>
        <s v="Thomas Burkart"/>
        <s v="Leon Capital"/>
        <s v="Daniel Polett"/>
        <s v="Anila Doshi"/>
        <s v="John D'Amico"/>
        <s v="Schuford Development"/>
        <s v="RPM Realty LLC"/>
        <s v="Paige Baigis"/>
        <s v="Vision Development"/>
        <s v="Vishnu Patel"/>
        <s v="ARC Construction Management LLC"/>
        <s v="LBSK Family LP"/>
        <s v="AKD&amp;HC"/>
        <s v="Midtown Niki"/>
        <s v="West Salt Lake Real Estate Ventures, LLC"/>
        <s v="C Patrick Cox"/>
        <s v="Morris Inc."/>
        <s v="NLV - ZIM LLC"/>
        <s v="Bob Vescovo"/>
        <s v="Myers &amp; Crow Co"/>
        <s v="Meadows Zim"/>
        <s v="Folger Partners"/>
        <s v="Huntsville Renal Clinic"/>
        <s v="Foster Henson Trust"/>
        <s v="KCR FMC"/>
        <s v="Chapman Ventures"/>
        <s v="Serg 13, LLC"/>
        <s v="LPT Enterprises"/>
        <s v="City-Core Dev Inc"/>
        <s v="Tabani Group"/>
        <s v="CTJ Holdings LLC"/>
        <s v="Toneman Development Co"/>
        <s v="Perona Mission"/>
        <s v="Giuseppe Sirna &amp; Mary Sirna"/>
        <s v="A &amp; D Protocol Transportation"/>
        <s v="The Ribeiro Company"/>
        <s v="Biomedical Partners"/>
        <s v="Hill Valley LLC"/>
        <s v="KWL Properties"/>
        <s v="Shamsul Alam"/>
        <s v="Noble Properties"/>
        <s v="Carnegie Cos"/>
        <s v="Stone Oak Dialysis"/>
        <s v="Greg Mikos"/>
        <s v="David Dollinger Trust"/>
        <s v="Capital Protection"/>
        <s v="Robert Wagner"/>
        <s v="Vansciver Willingboro LLC"/>
        <s v="Sovereign Investment Co"/>
        <s v="Labonnevie Ventures LLC"/>
        <s v="Burton Lewis"/>
        <s v="DAVITA LLW AMIGO FRED VA LLC"/>
        <s v="Tom Yancy"/>
        <s v="Oceanview Development Group"/>
        <s v="Jean McMurray"/>
        <s v="Peer Properties"/>
        <s v="Corporate Plaza"/>
        <s v="Keystone Corp"/>
        <s v="iStar Financial"/>
        <s v="Isaac Organization "/>
        <s v="Avinash Vyas "/>
        <s v="PACT LLC"/>
        <s v="Bttl LLC "/>
        <s v="HC Norpac LLC"/>
        <s v="JM Investments"/>
        <s v="Capps Wotka Properies"/>
        <s v="400 Crossroad Bluvd"/>
        <s v="RFG Braselton LLC"/>
        <s v="Truman Medical Center Foundation"/>
        <s v="Red Mountain Retail"/>
        <s v="HDP One LLC"/>
        <s v="Convoy Crossroads Ltd."/>
        <s v="Motel Oaks Ltd."/>
        <s v="HPT Inc."/>
        <s v="Pardue &amp; Robinson Harpeth"/>
        <s v="Mehland Developers"/>
        <s v="Bob Dutton"/>
        <s v="Renal Enterprise LLC"/>
        <s v="Jack Stumpf &amp; Associates"/>
        <s v="1124 Lakeview Road LLC"/>
        <s v="Brauvin Real Estate"/>
        <s v="Veridia Group"/>
        <s v="Ring Road Elizabethtown"/>
        <s v="Cohen Financial"/>
        <s v="FHS Nashville LP"/>
        <s v="Medco Development SC, LLC"/>
        <s v="Redondo Industrial Development"/>
        <s v="Renix Madison GP"/>
        <s v="Nephrology Ventures"/>
        <s v="Domargo Investors"/>
        <s v="X Enterprise Group LLC"/>
        <s v="Ireland Road South Bend / Bond Oman"/>
        <s v="Windsor Development"/>
        <s v="Philip Berlinsky"/>
        <s v="Gary Nuckols"/>
        <s v="Dr. Karim Rezai"/>
        <s v="EFPAR Development"/>
        <s v="Trust 12558607"/>
        <s v="Steven Landers"/>
        <s v="San Ysisdro SW, Ltd."/>
        <s v="Saca Development"/>
        <s v="Mick Lafata"/>
        <s v="Linear Retail Properties"/>
        <s v="UCR Development | Streetwise Retail Advisors"/>
        <s v="Melvin Hoeffilger"/>
        <s v="Zen-Prop LLC"/>
        <s v="Chiridge Harlem LLC"/>
        <s v="Ismail Sallam"/>
        <s v="Mercy Health Systems"/>
        <s v="Villamar, INC "/>
        <s v="Maureen F Hopkins-Investments"/>
        <s v="BLT LLC"/>
        <s v="Advanced Property Services"/>
        <s v="Propertal, LLC"/>
        <s v="Frederick Baumer"/>
        <s v="Bama, LLC "/>
        <s v="COP Sandhill"/>
        <s v="10 Gardenside LLC/Gilbert LLC"/>
        <s v="Cynthia Hayes"/>
        <s v="AKS Real Estate LLC"/>
        <s v="Gayatri Shakti"/>
        <s v="ARC Daily NAV"/>
        <s v="NW Eagle Development"/>
        <s v="East Hill Park"/>
        <s v="HPLEX Solutions"/>
        <s v="National Realty Exchange, Inc."/>
        <s v="Richmond County Dialysis LLC"/>
        <s v="Grove Investments, LLC"/>
        <s v="Village Investment Partners"/>
        <s v="Renix Smyrna GP"/>
        <s v="Judd Construction Co"/>
        <s v="1213 Main-Milton-Freeman Ltd"/>
        <s v="Hashim Raza"/>
        <s v="Pickering &amp; Castilo"/>
        <s v="300 8th Street LLC"/>
        <s v="Baker Properties"/>
        <s v="Jerry Baker"/>
        <s v="Flat Lands LLC"/>
        <s v="Holiday Properties"/>
        <s v="Juan Ramirez"/>
        <s v="Susanne and William Black"/>
        <s v="Monty Tunks"/>
        <s v="Ginder Development"/>
        <s v="Greystone Brokerage &amp; Development"/>
        <s v="Richard Sanchez"/>
        <s v="Greenwing"/>
        <s v="John Tyler"/>
        <s v="P&amp;J Development Co"/>
        <s v="M.K. Acharya"/>
        <s v="Kevin Caldwell"/>
        <s v="Midtown Development Group"/>
        <s v="Bernard S Malkove"/>
        <s v="Pepper Living Trust"/>
        <s v="Village Road Healthcare Kenner/ Bond Oman"/>
        <s v="Rosabelle Corry Trust"/>
        <s v="Siddiqi Holding LLC"/>
        <s v="Nadeem Siddiqi"/>
        <s v="Fontana Dialysis Building LLC, NetREIT"/>
        <s v="MSRC LLC"/>
        <s v="Cam Inc "/>
        <s v="Kempsville Three, LLC"/>
        <s v="Baker-Win LLC"/>
        <s v="L&amp;L Of Norfolk LLC"/>
        <s v="Hallandale Commons, LLC"/>
        <s v="Southeast Medical McCalla LLC"/>
        <s v="Baird Properties"/>
        <s v="Emerald Property Group"/>
        <s v="Grea Realty"/>
        <s v="Mediplex Partners LLC"/>
        <s v="Anhdao LLC"/>
        <s v="Perdonna Pisano"/>
        <s v="Morrison Properties"/>
        <s v="Florin Capital Dev I Ltd"/>
        <s v="Thumb Area Dialysis"/>
        <s v="Forest City Properties"/>
        <s v="Thavarajah Krishnapillai"/>
        <s v="Victor Irelan"/>
        <s v="Divinity Warner Robins"/>
        <s v="Virigina Groves"/>
        <s v="HealthCap"/>
        <s v="Aspen Asset Group"/>
        <s v="AR Global"/>
        <s v="Alliance Donora / Ben Reinberg"/>
        <s v="Premier Health Partners"/>
        <s v="Rockwell Debt Free Properties"/>
        <s v="Tim McKee"/>
        <s v="TRK Construction"/>
        <s v="Eric Perardi"/>
        <s v="Carl Family Trust"/>
        <s v="Falcon Realty Investments LLC"/>
        <s v="Cobalt Realty"/>
        <s v="ENJG, Ltd."/>
        <s v="Solid Equities"/>
        <s v="NLA Jefferson LLC"/>
        <s v="AJS Properties LLC"/>
        <s v="West Texas Nephrology Associates"/>
        <s v="Catalyst HRE"/>
        <s v="Seaboard Commercial"/>
        <s v="David Rose"/>
        <s v="Denny DeMarco"/>
        <s v="Trust 4230"/>
        <s v="D.C. Diamond Corp"/>
        <s v="Skorman Construction"/>
        <s v="R &amp; K Medical Properties"/>
        <s v="GH 9 LLC"/>
        <s v="Wells Fargo Bank"/>
        <s v="Cole REIT"/>
        <s v="The Sanders Trust"/>
        <s v="Melia Capital"/>
        <s v="James K Stokes"/>
        <s v="Strenstrom Companies"/>
        <s v="D &amp; M Golden Years, LLC"/>
        <s v="Eastview Dialysis"/>
        <s v="Trust 90776"/>
        <s v="Jaffe Properties"/>
        <s v="Titan Development LLC"/>
        <s v="Choice One Property LLC"/>
        <s v="Calamar"/>
        <s v="Triple H Investments LLC"/>
        <s v="Harmon Place LLC"/>
        <s v="Paul Lewis"/>
        <s v="Tri-South Contractors, Inc."/>
        <s v="Nautilus Group"/>
        <s v="North Valhalla, LLC "/>
        <s v="James Thompson"/>
        <s v="Rans Custom Builders Inc"/>
        <s v="RMALC, Inc."/>
        <s v="PRES Companies"/>
        <s v="Charles Grace"/>
        <s v="M66 Dialysis Center LLC"/>
        <s v="3D Development Partners, LLC"/>
        <s v="Brunswick Development"/>
        <s v="Atlantic Collision"/>
        <s v="Ken Robinson"/>
        <s v="Western Avenue LLC"/>
        <s v="National Bank &amp; Trust"/>
        <s v="Marbur Development"/>
        <s v="TriStar Realty Group"/>
        <s v="Feliciana Building"/>
        <s v="Shaun Joshi"/>
        <s v="AKMG Investments LLC"/>
        <s v="Ramalay LLC"/>
        <s v="Mcadam Properties, LLC"/>
        <s v="Southeast Medical"/>
        <s v="Kenneth W. Fuller"/>
        <s v="Dialysis Properties II, LLC"/>
        <s v="Catherine Joyner Trust"/>
        <s v="Big Bend Development "/>
        <s v="Waukegan 1 0 LLC"/>
        <s v="Mitchell Asset Group"/>
        <s v="RECO Medical Development Group"/>
        <s v="RK Hoover"/>
        <s v="Ritchie Development"/>
        <s v="Vicks Investments LLC"/>
        <s v="6411 Chillum Place NW LLC"/>
        <s v="SA Challenger Inc"/>
        <s v="Dr Salman Saeed"/>
        <s v="Harmon Investment Properties"/>
        <s v="Dr. Ravinder Jerath MD"/>
        <s v="Sturgis Renal Properties Llc"/>
        <s v="Healthspace Owasso LLC"/>
        <s v="WFMC Investments, LLC"/>
        <s v="Jerome Glick Realty"/>
        <s v="Urology Centers of Oklahoma"/>
        <s v="Northlight Financial LLC | Northlight Asset Management"/>
        <s v="Montevallo AW, LP"/>
        <s v="Laredo Warehouse Ltd"/>
        <s v="MCRE (Missions Critical Real Estate)"/>
        <s v="KG Healthcare, LLC"/>
        <s v="Hilco Trading Co Inc"/>
        <s v="Servant Investments Fund, LLC"/>
        <s v="Harlem Life LLC"/>
        <s v="DSI Renal"/>
        <s v="Alfonso Figliolia"/>
        <s v="MGRE"/>
        <s v="Monahan Company"/>
        <s v="Pulman, Cappucio, Pullen &amp; Benson"/>
        <s v="Cohen Realty Investment"/>
        <s v="Lynne Crowell Trust"/>
        <s v="Vijaya Kumar Chilakapati"/>
        <s v="John A Bruzzone"/>
        <s v="DaVita Dialysis Center"/>
        <s v="JW Investments"/>
        <s v="Proscenium Development"/>
        <s v="Hugh Rea"/>
        <s v="Banban North Valdosta, LLC"/>
        <s v="FMC Harriman LLC"/>
        <s v="Demetri Gofis"/>
        <s v="Namdar Realty Group"/>
        <s v="CCFT Investments, LC"/>
        <s v="Centerplan Development"/>
        <s v="Village Properties"/>
        <s v="Echion USA, Inc."/>
        <s v="Kamal Ahmed"/>
        <s v="Young Contracting"/>
        <s v="Camden Holdings LLC dba Camden Development"/>
        <s v="MJL Capital Partners"/>
        <s v="Frederick Creech"/>
        <s v="Stone Manor Partners LP"/>
        <s v="Jack De Blaey"/>
        <s v="WT Dubois Construction, Inc."/>
        <s v="TB Properties"/>
        <s v="Fair Elizabeth MOB, LP"/>
        <s v="FMC Centerville LLC"/>
        <s v="Glazier Corporation"/>
        <s v="RS Lanza"/>
        <s v="Ozora Road Properties Llc"/>
        <s v="Point Center Coporation"/>
        <s v="Marie Zane"/>
        <s v="Sanderling Healthcare"/>
        <s v="DDC Portfolio"/>
        <s v="Realtynet Properties (REIT)"/>
        <s v="MVP Investments"/>
        <s v="Copper Road Properties, LLC"/>
        <s v="Dunbar Development"/>
        <s v="CMK Companies"/>
        <s v="Nixon-Almkuist Properties"/>
        <s v="Jon Wagnild"/>
        <s v="Kevin Flynn"/>
        <s v="National Rental Alliance, LLC"/>
        <s v="SC Boise, LLC/ Scott Curtis"/>
        <s v="APX-NC LP Don Marino"/>
        <s v="Portneuf RE"/>
        <s v="Preferred Medical Group"/>
        <s v="Florence Avenue Co LP"/>
        <s v="Clendenin Place"/>
        <s v="National Development"/>
        <s v="The Holton Company"/>
        <s v="Albertsons Inc"/>
        <s v="Livingston Industrial Park"/>
        <s v="BW"/>
        <s v="Signorelli Co "/>
        <s v="NCWY Partnership"/>
        <s v="CapTec Net Lease Realty"/>
        <s v="RAM Investments LLC"/>
        <s v="n/a"/>
        <s v="Cameron Sunset Investments"/>
        <s v="Jim Mauze"/>
        <s v="CT Realty Investors"/>
        <s v="North Pines Investment Group, LLC"/>
        <s v="Riverview Properties"/>
        <s v="Harriton Development"/>
        <s v="Galen C. Rogers"/>
        <s v="SNA Investments, LLC"/>
        <s v="JBL Asset Management, LLC"/>
        <s v="Wall Street Project, LLC" u="1"/>
        <s v="YB Panama City LLC" u="1"/>
        <s v="Robert Young" u="1"/>
        <s v="Gojlra, LLC" u="1"/>
        <s v="Brad &amp; Theresa Franklin" u="1"/>
        <s v="ACS Jacksonville" u="1"/>
        <s v="Orion Commercial" u="1"/>
        <s v="same as buy" u="1"/>
        <s v="James Douglas" u="1"/>
        <s v="Huffman Builders" u="1"/>
        <s v="Bio-med Applications of Louisiana" u="1"/>
        <s v="ART Cass City" u="1"/>
        <s v="Weitzman Realty" u="1"/>
        <s v="Mark Jaffe" u="1"/>
        <s v="Jaffe Building Inc" u="1"/>
        <s v="VD Curran Jr 2011 Trust" u="1"/>
        <s v="WCAH LP" u="1"/>
        <s v="Hill of Gray Seven LLC" u="1"/>
        <s v="Clark Steet Development" u="1"/>
        <s v="AEI" u="1"/>
        <s v="ARC Healthcare Trust III" u="1"/>
        <s v="RHGC Investmetns" u="1"/>
        <s v="CIM Real Estate Finance Trust" u="1"/>
        <s v="CC Tower Center, Ltd." u="1"/>
        <s v="Meridian Property" u="1"/>
        <s v="FRE Montana LLC" u="1"/>
        <s v="Catylst CRE" u="1"/>
        <s v="Danson Properties LLC" u="1"/>
        <s v="HCI" u="1"/>
        <s v="South Rockdale Dialysis LLC" u="1"/>
        <s v="Michael Terry D and Terri L" u="1"/>
        <s v="Cobra" u="1"/>
        <s v="Four Springs" u="1"/>
        <s v="Alderson Commercial Group" u="1"/>
        <s v="Market Street Development LLC" u="1"/>
        <s v="Womob Fresenius Brimingham LLC" u="1"/>
        <s v="Lehigh Valley Diagnostic Imaging" u="1"/>
        <s v="Akshar Development And Investments LLC" u="1"/>
        <s v="Areteaus Realty Trust" u="1"/>
        <s v="Dekalb Dialysis LLC" u="1"/>
        <s v="Atlantic Realty Companies" u="1"/>
        <s v="P Babu Sagireddy; Bharathi Sagireddy" u="1"/>
        <s v="Avera Properties &amp; Associates LLC" u="1"/>
        <s v="Four Springs Cap Trust" u="1"/>
        <s v="b2Partners" u="1"/>
        <s v="Alliance Consolidated" u="1"/>
        <s v="MDG Development Group" u="1"/>
        <s v="South Texas Renal Care - STRC SOUTH FLORES PROPERTIES, LLC" u="1"/>
        <s v="Jack Deblaey; Brenda M Deblaey" u="1"/>
        <s v="AR Global Investments" u="1"/>
        <s v="Elliott Bay Capital Trust LLC" u="1"/>
        <s v="Dayton Street Prtnrs LLC" u="1"/>
        <s v="Albany Renal Construction, LLC" u="1"/>
        <s v="Vincent Curran" u="1"/>
        <s v="FRE Lubbock, LLC" u="1"/>
        <s v="Askhar Development" u="1"/>
        <s v="COP Halifax, LLC" u="1"/>
        <s v="Hill-Gray Seven LLC" u="1"/>
        <s v="FRE Walterboro, LLC | MGB Development" u="1"/>
        <s v="Centres, Inc." u="1"/>
        <s v="Oman-Gibson Associates " u="1"/>
        <s v="Akshar Development" u="1"/>
        <s v="MMFI, LLC " u="1"/>
        <s v="Weitzman Realty Associates" u="1"/>
        <s v="Clark Street Dev LLC" u="1"/>
        <s v="Centres Inc" u="1"/>
        <s v="TA Development" u="1"/>
        <s v="COP Sun Prairie, LLC" u="1"/>
        <s v="Columbia Pacific Advisors, LLC" u="1"/>
        <s v="FRE Carbondale LLC" u="1"/>
        <s v="Axis Property Holdings LLC" u="1"/>
        <s v="Richard F Walker Jr" u="1"/>
        <s v="Virgata" u="1"/>
        <s v="SunTrust Robinson Humphrey, Inc." u="1"/>
        <s v="COP Caswell" u="1"/>
        <s v="Medi Vakili" u="1"/>
        <s v="Shuford Development, Inc." u="1"/>
        <s v="MBG Development" u="1"/>
        <s v="Northwest Eagle Development LLC" u="1"/>
        <s v="John Toneman" u="1"/>
        <s v="Taylor Sophia D The Marital Trust" u="1"/>
        <s v="DaVita Dialysis " u="1"/>
        <s v="1431 Partnership LLC" u="1"/>
        <s v="Davita, Inc" u="1"/>
        <s v="Avalon Properties" u="1"/>
        <s v="Chris Kitchens" u="1"/>
        <s v="Coos Bay Properties, LLC" u="1"/>
        <s v="FMC" u="1"/>
        <s v="Meridian Property Co." u="1"/>
        <s v="Genesis KC Development LLC" u="1"/>
        <s v="Livingspring Ventures Inc" u="1"/>
        <s v="Leo Schigiel" u="1"/>
        <s v="Mosaic Properties" u="1"/>
        <s v="Columbia Pacific" u="1"/>
        <s v="Parkside Building Partners LLC" u="1"/>
        <s v="Genesis KC Development" u="1"/>
        <s v="AJ Winter Haven FMC Llc" u="1"/>
        <s v="Shuford Development Inc" u="1"/>
        <s v="Equity, Inc." u="1"/>
        <s v="Sundance Bay" u="1"/>
        <s v="DSI Renal Inc" u="1"/>
        <s v="Grae Rugby, LLC " u="1"/>
        <s v="COP Cleveland East LLC" u="1"/>
        <s v="EDG Partners" u="1"/>
        <s v="AEI Capital" u="1"/>
        <s v="Total Renal Care Inc" u="1"/>
        <s v="First Capital Advisors, Embree Group" u="1"/>
        <s v="Sam Colson" u="1"/>
        <s v="Stephen Moore" u="1"/>
        <s v="AEI Accredited Investment Fund V Et al" u="1"/>
        <s v="James A Padova; Marilyn A Padova, Red Mountain Group" u="1"/>
        <s v="Mc Mohan Development Group" u="1"/>
        <s v="Southwest Atlanta Nephrology" u="1"/>
        <s v="COP Wilmington, LLC" u="1"/>
        <s v="Bam Roosevelt Avenue LLC" u="1"/>
        <s v="GRAE Ventures" u="1"/>
        <s v="Brenda Sira" u="1"/>
        <s v="DRSK5, LLC" u="1"/>
        <s v="DaVita HealthCare Prtnrs" u="1"/>
        <s v="SunTrust Equity" u="1"/>
        <s v="Lynne Crowell" u="1"/>
        <s v="Block &amp; Company" u="1"/>
        <s v="Cop Deptford LLC" u="1"/>
        <s v="Markdev-Woodland LLC" u="1"/>
        <s v="Wellington Stevens III" u="1"/>
        <s v="IRA Realty Capital" u="1"/>
        <s v="Truist" u="1"/>
        <s v="Elliot Bay Capital Trust" u="1"/>
        <s v="Palestra Real Estate Partners, Inc." u="1"/>
        <s v="CROSS Development" u="1"/>
        <s v="Aldan Properties LLC" u="1"/>
        <s v="Weitzman Realty Advisors" u="1"/>
        <s v="Jaffe Dialysis" u="1"/>
        <s v="Grae Ventures, LLC | Seagrove LA" u="1"/>
        <s v="Carolina Kidney" u="1"/>
        <s v="Man O'War Development LLC No 3" u="1"/>
        <s v="Cameron Management, LLC" u="1"/>
        <s v="D &amp; H Healthcare Realty, Inc." u="1"/>
        <s v="1300 Block Moreno St LLC" u="1"/>
        <s v="FRE East Peoria Realty LLC" u="1"/>
        <s v="Oman Gibson" u="1"/>
        <s v="Villamar Inc" u="1"/>
        <s v="MonteSacro Capital" u="1"/>
        <s v="OGA Realty" u="1"/>
        <s v="MDG Development" u="1"/>
        <s v="Wellington Development" u="1"/>
        <s v="Centres Escondido LLC; Centres Management Inc" u="1"/>
        <s v="b2 Partners" u="1"/>
        <s v="McMahon Development" u="1"/>
        <s v="COP Springfield LLC" u="1"/>
        <s v="ARC Healthcare Trust" u="1"/>
        <s v="Alliance" u="1"/>
        <s v="Elliott Bay Capital Trust" u="1"/>
        <s v="Dv Wyoming LLC" u="1"/>
        <s v="Senior Housing Properties Trust, Diversified Heatlhcare Trust" u="1"/>
        <s v="Village Bank" u="1"/>
        <s v="Brixmor Holdings" u="1"/>
        <s v="EDG-DV Olympia, LLC" u="1"/>
      </sharedItems>
    </cacheField>
    <cacheField name="L. BROKER" uniqueList="1" numFmtId="0" sqlType="0" hierarchy="0" level="0" databaseField="1">
      <sharedItems count="0" containsBlank="1"/>
    </cacheField>
    <cacheField name="BUYER" uniqueList="1" numFmtId="0" sqlType="0" hierarchy="0" level="0" databaseField="1">
      <sharedItems count="1327" containsBlank="1">
        <m/>
        <s v="BPG Investments III, LLC"/>
        <s v="Medical Campus Properties, LLC"/>
        <s v="Sumitomo Bank Leasing and Finance, Inc"/>
        <s v="Mayfield Pacific LLC"/>
        <s v="Sidford Capital LLC"/>
        <s v="Menachem Tiefenbrun"/>
        <s v="Agah Farms, Inc"/>
        <s v="Triple Net Real Estate"/>
        <s v="180 Health Services"/>
        <s v="Yamato Mariana"/>
        <s v="Cary Adler"/>
        <s v="Patrick Freedle"/>
        <s v="Rocky Canyon Properties LLC"/>
        <s v="Dong Hour Shu Rev Trust"/>
        <s v="Vietnamese American Community Center"/>
        <s v="Daniel Christy"/>
        <s v="Sogia Investments, LLC"/>
        <s v="JTG Properties LLC"/>
        <s v="351virginia Llc"/>
        <s v="Big Day Property, LLC"/>
        <s v="Woodside Health"/>
        <s v="Medeiros Family Trust"/>
        <s v="JRA Associates"/>
        <s v="John Sweeny"/>
        <s v="NNN Reit"/>
        <s v="Jeffrey Miller"/>
        <s v="Garcia Bello Revocable Living Trust"/>
        <s v="SG Mortgage Finance Corp"/>
        <s v="Justin Alvey"/>
        <s v="Lake County Tribal Health"/>
        <s v="Marion Moore"/>
        <s v="Clayron, LP"/>
        <s v="Vorndran Construction"/>
        <s v="Arash Tirandaz"/>
        <s v="Agree Realty Corp"/>
        <s v="Westmoreland"/>
        <s v="Seaman Corp."/>
        <s v="Chad Hester"/>
        <s v="Cascade Cottages , LLC"/>
        <s v="Salim Dossani"/>
        <s v="WTH, LP"/>
        <s v="Eastpak Properties, LLC"/>
        <s v="Bolter Herns, LLC"/>
        <s v="David Meggs"/>
        <s v="Genesis KC Dev"/>
        <s v="Jon Crosfield"/>
        <s v="Richard Zeghibe"/>
        <s v="Sierra Assets Group, LTD"/>
        <s v="Four Corners Property Trust"/>
        <s v="TriUnity Ventures, LLC"/>
        <s v="Torrey Financial Group"/>
        <s v="Joseph Vernot"/>
        <s v="Qari One, LLC"/>
        <s v="Panoche Creek River Ranch"/>
        <s v="Donald Diedrichs"/>
        <s v="KRE-JUP-MI, LLC"/>
        <s v="Cam Hoang"/>
        <s v="Farmer Holdings"/>
        <s v="MedProperties Realty"/>
        <s v="Brock LLC"/>
        <s v="Ganga Rao"/>
        <s v="Marc Raiken"/>
        <s v="Small Street Realty, LLC"/>
        <s v="ExchangeRight"/>
        <s v="Gery Flattery"/>
        <s v="Gabrieyel Nshanyan"/>
        <s v="Joseph Muscarelle"/>
        <s v="Peter Douvlis"/>
        <s v="Osasha Properties, LLC"/>
        <s v="Bruce Schreiber"/>
        <s v="Sumitomo"/>
        <s v="Allison Huynh"/>
        <s v="MassMutual"/>
        <s v="International Asset Management Inc"/>
        <s v="Otilia Gomez"/>
        <s v="STORE"/>
        <s v="Miguel Diego"/>
        <s v="Richard Lam"/>
        <s v="Zafar Properties, LLC"/>
        <s v="Stone Mountain Financial"/>
        <s v="Michael Tsoumpas"/>
        <s v="Transwestern"/>
        <s v="Elwood Harper"/>
        <s v="Will Beck"/>
        <s v="AW Property Company"/>
        <s v="Adnan Enterprises, LLC"/>
        <s v="Richard H. Cohn"/>
        <s v="Nazim and Shehnaz Habib"/>
        <s v="Jigar Amin"/>
        <s v="Connie Gooden"/>
        <s v="Truist Securities, Inc (SunTrust / BB&amp;T)"/>
        <s v="Astute Ventures, LLC"/>
        <s v="DaVita"/>
        <s v="Bipinkumar Patel"/>
        <s v="Eugene Seymour"/>
        <s v="Jedburg Mallard, LLC"/>
        <s v="Rajesh Mangray"/>
        <s v="Sun Rise Independence, LLC"/>
        <s v="PPG Healthcare"/>
        <s v="CHERRY HILL MPE"/>
        <s v="Maha Alul"/>
        <s v="Rendina Companies"/>
        <s v="Jasjeet Malli"/>
        <s v="Levy Properties"/>
        <s v="Muhizi Condo"/>
        <s v="Gurinder Grewal"/>
        <s v="Rita Duyn"/>
        <s v="Cyprus Folsom DV"/>
        <s v="Ocean Block Capital"/>
        <s v="RRS Investment Group, LLC"/>
        <s v="AEI"/>
        <s v="Platform Ventures"/>
        <s v="JC Capital Group"/>
        <s v="John Coffey"/>
        <s v="JBL Asset Manamgement"/>
        <s v="Eli Mordechai"/>
        <s v="Tom Siskar"/>
        <s v="Rosalyn Herbert"/>
        <s v="Whitehall Horizons"/>
        <s v="Soon Lee"/>
        <s v="Cypress West Realty Partners LLC"/>
        <s v="Robert T Lee"/>
        <s v="Frall Developers"/>
        <s v="Levy, Mossé &amp; Co."/>
        <s v="Westbrook Real Estate"/>
        <s v="DaVita, Inc."/>
        <s v="Thompson Realty Group"/>
        <s v="Phillips Edison"/>
        <s v="Gretna Investments"/>
        <s v="Pryor Family Living Trust"/>
        <s v="Executive Equities"/>
        <s v="Grupo Mirsa"/>
        <s v="The 2019 Yoon Sook Cho &amp; Sang Whan Han Recoverable Turst"/>
        <s v="Jeffrery Harrison"/>
        <s v="Paul&amp; Maria Buchell"/>
        <s v="David Morvia"/>
        <s v="Phoenix Realty Management"/>
        <s v="Realty Income Corporation"/>
        <s v="SC Young Investment Partners, LLC"/>
        <s v="Chiang family"/>
        <s v="Community Aid, Inc"/>
        <s v="W&amp;L Associates"/>
        <s v="Lev 8, LTD"/>
        <s v="Floyd Brown Trust"/>
        <s v="Dennis Needleman"/>
        <s v="Roy Bara"/>
        <s v="Martin Properties"/>
        <s v="CFH-Wehrle Apt LLC"/>
        <s v="CIRE Partners"/>
        <s v="Ted Sykes"/>
        <s v="Terra Firma Investments, LLC"/>
        <s v="Davidson Properties Holding, LLC"/>
        <s v="Chris House"/>
        <s v="Candor Capital"/>
        <s v="Yousong Wang"/>
        <s v="R Mancini Enterprises"/>
        <s v="Chase Properties"/>
        <s v="Wassim Tawfik"/>
        <s v="JB Harrison Properties"/>
        <s v="RTS Agri Business, LLC"/>
        <s v="2249 Reynolds, LLC"/>
        <s v="Elizabeth Hazard"/>
        <s v="NAI First Commercial Real Estate &amp; Advisory Services"/>
        <s v="The Kennedy Family 2004 Revocable Trust"/>
        <s v="Vista Thirty, LLC"/>
        <s v="Management Solution Corporation"/>
        <s v="SMR Greenwood Emerson, LLC"/>
        <s v="Niaz Real Estate, LLC"/>
        <s v="Hickory Pine Partners LLC"/>
        <s v="Michael &amp; Elizabeth Madden"/>
        <s v="Robert Greenlaw Haiman"/>
        <s v="LEJ Properties, LLC"/>
        <s v="Pioneer Outdoor"/>
        <s v="Shiva Shirvani"/>
        <s v="Juniper &amp; Olive, LLC"/>
        <s v="Fortress Investment Group"/>
        <s v="Athwal Family Trust"/>
        <s v="Eric Young &amp; Amy Wang"/>
        <s v="Krysler Partners, LP"/>
        <s v="Eric and Amy Young"/>
        <s v="Toby Scrivner"/>
        <s v="Tseng-Mueller Investments, LLC"/>
        <s v="Fresno Medical Bldg GRP LLC"/>
        <s v="Ranjika Nanayakkara"/>
        <s v="Monaco Holdings"/>
        <s v="Monaco Holdings, LLC"/>
        <s v="Healthcare Realty Trust"/>
        <s v="Cove Capital Investments"/>
        <s v="Chengxian Ren"/>
        <s v="JRW Investments"/>
        <s v="Judd Construction Inc"/>
        <s v="Sofist USA Inc"/>
        <s v="Vault Equity Partners"/>
        <s v="GWC 1, LLC"/>
        <s v="Ville Real Estate"/>
        <s v="Fortress Holdings, Inc"/>
        <s v="Cerveny Family Trust"/>
        <s v="Universal Health Services, Inc."/>
        <s v="Axiom Real Estate Investments, Inc."/>
        <s v="Craig West"/>
        <s v="George Loriente"/>
        <s v="Greg McCullough"/>
        <s v="Generation Income Properties"/>
        <s v="Ron Hircshi"/>
        <s v="PIYA Enterprises, LLC"/>
        <s v="Prep Medical-Kenner LLC"/>
        <s v="Gelt Inc."/>
        <s v="Chinu Mridha"/>
        <s v="SF Supermarket"/>
        <s v="Westmount Realty Capital"/>
        <s v="TIAA | Nuveen"/>
        <s v="Enrich Real Estate"/>
        <s v="Rider LP"/>
        <s v="Stablewood Properties"/>
        <s v="The Grossman Companies, Inc"/>
        <s v="Suzette Graeber"/>
        <s v="Robert Cox"/>
        <s v="Robert Isakov"/>
        <s v="Mohr Rurik Capital"/>
        <s v="Kohlberg Kravis Roberts &amp; Co. L.P."/>
        <s v="Ravi Telluri"/>
        <s v="El Paso Rojas Drive, LLC"/>
        <s v="Metro Developers Inc"/>
        <s v="Fidelity National Financial, Inc"/>
        <s v="830 Fairgrounds LLC"/>
        <s v="Paul Rutter"/>
        <s v="2205 Kennedy LLC"/>
        <s v="2424 Manatee LLC"/>
        <s v="AR Global"/>
        <s v="Jasman Motels Inc"/>
        <s v="Kjellberg Family Trust"/>
        <s v="Schroeder Family Trust"/>
        <s v="EPLS, LLC"/>
        <s v="Brown Family, LP"/>
        <s v="Orton Development, Inc."/>
        <s v="Brooks Family Trust"/>
        <s v="Stella Quan"/>
        <s v="Doug Schiepe"/>
        <s v="New Doc Properties "/>
        <s v="WoodFR, LLC"/>
        <s v="Presley Green Falls, LLC"/>
        <s v="Sandra Shpilberg"/>
        <s v="ASL Equity Group, LLC"/>
        <s v="Gelncord Building Corp"/>
        <s v="Choice One Development"/>
        <s v="Thomas Swirbel"/>
        <s v="Essential Properties Realty Trust"/>
        <s v="Dohnal Properties LLC"/>
        <s v="Bjorn Hermann"/>
        <s v="M&amp;J Partners"/>
        <s v="Orion Commercial"/>
        <s v="Vino Patel"/>
        <s v="John Hessler"/>
        <s v="CA Student Living"/>
        <s v="Joy Gorodess"/>
        <s v="LAM &amp; W Realty, LLC/ Wayne Heicklen"/>
        <s v="Pryor Cashman LLP"/>
        <s v="Wayne Heicklen"/>
        <s v="MidWest Dialysis Centers"/>
        <s v="Bedrock Investments Group"/>
        <s v="Julie Oh"/>
        <s v="M3 Management"/>
        <s v="Lewis Enterprises, Inc"/>
        <s v="Nautilus Global Investments"/>
        <s v="NETSTREIT Corp"/>
        <s v="FK Capital Partners, LLC"/>
        <s v="Elliott Bay Capital"/>
        <s v="Westbury Lonestar LLC"/>
        <s v="InCommercial Property Group"/>
        <s v="Salvan"/>
        <s v="Kakoniktis S&amp;N 2003 Trust"/>
        <s v="Fresenius Medical Care"/>
        <s v="Giampaolo Guarino"/>
        <s v="Elliott Bay"/>
        <s v="Terry Mammen"/>
        <s v="Brock, LLC"/>
        <s v="NV Young Invs Partners LLC "/>
        <s v="Eleanor Sommers"/>
        <s v="Advanta IRA"/>
        <s v="James Schroeder"/>
        <s v="Larry Wesselink"/>
        <s v="Robert Fischbach"/>
        <s v="Unlock R/E LaGrange"/>
        <s v="DRK FUND 1 LLC"/>
        <s v="Scott Flynn"/>
        <s v="Daniel Richards"/>
        <s v="Robert Fischback"/>
        <s v="Savlan Capital"/>
        <s v="Benjamin Ferguson"/>
        <s v="DP Brighton LLC"/>
        <s v="Net Lease Alliance"/>
        <s v="Vision Development &amp; Management"/>
        <s v="EG Miami LLC"/>
        <s v="Four Springs Capital"/>
        <s v="IPG"/>
        <s v="Cyrus Mohseni"/>
        <s v="Jeffrey Greenman"/>
        <s v="Louis Wildman"/>
        <s v="Jensen F &amp; Jade Cheng"/>
        <s v="Eighty Eight Ranch LLC"/>
        <s v="Joe Houston"/>
        <s v="Vaughn Burbidge"/>
        <s v="ELB Consulting "/>
        <s v="HG Fenton Co"/>
        <s v="Kingsbarn Realty"/>
        <s v="Tim Connoly"/>
        <s v="Tom Hawat"/>
        <s v="K&amp;T Ranch"/>
        <s v="KKS Investments"/>
        <s v="Astoria Oaks LLC"/>
        <s v="Block RE Services"/>
        <s v="Bingsheng Ma"/>
        <s v="Cheryl Ann Cummings"/>
        <s v="Eric Young"/>
        <s v="Constance Tinneny"/>
        <s v="Jack Burton"/>
        <s v="Scott L. Gould"/>
        <s v="David Roth"/>
        <s v="Red Bayou Farms Inc"/>
        <s v="Lee Venable"/>
        <s v="Vineland Construction"/>
        <s v="Daniel Del Grande"/>
        <s v="JJW Holdings LLC"/>
        <s v="Kwan Lee"/>
        <s v="Evans Family Trust"/>
        <s v="Kaizad Shroff"/>
        <s v="Johnson Professional Building"/>
        <s v="Jieyong Shen"/>
        <s v="JLS Family LLC"/>
        <s v="SunTrust"/>
        <s v="Franca Carnevale"/>
        <s v="Kirk Kleinen"/>
        <s v="K &amp; E Rental CO"/>
        <s v="Bruce Screiber"/>
        <s v="Earl Warrick"/>
        <s v="TRW Holdings LLC"/>
        <s v="Glenn Laiken"/>
        <s v="Erik Dargevics"/>
        <s v="Baceline Investments"/>
        <s v="Hamtramck Public Schools"/>
        <s v="Omar Araim"/>
        <s v="Richard Fimmel"/>
        <s v="Vinton Oil, Inc"/>
        <s v="Larry Wilson"/>
        <s v="Phuong Trinh"/>
        <s v="LACEDAV, LLC"/>
        <s v="Rudisill Properties LLC"/>
        <s v="Michael Frank"/>
        <s v="Global Medical REIT"/>
        <s v="Sal Mirran"/>
        <s v="JC Capital Holdings Group"/>
        <s v="Nina's Kitchen LLC"/>
        <s v="South Valley Medical"/>
        <s v="Jamie &amp; Irene Sirebrenik"/>
        <s v="Blooming Meadows, LLC"/>
        <s v="Rajendra Baliga"/>
        <s v="450 BF, LLC"/>
        <s v="Sridhar Madala"/>
        <s v="Tea Yim"/>
        <s v="Ryvers Reeder"/>
        <s v="William Yeager"/>
        <s v="SS Realty"/>
        <s v="Harter Trust"/>
        <s v="Larry Hatter"/>
        <s v="Palms Associates"/>
        <s v="Vasdev Lohano"/>
        <s v="Arti Patel"/>
        <s v="Rudy Dajie"/>
        <s v="White Oak Healthcare MOB REIT"/>
        <s v="Orion RE Group"/>
        <s v="Davidson Properties Holdings"/>
        <s v="Redwoods KRC, LLC "/>
        <s v="The Sheldon Family Trust"/>
        <s v="Jewel Johl"/>
        <s v="William Svingos"/>
        <s v="Tom Peek"/>
        <s v="Michael Swatek"/>
        <s v="Chris Washko"/>
        <s v="Hugh Kinsey"/>
        <s v="Donald Devine"/>
        <s v="Peter Browns"/>
        <s v="Memphis Medica LLC "/>
        <s v="Rashid Shaukat"/>
        <s v="Rebecca Huston"/>
        <s v="Warm Springs Edifice, LLC "/>
        <s v="Laura Petitti"/>
        <s v="Song Woo"/>
        <s v="Saju Ramapuram"/>
        <s v="Rn2 Ventures, LLC "/>
        <s v="Shiva Naidu"/>
        <s v="Lane Gaddy"/>
        <s v="B &amp; P Herman "/>
        <s v="Gary Fultheim"/>
        <s v="Modco of Kentucky, LLC "/>
        <s v="Charan Donkor"/>
        <s v="Zalix, Inc "/>
        <s v="Universal Health Realty Income Trust"/>
        <s v="CommPros"/>
        <s v="STNL FMC Decatur LLC"/>
        <s v="Remedy Medical Properties, Kayne Anderson"/>
        <s v="STNL Development"/>
        <s v="AR INV LP"/>
        <s v="Thomas Broadwell"/>
        <s v="Kabe Enterprises, Inc"/>
        <s v="Odell Mitchell Moore"/>
        <s v="Tam Nguyen"/>
        <s v="Tracy Pulliam"/>
        <s v="Edward Martinazzi"/>
        <s v="Michael Katz"/>
        <s v="Meridian Investment Group of Florida I, LLC"/>
        <s v="Housdav LLC"/>
        <s v="Newton Commons Realty"/>
        <s v="North Oak LLC"/>
        <s v="Jeffrey Harrison"/>
        <s v="Conan Li"/>
        <s v="Zacharias Abaro"/>
        <s v="Pistachio LLC"/>
        <s v="Rood Investments"/>
        <s v="Ryan Allen"/>
        <s v="Jim Askins"/>
        <s v="Wang &amp; Hsu Realty Partners, LLC."/>
        <s v="GP West, Inc"/>
        <s v="DV Wyoming, LLC"/>
        <s v="Dhiment Sheth"/>
        <s v="Nazareth Enterprises"/>
        <s v="Terrance Fergus"/>
        <s v="Harris Investment Group"/>
        <s v="Senter Family Trust"/>
        <s v="William Stuart"/>
        <s v="Gerald Wood"/>
        <s v="Dan Dunphy"/>
        <s v="-"/>
        <s v="Chiang Family Trust"/>
        <s v="Rosemary Warnick"/>
        <s v="Parva LLC"/>
        <s v="Dino Riggio"/>
        <s v="Centres, Inc"/>
        <s v="Groman Living Trust"/>
        <s v="Kaiju LLC"/>
        <s v="Ed McGrew"/>
        <s v="Shirely Jeanne Carmichael Family Trust"/>
        <s v="VDM Palm Coast Retail Dev, LLC "/>
        <s v="Prosper Holdings, LLC"/>
        <s v="Robert Wilson"/>
        <s v="Mark Vasallo"/>
        <s v="Pope Properties &amp; Investments, LP"/>
        <s v="MetLife"/>
        <s v="Anwer Kalim"/>
        <s v="Gelt Inc"/>
        <s v="Jack E Stephens; Denise M Stephens, David P Walling"/>
        <s v="Amba Ests Of San Antonio LLC"/>
        <s v="Pearl Wang"/>
        <s v="432 Oak Street, LLC "/>
        <s v="Babette Snyder"/>
        <s v="Larry Seida"/>
        <s v="Saroj"/>
        <s v="equity investment group, Inc"/>
        <s v="Escape Velocity Commercial Properties"/>
        <s v="Richard Litchfield"/>
        <s v="Alliance Consolidated Group of Companies LLC"/>
        <s v="bynd Properties, LLC"/>
        <s v="Raycom Data Technologies"/>
        <s v="Parasac"/>
        <s v="Chong Lee"/>
        <s v="Shining Start Real Estate LLC"/>
        <s v="Dan Elwing"/>
        <s v="Nicholas Taylor"/>
        <s v="MDG "/>
        <s v="RE/MAX Realty Associates"/>
        <s v="Gongyuan Ding"/>
        <s v="Daniel Sharp "/>
        <s v="KW Global Inc"/>
        <s v="Gordon Miller Trust 2014"/>
        <s v="The Leser Group"/>
        <s v="Water Street Properties"/>
        <s v="Oak Grove Medical Center LLC"/>
        <s v="EDHI Real Estate, LLC"/>
        <s v="John Inson"/>
        <s v="Victor Alessi &amp; Nancy Sullivan-Alessi "/>
        <s v="Lorraine M Gerrity"/>
        <s v="GHO Properties, Inc"/>
        <s v="Meadfam FL, LLC"/>
        <s v="Ward Burroughs"/>
        <s v="Federal Way LLC"/>
        <s v="Kantor, LLC"/>
        <s v="Clh Ventrures, LLC"/>
        <s v="Ridgeline Cap Prtnrs"/>
        <s v="Centurion Fuchigami International Inc"/>
        <s v="RI Havens Properties "/>
        <s v="Pereira Luis F Family Trust"/>
        <s v="Junction Medical, LLC"/>
        <s v="Montecito Medical"/>
        <s v="Stephen Eustace"/>
        <s v="Lee Rivera Enterprises LLC"/>
        <s v="Vinodbhal T Patel; CT Switzer"/>
        <s v="CINC Temple"/>
        <s v="Mcdonald Isabel Ranch, LLC"/>
        <s v="Vinodbhai Patel"/>
        <s v="Brune Realt, LLC"/>
        <s v="Lovenson Family Trust"/>
        <s v="Craig Burrows"/>
        <s v="Jeffrey a Newhouse"/>
        <s v="Phil Buteau"/>
        <s v="3943 New Bern Raleigh LLC"/>
        <s v="Sage Hills MHP LLC"/>
        <s v="Enrich Real Estate of North Carolina LLC"/>
        <s v="IPA Medical Plaza"/>
        <s v="Luis Pineda"/>
        <s v="Namkung Family Trust"/>
        <s v="Community Healthcare Trust"/>
        <s v="Forster Family Trust"/>
        <s v="Alpha FMS Holdings LLC"/>
        <s v="Jeffrey Koenig"/>
        <s v="Natasha Lal"/>
        <s v="Dennis Xander"/>
        <s v="Sirott Family Trust"/>
        <s v="1121 Overcash Drive LLC"/>
        <s v="Metro Group Finance"/>
        <s v="Ben Hisumi"/>
        <s v="Sonia &amp; Yim Tea"/>
        <s v="Zeev Kain"/>
        <s v="East Coast Realtors, Inc"/>
        <s v="Tom Lyon"/>
        <s v="Rocky Mountain College"/>
        <s v="Equity Investment Group, Inc."/>
        <s v="Core Investments Adam Greenberg"/>
        <s v="EIG Shelbyville LLC"/>
        <s v="Equimax Management"/>
        <s v="Yellowhammer Partners"/>
        <s v="Sallie Properties Toledo, LLc"/>
        <s v="TCI Capital Group, LLC"/>
        <s v="Vasallo Construction "/>
        <s v="HF FMC Prairieville LLC; HF FMC Plaquemine LLC"/>
        <s v="Bear River Band of Rohnerville Rancheria"/>
        <s v="Enagoda, LLC"/>
        <s v="Venkata Parsa"/>
        <s v="Debbie Mammen"/>
        <s v="Khan Family Trust"/>
        <s v="Midwest Equity Investors"/>
        <s v="Front Properties, LLC"/>
        <s v="Kniesche Family LLC"/>
        <s v="Roy &amp; Sharon Ghazimorad"/>
        <s v="D&amp;M Holdings, LLC"/>
        <s v="Deborah Dyer"/>
        <s v="Yellowhammer 3050, LLC"/>
        <s v="Mark Peabody Trust"/>
        <s v="5340 Ave Maria LLC"/>
        <s v="Garv Holdings LLC"/>
        <s v="MSP Commercial"/>
        <s v="Lakeport Investment, LLC"/>
        <s v="Persis Corp"/>
        <s v="Piezzi Building, LLC"/>
        <s v="Rubicon Investments, Inc."/>
        <s v="Highland Property Group"/>
        <s v="Lodri Holdings"/>
        <s v="Shakoor Arain"/>
        <s v="Inland RE Group"/>
        <s v="Luke Realty Management"/>
        <s v="Supersonic Property Management LLC"/>
        <s v="Suzanne E Christian, Stephen Block, Sharon Mee"/>
        <s v="V2 RIDHI LLC"/>
        <s v="Michael Choo"/>
        <s v="IRA Capital"/>
        <s v="Robert T Glasper"/>
        <s v="Rusley LLC"/>
        <s v="RTS Orchards LLC"/>
        <s v="HFM LLC"/>
        <s v="Brighten Properties, LLC"/>
        <s v="The Dyt Family Trust"/>
        <s v="William Hinton"/>
        <s v="Broadstone Net Lease"/>
        <s v="Eckert Investments"/>
        <s v="Christopher O'Brien; Brock Transportation"/>
        <s v="Mangini Family Investments"/>
        <s v="Westwood-Laredo LLC"/>
        <s v="James Porile"/>
        <s v="Dan Hennessy"/>
        <s v="Citirich Realty Corp"/>
        <s v="FRC Genesis Fundsub I LLC"/>
        <s v="Michael M Gharib"/>
        <s v="Donald and Lisa Aull"/>
        <s v="Hill Fmaily Trust"/>
        <s v="AAA&amp;P Limited Partnership"/>
        <s v="Next Generation Capital, LLC"/>
        <s v="Patel Realty Trust"/>
        <s v="Primax Properties, LLC"/>
        <s v="Penichet Trust"/>
        <s v="JHC Family LLC"/>
        <s v="Damon &amp; Marie Bond Family, LLC"/>
        <s v="W Pecan Street LLC"/>
        <s v="AAA&amp;P LP"/>
        <s v="Camerena Health"/>
        <s v="Dr Sunil Patel"/>
        <s v="Canvass Capital"/>
        <s v="Koenig Management Limited"/>
        <s v="Westwood Net Lease Advisors"/>
        <s v="Glazier Financial Network"/>
        <s v="Canvass Real Estate LLC"/>
        <s v="Alan Huttmann"/>
        <s v="Howard Weintraub 1990 Trust"/>
        <s v="Richard Rouhoff"/>
        <s v="Paseo LLC | Property Acquisition Assoc LLC | RNP 18 LLC | Novalis LLC | Lodestar Capital LLC "/>
        <s v="RNP-17 LLC"/>
        <s v="Kumiva Group LLC"/>
        <s v="Shelbyville Medical Office Facility, LLC"/>
        <s v="HWB Holdings Inc"/>
        <s v="Talcott Terrace LLC"/>
        <s v="Ai Columbia SC, LLC"/>
        <s v="JB &amp; Sons LLC"/>
        <s v="Howard Family Trust"/>
        <s v="Joseph Rubino"/>
        <s v="Kessinger Hunter &amp; Company"/>
        <s v="David Szott"/>
        <s v="Bamber Holdings LLC"/>
        <s v="Kerry M Beckstead &amp; Lawana F Beckstead"/>
        <s v="Queen's Medical Center"/>
        <s v="Bene Facto Properties"/>
        <s v="Fort Ashford Ventures LLC"/>
        <s v="The CHY Company"/>
        <s v="CA Legacy LLC"/>
        <s v="Matriarch Hialeah LLC"/>
        <s v="Ssab Associates LLC"/>
        <s v="Wellington Development Company"/>
        <s v="Alan Ziess"/>
        <s v="Clinical Innovations Inc"/>
        <s v="Svea Industrial V LLC"/>
        <s v="Kairos Real Estate Partners"/>
        <s v="Antro, LLC"/>
        <s v="Calipine Corp"/>
        <s v="Helen Sullivan"/>
        <s v="James a &amp; Mary A Sperlazza"/>
        <s v="Daniel Woods"/>
        <s v="International Capital LLC"/>
        <s v="Amrit Dabie"/>
        <s v="Reid M Beucler"/>
        <s v="Richard Hunter"/>
        <s v="Capital Square 1031"/>
        <s v="Corotto Co"/>
        <s v="Roy Lee"/>
        <s v="Weisberg Family"/>
        <s v="Yochai Kidron"/>
        <s v="William Floyd"/>
        <s v="James Caughman"/>
        <s v="Plymouth Group"/>
        <s v="Merit Acquisition, LLC"/>
        <s v="William MacDonald"/>
        <s v="Marana Medical Properties LLC"/>
        <s v="Sally Lefton"/>
        <s v="Sanjay Patel"/>
        <s v="Gordon Darby"/>
        <s v="Market Street Development"/>
        <s v="D &amp; D Family LLC"/>
        <s v="John &amp; Sally F Oliveira Trust"/>
        <s v="James Jackson"/>
        <s v="Ching T. &amp; Shu H. Young Trust"/>
        <s v="Phil DeCarion"/>
        <s v="Sam Pessar"/>
        <s v="Shinko Nakayama"/>
        <s v="Tizler Group, LLC"/>
        <s v="Scotthorn Family Trust"/>
        <s v="Brixmor"/>
        <s v="Joel Karpinski"/>
        <s v="Geraldmedies, LLC"/>
        <s v="Merit Acquisitions"/>
        <s v="Erik Abraham"/>
        <s v="Jorgen Moller"/>
        <s v="George Merchison"/>
        <s v="Rex A. Jacobsma"/>
        <s v="Triangle Traders"/>
        <s v="Oddo Family"/>
        <s v="Sperry Commercial"/>
        <s v="Proeprty Alapha"/>
        <s v="Lorena Gomez"/>
        <s v="NAF Holdings, LLC "/>
        <s v="Okada Bros"/>
        <s v="Floyd Brown"/>
        <s v="Novalis LLC, RNP-13 LLC"/>
        <s v="The Waterfall"/>
        <s v="Roman DeVille"/>
        <s v="Cresencia Payumo "/>
        <s v="John Soderland"/>
        <s v="Michael Olynnger"/>
        <s v="Dennis Cooper"/>
        <s v="FRE S Columbia, LLC"/>
        <s v="FRE S Columbia LLC"/>
        <s v="Diane Olynnger"/>
        <s v="Leonard Vaccariello"/>
        <s v="Cove Debt Free "/>
        <s v="Katherine Dalton"/>
        <s v="Shadi Living Trust"/>
        <s v="Crystal Dental, Inc"/>
        <s v="Larry E and Kimi Fukumoto Trust"/>
        <s v="Margaret Farrel Valentine Trust"/>
        <s v="Frances Slate"/>
        <s v="Gelo Investments LLC"/>
        <s v="V V Continental LLC"/>
        <s v="Chao Liu"/>
        <s v="Djanogly Family Trust"/>
        <s v="Ian Rasch"/>
        <s v="MM Mona LLC"/>
        <s v="DG AKRON "/>
        <s v="Eleven North Capital"/>
        <s v="3 SP Investments"/>
        <s v="WHC, LLC."/>
        <s v="Jana Collins LLC"/>
        <s v="RLP Development"/>
        <s v="Kelnor Properties LLC"/>
        <s v="Alexander Buchanan, LLC"/>
        <s v="Lester Boihem"/>
        <s v="Wittenberg Livingston"/>
        <s v="DLPVET Ventures Georgia, LLC"/>
        <s v="Harris Thompson"/>
        <s v="Sovereign Investment Co"/>
        <s v="Camridge Research"/>
        <s v="Isaac Real Estate Holdings, LLC"/>
        <s v="Michael Laub"/>
        <s v="Mehran Taban"/>
        <s v="James Boyer"/>
        <s v="Reston"/>
        <s v="Sherman Family"/>
        <s v="Anuj Aggarwal"/>
        <s v="Ginger Investors, LLC"/>
        <s v="Unicorn Rental, LLC/ Dan Barber"/>
        <s v="CC Bar, LLC"/>
        <s v="GHWI Investments"/>
        <s v="Juan Campos"/>
        <s v="Pragyan, LLC"/>
        <s v="John Bruzzone"/>
        <s v="Puckett Family Trust"/>
        <s v="Fern Valley Properties LLC"/>
        <s v="Inder Holdings LLC"/>
        <s v="Aleta Greathouse"/>
        <s v="HWHD Moore LLC"/>
        <s v="Robert K Moore/Helen Moore"/>
        <s v="Torrey Realty"/>
        <s v="Pure Harbor Investments"/>
        <s v="Roebling"/>
        <s v="Fonte"/>
        <s v="Zenaida Sied"/>
        <s v="Northwood Inc."/>
        <s v="John Stange"/>
        <s v="Sunny Namkung"/>
        <s v="Dr. Bashar Mourad"/>
        <s v="Paras Properties"/>
        <s v="BJ Properties &amp; Management, LLC"/>
        <s v="Davies-Torrance Trust"/>
        <s v="PNR Investments, Inc"/>
        <s v="Jim Marsh"/>
        <s v="William S Benton"/>
        <s v="Ficus Tree Partners"/>
        <s v="Hamerstein, Inc"/>
        <s v="Signet Management, LLC"/>
        <s v="Maryl Petreccia"/>
        <s v="Pine Gates Investments LLC"/>
        <s v="Joyce Kwn"/>
        <s v="Christopher Ashby"/>
        <s v="Scott Curtis"/>
        <s v="Titus Properties"/>
        <s v="Richard Erath"/>
        <s v="Arts &amp; Crafts Holdings"/>
        <s v="Gina Zhang"/>
        <s v="Leibsohn &amp; Co."/>
        <s v="Bill Buck"/>
        <s v="William Buck"/>
        <s v="Florida Dialysis"/>
        <s v="Harrison Street RE Cap"/>
        <s v="JMD Group, LLC/Naresh Bellam"/>
        <s v="Harter Trust/Joseph Harter"/>
        <s v="Dr. Bobby Muthalaly"/>
        <s v="Healthcare Trust Inc"/>
        <s v="Michelle Costa"/>
        <s v="Kwabena Adjei"/>
        <s v="Yousef Mustafa"/>
        <s v="Myung Kim"/>
        <s v="Mattkarr Properties"/>
        <s v="Residual Investment Group"/>
        <s v="Michael Dean"/>
        <s v="Thomas Properties"/>
        <s v="Vista International, Inc."/>
        <s v="Leonard Gemma"/>
        <s v="The Bear River Band"/>
        <s v="Marc Palmer"/>
        <s v="Mitchel Rigby"/>
        <s v="Arnold Gilbert Schwartz"/>
        <s v="Vicent Curran"/>
        <s v="The Hagers LP"/>
        <s v="Dominick Veliko-Shapko"/>
        <s v="Eugene Toschi"/>
        <s v="Glen Pace"/>
        <s v="CJCM Investments"/>
        <s v="Brad &amp; Theresa Franklin"/>
        <s v="First and Mission"/>
        <s v="Oakland Sutter Health"/>
        <s v="Abbas Chothia"/>
        <s v="Christopher Cathcart"/>
        <s v="Gilbert &amp; Debbie Hagar"/>
        <s v="Lone Wolf Investments"/>
        <s v="Housebrand Ranch"/>
        <s v="Housebrand Ranch LLC"/>
        <s v="Real Choice Clinics Inc "/>
        <s v="Christen Group"/>
        <s v="Baxley DaVita Property LLC"/>
        <s v="Michael Agee"/>
        <s v="Kristen Cavalier"/>
        <s v="Christine Splichal"/>
        <s v="University Circle Inc"/>
        <s v="Charles Hackett Trust"/>
        <s v="Larry &amp; Anne Persons"/>
        <s v="Dr Ramanath Bhandari"/>
        <s v="Barry Messersmith"/>
        <s v="Bay Capital"/>
        <s v="Charles Johnston"/>
        <s v="Marcel Laik"/>
        <s v="Samuel Rabin"/>
        <s v="Royall Wheeler"/>
        <s v="Dialysis Owners LLC"/>
        <s v="Helena Lueng"/>
        <s v="The Lundy Group"/>
        <s v="Cathy Rosera"/>
        <s v="City of Albuquerque"/>
        <s v="Edward A Avakoff 2004 Trust"/>
        <s v="Beck Partners"/>
        <s v="Robert J. Demicheli"/>
        <s v="Wheaton Franciscan Healthcare"/>
        <s v="Yasushi Yamada Family Trust"/>
        <s v="AL Saad &amp; Co"/>
        <s v="Helena Leung"/>
        <s v="LemRX"/>
        <s v="Telegraph Ave, LLC"/>
        <s v="Erlene Smith"/>
        <s v="Angela Fu"/>
        <s v="Libo United"/>
        <s v="Anna Valek"/>
        <s v="Fleming Trust"/>
        <s v="Guilda Pekyar"/>
        <s v="Khaled Khuda"/>
        <s v="Weiss Construction"/>
        <s v="David Chang"/>
        <s v="Dorothy Wong"/>
        <s v="Jean Wong"/>
        <s v="TriHealth"/>
        <s v="Rockwell Debt Free Properties"/>
        <s v="Camino Royal"/>
        <s v="South City Partners"/>
        <s v="DJ LeoGrande"/>
        <s v="Ashok Kumar"/>
        <s v="Schlesinger C."/>
        <s v="Mt. Park Oklahoma, LLC"/>
        <s v="Roger Michaud"/>
        <s v="Frankford Avenue Properties Inc"/>
        <s v="Lakshmana Arasu"/>
        <s v="William Sanders Trust"/>
        <s v="Rmd Properties LLC"/>
        <s v="Quincy Holdings"/>
        <s v="Metrolina Nephrology Associates"/>
        <s v="The Subotnick Family Limited Partnership"/>
        <s v="James Naekel Trust"/>
        <s v="Oman Gibson"/>
        <s v="Sukwon Lee"/>
        <s v="YJ Lee Realty Inc"/>
        <s v="YJ Realty Inc; Sukwon Lee"/>
        <s v="Triangle Capital Group"/>
        <s v="Coornu 408 Realty Corp"/>
        <s v="MB Real Estate"/>
        <s v="RAI Ventures LLC"/>
        <s v="Vesey St Investments LLC"/>
        <s v="Ronco Development"/>
        <s v="Lloyd Berhoff"/>
        <s v="Allan R Francescutti"/>
        <s v="RealtyNet Properties, LLC."/>
        <s v="Cole Office &amp; Ind REIT II"/>
        <s v="Club Oil &amp; Gas"/>
        <s v="Matthew Moschetti"/>
        <s v="Thompson Trust"/>
        <s v="Grissiom Family"/>
        <s v="Rebecca Laymon"/>
        <s v="Yoon Cho"/>
        <s v="10815 Gold Center LLC"/>
        <s v="AMJ Group"/>
        <s v="Sun Rise Lemoyne LLC"/>
        <s v="Avalon Properties, LLC"/>
        <s v="Mogster Family Trust"/>
        <s v="Gada Family Trust"/>
        <s v="ZJ &amp; R Properties LLC"/>
        <s v="Steven Vicks"/>
        <s v="240 Churchill Ave Somerset LLC"/>
        <s v="18020 LLC"/>
        <s v="River Blue LLC"/>
        <s v="OKC Prime Investments"/>
        <s v="Greysteel Companies"/>
        <s v="Sunny Wang LLC"/>
        <s v="TLV Properties, LLC"/>
        <s v="FHS Dayton"/>
        <s v="Simens &amp; Polo, LLP"/>
        <s v="George Linton"/>
        <s v="12 Stonewall LLC"/>
        <s v="Greg Compagno"/>
        <s v="Gregory Compagno"/>
        <s v="Robert Diamond"/>
        <s v="Charles Goldberg"/>
        <s v="Eli Erlich"/>
        <s v="Polsky Family Trust"/>
        <s v="Krishna &amp; Anna Mohan Trust"/>
        <s v="Richards Capital"/>
        <s v="Dean Goetz"/>
        <s v="Bass Medical Group"/>
        <s v="George Huffman"/>
        <s v="MPT Holdings "/>
        <s v="Tognoli 1999 Family Trust"/>
        <s v="Bashar Mourad"/>
        <s v="Jie Wang"/>
        <s v="Yellowhammer"/>
        <s v="NorthWall Builders"/>
        <s v="Nelson Family Trust"/>
        <s v="Intelica Commercial Real Estate"/>
        <s v="OGA Realty"/>
        <s v="Children's Mercy Hospital"/>
        <s v="Nazem Zelkha"/>
        <s v="900 21st Street Investors LLC"/>
        <s v="Moons Family Trust"/>
        <s v="Midtown Niki"/>
        <s v="The Niki Group"/>
        <s v="Cameron Management LLC"/>
        <s v="Bob Bello"/>
        <s v="Ash Razdan"/>
        <s v="3046 Del Prado, LLC"/>
        <s v="Timothy Sep"/>
        <s v="BlueRoad Ventures"/>
        <s v="Castagnolo Properties Inc"/>
        <s v="Allen Gooding"/>
        <s v="Tri Star Associates; Frank Grossman"/>
        <s v="Pro Health Properties"/>
        <s v="Gregory Bancroft"/>
        <s v="CV Sheldon Family LP"/>
        <s v="Vanderson Construction"/>
        <s v="Real Estate Discovery Ventures"/>
        <s v="Bamboo Equity Partners"/>
        <s v="Elle M Stern Cleveland"/>
        <s v="Hill Gray Seven"/>
        <s v="Andrew Urban"/>
        <s v="Bridgeville Professional Center, LLC"/>
        <s v="Wiggin Properties"/>
        <s v="643 Webstret St LLC"/>
        <s v="Mosaic Properties"/>
        <s v="Bedrock La Grance"/>
        <s v="Curt Green"/>
        <s v="US Renal Care"/>
        <s v="Carlos Go"/>
        <s v="Linear Reatail Properties"/>
        <s v="Mick Lafata"/>
        <s v="Carrollwood Investors, LLC"/>
        <s v="David Shenton"/>
        <s v="John H &amp; Mary C Santos"/>
        <s v="Michael &amp; SJ Butler Trust"/>
        <s v="Hong Zhou"/>
        <s v="Namtso LLC"/>
        <s v="RJR, LLC"/>
        <s v="Stockman Bank of Montana"/>
        <s v="Marjorie Stanton Trust"/>
        <s v="NAMTSO, LLC"/>
        <s v="Siobhan Caswell"/>
        <s v="The Bruce H Wiener and Karen S Wiener 1985 Trust"/>
        <s v="Unique Properties"/>
        <s v="Marble Enterprieses"/>
        <s v="Matthew Kaufman "/>
        <s v="William Carrol"/>
        <s v="James Hates"/>
        <s v="Parkade Plaza Co"/>
        <s v="Samuel Land Company"/>
        <s v="David R Bergman"/>
        <s v="John Anderson"/>
        <s v="The Gilbert Group"/>
        <s v="Stanley Hess"/>
        <s v="D &amp; K Holdings of Lakeland, LLC"/>
        <s v="Frank Santarpia"/>
        <s v="Fred Kunik"/>
        <s v="Aerco LLC"/>
        <s v="Charles Warner"/>
        <s v="Patel Florida Properties"/>
        <s v="Community Three"/>
        <s v="Motel Oaks Ltd."/>
        <s v="Hathaway Dinwiddie"/>
        <s v="Convoy Crossroads Ltd."/>
        <s v="Invest 17 LLC"/>
        <s v="Richard Sanchez"/>
        <s v="Olympia Drive Investments"/>
        <s v="Andy Meyer"/>
        <s v="Apcar Family Trust"/>
        <s v="Susan Ehsan"/>
        <s v="The Mainland Company"/>
        <s v="Dallas Renal Group/Srinivas Danda"/>
        <s v="Greg Vandenberg"/>
        <s v="Exo Capital Holdings LLC"/>
        <s v="Noble Properties"/>
        <s v="Palestra Properties"/>
        <s v="Red Mountain Retail Group"/>
        <s v="Ventas"/>
        <s v="Kaplan Properties/Karen Kaplan"/>
        <s v="HC Norpac LLC"/>
        <s v="AEI Captial Corp"/>
        <s v="Creekside Companies "/>
        <s v="Vala Properties LLC"/>
        <s v="Sabin Family Trust"/>
        <s v="Kaplan Groll Real Estate Investments/Mount Corporation"/>
        <s v="LEJ Properties"/>
        <s v="G-A Healthcare REIT III"/>
        <s v="Clue Drive / Ramesh &amp; Sheela Nayak"/>
        <s v="Ronald Blake"/>
        <s v="Nocona Henrietta Health Properties LLC/ Nocona Nursing Home LLC/ Seven Oaks Nursing Home LLC"/>
        <s v="2201 Colonial Avenue LLC"/>
        <s v="Holden Rose LLC, Rockwell Debt-Free Props, Richmore Ventures 1896 Motel Brookside, , Ann McNamara, Cromapts LLC, Riverbend Industrial Partners Ltd LP, Guymon Family Investments LLC"/>
        <s v="Melvin Hoeffliger"/>
        <s v="Moma Wind Gap LLC"/>
        <s v="Toni Ko"/>
        <s v="Richard &amp; Barbara Barrett Trust"/>
        <s v="VEREIT"/>
        <s v="John Tyler"/>
        <s v="Los Angeles Car Wash Corporation"/>
        <s v="Schindler RE"/>
        <s v="1121 California Avenue LLC"/>
        <s v="Sonoma Oaks LP"/>
        <s v="Galen Rogers"/>
        <s v="Divinity Warner Robins"/>
        <s v="Peter W Kraus"/>
        <s v="Spirit Realty Capital"/>
        <s v="California Landmark"/>
        <s v="P. Babu Sagireddy"/>
        <s v="Xellia Pharmaceuticals USA LLC"/>
        <s v="Eugene Muchnick"/>
        <s v="Dr. Karim Rezai"/>
        <s v="Perona Mission LLC"/>
        <s v="SFT Enterprises Inc"/>
        <s v="Robert A Caine Trust"/>
        <s v="CW Lane Company"/>
        <s v="Behringer"/>
        <s v="Baptist Gardens"/>
        <s v="Moss Group"/>
        <s v="Dhimant Sheth"/>
        <s v="Anthony Izmirlian"/>
        <s v="Stanley P &amp; Fred Greenspon"/>
        <s v="4802 D Dialysis LLC"/>
        <s v="Prmiere Realty"/>
        <s v="Dawn Krupa"/>
        <s v="Fred Moran"/>
        <s v="East West Properties. Co, LLc"/>
        <s v="Travalis, LLC"/>
        <s v="Rynerson Family"/>
        <s v="Herman Nieces Trust"/>
        <s v="CB Richard Ellis - Washington State"/>
        <s v="Phillip Lehrman"/>
        <s v="LA Giola, LLC"/>
        <s v="Regal Heritage, LLC"/>
        <s v="International Capital Inc."/>
        <s v="Wallis Properties"/>
        <s v="Perry Bauer"/>
        <s v="Athalie Okken"/>
        <s v="Royal Blue LLC, SMSH LLC, Jaesun Properties LLC"/>
        <s v="R K Weymouth, LLC "/>
        <s v="Adam Thrower"/>
        <s v="Creve Couer Dialysis LLC"/>
        <s v="Carter Validus Mission"/>
        <s v="Boyce Garrison Trust"/>
        <s v="Pavita Apopka LLC"/>
        <s v="The Mandarin Investment Group LLC"/>
        <s v="Charlie Secchia"/>
        <s v="Pennone Financial"/>
        <s v="Sheela Nayak"/>
        <s v="Nevada Street Partners LLC"/>
        <s v="Advanced Exteriors"/>
        <s v="ARC NYRR"/>
        <s v="Apache Colonel Rogers II, BR Investments"/>
        <s v="Bowmar LLC"/>
        <s v="Barry Shulman"/>
        <s v="Andrew Change"/>
        <s v="WM Stenton LP"/>
        <s v="Michael Cramer"/>
        <s v="SETNA Real Estate Holdings, LLC"/>
        <s v="Cole"/>
        <s v="Kevin Rudeen"/>
        <s v="5857 West Tenn Street LLC"/>
        <s v="OM Management &amp; Business Associates"/>
        <s v="Bharati Enterprises, LP"/>
        <s v="Shannon Waltchack"/>
        <s v="Baird Properties"/>
        <s v="Brauvin Real Estate"/>
        <s v="Sedlak Interiors/Jeff Sedlak"/>
        <s v="Serg 13, LLC"/>
        <s v="Sedation &amp; Implant Dentistry"/>
        <s v="Prital Kochar"/>
        <s v="Jack DeBlaey"/>
        <s v="MC Properties, LLC."/>
        <s v="Graham Real Estate One, LLC"/>
        <s v="Urfan Dar"/>
        <s v="Jack Kellner"/>
        <s v="Kendall Swenson"/>
        <s v="MAB Enterprises LLC"/>
        <s v="BRC Inc. Investment Real Estate Services"/>
        <s v="Julie A Johnston"/>
        <s v="Claw Realty Co."/>
        <s v="Genesis Investment Properties, LLC."/>
        <s v="Ross Rastegar"/>
        <s v="Erika McNamara"/>
        <s v="MacLeod-Couch Realty"/>
        <s v="Cappy Trotter"/>
        <s v="Linda hess"/>
        <s v="MCH-DV Realty LLC"/>
        <s v="Craig Hoffman"/>
        <s v="ROK Properties"/>
        <s v="Triple H Investments LLC"/>
        <s v="Coast Income Properties, Inc."/>
        <s v="Alessio Leasing "/>
        <s v="Georgia Tsoutsos"/>
        <s v="John Gartman"/>
        <s v="Royco, Inc."/>
        <s v="Dean T Wise Sr"/>
        <s v="National Retail Props"/>
        <s v="Bradley Associates"/>
        <s v="Iridium Capital"/>
        <s v="Long View Equity Partners"/>
        <s v="Storage Deluxe"/>
        <s v="Braha Associates"/>
        <s v="Jetset Travel"/>
        <s v="Victor Martindale"/>
        <s v="Dennis Woods"/>
        <s v="Epic Holdings LLC"/>
        <s v="REM Management"/>
        <s v="Richard Fontana"/>
        <s v="622 Ind Ave LLC"/>
        <s v="Bob Vescovo"/>
        <s v="Midland Complex LP"/>
        <s v="American Realty Capital"/>
        <s v="Greenrock Capital Holdings LLC"/>
        <s v="Perrone and Young"/>
        <s v="Richard Albert"/>
        <s v="HLC Realty, LLC "/>
        <s v="Antonio Goulart"/>
        <s v="Thuy T Nguyen"/>
        <s v="Jack Glaves"/>
        <s v="The Sanders Trust"/>
        <s v="Moonasar P Rampertaap"/>
        <s v="Pegasus Properties, LLC (Atlanta)"/>
        <s v="Austin Hathaway"/>
        <s v="Sherwin Jarol"/>
        <s v="Peer Properties"/>
        <s v="Golden Seagull Investments"/>
        <s v="Sidharth Lakhani"/>
        <s v="Carlino Dev Group"/>
        <s v="Michael Mumey"/>
        <s v="Stanick Properties Llc"/>
        <s v="HTW Investment Fund"/>
        <s v="Matthew Alexander"/>
        <s v="Spirit Master Funding"/>
        <s v="Mazhar M Butt"/>
        <s v="Woodworth Capital, Inc."/>
        <s v="Rastegar Investments"/>
        <s v="Scott Huyge"/>
        <s v="Windermere Real Estate"/>
        <s v="Dilip Patel"/>
        <s v="Reza Mirzadeh"/>
        <s v="Isaac Organization "/>
        <s v="Lynne Crowell Trust"/>
        <s v="Courtney Black Carpenter"/>
        <s v="KWL Properties"/>
        <s v="Krishna Property, LLC"/>
        <s v="Lon Raby"/>
        <s v="Rhett Taylor"/>
        <s v="Danson Properties"/>
        <s v="Geneva Office Exchange Xvi"/>
        <s v="ComEd"/>
        <s v="DDC Portfolio"/>
        <s v="Zane, LLC"/>
        <s v="Integra"/>
        <s v="Eugene R. Black Jr. Revocable Trust"/>
        <s v="Jon Jernigan"/>
        <s v="Chad Middendorf"/>
        <s v="Tom Yancy"/>
        <s v="Johnson Dev Corp"/>
        <s v="Banban North Valdosta, LLC"/>
        <s v="ERA Sandey Realty"/>
        <s v="Boston Heath"/>
        <s v="Labonnevie Ventures LLC"/>
        <s v="Jaffe Properties"/>
        <s v="Josepho Group"/>
        <s v="Irwin Sherry; Dalia Sherry"/>
        <s v="SP Kingmount, LLC"/>
        <s v="Brookwood Financial Partners"/>
        <s v="CVS"/>
        <s v="Coldwell Banker-Bethesda"/>
        <s v="Allen Phillips"/>
        <s v="Brocchini Fam Prtnrship"/>
        <s v="Lupe Medical Three"/>
        <s v="Walker Family Trust"/>
        <s v="Thomas Usilton"/>
        <s v="Palmetto Pines Golf Couse"/>
        <s v="LPT Enterprises"/>
        <s v="Geyser Holdings"/>
        <s v="NCWY Partnership"/>
        <s v="Gerald Nielsen"/>
        <s v="Li Hong He"/>
        <s v="Kevork Belikian"/>
        <s v="G&amp;N Management"/>
        <s v="JR Burkes, Inc."/>
        <s v="Ronald Rogers"/>
        <s v="Cameron Sunset Investments"/>
        <s v="B&amp; Real Estate Holdings, LLC"/>
        <s v="Joseph Zaninovich / JMZ Trust"/>
        <s v="Lusardi Construction"/>
        <s v="Sierra Auto Properties"/>
        <s v="Northriche Enterprise" u="1"/>
        <s v="William Oberg" u="1"/>
        <s v="COP Bethlehem LLC" u="1"/>
        <s v="Mass Mutual" u="1"/>
        <s v="SG Banking and Leasing" u="1"/>
        <s v="SG Capital Partners, LLC" u="1"/>
        <s v="Choice Entertainment " u="1"/>
        <s v="Prem And Mary Investments, LLC" u="1"/>
        <s v="ACS Jacksonville" u="1"/>
        <s v="Whipple Christian" u="1"/>
        <s v="30 Sherman Ave Realty Corp" u="1"/>
        <s v="Broadstone Real Estate" u="1"/>
        <s v="Mark Jaffe" u="1"/>
        <s v="Rockwell Debt-Free Props" u="1"/>
        <s v="Unknown" u="1"/>
        <s v="ARC Healthcare Trust III" u="1"/>
        <s v="AEI Capital Corp." u="1"/>
        <s v="Adjei" u="1"/>
        <s v="Four Springs" u="1"/>
        <s v="Equity Investment Grp" u="1"/>
        <s v="Cole Capital" u="1"/>
        <s v="Laura Pettiti " u="1"/>
        <s v="Capital Square 1030" u="1"/>
        <s v="Robert L Pope" u="1"/>
        <s v="Agree Realty Corporation" u="1"/>
        <s v="Areteaus Realty Trust" u="1"/>
        <s v="Kirk Management" u="1"/>
        <s v="RealtyNet Advisors" u="1"/>
        <s v="Penichet Trust of 2008" u="1"/>
        <s v="Agree Realty Corp." u="1"/>
        <s v="KPI Brokers" u="1"/>
        <s v="Four Springs Cap Trust" u="1"/>
        <s v="Alliance Consolidated" u="1"/>
        <s v="Davita " u="1"/>
        <s v="Daytona Brothers Realty LLC" u="1"/>
        <s v="Leap Tide Capital Management" u="1"/>
        <s v="Hill Family Trust, Katherine Hill Perasso" u="1"/>
        <s v="Plaform Ventures" u="1"/>
        <s v=", Capital Square 1031" u="1"/>
        <s v="Burke Properties" u="1"/>
        <s v="Elliott Bay Capital Trust LLC" u="1"/>
        <s v="Four Springs Capital - DST" u="1"/>
        <s v="American Realty Capital Trust" u="1"/>
        <s v="Philip G DeCarion, Nexgen Cornucopia LP; Nexgen Cornucopia II LP" u="1"/>
        <s v="Can Do LP" u="1"/>
        <s v="Ossified Properties LLC" u="1"/>
        <s v="Geoff Linden" u="1"/>
        <s v="Jonathan Peranich" u="1"/>
        <s v="Ocea Block Capital" u="1"/>
        <s v="1320 Mickley Road Developers Corp" u="1"/>
        <s v="Mielkemark LLC" u="1"/>
        <s v="Phoenix Realty" u="1"/>
        <s v="Allen R. Phillips" u="1"/>
        <s v="Epic Acres" u="1"/>
        <s v="Block Real Estate Services" u="1"/>
        <s v="Fresenius Medical Services" u="1"/>
        <s v="Pinot Pasadena Land Company" u="1"/>
        <s v="AEI Property Corporation" u="1"/>
        <s v="ICHC Investments" u="1"/>
        <s v="Soverign Investments" u="1"/>
        <s v="Mark Vakili" u="1"/>
        <s v="Corsair Management" u="1"/>
        <s v="AR Global Investments, LLC" u="1"/>
        <s v="Renato Payumo" u="1"/>
        <s v="Kendrew Development Co" u="1"/>
        <s v="Columbia Pacific" u="1"/>
        <s v="Carrol Castille" u="1"/>
        <s v="Cove Capital Investments LLC" u="1"/>
        <s v="Peoria CBT LLC" u="1"/>
        <s v="Franklin Family Trust" u="1"/>
        <s v="Four Corners Property Trust, Inc." u="1"/>
        <s v="Elliot Bay Capital" u="1"/>
        <s v="RJR LLC" u="1"/>
        <s v="KB Property Advisors" u="1"/>
        <s v="ICHC MI LLC" u="1"/>
        <s v="Emil Capital Partners" u="1"/>
        <s v="Phoenix Realty Mgmt" u="1"/>
        <s v="KB Exchange Trust" u="1"/>
        <s v="AEI Capital" u="1"/>
        <s v="Global Net Lease" u="1"/>
        <s v="Fre Sweetwater TN Realty LLC" u="1"/>
        <s v="AFC Investment Corp" u="1"/>
        <s v="Cypress West Realty" u="1"/>
        <s v="Merit Acquisition LLC" u="1"/>
        <s v="In_Commercial" u="1"/>
        <s v="Stanford Hotels Corp" u="1"/>
        <s v="The Windward Group, Inc" u="1"/>
        <s v="AEI Accredited Investor Fund V; AEI Net Lease Income Fund 36 LLC" u="1"/>
        <s v="DaVita HealthCare Prtnrs" u="1"/>
        <s v="FSP Properties" u="1"/>
        <s v="Investment Property Exchange Services, Inc" u="1"/>
        <s v="Chi Chiang" u="1"/>
        <s v="ARCP" u="1"/>
        <s v="Sun Trust" u="1"/>
        <s v="Agree" u="1"/>
        <s v="IRA Realty Capital" u="1"/>
        <s v="Palestra Real Estate Partners, Inc." u="1"/>
        <s v="Phil De Carion" u="1"/>
        <s v="Joey Agree/REIT" u="1"/>
        <s v="Massmutual Asset Finance, LLC" u="1"/>
        <s v="Trust" u="1"/>
        <s v="Jaffe Dialysis" u="1"/>
        <s v="InCommercial, Inc." u="1"/>
        <s v="Hamo Shaguian" u="1"/>
        <s v="Los Lunas Realty LLC" u="1"/>
        <s v="Don Groves" u="1"/>
        <s v="Naf Holdings" u="1"/>
        <s v="Stablewood Properties/ Glenn Lowenstein" u="1"/>
        <s v="Bay Dev III LLC" u="1"/>
        <s v="AEI Capital Corporation | AEI Fund Management" u="1"/>
        <s v="Pro Health Properties II LP" u="1"/>
        <s v="Fresenius" u="1"/>
        <s v="William S Stuart Jr" u="1"/>
        <s v="Dv Wyoming LLC" u="1"/>
        <s v="Realty Income Corp" u="1"/>
        <s v="Savlan" u="1"/>
        <s v="InCommercial" u="1"/>
        <s v="Gina Jieping Zhang" u="1"/>
      </sharedItems>
    </cacheField>
    <cacheField name="Type" uniqueList="1" numFmtId="0" sqlType="0" hierarchy="0" level="0" databaseField="1">
      <sharedItems count="0" containsBlank="1"/>
    </cacheField>
    <cacheField name="P. BROKER" uniqueList="1" numFmtId="0" sqlType="0" hierarchy="0" level="0" databaseField="1">
      <sharedItems count="0" containsBlank="1"/>
    </cacheField>
    <cacheField name="DEVELOPER" uniqueList="1" numFmtId="0" sqlType="0" hierarchy="0" level="0" databaseField="1">
      <sharedItems count="0" containsBlank="1"/>
    </cacheField>
    <cacheField name="INITIAL PRICE" uniqueList="1" numFmtId="0" sqlType="0" hierarchy="0" level="0" databaseField="1">
      <sharedItems count="0" containsBlank="1" containsMixedTypes="1" containsNumber="1" minValue="421694" maxValue="22956000"/>
    </cacheField>
    <cacheField name="INITIAL CAP" uniqueList="1" numFmtId="0" sqlType="0" hierarchy="0" level="0" databaseField="1">
      <sharedItems count="0" containsBlank="1" containsDate="1" containsMixedTypes="1" minDate="1899-12-30T01:48:00" maxDate="4447-11-01T12:16:03"/>
    </cacheField>
    <cacheField name="% of Int Ach" uniqueList="1" numFmtId="0" sqlType="0" hierarchy="0" level="0" databaseField="1">
      <sharedItems count="0" containsBlank="1" containsMixedTypes="1" containsNumber="1" minValue="0.1" maxValue="1.289608035016651"/>
    </cacheField>
    <cacheField name="LAST PRICE" uniqueList="1" numFmtId="0" sqlType="0" hierarchy="0" level="0" databaseField="1">
      <sharedItems count="0" containsBlank="1" containsMixedTypes="1" containsNumber="1" minValue="421694" maxValue="22956000"/>
    </cacheField>
    <cacheField name="LAST CAP" uniqueList="1" numFmtId="0" sqlType="0" hierarchy="0" level="0" databaseField="1">
      <sharedItems count="0" containsBlank="1" containsDate="1" containsMixedTypes="1" minDate="1899-12-30T01:40:48" maxDate="1900-01-07T09:26:03"/>
    </cacheField>
    <cacheField name="BID-ASK SPREAD" uniqueList="1" numFmtId="0" sqlType="0" hierarchy="0" level="0" databaseField="1">
      <sharedItems count="0" containsBlank="1" containsMixedTypes="1" containsNumber="1" minValue="-0.02571993064291418" maxValue="0.1018262433862434"/>
    </cacheField>
    <cacheField name="PRICE CHG" uniqueList="1" numFmtId="0" sqlType="0" hierarchy="0" level="0" databaseField="1">
      <sharedItems count="0" containsBlank="1"/>
    </cacheField>
    <cacheField name="ON MARKET" uniqueList="1" numFmtId="0" sqlType="0" hierarchy="0" level="0" databaseField="1">
      <sharedItems count="0" containsBlank="1" containsDate="1" containsMixedTypes="1" minDate="2001-10-16T00:00:00" maxDate="2021-02-04T00:00:00"/>
    </cacheField>
    <cacheField name="DOM" uniqueList="1" numFmtId="0" sqlType="0" hierarchy="0" level="0" databaseField="1">
      <sharedItems count="0" containsBlank="1" containsInteger="1" containsMixedTypes="1" containsNumber="1" minValue="-44230" maxValue="1899"/>
    </cacheField>
  </cacheFields>
</pivotCacheDefinition>
</file>

<file path=xl/pivotCache/pivotCacheRecords1.xml><?xml version="1.0" encoding="utf-8"?>
<pivotCacheRecords xmlns="http://schemas.openxmlformats.org/spreadsheetml/2006/main" count="121">
  <r>
    <s v="Fresenius Medical Care"/>
    <s v="901 Medical Center Blvd"/>
    <s v="Alice"/>
    <s v="TX"/>
    <n v="1.42"/>
    <n v="2000"/>
    <n v="7800"/>
    <n v="140400"/>
    <n v="18"/>
    <d v="2027-11-30T00:00:00"/>
    <x v="0"/>
    <s v="NN"/>
    <s v="-"/>
    <s v="2, 5yr"/>
    <m/>
    <x v="0"/>
    <s v="M&amp;M; Diffie"/>
    <m/>
    <s v="x"/>
    <n v="2333333"/>
    <n v="0.06017143716734816"/>
    <n v="2333333"/>
    <x v="0"/>
    <s v="No"/>
    <d v="2022-04-05T00:00:00"/>
    <n v="366.4181702546266"/>
    <s v="Under Contract"/>
  </r>
  <r>
    <s v="DaVita Dialysis"/>
    <s v="2617 Crossroads Dr"/>
    <s v="Ardmore"/>
    <s v="OK"/>
    <n v="2.79"/>
    <n v="2010"/>
    <n v="11753"/>
    <n v="246878.632"/>
    <n v="21.00558427635497"/>
    <d v="2032-11-30T00:00:00"/>
    <x v="1"/>
    <s v="NN"/>
    <s v="3% annually"/>
    <s v="None"/>
    <m/>
    <x v="1"/>
    <s v="NM; Largent"/>
    <m/>
    <s v="x"/>
    <n v="4408547"/>
    <n v="0.056"/>
    <n v="4408547"/>
    <x v="1"/>
    <s v="No"/>
    <m/>
    <s v=" "/>
    <m/>
  </r>
  <r>
    <s v="U.S. Renal Care"/>
    <s v="203 W Randol Mill Rd"/>
    <s v="Arlington"/>
    <s v="TX"/>
    <n v="1.61"/>
    <n v="2004"/>
    <n v="13000"/>
    <n v="252590"/>
    <n v="19.43"/>
    <d v="2028-10-31T00:00:00"/>
    <x v="2"/>
    <s v="Absolute NNN"/>
    <s v="2% annually"/>
    <s v="2, 5yr"/>
    <s v="OM Link"/>
    <x v="2"/>
    <s v="Colliers; Ficke"/>
    <m/>
    <s v="x"/>
    <n v="4393000"/>
    <n v="0.05749829273844753"/>
    <n v="3950000"/>
    <x v="2"/>
    <s v="Yes"/>
    <d v="2022-07-06T00:00:00"/>
    <n v="274.4181702546266"/>
    <s v="Available"/>
  </r>
  <r>
    <s v="DaVita Dialysis - MOB"/>
    <s v="1604-1616 W 19th St"/>
    <s v="Ashtabula"/>
    <s v="OH"/>
    <n v="1.08"/>
    <s v="1997 | 2020"/>
    <n v="9560"/>
    <n v="73625"/>
    <n v="7.701359832635983"/>
    <d v="2027-06-30T00:00:00"/>
    <x v="3"/>
    <s v="NN"/>
    <s v="2% annually"/>
    <s v="3, 5yr"/>
    <m/>
    <x v="3"/>
    <s v="M&amp;M; Sharko"/>
    <m/>
    <s v="x"/>
    <n v="1107138"/>
    <n v="0.0665002917432154"/>
    <n v="1053090"/>
    <x v="3"/>
    <s v="Yes"/>
    <d v="2022-09-06T00:00:00"/>
    <n v="212.4181702546266"/>
    <s v="Withdrawn (2/24/2023)"/>
  </r>
  <r>
    <s v="DaVita Dialysis"/>
    <s v="423 North Ave"/>
    <s v="Baltimore"/>
    <s v="MD"/>
    <n v="0.5"/>
    <n v="1996"/>
    <n v="10004"/>
    <n v="252450"/>
    <n v="25.23490603758497"/>
    <d v="2034-09-30T00:00:00"/>
    <x v="4"/>
    <s v="NN"/>
    <s v="10% every 5 years"/>
    <s v="2, 5yr"/>
    <m/>
    <x v="4"/>
    <s v="Colliers; Patel"/>
    <m/>
    <s v="x"/>
    <n v="4590000"/>
    <n v="0.055"/>
    <n v="4590000"/>
    <x v="4"/>
    <s v="No"/>
    <d v="2023-01-30T00:00:00"/>
    <n v="66.4181702546266"/>
    <s v="Available"/>
  </r>
  <r>
    <s v="DaVita Dialysis"/>
    <s v="7797 Howell Blvd"/>
    <s v="Baton Rouge"/>
    <s v="LA"/>
    <n v="1.1"/>
    <n v="2014"/>
    <n v="6835"/>
    <n v="234283"/>
    <n v="34.27695683979517"/>
    <d v="2029-07-31T00:00:00"/>
    <x v="5"/>
    <s v="NN"/>
    <s v="FMV"/>
    <m/>
    <m/>
    <x v="4"/>
    <s v="Mansour; Kern"/>
    <m/>
    <s v="x"/>
    <n v="3904710"/>
    <n v="0.0600001024403861"/>
    <n v="3904710"/>
    <x v="5"/>
    <s v="No"/>
    <d v="2023-01-26T00:00:00"/>
    <n v="70.4181702546266"/>
    <s v="Available"/>
  </r>
  <r>
    <s v="DaVita Dialysis"/>
    <s v="703 Main St"/>
    <s v="Bridgeport"/>
    <s v="OH"/>
    <n v="3.86"/>
    <n v="2019"/>
    <n v="3862"/>
    <n v="174229"/>
    <n v="45.11367167270844"/>
    <d v="2034-04-30T00:00:00"/>
    <x v="6"/>
    <s v="NN"/>
    <m/>
    <m/>
    <m/>
    <x v="4"/>
    <s v="Mansour; Kern"/>
    <m/>
    <s v="x"/>
    <n v="3167800"/>
    <n v="0.055"/>
    <n v="3167800"/>
    <x v="4"/>
    <s v="No"/>
    <d v="2023-01-27T00:00:00"/>
    <n v="69.4181702546266"/>
    <s v="Available"/>
  </r>
  <r>
    <s v="DaVita Dialysis - MOB"/>
    <s v="4800 W San Antonio St"/>
    <s v="Broken Arrow"/>
    <s v="OK"/>
    <n v="1.16"/>
    <n v="2006"/>
    <n v="15865"/>
    <n v="210630"/>
    <n v="13.27639457926253"/>
    <d v="2023-12-31T00:00:00"/>
    <x v="7"/>
    <s v="NNN"/>
    <s v="-"/>
    <s v="2, 5yr"/>
    <m/>
    <x v="5"/>
    <s v="SVN; Davis"/>
    <m/>
    <m/>
    <n v="2950000"/>
    <n v="0.07140000000000001"/>
    <n v="2950000"/>
    <x v="6"/>
    <s v="No"/>
    <d v="2018-07-04T00:00:00"/>
    <n v="1737.418170254627"/>
    <s v="Available"/>
  </r>
  <r>
    <s v="DaVita Dialysis"/>
    <s v="107 Trenton Rd"/>
    <s v="Browns Mills"/>
    <s v="NJ"/>
    <n v="1.97"/>
    <n v="2014"/>
    <n v="6945"/>
    <n v="188476"/>
    <n v="27.13837293016559"/>
    <d v="2029-07-31T00:00:00"/>
    <x v="5"/>
    <s v="NN"/>
    <s v="Yes"/>
    <s v="2, 5yr"/>
    <m/>
    <x v="6"/>
    <s v="SRS; Mousavi"/>
    <m/>
    <s v="x"/>
    <n v="3590000"/>
    <n v="0.05250027855153203"/>
    <n v="3590000"/>
    <x v="7"/>
    <s v="No"/>
    <d v="2022-04-27T00:00:00"/>
    <n v="344.4181702546266"/>
    <s v="Withdrawn (2/17/2023)"/>
  </r>
  <r>
    <s v="DaVita Dialysis - Condo"/>
    <s v="265 Wilmington West Chester Pike"/>
    <s v="Chadds Ford"/>
    <s v="PA"/>
    <m/>
    <m/>
    <n v="10500"/>
    <n v="274890"/>
    <n v="26.18"/>
    <d v="2031-09-30T00:00:00"/>
    <x v="8"/>
    <s v="NN"/>
    <s v="10% every 5 years"/>
    <s v="2, 5yr"/>
    <m/>
    <x v="7"/>
    <s v="Colliers; Patel"/>
    <m/>
    <m/>
    <n v="4780696"/>
    <n v="0.05749999581650873"/>
    <n v="4780696"/>
    <x v="8"/>
    <s v="No"/>
    <d v="2023-01-30T00:00:00"/>
    <n v="66.4181702546266"/>
    <s v="Available"/>
  </r>
  <r>
    <s v="Fresenius Medical Care "/>
    <s v="3057 Freedom Dr"/>
    <s v="Charlotte"/>
    <s v="NC"/>
    <n v="1.56"/>
    <n v="1966"/>
    <n v="11500"/>
    <n v="139166"/>
    <n v="12.10139130434783"/>
    <d v="2023-11-30T00:00:00"/>
    <x v="9"/>
    <s v="MG"/>
    <s v="None"/>
    <s v="None"/>
    <s v="OM Link"/>
    <x v="8"/>
    <s v="M&amp;M; Margulies"/>
    <m/>
    <s v="x"/>
    <n v="2350000"/>
    <n v="0.05921957446808511"/>
    <n v="2350000"/>
    <x v="9"/>
    <s v="No"/>
    <d v="2022-08-09T00:00:00"/>
    <n v="240.4181702546266"/>
    <s v="Available"/>
  </r>
  <r>
    <s v="DaVita Dialysis | Advanced Auto Parts"/>
    <s v="3930-3934 W 24th St"/>
    <s v="Chicago"/>
    <s v="IL"/>
    <n v="0.99"/>
    <n v="2009"/>
    <n v="14806"/>
    <n v="338267"/>
    <n v="22.84661623666081"/>
    <m/>
    <x v="10"/>
    <m/>
    <s v="-"/>
    <s v="3, 5yr"/>
    <m/>
    <x v="9"/>
    <s v="Horvath &amp; Tremblay; Tilsner"/>
    <m/>
    <s v="x"/>
    <n v="5495000"/>
    <n v="0.06155905368516833"/>
    <n v="5495000"/>
    <x v="10"/>
    <s v="No"/>
    <d v="2022-06-27T00:00:00"/>
    <n v="283.4181702546266"/>
    <s v="Available"/>
  </r>
  <r>
    <s v="Fresenius Medical Care"/>
    <s v="6535 S Western Ave"/>
    <s v="Chicago"/>
    <s v="IL"/>
    <n v="0.42"/>
    <n v="2009"/>
    <n v="7134"/>
    <n v="192618"/>
    <n v="27"/>
    <d v="2029-12-30T00:00:00"/>
    <x v="11"/>
    <s v="NN"/>
    <s v="1% annually in base; 3% annually in options"/>
    <s v="2, 5yr"/>
    <m/>
    <x v="10"/>
    <s v="GAIA: Carlson"/>
    <m/>
    <s v="x"/>
    <n v="3852360"/>
    <n v="0.05"/>
    <n v="3852360"/>
    <x v="11"/>
    <s v="No"/>
    <d v="2023-01-17T00:00:00"/>
    <n v="79.4181702546266"/>
    <s v="Available"/>
  </r>
  <r>
    <s v="DaVita Dialysis"/>
    <s v="425 M-B Ln"/>
    <s v="Chilton"/>
    <s v="WI"/>
    <n v="1.12"/>
    <n v="2014"/>
    <n v="7847"/>
    <n v="179304"/>
    <n v="22.85000637186186"/>
    <d v="2029-12-30T00:00:00"/>
    <x v="11"/>
    <s v="NN"/>
    <s v="2% annually"/>
    <m/>
    <m/>
    <x v="11"/>
    <s v="KW; McKean"/>
    <m/>
    <s v="x"/>
    <n v="2939409"/>
    <n v="0.06100001735042657"/>
    <n v="2915551"/>
    <x v="12"/>
    <s v="Yes"/>
    <d v="2023-03-14T00:00:00"/>
    <n v="23.4181702546266"/>
    <s v="Available"/>
  </r>
  <r>
    <s v="U.S. Renal Care - Condo"/>
    <s v="2082 Otay Lakes Rd, A1"/>
    <s v="Chula Vista"/>
    <s v="CA"/>
    <n v="4.2"/>
    <n v="2007"/>
    <n v="5128"/>
    <n v="89405"/>
    <n v="17.43467238689547"/>
    <m/>
    <x v="10"/>
    <s v="Absolute NNN"/>
    <m/>
    <s v="2, 5yr"/>
    <m/>
    <x v="7"/>
    <s v="Graystone: Bingham"/>
    <m/>
    <m/>
    <n v="1788000"/>
    <n v="0.05000279642058165"/>
    <n v="1702857"/>
    <x v="13"/>
    <s v="Yes"/>
    <d v="2023-01-20T00:00:00"/>
    <n v="76.4181702546266"/>
    <s v="Available"/>
  </r>
  <r>
    <s v="DaVita Dialysis"/>
    <s v="6929 Silverton Ave"/>
    <s v="Cincinnati"/>
    <s v="OH"/>
    <n v="0.47"/>
    <n v="2000"/>
    <n v="6640"/>
    <n v="111286"/>
    <n v="16.75993975903614"/>
    <d v="2028-04-30T00:00:00"/>
    <x v="12"/>
    <s v="NN"/>
    <s v="10% every 5 years"/>
    <s v="3, 5yr"/>
    <s v="OM Link"/>
    <x v="12"/>
    <s v="Colliers; Patel"/>
    <m/>
    <s v="x"/>
    <n v="1624619"/>
    <n v="0.0684997528651333"/>
    <n v="1624619"/>
    <x v="14"/>
    <s v="No"/>
    <d v="2023-03-09T00:00:00"/>
    <n v="28.4181702546266"/>
    <s v="Available"/>
  </r>
  <r>
    <s v="DaVita Dialysis - MOB"/>
    <s v="5520 Cheviot Rd"/>
    <s v="Cincinnati"/>
    <s v="OH"/>
    <n v="2.27"/>
    <s v="1972 | 2017"/>
    <n v="27893"/>
    <m/>
    <s v=" "/>
    <d v="2032-08-31T00:00:00"/>
    <x v="13"/>
    <m/>
    <s v="-"/>
    <s v="-"/>
    <m/>
    <x v="13"/>
    <s v="Lee &amp; Assoc; Freiberg"/>
    <m/>
    <s v="x"/>
    <m/>
    <s v=" "/>
    <m/>
    <x v="15"/>
    <s v=" "/>
    <d v="2022-09-19T00:00:00"/>
    <n v="199.4181702546266"/>
    <s v="Under Contract"/>
  </r>
  <r>
    <s v="DaVita Dialysis"/>
    <s v="202 E Blue Starr Dr"/>
    <s v="Claremore"/>
    <s v="OK"/>
    <n v="0.36"/>
    <n v="1978"/>
    <n v="4253"/>
    <n v="50430"/>
    <n v="11.8575123442276"/>
    <d v="2025-06-30T00:00:00"/>
    <x v="14"/>
    <s v="NN"/>
    <s v="CPI Annually"/>
    <s v="3, 5yr"/>
    <m/>
    <x v="14"/>
    <s v="NM; Largent"/>
    <m/>
    <s v="x"/>
    <n v="840500"/>
    <n v="0.06"/>
    <n v="840500"/>
    <x v="16"/>
    <s v="No"/>
    <d v="2022-08-24T00:00:00"/>
    <n v="225.4181702546266"/>
    <s v="Available"/>
  </r>
  <r>
    <s v="Fresenius Medical Care - MT"/>
    <s v="617 Lakeview Rd"/>
    <s v="Clearwater"/>
    <s v="FL"/>
    <n v="1.27"/>
    <n v="1985"/>
    <n v="15436"/>
    <n v="142501"/>
    <n v="9.231731018398548"/>
    <d v="2027-08-31T00:00:00"/>
    <x v="15"/>
    <s v="NN"/>
    <s v="3% annualy"/>
    <s v="2, 5yr"/>
    <m/>
    <x v="15"/>
    <s v="CP Partners; Webb"/>
    <m/>
    <m/>
    <n v="2375000"/>
    <n v="0.06000042105263158"/>
    <n v="2225000"/>
    <x v="17"/>
    <s v="Yes"/>
    <d v="2022-06-14T00:00:00"/>
    <n v="296.4181702546266"/>
    <s v="Under Contract"/>
  </r>
  <r>
    <s v="Fresenius Medical Care"/>
    <s v="121 Townsgate Plaza"/>
    <s v="Clovis"/>
    <s v="NM"/>
    <n v="2.25"/>
    <n v="2007"/>
    <n v="12261"/>
    <n v="207256"/>
    <n v="16.90367832966316"/>
    <d v="2031-10-31T00:00:00"/>
    <x v="16"/>
    <s v="NN"/>
    <s v="10% every 5 years"/>
    <s v="3, 5yr"/>
    <s v="OM Link"/>
    <x v="16"/>
    <s v="M&amp;M; Johnson"/>
    <m/>
    <s v="x"/>
    <n v="3768298"/>
    <n v="0.0549998965050004"/>
    <n v="3768298"/>
    <x v="18"/>
    <s v="No"/>
    <d v="2022-08-22T00:00:00"/>
    <n v="227.4181702546266"/>
    <s v="Available"/>
  </r>
  <r>
    <s v="DaVita Dialysis"/>
    <s v="1405 W Valley Blvd"/>
    <s v="Colton"/>
    <s v="CA"/>
    <n v="1.57"/>
    <n v="2015"/>
    <n v="31000"/>
    <m/>
    <s v=" "/>
    <m/>
    <x v="10"/>
    <s v="Gross"/>
    <s v="-"/>
    <s v="-"/>
    <m/>
    <x v="17"/>
    <s v="MGR; Hermosillo"/>
    <m/>
    <s v="x"/>
    <n v="9500000"/>
    <s v=" "/>
    <n v="8999000"/>
    <x v="15"/>
    <s v="Yes"/>
    <d v="2022-05-27T00:00:00"/>
    <n v="314.4181702546266"/>
    <s v="Available"/>
  </r>
  <r>
    <s v="Compton Quest Dialysis Center"/>
    <s v="457 S Long Beach Blvd"/>
    <s v="Compton"/>
    <s v="CA"/>
    <n v="0.75"/>
    <n v="1994"/>
    <n v="10475"/>
    <n v="221700"/>
    <n v="21.16467780429594"/>
    <d v="2031-04-30T00:00:00"/>
    <x v="17"/>
    <s v="NNN"/>
    <s v="Yes"/>
    <s v="3, 5yr"/>
    <m/>
    <x v="18"/>
    <s v="Re/Max; Skubacz"/>
    <m/>
    <s v="x"/>
    <n v="3980000"/>
    <n v="0.0557035175879397"/>
    <n v="3695000"/>
    <x v="16"/>
    <s v="Yes"/>
    <d v="2022-07-24T00:00:00"/>
    <n v="256.4181702546266"/>
    <s v="Available"/>
  </r>
  <r>
    <s v="U.S. Renal Care"/>
    <s v="2408 N Wilmington Ave"/>
    <s v="Compton"/>
    <s v="CA"/>
    <n v="0.71"/>
    <n v="2022"/>
    <n v="10900"/>
    <n v="517437"/>
    <n v="47.47128440366973"/>
    <d v="2032-09-30T00:00:00"/>
    <x v="18"/>
    <s v="NN"/>
    <s v="10% at year 6; FMV at each option"/>
    <s v="2, 5yr"/>
    <m/>
    <x v="7"/>
    <s v="Colliers; Patel"/>
    <m/>
    <m/>
    <n v="10176240"/>
    <n v="0.05084756255748685"/>
    <n v="8623950"/>
    <x v="16"/>
    <s v="Yes"/>
    <d v="2022-06-08T00:00:00"/>
    <n v="302.4181702546266"/>
    <s v="Available"/>
  </r>
  <r>
    <s v="DaVita Dialysis"/>
    <s v="2399 Wall St SE"/>
    <s v="Conyers"/>
    <s v="GA"/>
    <n v="1.83"/>
    <n v="2022"/>
    <n v="6370"/>
    <n v="193330"/>
    <n v="30.35007849293564"/>
    <d v="2037-06-30T00:00:00"/>
    <x v="19"/>
    <s v="NN"/>
    <s v="10% every 5 years"/>
    <s v="3, 5yr"/>
    <m/>
    <x v="19"/>
    <s v="NM; Briggs"/>
    <m/>
    <s v="x"/>
    <n v="4249011"/>
    <n v="0.04549999988232556"/>
    <n v="3866600"/>
    <x v="11"/>
    <s v="Yes"/>
    <d v="2022-07-12T00:00:00"/>
    <n v="268.4181702546266"/>
    <s v="Available"/>
  </r>
  <r>
    <s v="Fresenius Medical Care"/>
    <s v="9432 Venice Blvd"/>
    <s v="Culver City"/>
    <s v="CA"/>
    <n v="0.48"/>
    <n v="1948"/>
    <n v="10032"/>
    <n v="516689"/>
    <n v="51.50408692185008"/>
    <d v="2027-01-31T00:00:00"/>
    <x v="20"/>
    <s v="NN"/>
    <s v="Annually"/>
    <m/>
    <m/>
    <x v="20"/>
    <s v="Lambert Investments; Lambert"/>
    <m/>
    <s v="x"/>
    <n v="16400000"/>
    <n v="0.0315054268292683"/>
    <n v="13900000"/>
    <x v="19"/>
    <s v="Yes"/>
    <d v="2022-08-17T00:00:00"/>
    <n v="232.4181702546266"/>
    <s v="Under Contract"/>
  </r>
  <r>
    <s v="DaVita Dialysis"/>
    <s v="6190 LBJ Fwy"/>
    <s v="Dallas"/>
    <s v="TX"/>
    <n v="2.06"/>
    <n v="2012"/>
    <n v="12216"/>
    <n v="332642"/>
    <n v="27.2300261951539"/>
    <d v="2027-07-19T00:00:00"/>
    <x v="21"/>
    <s v="Absolute NNN"/>
    <s v="At each option"/>
    <s v="2, 5yr"/>
    <m/>
    <x v="21"/>
    <s v="PG; Lesley"/>
    <m/>
    <m/>
    <n v="4556735"/>
    <n v="0.07300007571210528"/>
    <n v="4556735"/>
    <x v="20"/>
    <s v="No"/>
    <d v="2023-03-14T00:00:00"/>
    <n v="23.4181702546266"/>
    <s v="Available"/>
  </r>
  <r>
    <s v="Fresenius Medical Care"/>
    <s v="4111 W Camp Wisdom Rd"/>
    <s v="Dallas"/>
    <s v="TX"/>
    <n v="2.23"/>
    <n v="1984"/>
    <n v="25325"/>
    <n v="181074"/>
    <n v="7.150009871668312"/>
    <d v="2029-12-31T00:00:00"/>
    <x v="22"/>
    <s v="NN"/>
    <s v="-"/>
    <s v="2, 5yr"/>
    <m/>
    <x v="22"/>
    <s v="NM; Harris"/>
    <m/>
    <s v="x"/>
    <n v="3232000"/>
    <n v="0.05602537128712871"/>
    <n v="3020000"/>
    <x v="21"/>
    <s v="Yes"/>
    <d v="2022-09-01T00:00:00"/>
    <n v="217.4181702546266"/>
    <s v="Available"/>
  </r>
  <r>
    <s v="DaVita Dialysis - MT"/>
    <s v="3 Poland Rd"/>
    <s v="Danville"/>
    <s v="IL"/>
    <n v="0.97"/>
    <n v="1980"/>
    <n v="6967"/>
    <n v="98310"/>
    <n v="14.11080809530644"/>
    <d v="2026-11-30T00:00:00"/>
    <x v="23"/>
    <s v="NN"/>
    <s v="2% annually"/>
    <s v="3, 5yr"/>
    <m/>
    <x v="23"/>
    <s v="NM; Largent"/>
    <m/>
    <s v="x"/>
    <n v="1268522"/>
    <n v="0.07749964131485304"/>
    <n v="1268522"/>
    <x v="22"/>
    <s v="No"/>
    <d v="2023-03-25T00:00:00"/>
    <n v="12.4181702546266"/>
    <s v="Available"/>
  </r>
  <r>
    <s v="DaVita Dialysis"/>
    <s v="22030 Park St"/>
    <s v="Dearborn"/>
    <s v="MI"/>
    <n v="0.37"/>
    <n v="1995"/>
    <n v="5000"/>
    <n v="132540"/>
    <n v="26.508"/>
    <d v="2028-07-31T00:00:00"/>
    <x v="24"/>
    <s v="NN"/>
    <s v="-"/>
    <s v="-"/>
    <s v="OM Link"/>
    <x v="24"/>
    <s v="Centennial; Shea"/>
    <m/>
    <s v="x"/>
    <n v="2395000"/>
    <n v="0.05534029227557411"/>
    <n v="2330000"/>
    <x v="23"/>
    <s v="Yes"/>
    <d v="2022-08-03T00:00:00"/>
    <n v="246.4181702546266"/>
    <s v="Withdrawn (2/1/2023)"/>
  </r>
  <r>
    <s v="DaVita Dialysis"/>
    <s v="1840 Southern Ln"/>
    <s v="Decatur"/>
    <s v="GA"/>
    <n v="1.2"/>
    <n v="1994"/>
    <n v="10666"/>
    <n v="269849.84"/>
    <n v="25.30000375023439"/>
    <d v="2033-10-31T00:00:00"/>
    <x v="25"/>
    <s v="NN"/>
    <s v="10% every 5 years"/>
    <s v="2, 5yr"/>
    <s v="OM Link"/>
    <x v="25"/>
    <s v="M&amp;M; Glass"/>
    <m/>
    <m/>
    <n v="5396998"/>
    <n v="0.04999998888270851"/>
    <n v="4497500"/>
    <x v="24"/>
    <s v="Yes"/>
    <d v="2022-07-01T00:00:00"/>
    <n v="279.4181702546266"/>
    <s v="Available"/>
  </r>
  <r>
    <s v="DaVita Dialysis"/>
    <s v="411 Westside Dr"/>
    <s v="Durant"/>
    <s v="OK"/>
    <n v="0.59"/>
    <n v="1995"/>
    <n v="5448"/>
    <n v="54000"/>
    <n v="9.911894273127754"/>
    <d v="2024-04-30T00:00:00"/>
    <x v="26"/>
    <s v="NN"/>
    <s v="8.21% in May 2023; Annually in options"/>
    <s v="2, 5yr"/>
    <m/>
    <x v="26"/>
    <s v="SIG; Mansour"/>
    <m/>
    <s v="x"/>
    <n v="882857"/>
    <n v="0.06116505844094797"/>
    <n v="860000"/>
    <x v="25"/>
    <s v="Yes"/>
    <d v="2022-09-05T00:00:00"/>
    <n v="213.4181702546266"/>
    <s v="Available"/>
  </r>
  <r>
    <s v="DaVita Dialysis (MOB)"/>
    <s v="4180 S Hospital Dr"/>
    <s v="East China"/>
    <s v="MI"/>
    <n v="3.3"/>
    <n v="2015"/>
    <n v="3075"/>
    <n v="191426"/>
    <n v="62.25235772357723"/>
    <d v="2031-07-12T00:00:00"/>
    <x v="27"/>
    <s v="NN"/>
    <m/>
    <m/>
    <m/>
    <x v="27"/>
    <s v="Peranich; Huffman"/>
    <m/>
    <s v="x"/>
    <n v="3715000"/>
    <n v="0.0515278600269179"/>
    <n v="3190000"/>
    <x v="26"/>
    <s v="Yes"/>
    <m/>
    <s v=" "/>
    <s v="Available"/>
  </r>
  <r>
    <s v="Southside Kidney Clinic"/>
    <s v="209 Bennette Blvd"/>
    <s v="Ellenwood"/>
    <s v="GA"/>
    <n v="0.95"/>
    <n v="2001"/>
    <n v="5831"/>
    <n v="163268"/>
    <n v="28"/>
    <d v="2037-12-31T00:00:00"/>
    <x v="28"/>
    <s v="Absolute NNN"/>
    <s v="3% annually"/>
    <s v="2, 5yr"/>
    <m/>
    <x v="28"/>
    <s v="NM; Largent"/>
    <m/>
    <s v="x"/>
    <n v="2839443"/>
    <n v="0.05750000968499808"/>
    <n v="2839443"/>
    <x v="27"/>
    <s v="No"/>
    <d v="2023-02-01T00:00:00"/>
    <n v="64.4181702546266"/>
    <s v="Available"/>
  </r>
  <r>
    <s v="DaVita Dialysis"/>
    <s v="1103 New River Pkwy"/>
    <s v="Fallon"/>
    <s v="NV"/>
    <n v="1.3"/>
    <n v="2007"/>
    <n v="8000"/>
    <n v="199098"/>
    <n v="24.88725"/>
    <d v="2028-07-19T00:00:00"/>
    <x v="29"/>
    <s v="NN"/>
    <s v="2.5% annually"/>
    <s v="2, 5yr"/>
    <m/>
    <x v="29"/>
    <s v="CP Partners; Lucas"/>
    <m/>
    <s v="x"/>
    <n v="3687000"/>
    <n v="0.054"/>
    <n v="3687000"/>
    <x v="28"/>
    <s v="No"/>
    <d v="2023-01-24T00:00:00"/>
    <n v="72.4181702546266"/>
    <s v="Available"/>
  </r>
  <r>
    <s v="Fresenius Medical Care - MOB"/>
    <s v="1010 Lakeland Sq Ext"/>
    <s v="Flowood"/>
    <s v="MS"/>
    <n v="1.5"/>
    <n v="2008"/>
    <n v="16196"/>
    <n v="379042"/>
    <n v="23.40343294640652"/>
    <d v="2033-01-31T00:00:00"/>
    <x v="30"/>
    <s v="MG"/>
    <s v="2% annually"/>
    <s v="-"/>
    <s v="OM Link"/>
    <x v="30"/>
    <s v="M&amp;M; Gould"/>
    <m/>
    <s v="x"/>
    <n v="7250000"/>
    <n v="0.05228165517241379"/>
    <n v="6250000"/>
    <x v="29"/>
    <s v="Yes"/>
    <d v="2022-08-04T00:00:00"/>
    <n v="245.4181702546266"/>
    <s v="Available"/>
  </r>
  <r>
    <s v="DaVita Dialysis"/>
    <s v="11700 Livingston Rd"/>
    <s v="Fort Washington"/>
    <s v="MD"/>
    <n v="0.77"/>
    <n v="2018"/>
    <n v="13544"/>
    <n v="238425"/>
    <n v="17.60373597164796"/>
    <d v="2033-11-14T00:00:00"/>
    <x v="31"/>
    <s v="NN"/>
    <s v="10% every 5 years"/>
    <s v="3, 5yr"/>
    <m/>
    <x v="31"/>
    <s v="NNN Group; Kunofsky"/>
    <m/>
    <s v="x"/>
    <n v="4146522"/>
    <n v="0.05749999638251045"/>
    <n v="4146522"/>
    <x v="30"/>
    <s v="No"/>
    <d v="2023-02-23T00:00:00"/>
    <n v="42.4181702546266"/>
    <m/>
  </r>
  <r>
    <s v="U.S. Renal Care"/>
    <s v="6450 Brentwood Stair Rd"/>
    <s v="Fort Worth"/>
    <s v="TX"/>
    <n v="1.23"/>
    <s v="1977 | 2022"/>
    <n v="7528"/>
    <n v="176908"/>
    <n v="23.5"/>
    <d v="2032-11-30T00:00:00"/>
    <x v="1"/>
    <s v="NN"/>
    <s v="3% annually"/>
    <s v="2, 5yr"/>
    <m/>
    <x v="2"/>
    <s v="Colliers; Patel"/>
    <m/>
    <s v="x"/>
    <n v="3216509"/>
    <n v="0.05500000155448034"/>
    <n v="3076661"/>
    <x v="31"/>
    <s v="Yes"/>
    <d v="2022-12-15T00:00:00"/>
    <n v="112.4181702546266"/>
    <s v="Available"/>
  </r>
  <r>
    <s v="U.S. Renal Care"/>
    <s v="3400 NW Centre Dr"/>
    <s v="Fort Worth"/>
    <s v="TX"/>
    <n v="1.7"/>
    <n v="2022"/>
    <n v="12145"/>
    <n v="305000"/>
    <n v="25.11321531494442"/>
    <d v="2034-10-15T00:00:00"/>
    <x v="32"/>
    <s v="NN"/>
    <s v="2.5% annually"/>
    <m/>
    <m/>
    <x v="32"/>
    <s v="CBRE; Carter"/>
    <m/>
    <m/>
    <m/>
    <s v=" "/>
    <m/>
    <x v="15"/>
    <s v=" "/>
    <d v="2022-10-16T00:00:00"/>
    <n v="172.4181702546266"/>
    <s v="Available"/>
  </r>
  <r>
    <s v="Fresenius Medical Care (Portfolio)"/>
    <s v="121 Park Hill Dr"/>
    <s v="Fredericksburg"/>
    <s v="VA"/>
    <n v="0.35"/>
    <n v="2001"/>
    <n v="4000"/>
    <n v="187188"/>
    <n v="46.797"/>
    <m/>
    <x v="10"/>
    <m/>
    <s v="3% annually"/>
    <m/>
    <m/>
    <x v="7"/>
    <s v="SRS; Fernandez"/>
    <m/>
    <m/>
    <n v="2995000"/>
    <n v="0.06250016694490818"/>
    <n v="2995000"/>
    <x v="32"/>
    <s v="No"/>
    <d v="2023-03-22T00:00:00"/>
    <n v="15.4181702546266"/>
    <s v="Available"/>
  </r>
  <r>
    <s v="DaVita Dialysis - MOB"/>
    <s v="4802 Broadway"/>
    <s v="Gary"/>
    <s v="IN"/>
    <n v="0.49"/>
    <n v="1992"/>
    <n v="13540"/>
    <n v="276742"/>
    <n v="20.43884785819793"/>
    <d v="2025-01-31T00:00:00"/>
    <x v="33"/>
    <s v="NN"/>
    <s v="2% annually"/>
    <s v="3, 5yr"/>
    <m/>
    <x v="33"/>
    <s v="SRS; Sullivan"/>
    <m/>
    <s v="x"/>
    <n v="3953000"/>
    <n v="0.07000809511763217"/>
    <n v="3953000"/>
    <x v="33"/>
    <s v="No"/>
    <d v="2021-09-28T00:00:00"/>
    <n v="555.4181702546266"/>
    <s v="Available"/>
  </r>
  <r>
    <s v="DaVita Dialysis"/>
    <s v="6221 N Chestnut Ave"/>
    <s v="Gladstone"/>
    <s v="MO"/>
    <n v="1.24"/>
    <n v="2021"/>
    <n v="8602"/>
    <n v="187201"/>
    <n v="21.76249709369914"/>
    <d v="2036-12-21T00:00:00"/>
    <x v="34"/>
    <s v="NN"/>
    <s v="10% every 5 years"/>
    <s v="3, 5yr"/>
    <m/>
    <x v="19"/>
    <s v="NM; Briggs"/>
    <m/>
    <s v="x"/>
    <n v="4025828"/>
    <n v="0.04649999950320779"/>
    <n v="3670187"/>
    <x v="34"/>
    <s v="Yes"/>
    <d v="2022-03-30T00:00:00"/>
    <n v="372.4181702546266"/>
    <s v="Available"/>
  </r>
  <r>
    <s v="U.S. Renal Care"/>
    <s v="1002 Boulder Dr"/>
    <s v="Gray"/>
    <s v="GA"/>
    <n v="0.9399999999999999"/>
    <s v="2006 | 2020"/>
    <n v="6904"/>
    <n v="188476.2"/>
    <n v="27.29956546929316"/>
    <d v="2031-08-31T00:00:00"/>
    <x v="35"/>
    <s v="NN"/>
    <s v="2.25% annually"/>
    <m/>
    <m/>
    <x v="34"/>
    <s v="Summit Group; Bailey"/>
    <m/>
    <s v="x"/>
    <n v="3006000"/>
    <n v="0.06270000000000001"/>
    <n v="3006000"/>
    <x v="35"/>
    <s v="No"/>
    <d v="2022-11-14T00:00:00"/>
    <n v="143.4181702546266"/>
    <s v="Available"/>
  </r>
  <r>
    <s v="Fresenius Medical Care"/>
    <s v="3904 6th St"/>
    <s v="Great Bend"/>
    <s v="KS"/>
    <n v="1.44"/>
    <n v="2001"/>
    <n v="4150"/>
    <n v="75555"/>
    <n v="18.20602409638554"/>
    <d v="2026-09-30T00:00:00"/>
    <x v="36"/>
    <s v="NN"/>
    <s v="N/A"/>
    <s v="1, 5yr"/>
    <m/>
    <x v="35"/>
    <s v="NM; Briggs"/>
    <m/>
    <s v="x"/>
    <n v="1195000"/>
    <n v="0.06322594142259415"/>
    <n v="1119333"/>
    <x v="36"/>
    <s v="Yes"/>
    <d v="2021-11-22T00:00:00"/>
    <n v="500.4181702546266"/>
    <s v="Available"/>
  </r>
  <r>
    <s v="DaVita Dialysis"/>
    <s v="101 S Greenville W Dr"/>
    <s v="Greenville"/>
    <s v="MI"/>
    <n v="1.23"/>
    <n v="1995"/>
    <n v="4500"/>
    <n v="72499.95300000001"/>
    <n v="16.11110066666667"/>
    <d v="2027-01-31T00:00:00"/>
    <x v="20"/>
    <s v="NN"/>
    <s v="-"/>
    <s v="3, 5yr"/>
    <m/>
    <x v="36"/>
    <s v="InCommercial; Derse"/>
    <m/>
    <m/>
    <n v="1271929"/>
    <n v="0.05700000000000001"/>
    <n v="1245000"/>
    <x v="37"/>
    <s v="Yes"/>
    <d v="2022-05-09T00:00:00"/>
    <n v="332.4181702546266"/>
    <s v="Under Contract"/>
  </r>
  <r>
    <s v="Greenville Kidney Care"/>
    <s v="10 Memorial Medical Dr"/>
    <s v="Greenville"/>
    <s v="SC"/>
    <n v="0.6899999999999999"/>
    <m/>
    <n v="7000"/>
    <m/>
    <s v=" "/>
    <m/>
    <x v="10"/>
    <m/>
    <s v="-"/>
    <s v="-"/>
    <m/>
    <x v="37"/>
    <s v="Wilson Kibler; Wilson"/>
    <m/>
    <s v="x"/>
    <n v="825000"/>
    <s v=" "/>
    <n v="825000"/>
    <x v="15"/>
    <s v="No"/>
    <d v="2021-02-02T00:00:00"/>
    <n v="793.4181702546266"/>
    <s v="Under Contract"/>
  </r>
  <r>
    <s v="Fresenius Medical Care"/>
    <s v="1500 W Small St"/>
    <s v="Harrisburg"/>
    <s v="IL"/>
    <n v="2.24"/>
    <n v="2005"/>
    <n v="9068"/>
    <n v="131468"/>
    <n v="14.49801499779444"/>
    <d v="2024-08-30T00:00:00"/>
    <x v="37"/>
    <s v="NN"/>
    <m/>
    <s v="2, 5yr"/>
    <s v="OM Link"/>
    <x v="7"/>
    <s v="M&amp;M; Gould"/>
    <m/>
    <m/>
    <n v="2165000"/>
    <n v="0.0607242494226328"/>
    <n v="2165000"/>
    <x v="38"/>
    <s v="No"/>
    <d v="2022-10-27T00:00:00"/>
    <n v="161.4181702546266"/>
    <s v="Available"/>
  </r>
  <r>
    <s v="Fresenius Medical Care"/>
    <s v="201 N Haley St"/>
    <s v="Hazlehurst"/>
    <s v="MS"/>
    <n v="1.12"/>
    <n v="1997"/>
    <n v="4840"/>
    <n v="58080"/>
    <n v="12"/>
    <d v="2029-12-31T00:00:00"/>
    <x v="22"/>
    <s v="NN"/>
    <s v="3% in '24; 10% or FMV in Options"/>
    <s v="3, 5yr"/>
    <s v="OM Link"/>
    <x v="38"/>
    <s v="Ascension; Brehaut"/>
    <m/>
    <m/>
    <n v="847883"/>
    <n v="0.06850001710141612"/>
    <n v="847883"/>
    <x v="39"/>
    <s v="No"/>
    <d v="2023-01-04T00:00:00"/>
    <n v="92.4181702546266"/>
    <s v="Available"/>
  </r>
  <r>
    <s v="KidneySpa"/>
    <s v="4298 Palm Ave"/>
    <s v="Hialeah"/>
    <s v="FL"/>
    <n v="0.43"/>
    <n v="2023"/>
    <n v="5991"/>
    <n v="405000"/>
    <n v="67.60140210315473"/>
    <d v="2038-03-31T00:00:00"/>
    <x v="38"/>
    <s v="Absolute NNN"/>
    <s v="2% annually"/>
    <s v="3, 5yr"/>
    <m/>
    <x v="39"/>
    <s v="Colliers; Patel"/>
    <m/>
    <s v="x"/>
    <n v="7363636"/>
    <n v="0.05500000271604952"/>
    <n v="7363636"/>
    <x v="40"/>
    <s v="No"/>
    <d v="2023-01-05T00:00:00"/>
    <n v="91.4181702546266"/>
    <s v="Available"/>
  </r>
  <r>
    <s v="Fresenius Medical Care "/>
    <s v="1325 MS-4"/>
    <s v="Holly Springs"/>
    <s v="MS"/>
    <n v="1.91"/>
    <n v="1993"/>
    <n v="1639"/>
    <n v="103092"/>
    <n v="62.8993288590604"/>
    <d v="2037-12-31T00:00:00"/>
    <x v="28"/>
    <s v="Absolute NNN"/>
    <s v="CPI Annually"/>
    <s v="3, 5yr"/>
    <m/>
    <x v="7"/>
    <s v="M&amp;M; Sulo"/>
    <m/>
    <m/>
    <n v="1983000"/>
    <n v="0.05198789712556733"/>
    <n v="1983000"/>
    <x v="41"/>
    <s v="No"/>
    <d v="2023-03-22T00:00:00"/>
    <n v="15.4181702546266"/>
    <s v="Available"/>
  </r>
  <r>
    <s v="U.S. Renal Care"/>
    <s v="750 Palani St"/>
    <s v="Honolulu "/>
    <s v="HI"/>
    <n v="0.25"/>
    <n v="1993"/>
    <n v="10800"/>
    <m/>
    <s v=" "/>
    <m/>
    <x v="10"/>
    <s v="Absolute NNN"/>
    <s v="3% annually"/>
    <m/>
    <m/>
    <x v="40"/>
    <s v="CBRE; Bittick"/>
    <m/>
    <s v="x"/>
    <n v="8375000"/>
    <s v=" "/>
    <n v="8375000"/>
    <x v="15"/>
    <s v="No"/>
    <d v="2023-03-25T00:00:00"/>
    <n v="12.4181702546266"/>
    <s v="Available"/>
  </r>
  <r>
    <s v="DaVita Dialysis"/>
    <s v="2001 W 34th St"/>
    <s v="Houston"/>
    <s v="TX"/>
    <n v="1.03"/>
    <n v="2020"/>
    <n v="10103"/>
    <n v="324306"/>
    <n v="32.09997030584974"/>
    <d v="2035-12-31T00:00:00"/>
    <x v="39"/>
    <s v="NN"/>
    <s v="FMV at each option"/>
    <s v="2, 5yr"/>
    <s v="OM Link"/>
    <x v="41"/>
    <s v="Peranich; Huffman"/>
    <m/>
    <s v="x"/>
    <n v="6297000"/>
    <n v="0.05150166746069557"/>
    <n v="6120000"/>
    <x v="42"/>
    <s v="Yes"/>
    <d v="2022-08-01T00:00:00"/>
    <n v="248.4181702546266"/>
    <s v="Under Contract"/>
  </r>
  <r>
    <s v="U.S. Renal Care (MT)"/>
    <s v="8181 N Stadium Dr"/>
    <s v="Houston"/>
    <s v="TX"/>
    <n v="1"/>
    <n v="1980"/>
    <n v="15209"/>
    <n v="310643"/>
    <n v="20.42494575580249"/>
    <d v="2026-05-31T00:00:00"/>
    <x v="40"/>
    <s v="NNN"/>
    <s v="2% annually"/>
    <s v="4, 5yr"/>
    <m/>
    <x v="42"/>
    <s v="M&amp;M; Regenstreif"/>
    <m/>
    <m/>
    <n v="4816170"/>
    <n v="0.06450000726718534"/>
    <n v="4816170"/>
    <x v="43"/>
    <s v="No"/>
    <d v="2022-03-15T00:00:00"/>
    <n v="387.4181702546266"/>
    <s v="Available"/>
  </r>
  <r>
    <s v="DaVita Dialysis"/>
    <s v="50 Taylor Ave"/>
    <s v="Huntingdon"/>
    <s v="TN"/>
    <n v="2.94"/>
    <n v="2022"/>
    <n v="6464"/>
    <n v="142365.6"/>
    <n v="22.02438118811881"/>
    <d v="2037-07-10T00:00:00"/>
    <x v="41"/>
    <s v="NN"/>
    <s v="10% every 5 years"/>
    <s v="3, 5yr"/>
    <m/>
    <x v="19"/>
    <s v="NM; Briggs"/>
    <m/>
    <s v="x"/>
    <n v="2997171"/>
    <n v="0.04749999249292083"/>
    <n v="2791482"/>
    <x v="44"/>
    <s v="Yes"/>
    <d v="2022-07-14T00:00:00"/>
    <n v="266.4181702546266"/>
    <s v="Available"/>
  </r>
  <r>
    <s v="DaVita Dialysis"/>
    <s v="82900 Ave 42"/>
    <s v="Indio"/>
    <s v="CA"/>
    <n v="1.64"/>
    <n v="2008"/>
    <n v="14000"/>
    <n v="252000"/>
    <n v="18"/>
    <d v="2027-03-31T00:00:00"/>
    <x v="42"/>
    <s v="Absolute NNN"/>
    <s v="10% every 5 years"/>
    <s v="3, 5yr"/>
    <s v="OM Link"/>
    <x v="43"/>
    <s v="Profressive RE; Bedell"/>
    <s v="Joseph Ramani"/>
    <m/>
    <n v="4500000"/>
    <n v="0.056"/>
    <n v="4500000"/>
    <x v="1"/>
    <s v="No"/>
    <d v="2022-12-24T00:00:00"/>
    <n v="103.4181702546266"/>
    <s v="Withdrawn (3/23/23)"/>
  </r>
  <r>
    <s v="DaVita Dialysis"/>
    <s v="700 N Main St"/>
    <s v="Jasper"/>
    <s v="GA"/>
    <n v="0.5600000000000001"/>
    <n v="2007"/>
    <n v="6000"/>
    <n v="70375"/>
    <n v="11.72916666666667"/>
    <d v="2030-09-30T00:00:00"/>
    <x v="43"/>
    <s v="NNN"/>
    <s v="-"/>
    <s v="3, 5yr"/>
    <m/>
    <x v="44"/>
    <s v="David Shohuse"/>
    <m/>
    <m/>
    <n v="1375000"/>
    <n v="0.05118181818181818"/>
    <n v="1250000"/>
    <x v="45"/>
    <s v="Yes"/>
    <d v="2020-08-04T00:00:00"/>
    <n v="975.4181702546266"/>
    <s v="Available"/>
  </r>
  <r>
    <s v="DaVita Dialysis"/>
    <s v="483 Gateway Industrial Park"/>
    <s v="Jenkins"/>
    <s v="KY"/>
    <n v="1.02"/>
    <n v="2014"/>
    <n v="5524"/>
    <n v="121056"/>
    <n v="21.9145546705286"/>
    <d v="2029-03-31T00:00:00"/>
    <x v="44"/>
    <s v="NN"/>
    <s v="10% every 5 - 95% FMV at Option"/>
    <s v="2, 5yr"/>
    <s v="OM Link"/>
    <x v="12"/>
    <s v="ACA; Wasserman"/>
    <m/>
    <s v="x"/>
    <n v="2017609"/>
    <n v="0.05999973235646748"/>
    <n v="2017609"/>
    <x v="46"/>
    <s v="No"/>
    <d v="2022-08-01T00:00:00"/>
    <n v="248.4181702546266"/>
    <s v="Available"/>
  </r>
  <r>
    <s v="Fresenius Medical Care"/>
    <s v="230 W South St"/>
    <s v="Kewanee"/>
    <s v="IL"/>
    <n v="0.64"/>
    <n v="2002"/>
    <n v="4270"/>
    <n v="85400"/>
    <n v="20"/>
    <d v="2027-01-31T00:00:00"/>
    <x v="20"/>
    <s v="NN"/>
    <s v="FMV"/>
    <s v="2, 5yr"/>
    <s v="FMC Kewanee, IL OM"/>
    <x v="45"/>
    <s v="SRS; Sullivan"/>
    <m/>
    <s v="x"/>
    <n v="1708000"/>
    <n v="0.05"/>
    <n v="1708000"/>
    <x v="11"/>
    <s v="No"/>
    <d v="2022-03-02T00:00:00"/>
    <n v="400.4181702546266"/>
    <s v="Available"/>
  </r>
  <r>
    <s v="Fresenius Medical Care"/>
    <s v="11305 Station W Dr"/>
    <s v="Knoxville"/>
    <s v="TN"/>
    <n v="1.44"/>
    <n v="1987"/>
    <n v="3358"/>
    <n v="60803"/>
    <n v="18.10690887432996"/>
    <m/>
    <x v="10"/>
    <s v="NN"/>
    <s v="-"/>
    <s v="-"/>
    <m/>
    <x v="46"/>
    <s v="M&amp;M; Freeman"/>
    <m/>
    <s v="x"/>
    <n v="1429000"/>
    <n v="0.04254933519944017"/>
    <n v="1351178"/>
    <x v="47"/>
    <s v="Yes"/>
    <d v="2022-08-17T00:00:00"/>
    <n v="232.4181702546266"/>
    <s v="Withdrawn (2/15/23)"/>
  </r>
  <r>
    <s v="Fresenius Medical Care"/>
    <s v="1020 N 18th St"/>
    <s v="Lafayette"/>
    <s v="IN"/>
    <n v="1.41"/>
    <n v="2000"/>
    <n v="17400"/>
    <n v="243100"/>
    <n v="13.97126436781609"/>
    <d v="2031-12-31T00:00:00"/>
    <x v="45"/>
    <s v="NN"/>
    <s v="-"/>
    <s v="2, 5yr"/>
    <m/>
    <x v="47"/>
    <s v="CBRE; Gray"/>
    <m/>
    <m/>
    <n v="4420000"/>
    <n v="0.055"/>
    <n v="4420000"/>
    <x v="4"/>
    <s v="No"/>
    <d v="2022-04-12T00:00:00"/>
    <n v="359.4181702546266"/>
    <s v="Under Contract"/>
  </r>
  <r>
    <s v="Dialysis Clinic, Inc"/>
    <s v="301 Alcide Dr"/>
    <s v="Lafayette"/>
    <s v="LA"/>
    <n v="3.98"/>
    <n v="2009"/>
    <n v="15100"/>
    <n v="362784"/>
    <n v="24.02543046357616"/>
    <d v="2032-12-31T00:00:00"/>
    <x v="46"/>
    <s v="NN"/>
    <s v="CPI every 5 years"/>
    <s v="2, 5yr"/>
    <m/>
    <x v="48"/>
    <s v="SRS; Kortlandt"/>
    <m/>
    <s v="x"/>
    <n v="5581000"/>
    <n v="0.06500340440781222"/>
    <n v="5183000"/>
    <x v="48"/>
    <s v="Yes"/>
    <d v="2022-12-07T00:00:00"/>
    <n v="120.4181702546266"/>
    <s v="Available"/>
  </r>
  <r>
    <s v="DaVita Dialysis"/>
    <s v="1412 E King St"/>
    <s v="Lancaster"/>
    <s v="PA"/>
    <m/>
    <s v="1973 | 2003"/>
    <n v="8760"/>
    <n v="186565"/>
    <n v="21.29737442922374"/>
    <d v="2031-05-30T00:00:00"/>
    <x v="47"/>
    <s v="NN"/>
    <s v="10% every 5 years"/>
    <m/>
    <m/>
    <x v="49"/>
    <s v="F&amp;M; Raiken"/>
    <m/>
    <m/>
    <n v="3050000"/>
    <n v="0.06116885245901639"/>
    <n v="3050000"/>
    <x v="49"/>
    <s v="No"/>
    <d v="2023-03-09T00:00:00"/>
    <n v="28.4181702546266"/>
    <s v="Available"/>
  </r>
  <r>
    <s v="Fresenius Medical Care "/>
    <s v="4122 Partnership Way"/>
    <s v="Locust Grove"/>
    <s v="VA"/>
    <n v="1.2"/>
    <n v="2013"/>
    <n v="8584"/>
    <n v="226091"/>
    <n v="26.33865330848089"/>
    <d v="2028-10-25T00:00:00"/>
    <x v="48"/>
    <s v="NN"/>
    <s v="1.2% annually"/>
    <s v="3, 5yr"/>
    <m/>
    <x v="7"/>
    <s v="M&amp;M; Diffie"/>
    <m/>
    <m/>
    <n v="3349496"/>
    <n v="0.06750000597104759"/>
    <n v="3349496"/>
    <x v="50"/>
    <s v="No"/>
    <d v="2023-03-27T00:00:00"/>
    <n v="10.4181702546266"/>
    <s v="Available"/>
  </r>
  <r>
    <s v="U.S. Renal Care"/>
    <s v="480 N 100 E"/>
    <s v="Logan"/>
    <s v="UT"/>
    <n v="0.4"/>
    <s v="1988 | 2022"/>
    <n v="10601"/>
    <n v="238222"/>
    <n v="22.47165361758325"/>
    <d v="2037-02-28T00:00:00"/>
    <x v="49"/>
    <s v="NN"/>
    <s v="1.7% annually"/>
    <s v="2, 5yr"/>
    <m/>
    <x v="50"/>
    <s v="JLL; Sharrin"/>
    <m/>
    <s v="x"/>
    <n v="4217000"/>
    <n v="0.05649087028693384"/>
    <n v="4073000"/>
    <x v="51"/>
    <s v="Yes"/>
    <d v="2022-12-06T00:00:00"/>
    <n v="121.4181702546266"/>
    <s v="Withdrawn (1/6/23)"/>
  </r>
  <r>
    <s v="Fresenius Medical Care"/>
    <s v="14786 AZ-77"/>
    <s v="Mammoth"/>
    <s v="AZ"/>
    <n v="1.65"/>
    <n v="2002"/>
    <n v="5944"/>
    <n v="102534"/>
    <n v="17.25"/>
    <d v="2027-11-30T00:00:00"/>
    <x v="0"/>
    <s v="NN"/>
    <s v="2% annually"/>
    <s v="1, 5yr"/>
    <m/>
    <x v="51"/>
    <s v="KW; Andrews"/>
    <m/>
    <s v="x"/>
    <n v="1535000"/>
    <n v="0.06679739413680781"/>
    <n v="1475000"/>
    <x v="52"/>
    <s v="Yes"/>
    <d v="2022-12-09T00:00:00"/>
    <n v="118.4181702546266"/>
    <s v="Available"/>
  </r>
  <r>
    <s v="DaVita Dialysis (Condo)"/>
    <s v="9420 Forestwood Ln"/>
    <s v="Manassas"/>
    <s v="VA"/>
    <n v="3.05"/>
    <n v="2007"/>
    <n v="9981"/>
    <n v="132000"/>
    <n v="13.22512774271115"/>
    <d v="2025-05-31T00:00:00"/>
    <x v="50"/>
    <s v="NNN"/>
    <s v="10% every 5 years"/>
    <s v="3, 5yr"/>
    <m/>
    <x v="52"/>
    <s v="Snook; Weber Rector "/>
    <m/>
    <s v="x"/>
    <n v="2500000"/>
    <n v="0.0528"/>
    <n v="2500000"/>
    <x v="53"/>
    <s v="No"/>
    <d v="2021-04-30T00:00:00"/>
    <n v="706.4181702546266"/>
    <s v="Available"/>
  </r>
  <r>
    <s v="U.S. Renal Care"/>
    <s v="1800 FM 157"/>
    <s v="Mansfield"/>
    <s v="TX"/>
    <n v="0.96"/>
    <n v="1978"/>
    <n v="7107"/>
    <n v="154577"/>
    <n v="21.74996482341353"/>
    <d v="2033-01-31T00:00:00"/>
    <x v="30"/>
    <s v="NNN"/>
    <s v="3% annually"/>
    <s v="2, 5yr"/>
    <m/>
    <x v="2"/>
    <s v="NM; Cornell"/>
    <m/>
    <s v="x"/>
    <n v="2810000"/>
    <n v="0.05500960854092526"/>
    <n v="2688000"/>
    <x v="54"/>
    <s v="Yes"/>
    <d v="2022-12-06T00:00:00"/>
    <n v="121.4181702546266"/>
    <s v="Available"/>
  </r>
  <r>
    <s v="DaVita Dialysis"/>
    <s v="202 W Dr MLK Jr Dr"/>
    <s v="Maxton"/>
    <s v="NC"/>
    <n v="1.77"/>
    <n v="2017"/>
    <n v="9945"/>
    <n v="175628"/>
    <n v="17.65992961287079"/>
    <d v="2032-07-31T00:00:00"/>
    <x v="51"/>
    <s v="NN"/>
    <s v="10% every 5 years"/>
    <s v="2, 5yr"/>
    <m/>
    <x v="53"/>
    <s v="Colliers; Patel"/>
    <m/>
    <s v="x"/>
    <n v="2927140"/>
    <n v="0.05999986334784124"/>
    <n v="2810054"/>
    <x v="55"/>
    <s v="Yes"/>
    <d v="2022-11-02T00:00:00"/>
    <n v="155.4181702546266"/>
    <s v="Available"/>
  </r>
  <r>
    <s v="Southside Kidney Clinic"/>
    <s v="1095 Henry Pkwy Connector"/>
    <s v="McDounough"/>
    <s v="GA"/>
    <n v="1.31"/>
    <n v="2005"/>
    <n v="7184"/>
    <n v="201152"/>
    <n v="28"/>
    <d v="2037-12-31T00:00:00"/>
    <x v="28"/>
    <s v="Absolute NNN"/>
    <s v="3% annually"/>
    <s v="2, 5yr"/>
    <m/>
    <x v="28"/>
    <s v="NM; Largent"/>
    <m/>
    <s v="x"/>
    <n v="3498296"/>
    <n v="0.05749999428293089"/>
    <n v="3498296"/>
    <x v="56"/>
    <s v="No"/>
    <d v="2023-02-01T00:00:00"/>
    <n v="64.4181702546266"/>
    <s v="Available"/>
  </r>
  <r>
    <s v="DaVita Dialysis"/>
    <s v="1200 Crestwood Cir"/>
    <s v="Mena"/>
    <s v="AR"/>
    <n v="0.51"/>
    <n v="2007"/>
    <n v="5246"/>
    <n v="81480.00000000001"/>
    <n v="15.53183377811666"/>
    <d v="2027-09-26T00:00:00"/>
    <x v="52"/>
    <s v="NN"/>
    <s v="2% annually"/>
    <s v="3, 5yr"/>
    <m/>
    <x v="54"/>
    <s v="Fernandez"/>
    <m/>
    <s v="x"/>
    <n v="1288560"/>
    <n v="0.06323337679269883"/>
    <n v="1164000"/>
    <x v="57"/>
    <s v="Yes"/>
    <d v="2022-10-11T00:00:00"/>
    <n v="177.4181702546266"/>
    <s v="Available"/>
  </r>
  <r>
    <s v="DaVita Dialysis (Condo)"/>
    <s v="883 Patriot Dr"/>
    <s v="Moorpark"/>
    <s v="CA"/>
    <m/>
    <m/>
    <n v="11594"/>
    <n v="406879"/>
    <n v="35.09392789373814"/>
    <m/>
    <x v="10"/>
    <s v="NNN"/>
    <m/>
    <m/>
    <m/>
    <x v="55"/>
    <s v="Macroreal; Ding"/>
    <m/>
    <s v="x"/>
    <n v="7535000"/>
    <n v="0.0539985401459854"/>
    <n v="7535000"/>
    <x v="58"/>
    <s v="No"/>
    <d v="2023-03-16T00:00:00"/>
    <n v="21.4181702546266"/>
    <s v="Available"/>
  </r>
  <r>
    <s v="DaVita Dialysis - MOB"/>
    <s v="1151 Warwick Way"/>
    <s v="Mount Pleasant"/>
    <s v="WI"/>
    <n v="2.31"/>
    <s v="2000 | 2020"/>
    <n v="24522"/>
    <n v="291230"/>
    <n v="11.87627436587554"/>
    <d v="2031-06-30T00:00:00"/>
    <x v="53"/>
    <s v="NN/MG"/>
    <s v="Yes"/>
    <s v="Yes"/>
    <m/>
    <x v="56"/>
    <s v="M&amp;M; Roti"/>
    <m/>
    <s v="x"/>
    <n v="3900000"/>
    <n v="0.07467435897435898"/>
    <n v="3900000"/>
    <x v="59"/>
    <s v="No"/>
    <d v="2022-10-25T00:00:00"/>
    <n v="163.4181702546266"/>
    <s v="Under Contract"/>
  </r>
  <r>
    <s v="DaVita Dialysis - MT"/>
    <s v="3350 California Blvd"/>
    <s v="Napa"/>
    <s v="CA"/>
    <n v="0.48"/>
    <n v="2013"/>
    <n v="4968"/>
    <n v="225625"/>
    <n v="45.41566022544283"/>
    <d v="2031-09-30T00:00:00"/>
    <x v="8"/>
    <s v="NNN"/>
    <s v="Yes"/>
    <s v="3, 5yr"/>
    <m/>
    <x v="57"/>
    <s v="CBRE; Riley"/>
    <m/>
    <m/>
    <n v="4743000"/>
    <n v="0.04757010331014126"/>
    <n v="4750000"/>
    <x v="60"/>
    <s v="Yes"/>
    <d v="2022-03-30T00:00:00"/>
    <n v="372.4181702546266"/>
    <s v="Under Contract"/>
  </r>
  <r>
    <s v="Fresenius Medical Care"/>
    <s v="2908 General De Gaulle Dr"/>
    <s v="New Orleans"/>
    <s v="LA"/>
    <n v="0.97"/>
    <n v="2017"/>
    <n v="7235"/>
    <n v="346014"/>
    <n v="47.82501727712508"/>
    <d v="2032-11-30T00:00:00"/>
    <x v="1"/>
    <s v="NN"/>
    <s v="10% every 5 years"/>
    <s v="3, 5yr"/>
    <s v="OM Link"/>
    <x v="58"/>
    <s v="NNN Group; Kunofsky"/>
    <s v="Bond Oman"/>
    <s v="x"/>
    <n v="6017000"/>
    <n v="0.0575060661459199"/>
    <n v="5767000"/>
    <x v="61"/>
    <s v="Yes"/>
    <d v="2022-12-12T00:00:00"/>
    <n v="115.4181702546266"/>
    <s v="Available"/>
  </r>
  <r>
    <s v="DaVita Dialysis"/>
    <s v="262 Broad St"/>
    <s v="Newark"/>
    <s v="NJ"/>
    <n v="0.45"/>
    <n v="1922"/>
    <n v="9500"/>
    <n v="270297"/>
    <n v="28.45231578947368"/>
    <d v="2033-09-30T00:00:00"/>
    <x v="54"/>
    <s v="NN"/>
    <s v="10% every 5 years"/>
    <s v="2, 5yr"/>
    <m/>
    <x v="4"/>
    <s v="Colliers; Patel"/>
    <m/>
    <s v="x"/>
    <n v="4914488"/>
    <n v="0.05500003255679941"/>
    <n v="4914488"/>
    <x v="62"/>
    <s v="No"/>
    <d v="2023-01-30T00:00:00"/>
    <n v="66.4181702546266"/>
    <s v="Available"/>
  </r>
  <r>
    <s v="DaVita Dialysis - MT"/>
    <s v="711 79th St"/>
    <s v="Newport News"/>
    <s v="VA"/>
    <n v="2.13"/>
    <s v="2003 | 2016"/>
    <n v="19256"/>
    <n v="162445"/>
    <n v="8.436071873701703"/>
    <m/>
    <x v="10"/>
    <s v="NN"/>
    <s v="10% every 5 years"/>
    <s v="2, 5yr"/>
    <m/>
    <x v="59"/>
    <s v="Delta; Monfared"/>
    <m/>
    <s v="x"/>
    <n v="3065000"/>
    <n v="0.053"/>
    <n v="3065000"/>
    <x v="63"/>
    <s v="No"/>
    <d v="2022-09-30T00:00:00"/>
    <n v="188.4181702546266"/>
    <s v="Available"/>
  </r>
  <r>
    <s v="Fresenius (MT Leasehold Portfolio)"/>
    <s v="340 Anderson Rd NE"/>
    <s v="Norton"/>
    <s v="VA"/>
    <n v="7.84"/>
    <n v="1999"/>
    <n v="14512"/>
    <n v="191444"/>
    <n v="13.19211686879824"/>
    <d v="2028-10-31T00:00:00"/>
    <x v="2"/>
    <s v="NN"/>
    <m/>
    <m/>
    <m/>
    <x v="7"/>
    <s v="Cook; Valerie"/>
    <m/>
    <m/>
    <n v="2000000"/>
    <n v="0.095722"/>
    <n v="1900000"/>
    <x v="64"/>
    <s v="Yes"/>
    <d v="2023-01-25T00:00:00"/>
    <n v="71.4181702546266"/>
    <s v="Available"/>
  </r>
  <r>
    <s v="Fresenius Medical Care - MT"/>
    <s v="3300 Vista Way"/>
    <s v="Oceanside"/>
    <s v="CA"/>
    <n v="1.69"/>
    <n v="1996"/>
    <n v="12958"/>
    <n v="434608"/>
    <n v="33.53974378762155"/>
    <m/>
    <x v="10"/>
    <s v="NN"/>
    <m/>
    <m/>
    <m/>
    <x v="60"/>
    <s v="CIRE Partners"/>
    <m/>
    <s v="x"/>
    <n v="9650000"/>
    <n v="0.04503709844559586"/>
    <n v="9650000"/>
    <x v="65"/>
    <s v="No"/>
    <d v="2022-10-12T00:00:00"/>
    <n v="176.4181702546266"/>
    <s v="Available"/>
  </r>
  <r>
    <s v="Fresenius Medical Care - MOB"/>
    <s v="475 40th St"/>
    <s v="Ogden"/>
    <s v="UT"/>
    <n v="1.18"/>
    <n v="2015"/>
    <n v="9814"/>
    <n v="359946"/>
    <n v="36.67678826166701"/>
    <d v="2030-12-31T00:00:00"/>
    <x v="55"/>
    <s v="NN"/>
    <s v="2% annually"/>
    <s v="3, 5yr"/>
    <s v="OM Link"/>
    <x v="61"/>
    <s v="NM; Largent"/>
    <m/>
    <s v="x"/>
    <n v="6152928"/>
    <n v="0.05849995319301639"/>
    <n v="5999000"/>
    <x v="66"/>
    <s v="Yes"/>
    <d v="2022-07-27T00:00:00"/>
    <n v="253.4181702546266"/>
    <s v="Available"/>
  </r>
  <r>
    <s v="Fresenius Medical Care "/>
    <s v="810 NW 10th St"/>
    <s v="Oklahoma City"/>
    <s v="OK"/>
    <n v="0.96"/>
    <n v="2011"/>
    <n v="12035"/>
    <n v="421225"/>
    <n v="35"/>
    <d v="2033-04-30T00:00:00"/>
    <x v="56"/>
    <s v="NN"/>
    <s v="1.7% annually starting year 6"/>
    <s v="3, 5yr"/>
    <m/>
    <x v="62"/>
    <s v="Colliers; Patel"/>
    <m/>
    <s v="x"/>
    <n v="7658636"/>
    <n v="0.05500000261143107"/>
    <n v="7658636"/>
    <x v="67"/>
    <s v="No"/>
    <d v="2023-02-28T00:00:00"/>
    <n v="37.4181702546266"/>
    <m/>
  </r>
  <r>
    <s v="Dialysis Clinic, Inc"/>
    <s v="927 E Prudhomme St"/>
    <s v="Opelousas"/>
    <s v="LA"/>
    <n v="0.83"/>
    <n v="2007"/>
    <n v="8270"/>
    <n v="156000"/>
    <n v="18.863361547763"/>
    <d v="2027-12-31T00:00:00"/>
    <x v="57"/>
    <s v="NN"/>
    <s v="CPI every 5 years"/>
    <s v="2, 5yr"/>
    <m/>
    <x v="48"/>
    <s v="SRS; Kortlandt"/>
    <m/>
    <s v="x"/>
    <n v="2311000"/>
    <n v="0.06750324534833406"/>
    <n v="2311000"/>
    <x v="68"/>
    <s v="No"/>
    <d v="2022-12-07T00:00:00"/>
    <n v="120.4181702546266"/>
    <s v="Available"/>
  </r>
  <r>
    <s v="Fresenius Medical Care"/>
    <s v="3748 Meeks Dr"/>
    <s v="Orange"/>
    <s v="TX"/>
    <n v="1.24"/>
    <s v="1969 | 2020"/>
    <n v="7384"/>
    <n v="110760"/>
    <n v="15"/>
    <d v="2030-08-31T00:00:00"/>
    <x v="58"/>
    <s v="NN"/>
    <s v="10% every 5 years"/>
    <s v="3, 5yr"/>
    <m/>
    <x v="63"/>
    <s v="SRS; Luther"/>
    <m/>
    <s v="x"/>
    <n v="1846000"/>
    <n v="0.06"/>
    <n v="1800000"/>
    <x v="69"/>
    <s v="Yes"/>
    <d v="2020-07-07T00:00:00"/>
    <n v="1003.418170254627"/>
    <s v="Available"/>
  </r>
  <r>
    <s v="DaVita Dialysis"/>
    <s v="8259 Clarcona Ocoee Rd"/>
    <s v="Orlando"/>
    <s v="FL"/>
    <n v="3.55"/>
    <n v="2018"/>
    <n v="7122"/>
    <n v="224842"/>
    <n v="31.57006458859871"/>
    <d v="2033-09-29T00:00:00"/>
    <x v="59"/>
    <s v="NN"/>
    <s v="10% every 5 years"/>
    <s v="3, 5yr"/>
    <m/>
    <x v="31"/>
    <s v="NNN Group; Kunofsky"/>
    <m/>
    <s v="x"/>
    <n v="4088028"/>
    <n v="0.05500011252369113"/>
    <n v="4088028"/>
    <x v="70"/>
    <s v="No"/>
    <d v="2023-02-23T00:00:00"/>
    <n v="42.4181702546266"/>
    <m/>
  </r>
  <r>
    <s v="DaVita Dialysis"/>
    <s v="3683 Ohio River Rd"/>
    <s v="Point Pleasant"/>
    <s v="WV"/>
    <n v="1.21"/>
    <n v="2007"/>
    <n v="5800"/>
    <n v="88350"/>
    <n v="15.23275862068965"/>
    <d v="2028-08-31T00:00:00"/>
    <x v="60"/>
    <s v="NN"/>
    <s v="2% annually"/>
    <m/>
    <m/>
    <x v="64"/>
    <s v="Realty Exchange; Bowen"/>
    <m/>
    <s v="x"/>
    <n v="1425000"/>
    <n v="0.062"/>
    <n v="1425000"/>
    <x v="71"/>
    <s v="No"/>
    <d v="2022-11-09T00:00:00"/>
    <n v="148.4181702546266"/>
    <m/>
  </r>
  <r>
    <s v="DaVita Dialysis"/>
    <s v="1407 Goldtree Dr"/>
    <s v="Port St Lucie"/>
    <s v="FL"/>
    <n v="0.78"/>
    <s v="1995 | 2007"/>
    <n v="6130"/>
    <m/>
    <s v=" "/>
    <d v="2031-11-30T00:00:00"/>
    <x v="61"/>
    <s v="NN"/>
    <s v="2% annually"/>
    <s v="2, 5yr"/>
    <m/>
    <x v="65"/>
    <s v="M&amp;M; Gould"/>
    <m/>
    <s v="x"/>
    <n v="2275000"/>
    <s v=" "/>
    <n v="2275000"/>
    <x v="15"/>
    <s v="No"/>
    <d v="2023-02-28T00:00:00"/>
    <n v="37.4181702546266"/>
    <m/>
  </r>
  <r>
    <s v="DaVita Dialysis"/>
    <s v="2227 Sherman Dr"/>
    <s v="Princeton"/>
    <s v="IN"/>
    <n v="2"/>
    <n v="2001"/>
    <n v="5458"/>
    <n v="79372"/>
    <n v="14.54232319530964"/>
    <m/>
    <x v="10"/>
    <s v="Absolute NNN"/>
    <s v="2% annually"/>
    <m/>
    <m/>
    <x v="66"/>
    <s v="CW; Forsyth"/>
    <m/>
    <s v="x"/>
    <n v="1323000"/>
    <n v="0.05999395313681028"/>
    <n v="1323000"/>
    <x v="72"/>
    <s v="No"/>
    <d v="2023-03-14T00:00:00"/>
    <n v="23.4181702546266"/>
    <m/>
  </r>
  <r>
    <s v="DaVita Dialysis"/>
    <s v="79-21 Queens Blvd"/>
    <s v="Queens"/>
    <s v="NY"/>
    <n v="0.2"/>
    <n v="2021"/>
    <n v="7640"/>
    <n v="448351"/>
    <n v="58.68468586387434"/>
    <d v="2037-11-15T00:00:00"/>
    <x v="62"/>
    <s v="NN"/>
    <s v="10% every 5 years"/>
    <s v="3, 5yr"/>
    <m/>
    <x v="19"/>
    <s v="NM; Briggs"/>
    <m/>
    <s v="x"/>
    <n v="11987995"/>
    <n v="0.03739999891558179"/>
    <n v="11208775"/>
    <x v="73"/>
    <s v="Yes"/>
    <d v="2022-10-18T00:00:00"/>
    <n v="170.4181702546266"/>
    <s v="Available"/>
  </r>
  <r>
    <s v="Fresenius Medical Care - MT"/>
    <s v="601 Sierra Rose Dr"/>
    <s v="Reno"/>
    <s v="NV"/>
    <n v="0.3"/>
    <n v="2005"/>
    <n v="18053"/>
    <n v="393062.5"/>
    <n v="21.77269705866061"/>
    <d v="2028-10-31T00:00:00"/>
    <x v="2"/>
    <s v="NN"/>
    <s v="Every 5 years"/>
    <s v="3, 5yr"/>
    <m/>
    <x v="67"/>
    <s v="Ribeiro; Yuill"/>
    <m/>
    <s v="x"/>
    <n v="6280230"/>
    <n v="0.06258727785447349"/>
    <n v="6289000"/>
    <x v="74"/>
    <s v="Yes"/>
    <d v="2022-06-29T00:00:00"/>
    <n v="281.4181702546266"/>
    <s v="Available"/>
  </r>
  <r>
    <s v="U.S. Renal Care"/>
    <s v="2728 Pharmacy Rd"/>
    <s v="Rio Grande City"/>
    <s v="TX"/>
    <n v="0.98"/>
    <n v="2009"/>
    <n v="8890"/>
    <n v="147760"/>
    <n v="16.62092238470191"/>
    <d v="2025-02-28T00:00:00"/>
    <x v="63"/>
    <s v="NN"/>
    <s v="-"/>
    <s v="-"/>
    <m/>
    <x v="68"/>
    <s v="M&amp;M; Diffie"/>
    <m/>
    <m/>
    <n v="2110850"/>
    <n v="0.07000023687140251"/>
    <n v="2050000"/>
    <x v="75"/>
    <s v="Yes"/>
    <d v="2022-08-01T00:00:00"/>
    <n v="248.4181702546266"/>
    <s v="Available"/>
  </r>
  <r>
    <s v="DaVita Dialysis"/>
    <s v="934 S Long Dr"/>
    <s v="Rockingham"/>
    <s v="NC"/>
    <n v="1.91"/>
    <n v="2022"/>
    <n v="10908"/>
    <n v="155657"/>
    <n v="14.26998533186652"/>
    <d v="2037-04-19T00:00:00"/>
    <x v="64"/>
    <s v="NN"/>
    <s v="Yes"/>
    <s v="3, 5yr"/>
    <s v="OM Link "/>
    <x v="69"/>
    <s v="Boulder Group; Blankstein"/>
    <m/>
    <s v="x"/>
    <n v="2909477"/>
    <n v="0.05349999329776451"/>
    <n v="2594283"/>
    <x v="76"/>
    <s v="Yes"/>
    <d v="2022-04-27T00:00:00"/>
    <n v="344.4181702546266"/>
    <s v="Available"/>
  </r>
  <r>
    <s v="DaVita Dialysis"/>
    <s v="30 Goldenland Ct"/>
    <s v="Sacramento"/>
    <s v="CA"/>
    <n v="0.6"/>
    <n v="2004"/>
    <n v="9969"/>
    <n v="188480"/>
    <n v="18.90661049252683"/>
    <d v="2035-11-30T00:00:00"/>
    <x v="65"/>
    <s v="NNN"/>
    <s v="10% every 5 years"/>
    <s v="3, 5yr"/>
    <s v="OM Link"/>
    <x v="70"/>
    <s v="JLL; White"/>
    <m/>
    <s v="x"/>
    <n v="3590000"/>
    <n v="0.05250139275766016"/>
    <n v="3590000"/>
    <x v="77"/>
    <s v="No"/>
    <d v="2022-10-10T00:00:00"/>
    <n v="178.4181702546266"/>
    <s v="Available"/>
  </r>
  <r>
    <s v="DaVita Dialysis"/>
    <s v="1559 7th St W"/>
    <s v="Saint Paul"/>
    <s v="MN"/>
    <n v="0.44"/>
    <n v="2007"/>
    <n v="5366"/>
    <n v="152215"/>
    <n v="28.36656727543794"/>
    <d v="2028-04-30T00:00:00"/>
    <x v="12"/>
    <s v="NNN"/>
    <s v="Annually"/>
    <s v="3, 5yr"/>
    <m/>
    <x v="71"/>
    <s v="Transwestern; Wagenseil"/>
    <m/>
    <s v="x"/>
    <n v="2647217"/>
    <n v="0.05750000849949211"/>
    <n v="2750000"/>
    <x v="78"/>
    <s v="Yes"/>
    <d v="2022-09-09T00:00:00"/>
    <n v="209.4181702546266"/>
    <s v="Withdrawn (2/1/23)"/>
  </r>
  <r>
    <s v="Fresenius Medical Care - MOB"/>
    <s v="301 N Frio St"/>
    <s v="San Antonio"/>
    <s v="TX"/>
    <n v="2.43"/>
    <s v="1981 | 2014"/>
    <n v="38400"/>
    <n v="696480"/>
    <n v="18.1375"/>
    <m/>
    <x v="10"/>
    <s v="NNN"/>
    <m/>
    <m/>
    <m/>
    <x v="72"/>
    <s v="Egenbacher; Williams"/>
    <m/>
    <s v="x"/>
    <n v="11500000"/>
    <n v="0.06056347826086957"/>
    <n v="11250000"/>
    <x v="79"/>
    <s v="Yes"/>
    <d v="2023-01-04T00:00:00"/>
    <n v="92.4181702546266"/>
    <s v="Available"/>
  </r>
  <r>
    <s v="U.S. Renal Care"/>
    <s v="137 Palo Alto Rd"/>
    <s v="San Antonio"/>
    <s v="TX"/>
    <n v="0.9399999999999999"/>
    <n v="2005"/>
    <n v="7448"/>
    <n v="193984"/>
    <n v="26.04511278195489"/>
    <d v="2032-02-29T00:00:00"/>
    <x v="66"/>
    <s v="Absolute NNN"/>
    <s v="2% annually"/>
    <s v="2, 5yr"/>
    <m/>
    <x v="73"/>
    <s v="NM; Cornell"/>
    <m/>
    <m/>
    <n v="3695000"/>
    <n v="0.05249905277401894"/>
    <n v="3695000"/>
    <x v="80"/>
    <s v="No"/>
    <d v="2023-03-25T00:00:00"/>
    <n v="12.4181702546266"/>
    <s v="Available"/>
  </r>
  <r>
    <s v="DaVita Dialysis | US Army Corps of Engineers"/>
    <s v="614 Tully Rd"/>
    <s v="San Jose"/>
    <s v="CA"/>
    <n v="1.77"/>
    <n v="2021"/>
    <n v="25464"/>
    <n v="910291"/>
    <n v="35.74815425699026"/>
    <d v="2036-07-31T00:00:00"/>
    <x v="67"/>
    <s v="NNN"/>
    <s v="10% every 5 years"/>
    <s v="3, 5yr"/>
    <s v="OM Link"/>
    <x v="74"/>
    <s v="Mansour; Mansour"/>
    <m/>
    <s v="x"/>
    <n v="17341093"/>
    <n v="0.05249328862949988"/>
    <n v="15870400"/>
    <x v="81"/>
    <s v="Yes"/>
    <d v="2022-10-14T00:00:00"/>
    <n v="174.4181702546266"/>
    <s v="Available"/>
  </r>
  <r>
    <s v="DaVita Dialysis (MOB)"/>
    <s v="247 March St"/>
    <s v="Santa Paula"/>
    <s v="CA"/>
    <n v="0.65"/>
    <n v="1967"/>
    <n v="5984"/>
    <m/>
    <s v=" "/>
    <m/>
    <x v="10"/>
    <m/>
    <m/>
    <m/>
    <m/>
    <x v="75"/>
    <s v="Miramar Group; Corazza"/>
    <m/>
    <s v="x"/>
    <n v="1500000"/>
    <s v=" "/>
    <n v="1500000"/>
    <x v="15"/>
    <s v="No"/>
    <d v="2022-12-06T00:00:00"/>
    <n v="121.4181702546266"/>
    <s v="Available"/>
  </r>
  <r>
    <s v="DaVita Dialysis"/>
    <s v="228 Bradford Blvd"/>
    <s v="Santee"/>
    <s v="SC"/>
    <n v="1.58"/>
    <n v="2002"/>
    <n v="9346"/>
    <n v="147122"/>
    <n v="15.74170768243099"/>
    <d v="2027-03-24T00:00:00"/>
    <x v="68"/>
    <s v="NN"/>
    <s v="10% every 5 years"/>
    <s v="1, 5yr"/>
    <m/>
    <x v="76"/>
    <s v="Cook; Valerie"/>
    <m/>
    <m/>
    <n v="2150000"/>
    <n v="0.06842883720930233"/>
    <n v="2150000"/>
    <x v="82"/>
    <s v="No"/>
    <d v="2023-04-03T00:00:00"/>
    <n v="3.418170254626602"/>
    <s v="Available"/>
  </r>
  <r>
    <s v="DaVita Dialysis"/>
    <s v="5973 Ogeechee Rd"/>
    <s v="Savannah"/>
    <s v="GA"/>
    <n v="1.49"/>
    <s v="2012 | 2019"/>
    <n v="7472"/>
    <n v="226603"/>
    <n v="30.3269539614561"/>
    <d v="2035-10-31T00:00:00"/>
    <x v="69"/>
    <s v="NN"/>
    <s v="10% every 5 years"/>
    <s v="2, 5yr"/>
    <m/>
    <x v="53"/>
    <s v="Colliers; Patel"/>
    <m/>
    <s v="x"/>
    <n v="4120000"/>
    <n v="0.05500072815533981"/>
    <n v="3940928"/>
    <x v="83"/>
    <s v="Yes"/>
    <d v="2023-01-13T00:00:00"/>
    <n v="83.4181702546266"/>
    <s v="Available"/>
  </r>
  <r>
    <s v="Texhoma Dialysis Center"/>
    <s v="2500 Swamy Dr"/>
    <s v="Sherman"/>
    <s v="TX"/>
    <n v="1.2"/>
    <n v="2019"/>
    <n v="7728"/>
    <n v="177358"/>
    <n v="22.95005175983437"/>
    <d v="2035-09-30T00:00:00"/>
    <x v="70"/>
    <s v="NN"/>
    <s v="2% annually"/>
    <s v="2, 5yr"/>
    <m/>
    <x v="77"/>
    <s v="HREA; Stai"/>
    <s v="Dr Mandeep Singh"/>
    <m/>
    <n v="3547160"/>
    <n v="0.05"/>
    <n v="3015000"/>
    <x v="84"/>
    <s v="Yes"/>
    <d v="2022-02-03T00:00:00"/>
    <n v="427.4181702546266"/>
    <s v="Available"/>
  </r>
  <r>
    <s v="DaVita Dialysis"/>
    <s v="5865 Sunnybrook Dr"/>
    <s v="Sioux City"/>
    <s v="IA"/>
    <n v="1.22"/>
    <n v="2014"/>
    <n v="6235"/>
    <m/>
    <s v=" "/>
    <d v="2029-01-31T00:00:00"/>
    <x v="71"/>
    <s v="NN"/>
    <s v="10% every 5 years"/>
    <s v="-"/>
    <m/>
    <x v="78"/>
    <s v="Perry Guest; Lesley"/>
    <m/>
    <m/>
    <m/>
    <s v=" "/>
    <m/>
    <x v="15"/>
    <s v=" "/>
    <m/>
    <s v=" "/>
    <s v="Available"/>
  </r>
  <r>
    <s v="DaVita Dialysis"/>
    <s v="1488 N Center Ave"/>
    <s v="Somerset"/>
    <s v="PA"/>
    <n v="1.12"/>
    <n v="2022"/>
    <n v="7050"/>
    <n v="143265"/>
    <n v="20.32127659574468"/>
    <d v="2037-07-27T00:00:00"/>
    <x v="72"/>
    <s v="NN"/>
    <s v="10% every 5 years"/>
    <s v="3, 5yr"/>
    <m/>
    <x v="19"/>
    <s v="NM; Briggs"/>
    <m/>
    <s v="x"/>
    <n v="2865300"/>
    <n v="0.05"/>
    <n v="2728857"/>
    <x v="85"/>
    <s v="Yes"/>
    <d v="2022-10-07T00:00:00"/>
    <n v="181.4181702546266"/>
    <s v="Available"/>
  </r>
  <r>
    <s v="Fresenius Medical Care - MOB"/>
    <s v="320 S Dr Martin Luther King Jr Blvd"/>
    <s v="South Bend"/>
    <s v="IN"/>
    <n v="1.46"/>
    <n v="2005"/>
    <n v="14000"/>
    <n v="188034.99"/>
    <n v="13.43107071428572"/>
    <m/>
    <x v="10"/>
    <m/>
    <s v="-"/>
    <s v="-"/>
    <m/>
    <x v="79"/>
    <s v="NAI Cressy; Litell"/>
    <m/>
    <s v="x"/>
    <n v="2781149"/>
    <n v="0.06761054154236254"/>
    <n v="2892846"/>
    <x v="86"/>
    <s v="Yes"/>
    <d v="2022-07-07T00:00:00"/>
    <n v="273.4181702546266"/>
    <s v="Available"/>
  </r>
  <r>
    <s v="Fresenius Medical Care"/>
    <s v="199 Veterans Blvd"/>
    <s v="South Haven"/>
    <s v="MI"/>
    <n v="3"/>
    <n v="2003"/>
    <n v="9000"/>
    <n v="130320"/>
    <n v="14.48"/>
    <d v="2029-06-30T00:00:00"/>
    <x v="73"/>
    <s v="Absolute NNN"/>
    <s v="5% in 2024; 2% annually"/>
    <s v="2, 5yr"/>
    <m/>
    <x v="80"/>
    <s v="M&amp;M; Diffie"/>
    <m/>
    <s v="x"/>
    <n v="2004925"/>
    <n v="0.06499993765352818"/>
    <n v="2004925"/>
    <x v="87"/>
    <s v="No"/>
    <d v="2022-11-11T00:00:00"/>
    <n v="146.4181702546266"/>
    <s v="Under Contract"/>
  </r>
  <r>
    <s v="DaVita Dialysis"/>
    <s v="209 Windstar Pl"/>
    <s v="Southern Pines"/>
    <s v="NC"/>
    <n v="2.09"/>
    <n v="2004"/>
    <n v="7222"/>
    <n v="143849"/>
    <n v="19.91816671282193"/>
    <d v="2034-03-31T00:00:00"/>
    <x v="74"/>
    <s v="NN"/>
    <s v="2.5% annually"/>
    <s v="2, 5yr"/>
    <m/>
    <x v="53"/>
    <s v="Colliers; Patel"/>
    <m/>
    <s v="x"/>
    <n v="2546005"/>
    <n v="0.05649988904185184"/>
    <n v="2546005"/>
    <x v="88"/>
    <s v="No"/>
    <d v="2023-01-12T00:00:00"/>
    <n v="84.4181702546266"/>
    <s v="Available"/>
  </r>
  <r>
    <s v="DaVita Dialysis"/>
    <s v="14752 Northline Rd"/>
    <s v="Southgate"/>
    <s v="MI"/>
    <n v="2.75"/>
    <n v="1993"/>
    <n v="15259"/>
    <n v="310319"/>
    <n v="20.33678484828626"/>
    <d v="2032-06-30T00:00:00"/>
    <x v="75"/>
    <s v="NN"/>
    <s v="2% annually"/>
    <s v="-"/>
    <m/>
    <x v="81"/>
    <s v="Landmark: Lippitt"/>
    <m/>
    <s v="x"/>
    <n v="6206380"/>
    <n v="0.05"/>
    <n v="6206380"/>
    <x v="11"/>
    <s v="No"/>
    <d v="2022-03-09T00:00:00"/>
    <n v="393.4181702546266"/>
    <s v="Available"/>
  </r>
  <r>
    <s v="DaVita Dialysis - MT"/>
    <s v="2936 S 6th St"/>
    <s v="Springfield"/>
    <s v="IL"/>
    <n v="1.27"/>
    <n v="1997"/>
    <n v="11054"/>
    <n v="161208"/>
    <n v="14.58368011579519"/>
    <m/>
    <x v="76"/>
    <s v="NN/FS"/>
    <s v="Yes"/>
    <s v="Yes"/>
    <m/>
    <x v="19"/>
    <s v="NM; Briggs"/>
    <m/>
    <s v="x"/>
    <n v="2686800"/>
    <n v="0.06"/>
    <n v="2686800"/>
    <x v="16"/>
    <s v="No"/>
    <d v="2022-10-06T00:00:00"/>
    <n v="182.4181702546266"/>
    <s v="Available"/>
  </r>
  <r>
    <s v="Southside Kidney Clinic"/>
    <s v="3580 Cameron Pkwy"/>
    <s v="Stockbridge"/>
    <s v="GA"/>
    <n v="1.2"/>
    <n v="1998"/>
    <n v="11336"/>
    <n v="276617"/>
    <n v="24.40164079040226"/>
    <d v="2037-12-31T00:00:00"/>
    <x v="28"/>
    <s v="NN"/>
    <s v="3% annually"/>
    <s v="2, 5yr"/>
    <m/>
    <x v="28"/>
    <s v="NM; Largent"/>
    <m/>
    <s v="x"/>
    <n v="4728496"/>
    <n v="0.05849999661626022"/>
    <n v="4728496"/>
    <x v="89"/>
    <s v="No"/>
    <d v="2023-01-30T00:00:00"/>
    <n v="66.4181702546266"/>
    <m/>
  </r>
  <r>
    <s v="DaVita Dialysis"/>
    <s v="1701 E 9th Ave"/>
    <s v="Tampa"/>
    <s v="FL"/>
    <n v="0.08"/>
    <s v="1950 | 2019"/>
    <n v="7840"/>
    <n v="199672"/>
    <n v="25.46836734693878"/>
    <d v="2024-03-30T00:00:00"/>
    <x v="77"/>
    <s v="Absolute NNN"/>
    <s v="Yes"/>
    <s v="Yes"/>
    <s v="OM Link"/>
    <x v="82"/>
    <s v="C&amp;W; Berman"/>
    <m/>
    <s v="x"/>
    <n v="3630409"/>
    <n v="0.05499986365172629"/>
    <n v="3630409"/>
    <x v="90"/>
    <s v="No"/>
    <d v="2022-11-10T00:00:00"/>
    <n v="147.4181702546266"/>
    <s v="Available"/>
  </r>
  <r>
    <s v="Fresenius Medical Care"/>
    <s v="108 Westover Dr"/>
    <s v="Thibodaux"/>
    <s v="LA"/>
    <n v="1.45"/>
    <n v="2017"/>
    <n v="6520"/>
    <n v="223086"/>
    <n v="34.21564417177914"/>
    <d v="2032-09-30T00:00:00"/>
    <x v="18"/>
    <s v="NN"/>
    <s v="1.7% annually in base; 2% annually in options"/>
    <s v="3, 5yr"/>
    <m/>
    <x v="83"/>
    <s v="PH; Warr"/>
    <s v="Levert Companies"/>
    <s v="x"/>
    <n v="3914000"/>
    <n v="0.05699693408277977"/>
    <n v="3845000"/>
    <x v="91"/>
    <s v="Yes"/>
    <d v="2022-11-07T00:00:00"/>
    <n v="150.4181702546266"/>
    <s v="Available"/>
  </r>
  <r>
    <s v="DaVita Dialysis (Leasehold)"/>
    <s v="1780 W Anklam Rd"/>
    <s v="Tucson"/>
    <s v="AZ"/>
    <n v="1.71"/>
    <n v="2019"/>
    <n v="13084"/>
    <n v="210914"/>
    <n v="16.11999388566188"/>
    <d v="2034-11-30T00:00:00"/>
    <x v="78"/>
    <s v="Absolute NNN"/>
    <s v="10% every 5 years"/>
    <s v="3, 5yr"/>
    <m/>
    <x v="19"/>
    <s v="NM; Briggs"/>
    <m/>
    <s v="x"/>
    <n v="3834801"/>
    <n v="0.05499998565766516"/>
    <n v="3457608"/>
    <x v="92"/>
    <s v="Yes"/>
    <d v="2021-01-12T00:00:00"/>
    <n v="814.4181702546266"/>
    <s v="Available"/>
  </r>
  <r>
    <s v="DaVita Dialysis"/>
    <s v="805 Old Mill St"/>
    <s v="Tuscaloosa"/>
    <s v="AL"/>
    <n v="0.61"/>
    <n v="1971"/>
    <n v="7416"/>
    <n v="131633.975"/>
    <n v="17.74999662891047"/>
    <m/>
    <x v="10"/>
    <s v="NN"/>
    <s v="1.75% annually; 2% annually in options"/>
    <s v="2, 5yr"/>
    <m/>
    <x v="84"/>
    <s v="M&amp;M; Sharko"/>
    <m/>
    <s v="x"/>
    <n v="2393345"/>
    <n v="0.055"/>
    <n v="2193900"/>
    <x v="93"/>
    <s v="Yes"/>
    <m/>
    <s v=" "/>
    <m/>
  </r>
  <r>
    <s v="Fresenius Medical Care "/>
    <s v="1565 Corporate Woods Pkwy"/>
    <s v="Uniontown"/>
    <s v="OH"/>
    <n v="1.01"/>
    <n v="2013"/>
    <n v="10528"/>
    <n v="180254"/>
    <n v="17.1213905775076"/>
    <d v="2025-02-28T00:00:00"/>
    <x v="63"/>
    <s v="NN"/>
    <s v="1.25% annually"/>
    <s v="3, 5yr"/>
    <s v="OM Link"/>
    <x v="85"/>
    <s v="Acropolis; Wasserman"/>
    <s v="CAM, Inc"/>
    <m/>
    <n v="3369231"/>
    <n v="0.05350004199771402"/>
    <n v="3369231"/>
    <x v="94"/>
    <s v="No"/>
    <d v="2022-07-27T00:00:00"/>
    <n v="253.4181702546266"/>
    <s v="Under Contract"/>
  </r>
  <r>
    <s v="Fresenius Medical Care"/>
    <s v="116 N Jensen Rd"/>
    <s v="Vestal"/>
    <s v="NY"/>
    <n v="2.17"/>
    <n v="2007"/>
    <n v="17878"/>
    <n v="378094"/>
    <n v="21.1485624790245"/>
    <d v="2027-01-01T00:00:00"/>
    <x v="79"/>
    <s v="NN"/>
    <s v="16.86% at option"/>
    <s v="1, 5yr"/>
    <m/>
    <x v="86"/>
    <s v="Horvath &amp; Tremblay; Schiavello"/>
    <m/>
    <s v="x"/>
    <n v="5000000"/>
    <n v="0.0756188"/>
    <n v="4700000"/>
    <x v="95"/>
    <s v="Yes"/>
    <d v="2022-04-20T00:00:00"/>
    <n v="351.4181702546266"/>
    <s v="Available"/>
  </r>
  <r>
    <s v="DaVita Dialysis"/>
    <s v="15002 Amargosa Rd"/>
    <s v="Victorville"/>
    <s v="CA"/>
    <n v="1.25"/>
    <n v="2016"/>
    <n v="11807"/>
    <n v="348528"/>
    <n v="29.51876005759295"/>
    <d v="2031-01-31T00:00:00"/>
    <x v="80"/>
    <s v="NN"/>
    <s v="10% every 5 years"/>
    <m/>
    <m/>
    <x v="87"/>
    <s v="Intero; Hager"/>
    <m/>
    <s v="x"/>
    <n v="6638629"/>
    <n v="0.05249999661074598"/>
    <n v="5565000"/>
    <x v="96"/>
    <s v="Yes"/>
    <d v="2022-11-03T00:00:00"/>
    <n v="154.4181702546266"/>
    <s v="Withdrawn (3/20/2023)"/>
  </r>
  <r>
    <s v="DaVita Dialysis"/>
    <s v="1221 Rossmoor Pkwy"/>
    <s v="Walnut Creek"/>
    <s v="CA"/>
    <n v="1.22"/>
    <n v="2014"/>
    <n v="16342"/>
    <n v="463889"/>
    <n v="28.38630522579856"/>
    <d v="2030-02-28T00:00:00"/>
    <x v="81"/>
    <s v="NN"/>
    <s v="10% every 5 years"/>
    <s v="-"/>
    <m/>
    <x v="88"/>
    <s v="Jarrett; HREA"/>
    <m/>
    <m/>
    <n v="9277780"/>
    <n v="0.05"/>
    <n v="10250000"/>
    <x v="97"/>
    <s v="Yes"/>
    <d v="2019-12-04T00:00:00"/>
    <n v="1219.418170254627"/>
    <s v="Available"/>
  </r>
  <r>
    <s v="Fresenius Medical Care - MOB"/>
    <s v="1534-1558 W Meyer Rd"/>
    <s v="Wentzville"/>
    <s v="MO"/>
    <n v="0.25"/>
    <n v="2007"/>
    <n v="9453"/>
    <n v="151248"/>
    <n v="16"/>
    <d v="2026-01-31T00:00:00"/>
    <x v="82"/>
    <s v="NN"/>
    <s v="-"/>
    <s v="2, 5yr"/>
    <m/>
    <x v="89"/>
    <s v="Valerie Cook"/>
    <m/>
    <s v="x"/>
    <n v="2721000"/>
    <n v="0.05558544652701213"/>
    <n v="2721000"/>
    <x v="98"/>
    <s v="No"/>
    <d v="2022-05-04T00:00:00"/>
    <n v="337.4181702546266"/>
    <s v="Under Contract"/>
  </r>
  <r>
    <s v="DaVita Dialysis"/>
    <s v="599 Court St"/>
    <s v="West Branch"/>
    <s v="MI"/>
    <s v="-"/>
    <n v="2011"/>
    <n v="5600"/>
    <n v="86050.99999999999"/>
    <n v="15.36625"/>
    <d v="2027-01-31T00:00:00"/>
    <x v="20"/>
    <s v="NN"/>
    <s v="2.5% annually"/>
    <s v="2, 5yr"/>
    <m/>
    <x v="7"/>
    <s v="KW; Graham"/>
    <m/>
    <m/>
    <n v="1400000"/>
    <n v="0.06146499999999999"/>
    <n v="1330000"/>
    <x v="99"/>
    <s v="Yes"/>
    <d v="2022-06-24T00:00:00"/>
    <n v="286.4181702546266"/>
    <s v="Under Contract"/>
  </r>
  <r>
    <s v="DaVita Dialysis (Condo)"/>
    <s v="3727 N Goldenrod Rd"/>
    <s v="Winter Park"/>
    <s v="FL"/>
    <n v="2.3"/>
    <n v="2007"/>
    <n v="5042"/>
    <n v="106840"/>
    <n v="21.19000396667989"/>
    <m/>
    <x v="10"/>
    <m/>
    <m/>
    <s v="3, 5yr"/>
    <m/>
    <x v="7"/>
    <s v="M&amp;M; Gould"/>
    <m/>
    <m/>
    <n v="1700000"/>
    <n v="0.06284705882352941"/>
    <n v="1700000"/>
    <x v="100"/>
    <s v="No"/>
    <d v="2023-03-24T00:00:00"/>
    <n v="13.4181702546266"/>
    <s v="Available"/>
  </r>
  <r>
    <s v="DaVita Dialysis"/>
    <s v="11 Romaine Ave"/>
    <s v="Yonkers"/>
    <s v="NY"/>
    <n v="0.35"/>
    <n v="1965"/>
    <n v="9594"/>
    <n v="561000"/>
    <n v="58.47404627892433"/>
    <d v="2033-02-28T00:00:00"/>
    <x v="83"/>
    <s v="NN"/>
    <m/>
    <m/>
    <m/>
    <x v="4"/>
    <s v="Mansour; Kern"/>
    <m/>
    <s v="x"/>
    <n v="11220000"/>
    <n v="0.05"/>
    <n v="11220000"/>
    <x v="11"/>
    <s v="No"/>
    <d v="2023-01-27T00:00:00"/>
    <n v="69.4181702546266"/>
    <s v="Available"/>
  </r>
  <r>
    <s v="DaVita Dialysis (MT)"/>
    <s v="N87W17301 Main St"/>
    <s v="Menmonee Falls"/>
    <s v="WI"/>
    <n v="1.45"/>
    <n v="1968"/>
    <n v="11969"/>
    <n v="124405"/>
    <n v="10.39393433035341"/>
    <d v="2032-02-28T00:00:00"/>
    <x v="84"/>
    <m/>
    <m/>
    <s v="2, 5yr"/>
    <m/>
    <x v="90"/>
    <s v="Newmark; Schmidt"/>
    <m/>
    <s v="x"/>
    <n v="1850000"/>
    <n v="0.06724594594594595"/>
    <n v="1850000"/>
    <x v="101"/>
    <s v="No"/>
    <d v="2023-03-30T00:00:00"/>
    <n v="7.418170254626602"/>
    <s v="Available"/>
  </r>
  <r>
    <s v="DaVita Dialysis (MT)"/>
    <s v="W175N11056 Stonewood Dr"/>
    <s v="Germantown"/>
    <s v="WI"/>
    <n v="0.9"/>
    <n v="2006"/>
    <n v="7516"/>
    <n v="110449"/>
    <n v="14.69518360830229"/>
    <s v="-"/>
    <x v="85"/>
    <m/>
    <m/>
    <m/>
    <m/>
    <x v="90"/>
    <s v="Newmark; Schmidt"/>
    <m/>
    <s v="x"/>
    <n v="1836244"/>
    <n v="0.06014941369447634"/>
    <n v="1836244"/>
    <x v="102"/>
    <s v="No"/>
    <d v="2023-03-30T00:00:00"/>
    <n v="7.418170254626602"/>
    <s v="Available"/>
  </r>
  <r>
    <s v="DaVita Dialysis (MT)"/>
    <s v="525 Handeyside Ln"/>
    <s v="Fort Atkinson"/>
    <s v="WI"/>
    <n v="0.86"/>
    <n v="2004"/>
    <n v="9217"/>
    <m/>
    <s v=" "/>
    <s v="-"/>
    <x v="85"/>
    <m/>
    <m/>
    <m/>
    <m/>
    <x v="90"/>
    <s v="Newmark; Schmidt"/>
    <m/>
    <s v="x"/>
    <n v="1100000"/>
    <s v=" "/>
    <n v="1100000"/>
    <x v="15"/>
    <s v="No"/>
    <d v="2023-03-30T00:00:00"/>
    <n v="7.418170254626602"/>
    <s v="Available"/>
  </r>
</pivotCacheRecords>
</file>

<file path=xl/pivotCache/pivotCacheRecords2.xml><?xml version="1.0" encoding="utf-8"?>
<pivotCacheRecords xmlns="http://schemas.openxmlformats.org/spreadsheetml/2006/main" count="2286">
  <r>
    <s v="Fresenius Medical Care"/>
    <s v="4358 Kings Way"/>
    <s v="Valdosta"/>
    <s v="GA"/>
    <n v="1.14"/>
    <n v="2007"/>
    <n v="6700"/>
    <m/>
    <s v=" "/>
    <m/>
    <s v=" "/>
    <m/>
    <m/>
    <m/>
    <m/>
    <s v=" "/>
    <s v=" "/>
    <x v="0"/>
    <x v="0"/>
    <s v="Matt Fleck"/>
    <x v="0"/>
    <m/>
    <m/>
    <m/>
    <m/>
    <s v=" "/>
    <s v=" "/>
    <m/>
    <s v=" "/>
    <s v=" "/>
    <s v=" "/>
    <m/>
    <s v=" "/>
  </r>
  <r>
    <s v="Fresenius Medical Care"/>
    <s v="1017 N Pines Rd"/>
    <s v="Spokane"/>
    <s v="WA"/>
    <n v="1.24"/>
    <n v="2001"/>
    <n v="8903"/>
    <m/>
    <s v=" "/>
    <d v="2028-02-28T00:00:00"/>
    <n v="3.964383561643836"/>
    <s v="NN"/>
    <s v="1.7% annually"/>
    <s v="2, 5 yr"/>
    <n v="2143000"/>
    <n v="240.7053802089183"/>
    <s v=" "/>
    <x v="1"/>
    <x v="1"/>
    <m/>
    <x v="1"/>
    <s v="Individual"/>
    <m/>
    <m/>
    <m/>
    <s v=" "/>
    <s v=" "/>
    <m/>
    <s v=" "/>
    <s v=" "/>
    <s v=" "/>
    <m/>
    <s v=" "/>
  </r>
  <r>
    <s v="Fresenius Medical Care"/>
    <s v="211 1st St SE"/>
    <s v="Magee"/>
    <s v="MS"/>
    <n v="0.64"/>
    <m/>
    <n v="6600"/>
    <m/>
    <s v=" "/>
    <m/>
    <s v=" "/>
    <m/>
    <m/>
    <m/>
    <m/>
    <s v=" "/>
    <s v=" "/>
    <x v="2"/>
    <x v="2"/>
    <m/>
    <x v="2"/>
    <s v="Individual"/>
    <m/>
    <m/>
    <m/>
    <s v=" "/>
    <s v=" "/>
    <m/>
    <s v=" "/>
    <s v=" "/>
    <s v=" "/>
    <m/>
    <s v=" "/>
  </r>
  <r>
    <s v="Fresenius Medical Care"/>
    <s v="1040 E Nine Mile Rd"/>
    <s v="Pensacola"/>
    <s v="FL"/>
    <n v="4.15"/>
    <n v="1986"/>
    <n v="5376"/>
    <m/>
    <s v=" "/>
    <m/>
    <s v=" "/>
    <m/>
    <m/>
    <m/>
    <n v="3649000"/>
    <n v="678.7574404761905"/>
    <s v=" "/>
    <x v="3"/>
    <x v="3"/>
    <m/>
    <x v="3"/>
    <s v="Fund"/>
    <m/>
    <m/>
    <m/>
    <s v=" "/>
    <s v=" "/>
    <m/>
    <s v=" "/>
    <s v=" "/>
    <s v=" "/>
    <m/>
    <s v=" "/>
  </r>
  <r>
    <s v="Fresenius Medical Care"/>
    <s v="100 Mitylene Park Ln"/>
    <s v="Montgomery"/>
    <s v="AL"/>
    <m/>
    <m/>
    <n v="11735"/>
    <m/>
    <s v=" "/>
    <m/>
    <s v=" "/>
    <m/>
    <m/>
    <m/>
    <n v="4267066"/>
    <n v="363.618747337026"/>
    <s v=" "/>
    <x v="4"/>
    <x v="3"/>
    <m/>
    <x v="3"/>
    <s v="Fund"/>
    <m/>
    <m/>
    <m/>
    <s v=" "/>
    <s v=" "/>
    <m/>
    <s v=" "/>
    <s v=" "/>
    <s v=" "/>
    <m/>
    <s v=" "/>
  </r>
  <r>
    <s v="Fresenius Medical Care"/>
    <s v="2940 N Blue Angel Pky"/>
    <s v="Pensacola"/>
    <s v="FL"/>
    <m/>
    <m/>
    <n v="11061"/>
    <m/>
    <s v=" "/>
    <m/>
    <s v=" "/>
    <m/>
    <m/>
    <m/>
    <n v="5893800"/>
    <n v="532.8451315432601"/>
    <s v=" "/>
    <x v="4"/>
    <x v="3"/>
    <m/>
    <x v="3"/>
    <s v="Fund"/>
    <m/>
    <m/>
    <m/>
    <s v=" "/>
    <s v=" "/>
    <m/>
    <s v=" "/>
    <s v=" "/>
    <s v=" "/>
    <m/>
    <s v=" "/>
  </r>
  <r>
    <s v="Fresenius Medical Care"/>
    <s v="3625 McGhee Place Dr N"/>
    <s v="Montgomery"/>
    <s v="AL"/>
    <n v="2.87"/>
    <n v="2016"/>
    <n v="10932"/>
    <m/>
    <s v=" "/>
    <d v="2031-06-30T00:00:00"/>
    <n v="7.353424657534247"/>
    <s v="NN"/>
    <s v="1.7% annually"/>
    <s v="3, 5yr"/>
    <n v="5953566"/>
    <n v="544.5998902305159"/>
    <s v=" "/>
    <x v="4"/>
    <x v="3"/>
    <m/>
    <x v="3"/>
    <s v="Fund"/>
    <m/>
    <m/>
    <m/>
    <s v=" "/>
    <s v=" "/>
    <m/>
    <s v=" "/>
    <s v=" "/>
    <s v=" "/>
    <m/>
    <s v=" "/>
  </r>
  <r>
    <s v="Fresenius Medical Care"/>
    <s v="2620 Old Shell Rd"/>
    <s v="Mobile"/>
    <s v="AL"/>
    <n v="0.98"/>
    <n v="2006"/>
    <n v="5576"/>
    <m/>
    <s v=" "/>
    <m/>
    <s v=" "/>
    <m/>
    <m/>
    <m/>
    <n v="2634466"/>
    <n v="472.4652080344333"/>
    <s v=" "/>
    <x v="4"/>
    <x v="3"/>
    <m/>
    <x v="3"/>
    <s v="Fund"/>
    <m/>
    <m/>
    <m/>
    <s v=" "/>
    <s v=" "/>
    <m/>
    <s v=" "/>
    <s v=" "/>
    <s v=" "/>
    <m/>
    <s v=" "/>
  </r>
  <r>
    <s v="Fresenius Medical Care"/>
    <s v="6601 Wall ST"/>
    <s v="Mobile"/>
    <s v="AL"/>
    <n v="1.27"/>
    <n v="2001"/>
    <n v="8292"/>
    <m/>
    <s v=" "/>
    <m/>
    <s v=" "/>
    <m/>
    <m/>
    <m/>
    <n v="3834666"/>
    <n v="462.4536903039074"/>
    <s v=" "/>
    <x v="4"/>
    <x v="3"/>
    <m/>
    <x v="3"/>
    <s v="Fund"/>
    <m/>
    <m/>
    <m/>
    <s v=" "/>
    <s v=" "/>
    <m/>
    <s v=" "/>
    <s v=" "/>
    <s v=" "/>
    <m/>
    <s v=" "/>
  </r>
  <r>
    <s v="Fresenius Medical Care"/>
    <s v="606 Botts Ave"/>
    <s v="Troy"/>
    <s v="AL"/>
    <n v="0.96"/>
    <n v="2018"/>
    <n v="6605"/>
    <m/>
    <s v=" "/>
    <d v="2032-06-30T00:00:00"/>
    <n v="8.356164383561644"/>
    <s v="NN"/>
    <s v="1.7% annually"/>
    <s v="3, 5yr"/>
    <n v="2934466"/>
    <n v="444.2794852384557"/>
    <s v=" "/>
    <x v="4"/>
    <x v="3"/>
    <m/>
    <x v="3"/>
    <s v="Fund"/>
    <m/>
    <m/>
    <m/>
    <s v=" "/>
    <s v=" "/>
    <m/>
    <s v=" "/>
    <s v=" "/>
    <s v=" "/>
    <m/>
    <s v=" "/>
  </r>
  <r>
    <s v="Fresenius Medical Care"/>
    <s v="40 Wasden Rd"/>
    <s v="Hope Hull"/>
    <s v="AL"/>
    <m/>
    <m/>
    <n v="6279"/>
    <m/>
    <s v=" "/>
    <m/>
    <s v=" "/>
    <m/>
    <m/>
    <m/>
    <n v="2620566"/>
    <n v="417.3540372670807"/>
    <s v=" "/>
    <x v="4"/>
    <x v="3"/>
    <m/>
    <x v="3"/>
    <s v="Fund"/>
    <m/>
    <m/>
    <m/>
    <s v=" "/>
    <s v=" "/>
    <m/>
    <s v=" "/>
    <s v=" "/>
    <s v=" "/>
    <m/>
    <s v=" "/>
  </r>
  <r>
    <s v="Fresenius Medical Care"/>
    <s v="2100 Harrison Ave"/>
    <s v="Panama City"/>
    <s v="FL"/>
    <n v="2.25"/>
    <n v="2011"/>
    <n v="12378"/>
    <m/>
    <s v=" "/>
    <m/>
    <s v=" "/>
    <m/>
    <m/>
    <m/>
    <n v="5181100"/>
    <n v="418.5732751656164"/>
    <s v=" "/>
    <x v="5"/>
    <x v="3"/>
    <m/>
    <x v="3"/>
    <s v="Fund"/>
    <m/>
    <m/>
    <m/>
    <s v=" "/>
    <s v=" "/>
    <m/>
    <s v=" "/>
    <s v=" "/>
    <s v=" "/>
    <m/>
    <s v=" "/>
  </r>
  <r>
    <s v="Fresenius Medical Care"/>
    <s v="1208 W Bypass"/>
    <s v="Andalusia"/>
    <s v="AL"/>
    <n v="2.15"/>
    <n v="2012"/>
    <n v="8346"/>
    <m/>
    <s v=" "/>
    <d v="2027-08-30T00:00:00"/>
    <n v="3.526027397260274"/>
    <s v="NN"/>
    <s v="1.7% annually"/>
    <s v="3, 5 yr"/>
    <n v="3399806"/>
    <n v="407.3575365444524"/>
    <s v=" "/>
    <x v="5"/>
    <x v="3"/>
    <m/>
    <x v="3"/>
    <s v="Fund"/>
    <m/>
    <m/>
    <m/>
    <s v=" "/>
    <s v=" "/>
    <m/>
    <s v=" "/>
    <s v=" "/>
    <s v=" "/>
    <m/>
    <s v=" "/>
  </r>
  <r>
    <s v="Fresenius Medical Care"/>
    <s v="180 Serral Dr"/>
    <s v="Greeneville"/>
    <s v="TN"/>
    <n v="1.33"/>
    <n v="2006"/>
    <n v="8685"/>
    <m/>
    <s v=" "/>
    <m/>
    <s v=" "/>
    <m/>
    <m/>
    <m/>
    <n v="1175000"/>
    <n v="135.2907311456534"/>
    <s v=" "/>
    <x v="6"/>
    <x v="4"/>
    <m/>
    <x v="3"/>
    <s v="Fund"/>
    <m/>
    <m/>
    <m/>
    <s v=" "/>
    <s v=" "/>
    <m/>
    <s v=" "/>
    <s v=" "/>
    <s v=" "/>
    <m/>
    <s v=" "/>
  </r>
  <r>
    <s v="DaVita Dialysis | US Army Corps of Engineers"/>
    <s v="614 Tully Rd"/>
    <s v="San Jose"/>
    <s v="CA"/>
    <n v="1.77"/>
    <n v="2021"/>
    <n v="25464"/>
    <n v="910291"/>
    <n v="35.74815425699026"/>
    <d v="2036-07-31T00:00:00"/>
    <n v="12.52602739726027"/>
    <s v="NNN"/>
    <s v="10% every 5 years"/>
    <s v="3, 5yr"/>
    <n v="13200000"/>
    <n v="518.3788878416589"/>
    <n v="0.06896143939393939"/>
    <x v="7"/>
    <x v="5"/>
    <s v="Mansour; Mansour"/>
    <x v="4"/>
    <s v="Individual"/>
    <m/>
    <m/>
    <n v="17341093"/>
    <n v="0.05249328862949988"/>
    <n v="0.7611976938247202"/>
    <n v="15209133"/>
    <n v="0.0598516036384191"/>
    <n v="0.009109835755520296"/>
    <s v="Yes"/>
    <d v="2022-10-14T00:00:00"/>
    <n v="467"/>
  </r>
  <r>
    <s v="DaVita Dialysis - MT"/>
    <s v="181-215 W County Line Rd"/>
    <s v="Highlands Ranch"/>
    <s v="CO"/>
    <n v="3.23"/>
    <n v="1985"/>
    <n v="25646"/>
    <m/>
    <s v=" "/>
    <m/>
    <s v=" "/>
    <m/>
    <m/>
    <m/>
    <n v="6600000"/>
    <n v="257.3500740856274"/>
    <s v=" "/>
    <x v="8"/>
    <x v="6"/>
    <m/>
    <x v="5"/>
    <s v="Fund"/>
    <m/>
    <m/>
    <m/>
    <s v=" "/>
    <s v=" "/>
    <m/>
    <s v=" "/>
    <s v=" "/>
    <s v=" "/>
    <m/>
    <s v=" "/>
  </r>
  <r>
    <s v="DaVita Dialysis"/>
    <s v="2870 Bund Ave"/>
    <s v="New Port Richey"/>
    <s v="FL"/>
    <n v="1.02"/>
    <n v="2017"/>
    <n v="7000"/>
    <n v="152922"/>
    <n v="21.846"/>
    <d v="2032-06-01T00:00:00"/>
    <n v="8.38082191780822"/>
    <s v="NN"/>
    <s v="10% every 5 years"/>
    <s v="3, 5yr"/>
    <n v="2425000"/>
    <n v="346.4285714285714"/>
    <n v="0.06306061855670103"/>
    <x v="9"/>
    <x v="7"/>
    <s v="M&amp;M; Fahner"/>
    <x v="6"/>
    <s v="Individual"/>
    <m/>
    <m/>
    <n v="2549326"/>
    <n v="0.0599852666940203"/>
    <n v="0.9512318157818969"/>
    <n v="2549326"/>
    <n v="0.0599852666940203"/>
    <n v="0.003075351862680729"/>
    <s v="No"/>
    <d v="2023-11-20T00:00:00"/>
    <n v="57"/>
  </r>
  <r>
    <s v="Fresenius Medical Care"/>
    <s v="1872 N 13th Loop Rd"/>
    <s v="Shelton"/>
    <s v="WA"/>
    <n v="1.02"/>
    <n v="2005"/>
    <n v="6783"/>
    <m/>
    <s v=" "/>
    <m/>
    <s v=" "/>
    <m/>
    <m/>
    <m/>
    <n v="1925000"/>
    <n v="283.797729618163"/>
    <s v=" "/>
    <x v="10"/>
    <x v="8"/>
    <m/>
    <x v="3"/>
    <s v="Fund"/>
    <m/>
    <m/>
    <m/>
    <s v=" "/>
    <s v=" "/>
    <m/>
    <s v=" "/>
    <s v=" "/>
    <s v=" "/>
    <m/>
    <s v=" "/>
  </r>
  <r>
    <s v="DaVita Dialysis"/>
    <s v="11700 Livingston Rd"/>
    <s v="Fort Washington"/>
    <s v="MD"/>
    <n v="0.77"/>
    <n v="1983"/>
    <n v="13764"/>
    <n v="238425"/>
    <n v="17.32236268526591"/>
    <d v="2033-11-14T00:00:00"/>
    <n v="9.868493150684932"/>
    <s v="NN"/>
    <s v="10% every 5 years"/>
    <s v="3, 5yr"/>
    <n v="3754724"/>
    <n v="272.7930834059866"/>
    <n v="0.06350000692461018"/>
    <x v="11"/>
    <x v="9"/>
    <s v="NNN Group; Kunofsky"/>
    <x v="7"/>
    <s v="Individual"/>
    <m/>
    <m/>
    <n v="4146522"/>
    <n v="0.05749999638251045"/>
    <n v="0.9055116553101611"/>
    <n v="3973750"/>
    <n v="0.06"/>
    <n v="0.00350000692461018"/>
    <s v="Yes"/>
    <d v="2023-02-22T00:00:00"/>
    <n v="316"/>
  </r>
  <r>
    <s v="DaVita Dialysis - MT"/>
    <s v="254-268 Jackson St"/>
    <s v="Hayward"/>
    <s v="CA"/>
    <n v="1.27"/>
    <n v="1970"/>
    <n v="18065"/>
    <n v="363115.28"/>
    <n v="20.10048602269582"/>
    <d v="2029-04-30T00:00:00"/>
    <n v="5.33972602739726"/>
    <s v="NN"/>
    <s v="10% every 5"/>
    <s v="2, 5yr"/>
    <n v="5780000"/>
    <n v="319.955715471907"/>
    <n v="0.06282271280276817"/>
    <x v="12"/>
    <x v="10"/>
    <s v="PC; Ferrari"/>
    <x v="0"/>
    <s v="Individual"/>
    <m/>
    <m/>
    <n v="6050000"/>
    <n v="0.06001905454545455"/>
    <n v="0.9553719008264463"/>
    <n v="6050000"/>
    <n v="0.06001905454545455"/>
    <n v="0.002803658257313622"/>
    <s v="No"/>
    <d v="2022-04-13T00:00:00"/>
    <n v="625"/>
  </r>
  <r>
    <s v="DaVita Dialysis - MT"/>
    <s v="3 Poland Rd"/>
    <s v="Danville"/>
    <s v="IL"/>
    <n v="0.97"/>
    <n v="1980"/>
    <n v="6967"/>
    <n v="100341.52"/>
    <n v="14.40239988517296"/>
    <d v="2026-11-30T00:00:00"/>
    <n v="2.923287671232877"/>
    <s v="NN"/>
    <s v="2% annually"/>
    <s v="3, 5yr"/>
    <n v="1078752"/>
    <n v="154.8373762020956"/>
    <n v="0.09301630031740382"/>
    <x v="12"/>
    <x v="11"/>
    <s v="SJC; Briggs"/>
    <x v="8"/>
    <s v="Individual"/>
    <m/>
    <m/>
    <n v="1268522"/>
    <n v="0.07910112713851238"/>
    <n v="0.8504007025498966"/>
    <n v="1254269"/>
    <n v="0.08"/>
    <n v="0.01301630031740382"/>
    <s v="Yes"/>
    <d v="2023-03-29T00:00:00"/>
    <n v="275"/>
  </r>
  <r>
    <s v="DaVita Dialysis"/>
    <s v="3001 Healthcare Way, Bldg 200"/>
    <s v="Modesto"/>
    <s v="CA"/>
    <n v="0.61"/>
    <n v="2023"/>
    <n v="4214"/>
    <n v="166200.16"/>
    <n v="39.44"/>
    <d v="2038-01-31T00:00:00"/>
    <n v="14.1013698630137"/>
    <s v="NN"/>
    <s v="10% every 5"/>
    <s v="3, 5yr"/>
    <n v="3000000"/>
    <n v="711.9126720455624"/>
    <n v="0.05540005333333334"/>
    <x v="12"/>
    <x v="12"/>
    <s v="SJC; Briggs"/>
    <x v="9"/>
    <s v="Individual"/>
    <m/>
    <m/>
    <n v="3426807"/>
    <n v="0.04850000598224528"/>
    <n v="0.8754505287283468"/>
    <n v="3106545"/>
    <n v="0.05350000080475255"/>
    <n v="0.00190005252858079"/>
    <s v="Yes"/>
    <d v="2023-06-13T00:00:00"/>
    <n v="199"/>
  </r>
  <r>
    <s v="Fresenius Medical Care"/>
    <s v="8048 Station Hill Dr"/>
    <s v="Spring Hill"/>
    <s v="TN"/>
    <n v="1.15"/>
    <n v="2019"/>
    <n v="6027"/>
    <n v="200540.6"/>
    <n v="33.27370167579227"/>
    <d v="2034-07-04T00:00:00"/>
    <n v="10.52328767123288"/>
    <s v="NN"/>
    <s v="2% annually"/>
    <s v="3, 5yr"/>
    <n v="2840518.413597734"/>
    <n v="471.2988905919585"/>
    <n v="0.0706"/>
    <x v="13"/>
    <x v="13"/>
    <s v="Berkeley; Calbin"/>
    <x v="0"/>
    <s v="Individual"/>
    <m/>
    <m/>
    <n v="3562000"/>
    <n v="0.0563"/>
    <n v="0.7974504249291786"/>
    <n v="3342300"/>
    <n v="0.06000077790742902"/>
    <n v="0.01059922209257098"/>
    <s v="Yes"/>
    <d v="2023-09-12T00:00:00"/>
    <n v="107"/>
  </r>
  <r>
    <s v="Fresenius Medical Care"/>
    <s v="815 E 1st St"/>
    <s v="Tyler"/>
    <s v="TX"/>
    <n v="2.07"/>
    <n v="1979"/>
    <n v="15314"/>
    <m/>
    <s v=" "/>
    <m/>
    <s v=" "/>
    <m/>
    <m/>
    <m/>
    <n v="5369940"/>
    <n v="350.6556092464411"/>
    <s v=" "/>
    <x v="14"/>
    <x v="14"/>
    <s v="AY"/>
    <x v="3"/>
    <s v="Fund"/>
    <m/>
    <m/>
    <m/>
    <s v=" "/>
    <s v=" "/>
    <m/>
    <s v=" "/>
    <s v=" "/>
    <s v=" "/>
    <m/>
    <s v=" "/>
  </r>
  <r>
    <s v="Fresenius Medical Care (Dark)"/>
    <s v="3355 Earl Campbell Parkway"/>
    <s v="Tyler"/>
    <s v="TX"/>
    <n v="9.039999999999999"/>
    <n v="2016"/>
    <n v="80964"/>
    <m/>
    <s v=" "/>
    <d v="2032-03-31T00:00:00"/>
    <n v="8.284931506849315"/>
    <s v="NN"/>
    <s v="1.7% annually"/>
    <s v="3, 5 yr"/>
    <m/>
    <s v=" "/>
    <s v=" "/>
    <x v="15"/>
    <x v="15"/>
    <s v="IPA; Moffitt"/>
    <x v="0"/>
    <s v="Fund"/>
    <m/>
    <m/>
    <m/>
    <s v=" "/>
    <s v=" "/>
    <m/>
    <s v=" "/>
    <s v=" "/>
    <s v=" "/>
    <d v="2023-05-17T00:00:00"/>
    <n v="217"/>
  </r>
  <r>
    <s v="Fresenius Medical Care"/>
    <s v="4319 Lafayette St"/>
    <s v="Marianna"/>
    <s v="FL"/>
    <n v="1.65"/>
    <n v="1971"/>
    <n v="7282"/>
    <m/>
    <s v=" "/>
    <m/>
    <s v=" "/>
    <m/>
    <m/>
    <m/>
    <n v="472500"/>
    <n v="64.88602032408679"/>
    <s v=" "/>
    <x v="16"/>
    <x v="16"/>
    <s v="Berkeley; Cordray"/>
    <x v="10"/>
    <s v="Individual"/>
    <m/>
    <m/>
    <m/>
    <s v=" "/>
    <s v=" "/>
    <m/>
    <s v=" "/>
    <s v=" "/>
    <s v=" "/>
    <d v="2023-10-02T00:00:00"/>
    <n v="77"/>
  </r>
  <r>
    <s v="Fresenius Medical Care"/>
    <s v="304 Q St"/>
    <s v="Springfield"/>
    <s v="OR"/>
    <n v="2.03"/>
    <m/>
    <n v="21000"/>
    <m/>
    <s v=" "/>
    <m/>
    <s v=" "/>
    <m/>
    <m/>
    <m/>
    <n v="6300000"/>
    <n v="300"/>
    <s v=" "/>
    <x v="17"/>
    <x v="17"/>
    <m/>
    <x v="3"/>
    <s v="Fund"/>
    <m/>
    <m/>
    <m/>
    <s v=" "/>
    <s v=" "/>
    <m/>
    <s v=" "/>
    <s v=" "/>
    <s v=" "/>
    <m/>
    <s v=" "/>
  </r>
  <r>
    <s v="Statellite Healthcare"/>
    <s v="18330 CA-108"/>
    <s v="Jamestown"/>
    <s v="CA"/>
    <n v="0.9"/>
    <n v="2018"/>
    <n v="8400"/>
    <n v="193536"/>
    <n v="23.04"/>
    <d v="2037-07-10T00:00:00"/>
    <n v="13.58904109589041"/>
    <s v="NN"/>
    <s v="10% every 5 years"/>
    <s v="3, 5yr"/>
    <n v="3066000"/>
    <n v="365"/>
    <n v="0.06312328767123287"/>
    <x v="18"/>
    <x v="18"/>
    <s v="C&amp;W; Correa"/>
    <x v="11"/>
    <s v="Individual"/>
    <m/>
    <m/>
    <n v="3365843"/>
    <n v="0.05750000817031573"/>
    <n v="0.9109159280453664"/>
    <n v="3120000"/>
    <n v="0.06203076923076923"/>
    <n v="0.001092518440463645"/>
    <s v="Yes"/>
    <d v="2023-06-22T00:00:00"/>
    <n v="172"/>
  </r>
  <r>
    <s v="DaVita Dialysis"/>
    <s v="716 Hill Country Dr"/>
    <s v="Kerrville"/>
    <s v="TX"/>
    <n v="2"/>
    <n v="2023"/>
    <n v="12675"/>
    <n v="337542"/>
    <n v="26.6305325443787"/>
    <d v="2038-04-21T00:00:00"/>
    <n v="14.38082191780822"/>
    <s v="NN"/>
    <s v="10% every 5 years"/>
    <s v="3, 5yr"/>
    <n v="5745395"/>
    <n v="453.2856015779093"/>
    <n v="0.05875000761479411"/>
    <x v="19"/>
    <x v="12"/>
    <s v="SJC; Briggs"/>
    <x v="12"/>
    <s v="Individual"/>
    <m/>
    <m/>
    <n v="6750840"/>
    <n v="0.05"/>
    <n v="0.8510637194778724"/>
    <n v="5870296"/>
    <n v="0.05749999659301677"/>
    <n v="0.001250011021777339"/>
    <s v="Yes"/>
    <d v="2023-07-10T00:00:00"/>
    <n v="150"/>
  </r>
  <r>
    <s v="Fresenius Medical Care (MT)"/>
    <s v="6801-6877 Parker Rd"/>
    <s v="Florissant"/>
    <s v="MO"/>
    <n v="1.02"/>
    <n v="1968"/>
    <n v="35426"/>
    <m/>
    <s v=" "/>
    <m/>
    <s v=" "/>
    <m/>
    <m/>
    <m/>
    <m/>
    <s v=" "/>
    <s v=" "/>
    <x v="20"/>
    <x v="19"/>
    <s v="PACE Propertyes"/>
    <x v="0"/>
    <s v="Individual"/>
    <m/>
    <m/>
    <m/>
    <s v=" "/>
    <s v=" "/>
    <m/>
    <s v=" "/>
    <s v=" "/>
    <s v=" "/>
    <d v="2023-05-31T00:00:00"/>
    <n v="183"/>
  </r>
  <r>
    <s v="Fresenius Medical Care"/>
    <s v="916 S Main St"/>
    <s v="Fuquay Varina"/>
    <s v="NC"/>
    <n v="1.13"/>
    <n v="2000"/>
    <n v="19560"/>
    <m/>
    <s v=" "/>
    <m/>
    <s v=" "/>
    <m/>
    <m/>
    <m/>
    <n v="4950000"/>
    <n v="253.0674846625767"/>
    <s v=" "/>
    <x v="20"/>
    <x v="20"/>
    <m/>
    <x v="3"/>
    <s v="Fund"/>
    <m/>
    <m/>
    <m/>
    <s v=" "/>
    <s v=" "/>
    <m/>
    <s v=" "/>
    <s v=" "/>
    <s v=" "/>
    <m/>
    <s v=" "/>
  </r>
  <r>
    <s v="DaVita Dialysis"/>
    <s v="747 2nd St"/>
    <s v="Macon"/>
    <s v="GA"/>
    <n v="0.39"/>
    <s v="1953 | 1970"/>
    <n v="6776"/>
    <m/>
    <s v=" "/>
    <m/>
    <s v=" "/>
    <m/>
    <m/>
    <m/>
    <n v="1350000"/>
    <n v="199.232585596222"/>
    <s v=" "/>
    <x v="21"/>
    <x v="21"/>
    <m/>
    <x v="13"/>
    <s v="Individual"/>
    <m/>
    <m/>
    <m/>
    <s v=" "/>
    <s v=" "/>
    <m/>
    <s v=" "/>
    <s v=" "/>
    <s v=" "/>
    <m/>
    <s v=" "/>
  </r>
  <r>
    <s v="DaVita Dialysis"/>
    <s v="1930 Olympic Hwy N"/>
    <s v="Shelton"/>
    <s v="WA"/>
    <n v="0.55"/>
    <n v="2020"/>
    <n v="6060"/>
    <n v="227150"/>
    <n v="37.48349834983498"/>
    <d v="2036-08-31T00:00:00"/>
    <n v="12.78630136986301"/>
    <s v="NN"/>
    <s v="10% every 5 years"/>
    <s v="3, 5yr"/>
    <n v="4130000"/>
    <n v="681.5181518151816"/>
    <n v="0.055"/>
    <x v="21"/>
    <x v="22"/>
    <s v="KM; Wolk"/>
    <x v="14"/>
    <s v="Individual"/>
    <m/>
    <m/>
    <n v="4130000"/>
    <n v="0.055"/>
    <n v="1"/>
    <n v="4130000"/>
    <n v="0.055"/>
    <n v="0"/>
    <s v="No"/>
    <d v="2023-09-13T00:00:00"/>
    <n v="69"/>
  </r>
  <r>
    <s v="Fresenius Medical Care"/>
    <s v="1306a Belk Blvd"/>
    <s v="Oxford"/>
    <s v="MS"/>
    <n v="0.28"/>
    <s v="1995 | 2017"/>
    <n v="3100"/>
    <n v="37080"/>
    <n v="11.96129032258064"/>
    <d v="2023-12-31T00:00:00"/>
    <n v="0.1095890410958904"/>
    <s v="MG"/>
    <m/>
    <s v="1, 6month"/>
    <m/>
    <s v=" "/>
    <s v=" "/>
    <x v="21"/>
    <x v="23"/>
    <s v="Port; Randall"/>
    <x v="0"/>
    <m/>
    <m/>
    <m/>
    <n v="740000"/>
    <n v="0.05010810810810811"/>
    <s v=" "/>
    <n v="740000"/>
    <n v="0.05010810810810811"/>
    <s v=" "/>
    <s v="No"/>
    <d v="2023-04-12T00:00:00"/>
    <n v="223"/>
  </r>
  <r>
    <s v="Fresenius Medical Care"/>
    <s v="9325 US Highway 29"/>
    <s v="Blairs"/>
    <s v="VA"/>
    <n v="2"/>
    <n v="2008"/>
    <n v="11470"/>
    <m/>
    <s v=" "/>
    <m/>
    <s v=" "/>
    <m/>
    <m/>
    <m/>
    <n v="2000000"/>
    <n v="174.3679163034002"/>
    <s v=" "/>
    <x v="22"/>
    <x v="24"/>
    <m/>
    <x v="3"/>
    <s v="Fund"/>
    <m/>
    <m/>
    <m/>
    <s v=" "/>
    <s v=" "/>
    <m/>
    <s v=" "/>
    <s v=" "/>
    <s v=" "/>
    <m/>
    <s v=" "/>
  </r>
  <r>
    <s v="Fresenius Medical Care"/>
    <s v="198 E 14th St"/>
    <s v="San Leandro"/>
    <s v="CA"/>
    <n v="0.68"/>
    <n v="1994"/>
    <n v="6890"/>
    <m/>
    <s v=" "/>
    <m/>
    <s v=" "/>
    <m/>
    <m/>
    <m/>
    <n v="2942550"/>
    <n v="427.0754716981132"/>
    <s v=" "/>
    <x v="23"/>
    <x v="25"/>
    <s v="TRI Commercial; Dunning"/>
    <x v="15"/>
    <m/>
    <s v="On Time Realty; Vo"/>
    <m/>
    <n v="4000000"/>
    <s v=" "/>
    <n v="0.7356375000000001"/>
    <n v="4000000"/>
    <s v=" "/>
    <s v=" "/>
    <s v="No"/>
    <d v="2023-02-06T00:00:00"/>
    <n v="269"/>
  </r>
  <r>
    <s v="U.S. Renal Care"/>
    <s v="3400 Lee Blvd"/>
    <s v="Lehigh Acres"/>
    <s v="FL"/>
    <n v="2.88"/>
    <n v="2009"/>
    <n v="32328"/>
    <m/>
    <s v=" "/>
    <m/>
    <s v=" "/>
    <m/>
    <m/>
    <m/>
    <n v="3600000"/>
    <n v="111.358574610245"/>
    <s v=" "/>
    <x v="24"/>
    <x v="26"/>
    <m/>
    <x v="16"/>
    <s v="Individual"/>
    <m/>
    <m/>
    <m/>
    <s v=" "/>
    <s v=" "/>
    <m/>
    <s v=" "/>
    <s v=" "/>
    <s v=" "/>
    <m/>
    <s v=" "/>
  </r>
  <r>
    <s v="DaVita Dialysis"/>
    <s v="1105 Bethlehem Pike"/>
    <s v="Sellersville"/>
    <s v="PA"/>
    <n v="0.14"/>
    <n v="2007"/>
    <n v="6370"/>
    <m/>
    <s v=" "/>
    <d v="2030-01-31T00:00:00"/>
    <n v="6.257534246575342"/>
    <s v="NN"/>
    <m/>
    <m/>
    <n v="1950000"/>
    <n v="306.1224489795918"/>
    <s v=" "/>
    <x v="24"/>
    <x v="27"/>
    <s v="Re/Max; Skiffington"/>
    <x v="17"/>
    <s v="Individual"/>
    <m/>
    <m/>
    <m/>
    <s v=" "/>
    <s v=" "/>
    <m/>
    <s v=" "/>
    <s v=" "/>
    <s v=" "/>
    <m/>
    <s v=" "/>
  </r>
  <r>
    <s v="Fresenius Medical Care (MT)"/>
    <s v="16 Sterling Dr"/>
    <s v="Bridgeport"/>
    <s v="WV"/>
    <n v="3.69"/>
    <n v="2009"/>
    <n v="30000"/>
    <m/>
    <s v=" "/>
    <m/>
    <s v=" "/>
    <m/>
    <m/>
    <m/>
    <n v="4200000"/>
    <n v="140"/>
    <s v=" "/>
    <x v="25"/>
    <x v="28"/>
    <s v="Black Diamond"/>
    <x v="18"/>
    <s v="Individual"/>
    <m/>
    <m/>
    <m/>
    <s v=" "/>
    <s v=" "/>
    <m/>
    <s v=" "/>
    <s v=" "/>
    <s v=" "/>
    <m/>
    <s v=" "/>
  </r>
  <r>
    <s v="Fresenius Medical Care"/>
    <s v="9550 Hospital Ave"/>
    <s v="Nassawadox"/>
    <s v="VA"/>
    <n v="1.3"/>
    <n v="1997"/>
    <n v="8680"/>
    <m/>
    <s v=" "/>
    <m/>
    <s v=" "/>
    <m/>
    <m/>
    <m/>
    <n v="2775000"/>
    <n v="319.7004608294931"/>
    <s v=" "/>
    <x v="26"/>
    <x v="29"/>
    <m/>
    <x v="3"/>
    <s v="Fund"/>
    <m/>
    <m/>
    <m/>
    <s v=" "/>
    <s v=" "/>
    <m/>
    <s v=" "/>
    <s v=" "/>
    <s v=" "/>
    <m/>
    <s v=" "/>
  </r>
  <r>
    <s v="Fresenius Medical Care"/>
    <s v="351 S Virginia St"/>
    <s v="Terrell"/>
    <s v="TX"/>
    <n v="0.73"/>
    <n v="1998"/>
    <n v="10404"/>
    <m/>
    <s v=" "/>
    <m/>
    <s v=" "/>
    <m/>
    <m/>
    <m/>
    <m/>
    <s v=" "/>
    <s v=" "/>
    <x v="27"/>
    <x v="30"/>
    <m/>
    <x v="19"/>
    <m/>
    <m/>
    <m/>
    <m/>
    <s v=" "/>
    <s v=" "/>
    <m/>
    <s v=" "/>
    <s v=" "/>
    <s v=" "/>
    <m/>
    <s v=" "/>
  </r>
  <r>
    <s v="DaVita Dialysis - MT"/>
    <s v="113 Crossways Park Dr"/>
    <s v="Woodbury"/>
    <s v="NY"/>
    <n v="1.25"/>
    <n v="1970"/>
    <n v="20138"/>
    <m/>
    <s v=" "/>
    <m/>
    <s v=" "/>
    <m/>
    <m/>
    <m/>
    <n v="4975000"/>
    <n v="247.045386830867"/>
    <s v=" "/>
    <x v="28"/>
    <x v="13"/>
    <m/>
    <x v="0"/>
    <m/>
    <m/>
    <m/>
    <n v="6140000"/>
    <s v=" "/>
    <n v="0.8102605863192183"/>
    <n v="6140000"/>
    <s v=" "/>
    <s v=" "/>
    <s v="No"/>
    <d v="2022-12-06T00:00:00"/>
    <n v="310"/>
  </r>
  <r>
    <s v="Dialysis Clinic Inc - MT"/>
    <s v="2613 Fairway Dr"/>
    <s v="Fulton"/>
    <s v="MO"/>
    <n v="1.17"/>
    <n v="2004"/>
    <n v="11782"/>
    <m/>
    <s v=" "/>
    <m/>
    <s v=" "/>
    <m/>
    <m/>
    <m/>
    <m/>
    <s v=" "/>
    <s v=" "/>
    <x v="29"/>
    <x v="31"/>
    <m/>
    <x v="20"/>
    <s v="Individual"/>
    <m/>
    <m/>
    <m/>
    <s v=" "/>
    <s v=" "/>
    <m/>
    <s v=" "/>
    <s v=" "/>
    <s v=" "/>
    <m/>
    <s v=" "/>
  </r>
  <r>
    <s v="DaVita Dialyis - MT"/>
    <s v="5222 E Baseline Rd"/>
    <s v="Gilbert"/>
    <s v="AZ"/>
    <n v="5.67"/>
    <n v="2000"/>
    <n v="62480"/>
    <n v="997200"/>
    <n v="15.96030729833547"/>
    <d v="2026-05-30T00:00:00"/>
    <n v="2.652054794520548"/>
    <s v="NN"/>
    <s v="Various"/>
    <s v="Various"/>
    <n v="12000000"/>
    <n v="192.0614596670935"/>
    <n v="0.08309999999999999"/>
    <x v="30"/>
    <x v="32"/>
    <s v="Newmark; Gabel"/>
    <x v="21"/>
    <s v="Fund"/>
    <m/>
    <m/>
    <n v="12900000"/>
    <n v="0.07730232558139535"/>
    <n v="0.9302325581395349"/>
    <n v="12900000"/>
    <n v="0.07730232558139535"/>
    <n v="0.00579767441860464"/>
    <s v="No"/>
    <d v="2023-06-07T00:00:00"/>
    <n v="120"/>
  </r>
  <r>
    <s v="DaVita Dialysis"/>
    <s v="8259 Clarcona Ocoee Rd"/>
    <s v="Orlando"/>
    <s v="FL"/>
    <n v="3.55"/>
    <n v="2007"/>
    <n v="7122"/>
    <n v="224842"/>
    <n v="31.57006458859871"/>
    <d v="2033-09-26T00:00:00"/>
    <n v="9.983561643835616"/>
    <s v="NN"/>
    <s v="10% every 5 years"/>
    <s v="2, 5yr"/>
    <n v="3910287"/>
    <n v="549.0433866891323"/>
    <n v="0.05750012722851289"/>
    <x v="30"/>
    <x v="33"/>
    <s v="NNN Pro"/>
    <x v="22"/>
    <s v="Individual"/>
    <m/>
    <m/>
    <n v="4363400"/>
    <n v="0.05152908282531971"/>
    <n v="0.8961559792822111"/>
    <n v="4078088"/>
    <n v="0.0551341707192194"/>
    <n v="0.002365956509293499"/>
    <s v="Yes"/>
    <d v="2023-05-01T00:00:00"/>
    <n v="157"/>
  </r>
  <r>
    <s v="Fresenius Medical Care (MT)"/>
    <s v="133 Brimbal Ave"/>
    <s v="Beverly"/>
    <s v="MA"/>
    <n v="2.95"/>
    <n v="1960"/>
    <n v="47835"/>
    <m/>
    <s v=" "/>
    <m/>
    <s v=" "/>
    <m/>
    <m/>
    <m/>
    <n v="7500000"/>
    <n v="156.7889620570712"/>
    <s v=" "/>
    <x v="31"/>
    <x v="13"/>
    <m/>
    <x v="0"/>
    <m/>
    <m/>
    <m/>
    <m/>
    <s v=" "/>
    <s v=" "/>
    <m/>
    <s v=" "/>
    <s v=" "/>
    <s v=" "/>
    <m/>
    <s v=" "/>
  </r>
  <r>
    <s v="Fresenius Medical Care"/>
    <s v="815 W Wise Rd"/>
    <s v="Schaumburg"/>
    <s v="IL"/>
    <n v="1.41"/>
    <n v="2018"/>
    <n v="9068"/>
    <m/>
    <s v=" "/>
    <m/>
    <s v=" "/>
    <m/>
    <m/>
    <m/>
    <n v="4246500"/>
    <n v="468.2951036612263"/>
    <s v=" "/>
    <x v="31"/>
    <x v="34"/>
    <m/>
    <x v="3"/>
    <s v="Fund"/>
    <m/>
    <m/>
    <m/>
    <s v=" "/>
    <s v=" "/>
    <m/>
    <s v=" "/>
    <s v=" "/>
    <s v=" "/>
    <m/>
    <s v=" "/>
  </r>
  <r>
    <s v="U.S. Renal Care"/>
    <s v="2408 N Wilmington Ave"/>
    <s v="Compton"/>
    <s v="CA"/>
    <n v="0.71"/>
    <n v="2022"/>
    <n v="10900"/>
    <n v="517437"/>
    <n v="47.47128440366973"/>
    <d v="2032-09-30T00:00:00"/>
    <n v="9.002739726027396"/>
    <s v="NN"/>
    <s v="10% at year 6; FMV at each option"/>
    <s v="2, 5yr"/>
    <n v="7400000"/>
    <n v="678.8990825688073"/>
    <n v="0.06992391891891891"/>
    <x v="32"/>
    <x v="13"/>
    <s v="Colliers; Patel"/>
    <x v="0"/>
    <m/>
    <m/>
    <m/>
    <n v="8623950"/>
    <n v="0.06"/>
    <n v="0.8580754758550316"/>
    <n v="8084953"/>
    <n v="0.06400000098949246"/>
    <n v="0.005923917929426453"/>
    <s v="Yes"/>
    <d v="2023-03-21T00:00:00"/>
    <n v="195"/>
  </r>
  <r>
    <s v="North Georgia Kidney Specialists"/>
    <s v="20 Collins Dr, Suite A"/>
    <s v="Cartersville"/>
    <s v="GA"/>
    <n v="2.4"/>
    <n v="2001"/>
    <n v="2500"/>
    <n v="56250"/>
    <n v="22.5"/>
    <d v="2028-10-01T00:00:00"/>
    <n v="5.002739726027397"/>
    <s v="Absolute NNN"/>
    <s v="3% annually"/>
    <s v=""/>
    <m/>
    <m/>
    <m/>
    <x v="32"/>
    <x v="13"/>
    <m/>
    <x v="0"/>
    <m/>
    <m/>
    <m/>
    <n v="750080"/>
    <n v="0.07499200085324233"/>
    <s v=" "/>
    <n v="750080"/>
    <n v="0.07499200085324233"/>
    <s v=" "/>
    <s v="No"/>
    <d v="2023-07-13T00:00:00"/>
    <n v="81"/>
  </r>
  <r>
    <s v="Fresenius Medical Care"/>
    <s v="4635 Sun N Lake Boulevard"/>
    <s v="Sebring"/>
    <s v="FL"/>
    <n v="0.92"/>
    <n v="2003"/>
    <n v="18785"/>
    <m/>
    <s v=" "/>
    <m/>
    <s v=" "/>
    <m/>
    <m/>
    <m/>
    <n v="2770960"/>
    <n v="147.5091828586638"/>
    <s v=" "/>
    <x v="33"/>
    <x v="35"/>
    <m/>
    <x v="3"/>
    <s v="Fund"/>
    <m/>
    <m/>
    <m/>
    <s v=" "/>
    <s v=" "/>
    <m/>
    <s v=" "/>
    <s v=" "/>
    <s v=" "/>
    <m/>
    <s v=" "/>
  </r>
  <r>
    <s v="Fresenius Medical Care"/>
    <s v="5407 N Mesa St"/>
    <s v="El Paso"/>
    <s v="TX"/>
    <n v="0.91"/>
    <n v="1997"/>
    <n v="10832"/>
    <m/>
    <s v=" "/>
    <m/>
    <s v=" "/>
    <m/>
    <m/>
    <m/>
    <m/>
    <s v=" "/>
    <s v=" "/>
    <x v="33"/>
    <x v="36"/>
    <m/>
    <x v="3"/>
    <s v="Fund"/>
    <m/>
    <m/>
    <m/>
    <s v=" "/>
    <s v=" "/>
    <m/>
    <s v=" "/>
    <s v=" "/>
    <s v=" "/>
    <m/>
    <s v=" "/>
  </r>
  <r>
    <s v="DaVita Dialysis"/>
    <s v="1675 Alex Dr"/>
    <s v="Wilmington"/>
    <s v="OH"/>
    <n v="1.36"/>
    <s v="2001 | 2021"/>
    <n v="5963"/>
    <n v="85151.64"/>
    <n v="14.28"/>
    <d v="2026-10-31T00:00:00"/>
    <n v="3.09041095890411"/>
    <s v="NN"/>
    <s v="2% annually"/>
    <s v="3, 3yr"/>
    <n v="990000"/>
    <n v="166.0238135166862"/>
    <n v="0.08601175757575757"/>
    <x v="33"/>
    <x v="37"/>
    <s v="M&amp;M; Gould"/>
    <x v="23"/>
    <s v="Individual"/>
    <m/>
    <m/>
    <n v="1175000"/>
    <n v="0.07246948085106383"/>
    <n v="0.8425531914893617"/>
    <n v="1175000"/>
    <n v="0.07246948085106383"/>
    <n v="0.01354227672469374"/>
    <s v="No"/>
    <d v="2023-05-10T00:00:00"/>
    <n v="142"/>
  </r>
  <r>
    <s v="U.S. Renal Care - Condo"/>
    <s v="2082 Otay Lakes Rd, A1"/>
    <s v="Chula Vista"/>
    <s v="CA"/>
    <n v="4.2"/>
    <n v="2007"/>
    <n v="2578"/>
    <n v="89405"/>
    <n v="34.6799844840962"/>
    <d v="2033-04-30T00:00:00"/>
    <n v="9.594520547945205"/>
    <s v="Absolute NNN"/>
    <s v="2% annually"/>
    <s v="2, 5yr"/>
    <n v="1575000"/>
    <n v="610.9387121799845"/>
    <n v="0.05676507936507937"/>
    <x v="34"/>
    <x v="38"/>
    <s v="Graystone; Bingham"/>
    <x v="24"/>
    <s v="Individual"/>
    <s v="G&amp;S Group; Sharples"/>
    <m/>
    <n v="1788000"/>
    <n v="0.05000279642058165"/>
    <n v="0.8808724832214765"/>
    <n v="1625545"/>
    <n v="0.05500001537945735"/>
    <n v="0.001765063985622012"/>
    <s v="Yes"/>
    <d v="2023-01-20T00:00:00"/>
    <n v="251"/>
  </r>
  <r>
    <s v="DaVita Dialysis"/>
    <s v="7221 E Reno Ave"/>
    <s v="Midwest City"/>
    <s v="OK"/>
    <n v="0.74"/>
    <s v="1964 | 2003"/>
    <n v="5993"/>
    <n v="92502"/>
    <n v="15.43500750876022"/>
    <d v="2028-08-31T00:00:00"/>
    <n v="4.934246575342466"/>
    <s v="Absolute NNN"/>
    <s v="2% annually"/>
    <s v="3, 5yr"/>
    <n v="1217500"/>
    <n v="203.1536792925079"/>
    <n v="0.07597700205338809"/>
    <x v="35"/>
    <x v="39"/>
    <s v="Peranich; Huffman"/>
    <x v="25"/>
    <s v="REIT"/>
    <m/>
    <m/>
    <n v="1321000"/>
    <n v="0.07002422407267221"/>
    <n v="0.9216502649507948"/>
    <n v="1321000"/>
    <n v="0.07002422407267221"/>
    <n v="0.005952777980715876"/>
    <s v="No"/>
    <d v="2023-07-05T00:00:00"/>
    <n v="83"/>
  </r>
  <r>
    <s v="Dialysis Clinic Inc."/>
    <s v="605 W Due West Ave"/>
    <s v="Madison"/>
    <s v="TN"/>
    <n v="0.9399999999999999"/>
    <n v="1977"/>
    <n v="9708"/>
    <m/>
    <s v=" "/>
    <m/>
    <s v=" "/>
    <m/>
    <m/>
    <m/>
    <n v="1150000"/>
    <n v="118.4590028842192"/>
    <s v=" "/>
    <x v="36"/>
    <x v="40"/>
    <m/>
    <x v="26"/>
    <s v="Individual"/>
    <m/>
    <m/>
    <m/>
    <s v=" "/>
    <s v=" "/>
    <m/>
    <s v=" "/>
    <s v=" "/>
    <s v=" "/>
    <m/>
    <s v=" "/>
  </r>
  <r>
    <s v="Fresenius Medical Care"/>
    <s v="6850 Olive Blvd"/>
    <s v="University City"/>
    <s v="MO"/>
    <n v="1.35"/>
    <n v="2001"/>
    <n v="8360"/>
    <n v="269785.3699300588"/>
    <n v="32.2709772643611"/>
    <d v="2026-08-31T00:00:00"/>
    <n v="2.947945205479452"/>
    <m/>
    <m/>
    <s v="None"/>
    <n v="2655000"/>
    <n v="317.5837320574163"/>
    <n v="0.1016140753032236"/>
    <x v="37"/>
    <x v="41"/>
    <m/>
    <x v="3"/>
    <s v="Fund"/>
    <m/>
    <m/>
    <m/>
    <s v=" "/>
    <s v=" "/>
    <m/>
    <s v=" "/>
    <s v=" "/>
    <s v=" "/>
    <m/>
    <s v=" "/>
  </r>
  <r>
    <s v="Fresenius Medical Care"/>
    <s v="3748 Meeks Dr"/>
    <s v="Orange"/>
    <s v="TX"/>
    <n v="1.24"/>
    <s v="1969 | 2020"/>
    <n v="7384"/>
    <n v="110760"/>
    <n v="15"/>
    <d v="2030-08-31T00:00:00"/>
    <n v="6.950684931506849"/>
    <s v="NN"/>
    <s v="10% every 5 years"/>
    <s v="3, 5yr"/>
    <n v="1650000"/>
    <n v="223.4561213434453"/>
    <n v="0.06712727272727273"/>
    <x v="37"/>
    <x v="42"/>
    <s v="SRS; Luther"/>
    <x v="0"/>
    <m/>
    <m/>
    <m/>
    <n v="1846000"/>
    <n v="0.06"/>
    <n v="0.8938244853737811"/>
    <n v="1800000"/>
    <n v="0.06153333333333334"/>
    <n v="0.005593939393939394"/>
    <s v="Yes"/>
    <d v="2020-07-07T00:00:00"/>
    <n v="1170"/>
  </r>
  <r>
    <s v="Fresenius Medical Care"/>
    <s v="423 Old Austin Hwy"/>
    <s v="Bastrop"/>
    <s v="TX"/>
    <n v="1"/>
    <n v="2001"/>
    <n v="6886"/>
    <n v="237088.009886205"/>
    <n v="34.43044000670999"/>
    <d v="2025-10-31T00:00:00"/>
    <n v="2.117808219178082"/>
    <s v="Absolute NNN"/>
    <s v="Annually"/>
    <s v="1, 5 yr"/>
    <n v="3750000"/>
    <n v="544.5832123148417"/>
    <n v="0.063223469302988"/>
    <x v="38"/>
    <x v="41"/>
    <s v="AY"/>
    <x v="3"/>
    <s v="Fund"/>
    <m/>
    <m/>
    <m/>
    <s v=" "/>
    <s v=" "/>
    <m/>
    <s v=" "/>
    <s v=" "/>
    <s v=" "/>
    <m/>
    <s v=" "/>
  </r>
  <r>
    <s v="Fresenius Medical Care"/>
    <s v="1210 Fox Meadow Blvd"/>
    <s v="Sevierville"/>
    <s v="TN"/>
    <n v="4.2"/>
    <n v="2008"/>
    <n v="9620"/>
    <n v="216708.368436"/>
    <n v="22.52685742577962"/>
    <d v="2025-09-18T00:00:00"/>
    <n v="2.002739726027397"/>
    <s v="NN"/>
    <m/>
    <m/>
    <n v="3300000"/>
    <n v="343.035343035343"/>
    <n v="0.06566920255636362"/>
    <x v="39"/>
    <x v="43"/>
    <s v="CW; Riddle"/>
    <x v="3"/>
    <s v="Fund"/>
    <m/>
    <m/>
    <m/>
    <s v=" "/>
    <s v=" "/>
    <m/>
    <s v=" "/>
    <s v=" "/>
    <s v=" "/>
    <m/>
    <s v=" "/>
  </r>
  <r>
    <s v="DaVita Dialysis"/>
    <s v="3040 Del Prado Blvd S"/>
    <s v="Cape Coral"/>
    <s v="FL"/>
    <n v="0.49"/>
    <n v="2005"/>
    <n v="7407"/>
    <n v="193884.3289844175"/>
    <n v="26.17582408322094"/>
    <d v="2025-05-31T00:00:00"/>
    <n v="1.70958904109589"/>
    <s v="NN"/>
    <s v="3.5% annually"/>
    <s v="1, 5 yr"/>
    <n v="1700000"/>
    <n v="229.5126231942757"/>
    <n v="0.1140496052849515"/>
    <x v="40"/>
    <x v="44"/>
    <s v="CW; Smith"/>
    <x v="27"/>
    <s v="Individual"/>
    <m/>
    <m/>
    <n v="1790000"/>
    <n v="0.1083152675890601"/>
    <n v="0.9497206703910615"/>
    <n v="1790000"/>
    <n v="0.1083152675890601"/>
    <n v="0.005734337695891406"/>
    <s v="No"/>
    <d v="2023-03-14T00:00:00"/>
    <n v="185"/>
  </r>
  <r>
    <s v="DaVita Dialysis"/>
    <s v="82900 Ave 42 Ste E"/>
    <s v="Indio"/>
    <s v="CA"/>
    <n v="1.64"/>
    <n v="2008"/>
    <n v="14000"/>
    <n v="252000"/>
    <n v="18"/>
    <d v="2027-02-28T00:00:00"/>
    <n v="3.46027397260274"/>
    <s v="NNN"/>
    <s v="10% every 5 years"/>
    <s v="3, 5yr"/>
    <n v="4450000"/>
    <n v="317.8571428571428"/>
    <n v="0.05662921348314607"/>
    <x v="41"/>
    <x v="45"/>
    <s v="Progressive; Bedell"/>
    <x v="0"/>
    <m/>
    <m/>
    <m/>
    <n v="4500000"/>
    <n v="0.056"/>
    <n v="0.9888888888888889"/>
    <n v="4500000"/>
    <n v="0.056"/>
    <n v="0.0006292134831460683"/>
    <s v="No"/>
    <d v="2022-12-23T00:00:00"/>
    <n v="265"/>
  </r>
  <r>
    <s v="Fresenius Medical Care"/>
    <s v="305 Ridgewater Dr"/>
    <s v="Polson"/>
    <s v="MT"/>
    <n v="1"/>
    <n v="2016"/>
    <n v="6391"/>
    <n v="347832"/>
    <n v="54.42528555781568"/>
    <d v="2031-03-31T00:00:00"/>
    <n v="7.547945205479452"/>
    <s v="NN"/>
    <s v="1.7% annually"/>
    <s v="3, 5 yr"/>
    <n v="5350000"/>
    <n v="837.1146925363793"/>
    <n v="0.06501532710280374"/>
    <x v="41"/>
    <x v="46"/>
    <s v="Newmark; Hopkins"/>
    <x v="3"/>
    <s v="Fund"/>
    <m/>
    <m/>
    <m/>
    <s v=" "/>
    <s v=" "/>
    <m/>
    <s v=" "/>
    <s v=" "/>
    <s v=" "/>
    <m/>
    <s v=" "/>
  </r>
  <r>
    <s v="Fresenius Medical Care "/>
    <s v="4122 Partnership Way"/>
    <s v="Locust Grove"/>
    <s v="VA"/>
    <n v="1.2"/>
    <n v="2013"/>
    <n v="8584"/>
    <n v="226091"/>
    <n v="26.33865330848089"/>
    <d v="2028-10-25T00:00:00"/>
    <n v="5.120547945205479"/>
    <s v="NN"/>
    <s v="1.2% annually"/>
    <s v="3, 5yr"/>
    <n v="3250000"/>
    <n v="378.6113699906803"/>
    <n v="0.06956646153846154"/>
    <x v="42"/>
    <x v="47"/>
    <s v="M&amp;M; Diffie"/>
    <x v="28"/>
    <s v="Fund"/>
    <m/>
    <m/>
    <m/>
    <s v=" "/>
    <s v=" "/>
    <m/>
    <s v=" "/>
    <s v=" "/>
    <s v=" "/>
    <m/>
    <s v=" "/>
  </r>
  <r>
    <s v="Fresenius Medical Care"/>
    <s v="6541 Saint Johns Ave"/>
    <s v="Palatka"/>
    <s v="FL"/>
    <n v="2.92"/>
    <n v="2001"/>
    <n v="9574"/>
    <n v="216158"/>
    <n v="22.57760601629413"/>
    <d v="2026-04-30T00:00:00"/>
    <n v="2.635616438356164"/>
    <s v="NN"/>
    <s v="2% annually"/>
    <s v="2, 5yr"/>
    <n v="3500000"/>
    <n v="365.5734280342595"/>
    <n v="0.06175942857142857"/>
    <x v="43"/>
    <x v="48"/>
    <s v="AY"/>
    <x v="3"/>
    <s v="Fund"/>
    <m/>
    <m/>
    <m/>
    <s v=" "/>
    <s v=" "/>
    <m/>
    <s v=" "/>
    <s v=" "/>
    <s v=" "/>
    <m/>
    <s v=" "/>
  </r>
  <r>
    <s v="Fresenius Medical Care"/>
    <s v="6085 Hillandale Dr"/>
    <s v="Lithonia"/>
    <s v="GA"/>
    <n v="1.86"/>
    <n v="2007"/>
    <n v="9126"/>
    <n v="190825"/>
    <n v="20.9100372561911"/>
    <d v="2027-09-09T00:00:00"/>
    <n v="4.005479452054795"/>
    <s v="NN"/>
    <s v="2% annually"/>
    <s v="2, 5yr"/>
    <n v="2900000"/>
    <n v="317.7733946964716"/>
    <n v="0.06580172413793103"/>
    <x v="44"/>
    <x v="49"/>
    <m/>
    <x v="3"/>
    <s v="Fund"/>
    <m/>
    <m/>
    <n v="2935764"/>
    <n v="0.06500011581312394"/>
    <n v="0.9878178218685153"/>
    <n v="2935764"/>
    <n v="0.06500011581312394"/>
    <n v="0.0008016083248070932"/>
    <s v="No"/>
    <d v="2023-05-09T00:00:00"/>
    <n v="122"/>
  </r>
  <r>
    <s v="Fresenius Medical Care"/>
    <s v="4748 Bell Hill Rd"/>
    <s v="Bessemer"/>
    <s v="AL"/>
    <n v="0.01"/>
    <n v="2014"/>
    <n v="6605"/>
    <n v="196500"/>
    <n v="29.75018925056775"/>
    <d v="2029-09-30T00:00:00"/>
    <n v="6.068493150684931"/>
    <s v="NN"/>
    <s v="1.7% annually"/>
    <s v="3, 5 yr"/>
    <n v="3275000"/>
    <n v="495.8364875094625"/>
    <n v="0.06"/>
    <x v="45"/>
    <x v="50"/>
    <m/>
    <x v="28"/>
    <s v="Fund"/>
    <m/>
    <m/>
    <m/>
    <s v=" "/>
    <s v=" "/>
    <m/>
    <s v=" "/>
    <s v=" "/>
    <s v=" "/>
    <m/>
    <s v=" "/>
  </r>
  <r>
    <s v="Fresenius Medical Care"/>
    <s v="7325 Cypress Gardens Blvd"/>
    <s v="Winter Haven"/>
    <s v="FL"/>
    <n v="2.37"/>
    <n v="2023"/>
    <n v="9960"/>
    <m/>
    <s v=" "/>
    <d v="2038-07-31T00:00:00"/>
    <n v="14.92328767123288"/>
    <s v="NN"/>
    <s v="1.7% annually; 10% at each option"/>
    <s v="3, 5yr"/>
    <n v="4681000"/>
    <n v="469.9799196787149"/>
    <s v=" "/>
    <x v="46"/>
    <x v="36"/>
    <m/>
    <x v="3"/>
    <s v="Fund"/>
    <m/>
    <m/>
    <m/>
    <s v=" "/>
    <s v=" "/>
    <m/>
    <s v=" "/>
    <s v=" "/>
    <s v=" "/>
    <m/>
    <s v=" "/>
  </r>
  <r>
    <s v="Fresenius Medical Care"/>
    <s v="2360 Williamwood Lane"/>
    <s v="Fayetteville"/>
    <s v="NC"/>
    <n v="1.46"/>
    <m/>
    <m/>
    <m/>
    <s v=" "/>
    <m/>
    <s v=" "/>
    <m/>
    <m/>
    <m/>
    <n v="3275000"/>
    <s v=" "/>
    <s v=" "/>
    <x v="46"/>
    <x v="51"/>
    <s v="AY"/>
    <x v="3"/>
    <s v="Fund"/>
    <m/>
    <m/>
    <m/>
    <s v=" "/>
    <s v=" "/>
    <m/>
    <s v=" "/>
    <s v=" "/>
    <s v=" "/>
    <m/>
    <s v=" "/>
  </r>
  <r>
    <s v="Fresenius Medical Care"/>
    <s v="300 N Commercial St"/>
    <s v="Neenah"/>
    <s v="WI"/>
    <n v="0.83"/>
    <n v="2008"/>
    <n v="15000"/>
    <n v="320500"/>
    <n v="21.36666666666667"/>
    <d v="2028-11-30T00:00:00"/>
    <n v="5.260273972602739"/>
    <s v="NN"/>
    <s v="10% on 12/1/2023"/>
    <s v="3, 5yr"/>
    <n v="5400000"/>
    <n v="360"/>
    <n v="0.05935185185185185"/>
    <x v="47"/>
    <x v="52"/>
    <m/>
    <x v="3"/>
    <s v="Fund"/>
    <m/>
    <m/>
    <m/>
    <s v=" "/>
    <s v=" "/>
    <m/>
    <s v=" "/>
    <s v=" "/>
    <s v=" "/>
    <m/>
    <s v=" "/>
  </r>
  <r>
    <s v="Fresenius Medical Care"/>
    <s v="105 Armory St"/>
    <s v="Fredericktown"/>
    <s v="MO"/>
    <n v="1.17"/>
    <n v="2007"/>
    <n v="8531"/>
    <m/>
    <s v=" "/>
    <m/>
    <s v=" "/>
    <m/>
    <m/>
    <m/>
    <m/>
    <s v=" "/>
    <s v=" "/>
    <x v="48"/>
    <x v="13"/>
    <m/>
    <x v="0"/>
    <m/>
    <m/>
    <m/>
    <m/>
    <s v=" "/>
    <s v=" "/>
    <m/>
    <s v=" "/>
    <s v=" "/>
    <s v=" "/>
    <m/>
    <s v=" "/>
  </r>
  <r>
    <s v="US Renal Care"/>
    <s v="1800 FM 157"/>
    <s v="Mansfield"/>
    <s v="TX"/>
    <n v="0.96"/>
    <n v="1978"/>
    <n v="7107"/>
    <n v="154577"/>
    <n v="21.74996482341353"/>
    <d v="2033-01-29T14:24:00"/>
    <n v="9.439999999999996"/>
    <s v="NN"/>
    <s v="3% annually"/>
    <m/>
    <n v="2415265"/>
    <n v="339.8431124243704"/>
    <n v="0.06400001656132971"/>
    <x v="48"/>
    <x v="13"/>
    <m/>
    <x v="0"/>
    <m/>
    <m/>
    <m/>
    <n v="2576283.333333333"/>
    <n v="0.06"/>
    <n v="0.9374997574024596"/>
    <n v="2576283.333333333"/>
    <n v="0.06"/>
    <n v="0.004000016561329714"/>
    <s v="No"/>
    <m/>
    <s v=" "/>
  </r>
  <r>
    <s v="Fresenius Medical Care"/>
    <s v="5214 Hickory Hollow Pky"/>
    <s v="Antioch"/>
    <s v="TN"/>
    <n v="1.67"/>
    <n v="1986"/>
    <n v="10047"/>
    <m/>
    <s v=" "/>
    <m/>
    <s v=" "/>
    <m/>
    <m/>
    <m/>
    <n v="1325000"/>
    <n v="131.8801632328058"/>
    <s v=" "/>
    <x v="49"/>
    <x v="53"/>
    <m/>
    <x v="29"/>
    <s v="Individual"/>
    <m/>
    <m/>
    <m/>
    <s v=" "/>
    <s v=" "/>
    <m/>
    <s v=" "/>
    <s v=" "/>
    <s v=" "/>
    <m/>
    <s v=" "/>
  </r>
  <r>
    <s v="Fresenius Medical Care"/>
    <s v="4453 Castor Ave"/>
    <s v="Philadelphia"/>
    <s v="PA"/>
    <n v="1.14"/>
    <n v="2010"/>
    <n v="15000"/>
    <m/>
    <s v=" "/>
    <m/>
    <s v=" "/>
    <m/>
    <m/>
    <m/>
    <n v="4800000"/>
    <n v="320"/>
    <s v=" "/>
    <x v="50"/>
    <x v="54"/>
    <s v="Lee; Rod"/>
    <x v="3"/>
    <s v="Fund"/>
    <s v="AY"/>
    <m/>
    <m/>
    <s v=" "/>
    <s v=" "/>
    <m/>
    <s v=" "/>
    <s v=" "/>
    <s v=" "/>
    <d v="2023-02-06T00:00:00"/>
    <n v="196"/>
  </r>
  <r>
    <s v="Fresenius Medical Care"/>
    <s v="710 W Hundson Blvd"/>
    <s v="Gastonia"/>
    <s v="NC"/>
    <n v="1.78"/>
    <n v="2009"/>
    <n v="11470"/>
    <n v="261748.1216"/>
    <n v="22.82023727986051"/>
    <d v="2026-06-30T00:00:00"/>
    <n v="2.86027397260274"/>
    <s v="NN"/>
    <s v="12% in Year 7"/>
    <s v="2, 5 yr"/>
    <n v="4600000"/>
    <n v="401.0462074978204"/>
    <n v="0.0569017655652174"/>
    <x v="50"/>
    <x v="55"/>
    <m/>
    <x v="28"/>
    <s v="Fund"/>
    <m/>
    <m/>
    <m/>
    <s v=" "/>
    <s v=" "/>
    <m/>
    <s v=" "/>
    <s v=" "/>
    <s v=" "/>
    <m/>
    <s v=" "/>
  </r>
  <r>
    <s v="Fresenius Medical Care"/>
    <s v="2721 Irvin Way"/>
    <s v="Decatur"/>
    <s v="GA"/>
    <n v="2.47"/>
    <n v="2006"/>
    <n v="8818"/>
    <n v="225449.577"/>
    <n v="25.56697403039238"/>
    <d v="2026-07-31T00:00:00"/>
    <n v="2.945205479452055"/>
    <s v="NN"/>
    <s v="1.7% annually"/>
    <s v="3, 5yr"/>
    <n v="3900000"/>
    <n v="442.2771603538217"/>
    <n v="0.05780758384615384"/>
    <x v="50"/>
    <x v="55"/>
    <m/>
    <x v="28"/>
    <s v="Fund"/>
    <m/>
    <m/>
    <m/>
    <s v=" "/>
    <s v=" "/>
    <m/>
    <s v=" "/>
    <s v=" "/>
    <s v=" "/>
    <m/>
    <s v=" "/>
  </r>
  <r>
    <s v="DaVita Dialysis"/>
    <s v="14400 Olympic Dr"/>
    <s v="Clearlake"/>
    <s v="CA"/>
    <n v="1.41"/>
    <n v="2007"/>
    <n v="6164"/>
    <m/>
    <s v=" "/>
    <m/>
    <s v=" "/>
    <m/>
    <m/>
    <m/>
    <n v="2300000"/>
    <n v="373.134328358209"/>
    <s v=" "/>
    <x v="51"/>
    <x v="56"/>
    <m/>
    <x v="30"/>
    <m/>
    <m/>
    <m/>
    <m/>
    <s v=" "/>
    <s v=" "/>
    <m/>
    <s v=" "/>
    <s v=" "/>
    <s v=" "/>
    <m/>
    <s v=" "/>
  </r>
  <r>
    <s v="DaVita Dialysis"/>
    <s v="228 Bradford Blvd"/>
    <s v="Santee"/>
    <s v="SC"/>
    <n v="1.58"/>
    <n v="2002"/>
    <n v="9346"/>
    <n v="147122"/>
    <n v="15.74170768243099"/>
    <d v="2027-03-25T15:36:00"/>
    <n v="3.610000000000004"/>
    <s v="NN"/>
    <s v="10% at each option"/>
    <s v="2, 5yr"/>
    <n v="1960000"/>
    <n v="209.7153862615023"/>
    <n v="0.07506224489795918"/>
    <x v="52"/>
    <x v="57"/>
    <s v="Valerie Cook"/>
    <x v="31"/>
    <s v="Individual"/>
    <s v="NLG; Durkin"/>
    <m/>
    <n v="2050000"/>
    <n v="0.07176682926829268"/>
    <n v="0.9560975609756097"/>
    <n v="2050000"/>
    <n v="0.07176682926829268"/>
    <n v="0.003295415629666495"/>
    <s v="No"/>
    <d v="2023-04-12T00:00:00"/>
    <n v="126"/>
  </r>
  <r>
    <s v="Fresenius Medical Care - MOB"/>
    <s v="1070 S Bishop Ave"/>
    <s v="Rolla"/>
    <s v="MO"/>
    <n v="1.1"/>
    <s v="1997 | 2017"/>
    <n v="14417"/>
    <m/>
    <s v=" "/>
    <m/>
    <s v=" "/>
    <m/>
    <m/>
    <m/>
    <n v="2200000"/>
    <n v="152.5976278005133"/>
    <s v=" "/>
    <x v="53"/>
    <x v="58"/>
    <m/>
    <x v="32"/>
    <s v="Individual"/>
    <m/>
    <s v="Rolla Real Estate Ents, LLC"/>
    <m/>
    <s v=" "/>
    <s v=" "/>
    <m/>
    <s v=" "/>
    <s v=" "/>
    <s v=" "/>
    <m/>
    <s v=" "/>
  </r>
  <r>
    <s v="Fresenius Medical Care"/>
    <s v="6830 Capitol St"/>
    <s v="Houston"/>
    <s v="TX"/>
    <n v="0.88"/>
    <n v="1996"/>
    <n v="8050"/>
    <m/>
    <s v=" "/>
    <d v="2029-05-31T00:00:00"/>
    <n v="5.797260273972602"/>
    <s v="NN"/>
    <s v="1.7% annually"/>
    <s v="3, 5yr"/>
    <n v="2650000"/>
    <n v="329.1925465838509"/>
    <s v=" "/>
    <x v="53"/>
    <x v="59"/>
    <m/>
    <x v="28"/>
    <s v="Fund"/>
    <m/>
    <m/>
    <m/>
    <s v=" "/>
    <s v=" "/>
    <m/>
    <s v=" "/>
    <s v=" "/>
    <s v=" "/>
    <m/>
    <s v=" "/>
  </r>
  <r>
    <s v="Fresenius (MT Leasehold Portfolio)"/>
    <s v="340 Anderson Rd NE"/>
    <s v="Norton"/>
    <s v="VA"/>
    <n v="7.84"/>
    <n v="1999"/>
    <n v="14512"/>
    <n v="191444"/>
    <n v="13.19211686879824"/>
    <d v="2028-10-31T00:00:00"/>
    <n v="5.227397260273973"/>
    <s v="NN"/>
    <m/>
    <m/>
    <n v="945000"/>
    <n v="65.11852260198457"/>
    <n v="0.2025862433862434"/>
    <x v="54"/>
    <x v="60"/>
    <m/>
    <x v="33"/>
    <m/>
    <m/>
    <m/>
    <n v="2000000"/>
    <n v="0.095722"/>
    <n v="0.4725"/>
    <n v="1900000"/>
    <n v="0.10076"/>
    <n v="0.1018262433862434"/>
    <s v="Yes"/>
    <d v="2023-01-25T00:00:00"/>
    <n v="198"/>
  </r>
  <r>
    <s v="DaVita Dialysis"/>
    <s v="6190 LBJ Fwy"/>
    <s v="Dallas"/>
    <s v="TX"/>
    <n v="2.06"/>
    <n v="2012"/>
    <n v="12216"/>
    <n v="332642"/>
    <n v="27.2300261951539"/>
    <d v="2027-07-19T00:00:00"/>
    <n v="3.93972602739726"/>
    <s v="Absolute NNN"/>
    <s v="At each option"/>
    <s v="2, 5yr"/>
    <m/>
    <s v=" "/>
    <s v=" "/>
    <x v="54"/>
    <x v="61"/>
    <s v="PG; Lesley"/>
    <x v="34"/>
    <s v="Individual"/>
    <m/>
    <m/>
    <n v="4556735"/>
    <n v="0.07300007571210528"/>
    <s v=" "/>
    <n v="4556735"/>
    <n v="0.07300007571210528"/>
    <s v=" "/>
    <s v="No"/>
    <d v="2023-03-14T00:00:00"/>
    <n v="150"/>
  </r>
  <r>
    <s v="Fresenius Medical Care"/>
    <s v="1325 MS-4"/>
    <s v="Holly Springs"/>
    <s v="MS"/>
    <n v="1.91"/>
    <n v="1993"/>
    <n v="4639"/>
    <n v="103092"/>
    <n v="22.22289286484156"/>
    <d v="2037-12-31T15:36:00"/>
    <n v="14.41"/>
    <s v="NN"/>
    <s v="CPI annually"/>
    <m/>
    <n v="1800000"/>
    <n v="388.014658331537"/>
    <n v="0.05727333333333334"/>
    <x v="55"/>
    <x v="13"/>
    <m/>
    <x v="0"/>
    <m/>
    <m/>
    <m/>
    <n v="1874400"/>
    <n v="0.055"/>
    <n v="0.9603072983354674"/>
    <n v="1874400"/>
    <n v="0.055"/>
    <n v="0.002273333333333336"/>
    <s v="No"/>
    <m/>
    <s v=" "/>
  </r>
  <r>
    <s v="Fresenius Medical Care"/>
    <s v="1250 Linkhaw Rd"/>
    <s v="Lumberton"/>
    <s v="NC"/>
    <n v="4"/>
    <n v="2021"/>
    <n v="12317"/>
    <n v="251685"/>
    <n v="20.43395307298855"/>
    <d v="2036-09-30T00:00:00"/>
    <n v="13.16712328767123"/>
    <s v="NN"/>
    <s v="2% every 5"/>
    <s v="3, 5yr"/>
    <n v="4250000"/>
    <n v="345.0515547617114"/>
    <n v="0.05922"/>
    <x v="56"/>
    <x v="62"/>
    <s v="Mullarkey Real Estate"/>
    <x v="28"/>
    <s v="Fund"/>
    <s v="Colliers; Patel"/>
    <m/>
    <n v="4800000"/>
    <n v="0.052434375"/>
    <n v="0.8854166666666666"/>
    <n v="4800000"/>
    <n v="0.052434375"/>
    <n v="0.006785625000000003"/>
    <s v="No"/>
    <d v="2023-03-23T00:00:00"/>
    <n v="134"/>
  </r>
  <r>
    <s v="Fresenius Medical Care "/>
    <s v="810 NW 10th St"/>
    <s v="Oklahoma City"/>
    <s v="OK"/>
    <n v="0.96"/>
    <n v="2011"/>
    <n v="12035"/>
    <n v="421225"/>
    <n v="35"/>
    <d v="2033-04-30T00:00:00"/>
    <n v="9.745205479452055"/>
    <s v="NN"/>
    <s v="1.7% annually starting year 6"/>
    <s v="3, 5yr"/>
    <n v="6478500"/>
    <n v="538.3049439135854"/>
    <n v="0.06501890869800107"/>
    <x v="56"/>
    <x v="35"/>
    <s v="Colliers; Patel"/>
    <x v="35"/>
    <s v="REIT"/>
    <m/>
    <m/>
    <n v="7658636"/>
    <n v="0.05500000261143107"/>
    <n v="0.8459078091712414"/>
    <n v="7325652"/>
    <n v="0.05750000136506621"/>
    <n v="0.007518907332934865"/>
    <s v="Yes"/>
    <d v="2023-02-28T00:00:00"/>
    <n v="157"/>
  </r>
  <r>
    <s v="Fresenius Medical Care"/>
    <s v="604 Airport Rd"/>
    <s v="Kinston"/>
    <s v="NC"/>
    <m/>
    <n v="1997"/>
    <n v="10880"/>
    <n v="174897"/>
    <n v="16.07509191176471"/>
    <d v="2032-12-31T00:00:00"/>
    <n v="9.419178082191781"/>
    <s v="NN"/>
    <s v="1.7% annually"/>
    <s v="2, 5 yr"/>
    <n v="2820000"/>
    <n v="259.1911764705882"/>
    <n v="0.06202021276595745"/>
    <x v="57"/>
    <x v="63"/>
    <m/>
    <x v="28"/>
    <s v="Fund"/>
    <m/>
    <m/>
    <m/>
    <s v=" "/>
    <s v=" "/>
    <m/>
    <s v=" "/>
    <s v=" "/>
    <s v=" "/>
    <m/>
    <s v=" "/>
  </r>
  <r>
    <s v="DaVita Dialysis - MOB"/>
    <s v="4180 S Hospital Dr"/>
    <s v="East China"/>
    <s v="MI"/>
    <n v="3.3"/>
    <n v="2015"/>
    <n v="12174"/>
    <n v="191497.02"/>
    <n v="15.73"/>
    <d v="2035-08-30T00:00:00"/>
    <n v="12.08493150684932"/>
    <s v="NN"/>
    <s v="10% every 5"/>
    <s v="3, 5 yr"/>
    <n v="2796760"/>
    <n v="229.7322161984557"/>
    <n v="0.06847102361303795"/>
    <x v="58"/>
    <x v="64"/>
    <s v="M&amp;M; Sharko"/>
    <x v="0"/>
    <m/>
    <m/>
    <m/>
    <m/>
    <s v=" "/>
    <s v=" "/>
    <m/>
    <s v=" "/>
    <s v=" "/>
    <s v=" "/>
    <m/>
    <s v=" "/>
  </r>
  <r>
    <s v="DaVita Dialysis"/>
    <s v="18100 Schaefer Hwy"/>
    <s v="Detroit"/>
    <s v="MI"/>
    <n v="1.06"/>
    <n v="1981"/>
    <n v="11053"/>
    <n v="124475"/>
    <n v="11.2616484212431"/>
    <d v="2029-10-31T00:00:00"/>
    <n v="6.252054794520548"/>
    <s v="NN"/>
    <s v="2% annually"/>
    <s v="2, 5yr"/>
    <n v="1927500"/>
    <n v="174.3870442413824"/>
    <n v="0.06457846952010377"/>
    <x v="58"/>
    <x v="65"/>
    <s v="Colliers; Patel"/>
    <x v="23"/>
    <s v="Individual"/>
    <m/>
    <s v="Bond Oman"/>
    <n v="2203093"/>
    <n v="0.05650011143424268"/>
    <n v="0.8749063248805202"/>
    <n v="2100000"/>
    <n v="0.05927380952380953"/>
    <n v="0.005304659996294238"/>
    <s v="Yes"/>
    <d v="2022-09-02T00:00:00"/>
    <n v="334"/>
  </r>
  <r>
    <s v="DaVita Dialysis"/>
    <s v="6929 Silverton Ave"/>
    <s v="Cincinnati"/>
    <s v="OH"/>
    <n v="0.47"/>
    <n v="2000"/>
    <n v="6640"/>
    <n v="111286"/>
    <n v="16.75993975903614"/>
    <d v="2028-04-30T00:00:00"/>
    <n v="4.747945205479452"/>
    <s v="NN"/>
    <s v="10% every 5 years"/>
    <s v="3, 5yr"/>
    <n v="1580000"/>
    <n v="237.9518072289157"/>
    <n v="0.07043417721518987"/>
    <x v="58"/>
    <x v="65"/>
    <s v="Colliers; Patel"/>
    <x v="23"/>
    <s v="Individual"/>
    <m/>
    <m/>
    <n v="1624619"/>
    <n v="0.0684997528651333"/>
    <n v="0.9725357145275292"/>
    <n v="1624619"/>
    <n v="0.0684997528651333"/>
    <n v="0.001934424350056571"/>
    <s v="No"/>
    <d v="2023-03-09T00:00:00"/>
    <n v="146"/>
  </r>
  <r>
    <s v="DaVita Dialysis"/>
    <s v="6221 N Chestnut Ave"/>
    <s v="Gladstone"/>
    <s v="MO"/>
    <n v="1.24"/>
    <n v="2021"/>
    <n v="8602"/>
    <n v="187201"/>
    <n v="21.76249709369914"/>
    <d v="2036-12-21T00:00:00"/>
    <n v="13.4"/>
    <s v="NN"/>
    <s v="10% every 5 years"/>
    <s v="3, 5yr"/>
    <n v="3531689.06"/>
    <n v="410.5660381306673"/>
    <n v="0.05300608202467292"/>
    <x v="59"/>
    <x v="66"/>
    <s v="SJC; Briggs"/>
    <x v="36"/>
    <s v="Individual"/>
    <m/>
    <m/>
    <n v="4025366"/>
    <n v="0.0465053364091613"/>
    <n v="0.8773584960970009"/>
    <n v="3670187"/>
    <n v="0.05100584793090925"/>
    <n v="0.002000234093763674"/>
    <s v="Yes"/>
    <d v="2022-03-25T00:00:00"/>
    <n v="494"/>
  </r>
  <r>
    <s v="Fresenius Medical Care"/>
    <s v="2809 General Degaulle Dr"/>
    <s v="New Orleans"/>
    <s v="LA"/>
    <n v="0.97"/>
    <n v="2017"/>
    <n v="7235"/>
    <n v="342823"/>
    <n v="47.38396682791983"/>
    <d v="2032-10-31T00:00:00"/>
    <n v="9.260273972602739"/>
    <s v="NN"/>
    <s v="1.7% annually"/>
    <s v="3, 5 yr"/>
    <n v="5442000"/>
    <n v="752.1769177608846"/>
    <n v="0.06299577361264241"/>
    <x v="60"/>
    <x v="67"/>
    <m/>
    <x v="3"/>
    <s v="Fund"/>
    <m/>
    <m/>
    <m/>
    <s v=" "/>
    <s v=" "/>
    <m/>
    <s v=" "/>
    <s v=" "/>
    <s v=" "/>
    <m/>
    <s v=" "/>
  </r>
  <r>
    <s v="Fresenius Medical Care - MOB Portfolio of 2"/>
    <s v="6651 SW 9th St"/>
    <s v="Des Moines"/>
    <s v="IA"/>
    <n v="0.39"/>
    <n v="2005"/>
    <n v="9344"/>
    <m/>
    <s v=" "/>
    <m/>
    <s v=" "/>
    <m/>
    <m/>
    <m/>
    <n v="8102000"/>
    <n v="867.0804794520548"/>
    <s v=" "/>
    <x v="61"/>
    <x v="68"/>
    <m/>
    <x v="37"/>
    <m/>
    <m/>
    <m/>
    <m/>
    <s v=" "/>
    <s v=" "/>
    <m/>
    <s v=" "/>
    <s v=" "/>
    <s v=" "/>
    <m/>
    <s v=" "/>
  </r>
  <r>
    <s v="DaVita Dialysis"/>
    <s v="5973 Ogeechee Rd"/>
    <s v="Savannah"/>
    <s v="GA"/>
    <n v="1.49"/>
    <s v="2012 | 2019"/>
    <n v="7472"/>
    <n v="226603"/>
    <n v="30.3269539614561"/>
    <d v="2035-10-31T00:00:00"/>
    <n v="12.27397260273973"/>
    <s v="NN"/>
    <s v="10% every 5 years"/>
    <s v="2, 5yr"/>
    <n v="3579666"/>
    <n v="479.0773554603854"/>
    <n v="0.06330283328109382"/>
    <x v="62"/>
    <x v="69"/>
    <s v="Colliers; Patel"/>
    <x v="38"/>
    <s v="Individual"/>
    <m/>
    <m/>
    <n v="4120000"/>
    <n v="0.05500072815533981"/>
    <n v="0.8688509708737864"/>
    <n v="3940928"/>
    <n v="0.05749990865095734"/>
    <n v="0.005802924630136479"/>
    <s v="Yes"/>
    <d v="2023-01-13T00:00:00"/>
    <n v="194"/>
  </r>
  <r>
    <s v="DaVita Dialysis"/>
    <s v="2227 Sherman Drive"/>
    <s v="Princeton"/>
    <s v="IN"/>
    <n v="2"/>
    <n v="2001"/>
    <n v="5458"/>
    <n v="79372"/>
    <n v="14.54232319530964"/>
    <d v="2030-02-27T00:00:00"/>
    <n v="6.6"/>
    <s v="Absolute NNN"/>
    <s v="2% annually"/>
    <s v="2, 5yr"/>
    <n v="1280000"/>
    <n v="234.5181385122756"/>
    <n v="0.062009375"/>
    <x v="63"/>
    <x v="70"/>
    <s v="CW; Forsyth"/>
    <x v="39"/>
    <m/>
    <m/>
    <m/>
    <n v="1323000"/>
    <n v="0.05999395313681028"/>
    <n v="0.9674981103552532"/>
    <n v="1323000"/>
    <n v="0.05999395313681028"/>
    <n v="0.002015421863189717"/>
    <s v="No"/>
    <d v="2023-03-14T00:00:00"/>
    <n v="133"/>
  </r>
  <r>
    <s v="Fresenius Medical Care"/>
    <s v="38 W Jubal Early Dr"/>
    <s v="Winchester"/>
    <s v="VA"/>
    <n v="1.106818"/>
    <n v="2015"/>
    <n v="9503"/>
    <n v="307490.9018240207"/>
    <n v="32.35724527244246"/>
    <d v="2030-10-31T00:00:00"/>
    <n v="7.287671232876712"/>
    <s v="NN"/>
    <s v="1.7% annually"/>
    <s v="3, 5 yr"/>
    <n v="5715000"/>
    <n v="601.3890350415659"/>
    <n v="0.05380418229641658"/>
    <x v="64"/>
    <x v="63"/>
    <m/>
    <x v="28"/>
    <s v="Fund"/>
    <m/>
    <m/>
    <m/>
    <s v=" "/>
    <s v=" "/>
    <m/>
    <s v=" "/>
    <s v=" "/>
    <s v=" "/>
    <m/>
    <s v=" "/>
  </r>
  <r>
    <s v="Fresenius Medical Care"/>
    <s v="7011 Regency Square Boulevard"/>
    <s v="Houston"/>
    <s v="TX"/>
    <n v="1.2"/>
    <n v="2017"/>
    <n v="8263"/>
    <n v="246072"/>
    <n v="29.77998305700109"/>
    <d v="2032-11-30T00:00:00"/>
    <n v="9.38082191780822"/>
    <s v="NN"/>
    <s v="10% every 5 years"/>
    <s v="3, 5yr"/>
    <m/>
    <s v=" "/>
    <s v=" "/>
    <x v="65"/>
    <x v="71"/>
    <m/>
    <x v="40"/>
    <s v="Individual"/>
    <m/>
    <m/>
    <m/>
    <s v=" "/>
    <s v=" "/>
    <m/>
    <s v=" "/>
    <s v=" "/>
    <s v=" "/>
    <m/>
    <s v=" "/>
  </r>
  <r>
    <s v="DaVita Dialysis"/>
    <s v="262 Broad St"/>
    <s v="Newark"/>
    <s v="NJ"/>
    <n v="0.45"/>
    <n v="1922"/>
    <n v="9500"/>
    <n v="270297"/>
    <n v="28.45231578947368"/>
    <d v="2033-09-30T00:00:00"/>
    <n v="10.22739726027397"/>
    <s v="NN"/>
    <s v="10% every 5 years"/>
    <s v="2, 5yr"/>
    <n v="4742050"/>
    <n v="499.1631578947369"/>
    <n v="0.05700003163188916"/>
    <x v="66"/>
    <x v="72"/>
    <s v="Colliers; Patel"/>
    <x v="0"/>
    <m/>
    <m/>
    <m/>
    <n v="4914488"/>
    <n v="0.05500003255679941"/>
    <n v="0.9649123163999993"/>
    <n v="4914488"/>
    <n v="0.05500003255679941"/>
    <n v="0.001999999075089749"/>
    <s v="No"/>
    <d v="2023-01-30T00:00:00"/>
    <n v="163"/>
  </r>
  <r>
    <s v="Fresenius Medical Care"/>
    <s v="1710 Southern Ave"/>
    <s v="Monroe"/>
    <s v="LA"/>
    <n v="1.79"/>
    <n v="2012"/>
    <n v="9312"/>
    <m/>
    <s v=" "/>
    <d v="2029-07-31T00:00:00"/>
    <n v="6.06027397260274"/>
    <s v="NN"/>
    <s v="1.7% annually"/>
    <s v="3, 5 yr"/>
    <n v="2933333"/>
    <n v="315.005691580756"/>
    <s v=" "/>
    <x v="67"/>
    <x v="73"/>
    <m/>
    <x v="3"/>
    <s v="Fund"/>
    <m/>
    <m/>
    <m/>
    <s v=" "/>
    <s v=" "/>
    <m/>
    <s v=" "/>
    <s v=" "/>
    <s v=" "/>
    <m/>
    <s v=" "/>
  </r>
  <r>
    <s v="Fresenius Medical Care"/>
    <s v="1041 N Arizola Rd"/>
    <s v="Casa Grande"/>
    <s v="AZ"/>
    <n v="1.91"/>
    <n v="1999"/>
    <n v="11982"/>
    <m/>
    <s v=" "/>
    <m/>
    <s v=" "/>
    <m/>
    <m/>
    <m/>
    <n v="5440000"/>
    <n v="454.0143548656318"/>
    <s v=" "/>
    <x v="68"/>
    <x v="73"/>
    <m/>
    <x v="3"/>
    <s v="Fund"/>
    <m/>
    <m/>
    <m/>
    <s v=" "/>
    <s v=" "/>
    <m/>
    <s v=" "/>
    <s v=" "/>
    <s v=" "/>
    <m/>
    <s v=" "/>
  </r>
  <r>
    <s v="DaVita Dialysis"/>
    <s v="209 Windstar Pl"/>
    <s v="Southern Pines"/>
    <s v="NC"/>
    <n v="2.09"/>
    <n v="2004"/>
    <n v="7222"/>
    <n v="143849"/>
    <n v="19.91816671282193"/>
    <d v="2034-03-31T00:00:00"/>
    <n v="10.74520547945206"/>
    <s v="NN"/>
    <s v="2.5% annually"/>
    <s v="2, 5yr"/>
    <n v="2450000"/>
    <n v="339.2412074217668"/>
    <n v="0.05871387755102041"/>
    <x v="69"/>
    <x v="69"/>
    <s v="Colliers; Patel"/>
    <x v="41"/>
    <s v="Individual"/>
    <m/>
    <m/>
    <n v="2546005"/>
    <n v="0.05649988904185184"/>
    <n v="0.9622919043756788"/>
    <n v="2546005"/>
    <n v="0.05649988904185184"/>
    <n v="0.002213988509168568"/>
    <s v="No"/>
    <d v="2023-01-12T00:00:00"/>
    <n v="174"/>
  </r>
  <r>
    <s v="Fresenius Medical Care"/>
    <s v="4440 Walker Blvd"/>
    <s v="Knoxville"/>
    <s v="TN"/>
    <n v="1.07"/>
    <n v="1989"/>
    <n v="10461"/>
    <m/>
    <s v=" "/>
    <m/>
    <s v=" "/>
    <m/>
    <m/>
    <m/>
    <n v="1260000"/>
    <n v="120.4473759678807"/>
    <s v=" "/>
    <x v="70"/>
    <x v="74"/>
    <m/>
    <x v="42"/>
    <s v="Individual"/>
    <m/>
    <m/>
    <m/>
    <s v=" "/>
    <s v=" "/>
    <m/>
    <s v=" "/>
    <s v=" "/>
    <s v=" "/>
    <m/>
    <s v=" "/>
  </r>
  <r>
    <s v="Fresenius Medical Care"/>
    <s v="111 Park Hill Dr"/>
    <s v="Fredericksburg"/>
    <s v="VA"/>
    <n v="0.41"/>
    <n v="2000"/>
    <n v="4000"/>
    <m/>
    <s v=" "/>
    <m/>
    <s v=" "/>
    <m/>
    <m/>
    <m/>
    <n v="2900000"/>
    <n v="725"/>
    <s v=" "/>
    <x v="71"/>
    <x v="13"/>
    <m/>
    <x v="0"/>
    <m/>
    <m/>
    <m/>
    <n v="2995000"/>
    <s v=" "/>
    <n v="0.9682804674457429"/>
    <n v="2995000"/>
    <s v=" "/>
    <s v=" "/>
    <s v="No"/>
    <d v="2023-03-31T00:00:00"/>
    <n v="90"/>
  </r>
  <r>
    <s v="Fresenius Medical Care (Portfolio)"/>
    <s v="121 Park Hill Dr"/>
    <s v="Fredericksburg"/>
    <s v="VA"/>
    <n v="0.35"/>
    <n v="2001"/>
    <n v="4000"/>
    <n v="187188"/>
    <n v="46.797"/>
    <m/>
    <s v=" "/>
    <s v="3% annually"/>
    <m/>
    <m/>
    <n v="2900000"/>
    <n v="725"/>
    <n v="0.06454758620689655"/>
    <x v="71"/>
    <x v="75"/>
    <s v="SRS; Fernandez"/>
    <x v="0"/>
    <s v="Individual"/>
    <m/>
    <m/>
    <n v="2995000"/>
    <n v="0.06250016694490818"/>
    <n v="0.9682804674457429"/>
    <n v="2995000"/>
    <n v="0.06250016694490818"/>
    <n v="0.00204741926198837"/>
    <s v="No"/>
    <d v="2023-03-22T00:00:00"/>
    <n v="99"/>
  </r>
  <r>
    <s v="Fresenius Medical Care"/>
    <s v="65 N Catherine St"/>
    <s v="Mobile"/>
    <s v="AL"/>
    <n v="1.96"/>
    <n v="2013"/>
    <n v="13843"/>
    <m/>
    <s v=" "/>
    <m/>
    <s v=" "/>
    <m/>
    <m/>
    <m/>
    <n v="3626667"/>
    <n v="261.9856245033591"/>
    <s v=" "/>
    <x v="72"/>
    <x v="73"/>
    <m/>
    <x v="3"/>
    <s v="Fund"/>
    <m/>
    <m/>
    <m/>
    <s v=" "/>
    <s v=" "/>
    <m/>
    <s v=" "/>
    <s v=" "/>
    <s v=" "/>
    <m/>
    <s v=" "/>
  </r>
  <r>
    <s v="Fresenius Medical Care"/>
    <s v="111 Eudora Welty Dr"/>
    <s v="Starkville"/>
    <s v="MS"/>
    <n v="0.45"/>
    <m/>
    <n v="9916"/>
    <m/>
    <s v=" "/>
    <m/>
    <s v=" "/>
    <m/>
    <m/>
    <m/>
    <n v="2720000"/>
    <n v="274.3041549011699"/>
    <s v=" "/>
    <x v="72"/>
    <x v="76"/>
    <m/>
    <x v="3"/>
    <s v="Fund"/>
    <m/>
    <m/>
    <m/>
    <s v=" "/>
    <s v=" "/>
    <m/>
    <s v=" "/>
    <s v=" "/>
    <s v=" "/>
    <m/>
    <s v=" "/>
  </r>
  <r>
    <s v="Fresenius Medical Care"/>
    <s v="890 NW Washington Blvd"/>
    <s v="Hamilton"/>
    <s v="OH"/>
    <n v="1.4"/>
    <n v="2016"/>
    <n v="6950"/>
    <m/>
    <s v=" "/>
    <m/>
    <s v=" "/>
    <m/>
    <m/>
    <m/>
    <n v="2500000"/>
    <n v="359.7122302158273"/>
    <s v=" "/>
    <x v="73"/>
    <x v="77"/>
    <m/>
    <x v="3"/>
    <s v="Fund"/>
    <m/>
    <m/>
    <m/>
    <s v=" "/>
    <s v=" "/>
    <m/>
    <s v=" "/>
    <s v=" "/>
    <s v=" "/>
    <m/>
    <s v=" "/>
  </r>
  <r>
    <s v="DaVita Dialysis"/>
    <s v="144 S 40th St"/>
    <s v="Omaha"/>
    <s v="NE"/>
    <n v="0.26"/>
    <n v="2000"/>
    <n v="6300"/>
    <m/>
    <s v=" "/>
    <m/>
    <s v=" "/>
    <m/>
    <m/>
    <m/>
    <n v="2595000"/>
    <n v="411.9047619047619"/>
    <s v=" "/>
    <x v="74"/>
    <x v="78"/>
    <s v="CBRE; Campbell"/>
    <x v="43"/>
    <s v="Individual"/>
    <m/>
    <m/>
    <n v="3050000"/>
    <s v=" "/>
    <n v="0.8508196721311475"/>
    <n v="3050000"/>
    <s v=" "/>
    <s v=" "/>
    <s v="No"/>
    <d v="2023-04-17T00:00:00"/>
    <n v="66"/>
  </r>
  <r>
    <s v="Fresenius Medical Care - MOB"/>
    <s v="1534-1558 W Meyer Rd"/>
    <s v="Wentzville"/>
    <s v="MO"/>
    <n v="0.25"/>
    <n v="2007"/>
    <n v="9453"/>
    <n v="179607"/>
    <n v="19"/>
    <d v="2026-01-31T00:00:00"/>
    <n v="2.616438356164383"/>
    <s v="NN"/>
    <s v="Options"/>
    <s v="2, 5yr"/>
    <n v="2700000"/>
    <n v="285.6236115518883"/>
    <n v="0.06652111111111111"/>
    <x v="75"/>
    <x v="79"/>
    <s v="Valerie Cook"/>
    <x v="3"/>
    <s v="Fund"/>
    <m/>
    <m/>
    <n v="2721000"/>
    <n v="0.06600771775082691"/>
    <n v="0.9922822491730982"/>
    <n v="2721000"/>
    <n v="0.06600771775082691"/>
    <n v="0.0005133933602842061"/>
    <s v="No"/>
    <d v="2022-05-04T00:00:00"/>
    <n v="413"/>
  </r>
  <r>
    <s v="Fresenius Medical Care - MT"/>
    <s v="28425 8 Mile Rd"/>
    <s v="Livonia"/>
    <s v="MI"/>
    <n v="4"/>
    <n v="2017"/>
    <n v="16217"/>
    <n v="216865"/>
    <n v="13.37269531972621"/>
    <d v="2027-02-28T00:00:00"/>
    <n v="3.695890410958904"/>
    <s v="NN"/>
    <s v="1.7% annually; FMV at each option"/>
    <s v="2, 5yr"/>
    <m/>
    <s v=" "/>
    <s v=" "/>
    <x v="76"/>
    <x v="80"/>
    <m/>
    <x v="3"/>
    <s v="Fund"/>
    <m/>
    <m/>
    <m/>
    <s v=" "/>
    <s v=" "/>
    <m/>
    <s v=" "/>
    <s v=" "/>
    <s v=" "/>
    <m/>
    <s v=" "/>
  </r>
  <r>
    <s v="DaVita Dialysis (MT)"/>
    <s v="W175N11056 Stonewood Dr"/>
    <s v="Germantown"/>
    <s v="WI"/>
    <n v="0.9"/>
    <n v="2006"/>
    <n v="7516"/>
    <n v="110449"/>
    <n v="14.69518360830229"/>
    <m/>
    <s v=" "/>
    <m/>
    <m/>
    <m/>
    <n v="1836244"/>
    <n v="244.3113358169239"/>
    <n v="0.06014941369447634"/>
    <x v="76"/>
    <x v="81"/>
    <s v="Newmark; Schmidt"/>
    <x v="44"/>
    <s v="Individual"/>
    <m/>
    <m/>
    <n v="1836244"/>
    <n v="0.06014941369447634"/>
    <n v="1"/>
    <n v="1836244"/>
    <n v="0.06014941369447634"/>
    <n v="0"/>
    <s v="No"/>
    <d v="2023-03-30T00:00:00"/>
    <n v="82"/>
  </r>
  <r>
    <s v="Penn Internal Medicine at Iowa"/>
    <s v="1201 Pennsylvania Ave"/>
    <s v="Des Moines"/>
    <s v="IA"/>
    <n v="1.25"/>
    <n v="1988"/>
    <n v="6612"/>
    <m/>
    <s v=" "/>
    <m/>
    <s v=" "/>
    <m/>
    <m/>
    <m/>
    <n v="1650000"/>
    <n v="249.546279491833"/>
    <s v=" "/>
    <x v="77"/>
    <x v="82"/>
    <s v="Ferguson; Darin"/>
    <x v="45"/>
    <s v="Institutional"/>
    <m/>
    <m/>
    <m/>
    <s v=" "/>
    <s v=" "/>
    <m/>
    <s v=" "/>
    <s v=" "/>
    <s v=" "/>
    <d v="2022-09-20T00:00:00"/>
    <n v="268"/>
  </r>
  <r>
    <s v="DaVita Dialysis"/>
    <s v="423 E North Ave"/>
    <s v="Baltimore"/>
    <s v="MD"/>
    <n v="0.5"/>
    <n v="1996"/>
    <n v="10004"/>
    <n v="252450"/>
    <n v="25.23490603758497"/>
    <d v="2034-09-28T12:00:00"/>
    <n v="11.3"/>
    <s v="NN"/>
    <s v="10% every 5 years"/>
    <s v="2, 5 yr"/>
    <n v="4428947"/>
    <n v="442.7176129548181"/>
    <n v="0.05700000474153337"/>
    <x v="78"/>
    <x v="83"/>
    <s v="Colliers; Patel"/>
    <x v="46"/>
    <s v="Individual"/>
    <s v="AY; Murphy"/>
    <m/>
    <n v="4590000"/>
    <n v="0.055"/>
    <n v="0.9649122004357299"/>
    <n v="4590000"/>
    <n v="0.055"/>
    <n v="0.002000004741533369"/>
    <s v="No"/>
    <d v="2023-01-30T00:00:00"/>
    <n v="135"/>
  </r>
  <r>
    <s v="DaVita Dialysis"/>
    <s v="1412 E King St"/>
    <s v="Lancaster"/>
    <s v="PA"/>
    <n v="1.05"/>
    <s v="1973 | 2003"/>
    <n v="8760"/>
    <n v="186565"/>
    <n v="21.29737442922374"/>
    <d v="2031-05-30T00:00:00"/>
    <n v="7.964383561643835"/>
    <s v="NN"/>
    <s v="10% every 5 years"/>
    <m/>
    <n v="2824000"/>
    <n v="322.3744292237443"/>
    <n v="0.06606409348441926"/>
    <x v="78"/>
    <x v="84"/>
    <s v="F&amp;M; Raiken"/>
    <x v="47"/>
    <s v="Individual"/>
    <m/>
    <m/>
    <n v="3050000"/>
    <n v="0.06116885245901639"/>
    <n v="0.9259016393442623"/>
    <n v="3050000"/>
    <n v="0.06116885245901639"/>
    <n v="0.004895241025402869"/>
    <s v="No"/>
    <d v="2023-03-09T00:00:00"/>
    <n v="97"/>
  </r>
  <r>
    <s v="KidneySpa"/>
    <s v="4298 Palm Ave"/>
    <s v="Hialeah"/>
    <s v="FL"/>
    <n v="0.43"/>
    <n v="2023"/>
    <n v="5991"/>
    <n v="405000"/>
    <n v="67.60140210315473"/>
    <d v="2038-03-31T00:00:00"/>
    <n v="14.81095890410959"/>
    <s v="Absolute NNN"/>
    <s v="2% annually"/>
    <s v="3, 5yr"/>
    <n v="7043000"/>
    <n v="1175.596728425972"/>
    <n v="0.05750390458611387"/>
    <x v="79"/>
    <x v="85"/>
    <s v="Colliers; Patel"/>
    <x v="48"/>
    <s v="Individual"/>
    <m/>
    <m/>
    <n v="7363636"/>
    <n v="0.05500000271604952"/>
    <n v="0.9564568373558932"/>
    <n v="7363636"/>
    <n v="0.05500000271604952"/>
    <n v="0.002503901870064357"/>
    <s v="No"/>
    <d v="2023-01-05T00:00:00"/>
    <n v="158"/>
  </r>
  <r>
    <s v="Fresenius Medical Care"/>
    <s v="5250 Snapfinger Park Dr"/>
    <s v="Decatur"/>
    <s v="GA"/>
    <n v="7.4"/>
    <n v="1998"/>
    <n v="7734"/>
    <n v="176180"/>
    <n v="22.77993276441686"/>
    <d v="2026-08-31T00:00:00"/>
    <n v="3.238356164383561"/>
    <s v="Absolute NNN"/>
    <s v="2% annually"/>
    <s v="3, 5yr"/>
    <n v="2550000"/>
    <n v="329.7129557796742"/>
    <n v="0.06909019607843138"/>
    <x v="80"/>
    <x v="86"/>
    <s v="SJC; Van Dresser"/>
    <x v="49"/>
    <s v="REIT"/>
    <m/>
    <m/>
    <n v="2550000"/>
    <n v="0.06909019607843138"/>
    <n v="1"/>
    <n v="2550000"/>
    <n v="0.06909019607843138"/>
    <n v="0"/>
    <s v="No"/>
    <d v="2022-11-01T00:00:00"/>
    <n v="217"/>
  </r>
  <r>
    <s v="DaVita Dialysis -  Portfolio"/>
    <s v="2222 Greenhouse Rd "/>
    <s v="Houston"/>
    <s v="TX"/>
    <n v="0.3701"/>
    <n v="2014"/>
    <n v="5800"/>
    <m/>
    <s v=" "/>
    <m/>
    <s v=" "/>
    <m/>
    <m/>
    <m/>
    <m/>
    <s v=" "/>
    <s v=" "/>
    <x v="81"/>
    <x v="13"/>
    <m/>
    <x v="0"/>
    <s v="Individual"/>
    <m/>
    <m/>
    <m/>
    <s v=" "/>
    <s v=" "/>
    <m/>
    <s v=" "/>
    <s v=" "/>
    <s v=" "/>
    <m/>
    <s v=" "/>
  </r>
  <r>
    <s v="Fresenius Medical Care"/>
    <s v="4111 W Camp Wisdom Rd"/>
    <s v="Dallas"/>
    <s v="TX"/>
    <n v="2.23"/>
    <n v="1984"/>
    <n v="25325"/>
    <n v="181074"/>
    <n v="7.150009871668312"/>
    <d v="2029-12-31T00:00:00"/>
    <n v="6.586301369863014"/>
    <s v="NN"/>
    <s v="10% every 5"/>
    <s v="2, 5yr"/>
    <n v="3020000"/>
    <n v="119.2497532082922"/>
    <n v="0.05995827814569536"/>
    <x v="82"/>
    <x v="87"/>
    <s v="SJC; Harris"/>
    <x v="3"/>
    <s v="Fund"/>
    <m/>
    <m/>
    <n v="3232000"/>
    <n v="0.05602537128712871"/>
    <n v="0.9344059405940595"/>
    <n v="3020000"/>
    <n v="0.05995827814569536"/>
    <n v="0"/>
    <s v="Yes"/>
    <d v="2022-09-01T00:00:00"/>
    <n v="274"/>
  </r>
  <r>
    <s v="Fresenius Medical Care - MOB"/>
    <s v="475 40th St"/>
    <s v="Ogden"/>
    <s v="UT"/>
    <n v="1.18"/>
    <n v="2015"/>
    <n v="9814"/>
    <n v="373450"/>
    <n v="38.0527817403709"/>
    <d v="2030-12-31T00:00:00"/>
    <n v="7.586301369863014"/>
    <s v="NN"/>
    <s v="2% annually"/>
    <s v="3, 5yr"/>
    <n v="5500000"/>
    <n v="560.4238842469941"/>
    <n v="0.0679"/>
    <x v="82"/>
    <x v="88"/>
    <s v="SJC; Briggs"/>
    <x v="0"/>
    <s v="Individual"/>
    <m/>
    <m/>
    <n v="6152928"/>
    <n v="0.06069468064635244"/>
    <n v="0.8938833673984159"/>
    <n v="5999000"/>
    <n v="0.06225204200700116"/>
    <n v="0.005647957992998838"/>
    <s v="Yes"/>
    <d v="2022-07-27T00:00:00"/>
    <n v="310"/>
  </r>
  <r>
    <s v="Fresenius Medical Care"/>
    <s v="12401 Scopelos Rd"/>
    <s v="Grand Bay"/>
    <s v="AL"/>
    <n v="1.92"/>
    <n v="2013"/>
    <n v="9612"/>
    <m/>
    <s v=" "/>
    <m/>
    <s v=" "/>
    <m/>
    <m/>
    <m/>
    <n v="3680000"/>
    <n v="382.8547648772368"/>
    <s v=" "/>
    <x v="83"/>
    <x v="73"/>
    <s v="AY;"/>
    <x v="3"/>
    <s v="Fund"/>
    <m/>
    <m/>
    <m/>
    <s v=" "/>
    <s v=" "/>
    <m/>
    <s v=" "/>
    <s v=" "/>
    <s v=" "/>
    <m/>
    <s v=" "/>
  </r>
  <r>
    <s v="DaVita Dialysis - MT"/>
    <s v="7009-7011 W Belmont Ave"/>
    <s v="Chicago"/>
    <s v="IL"/>
    <n v="0.1255"/>
    <n v="1956"/>
    <n v="8400"/>
    <m/>
    <s v=" "/>
    <m/>
    <s v=" "/>
    <m/>
    <m/>
    <m/>
    <m/>
    <s v=" "/>
    <s v=" "/>
    <x v="84"/>
    <x v="13"/>
    <m/>
    <x v="0"/>
    <s v="Individual"/>
    <m/>
    <m/>
    <m/>
    <s v=" "/>
    <s v=" "/>
    <m/>
    <s v=" "/>
    <s v=" "/>
    <s v=" "/>
    <m/>
    <s v=" "/>
  </r>
  <r>
    <s v="DaVita Dialysis"/>
    <s v="557 Bluebird Blvd"/>
    <s v="Fort Valley"/>
    <s v="GA"/>
    <n v="2.3"/>
    <n v="1992"/>
    <n v="3520"/>
    <n v="62145.6"/>
    <n v="17.655"/>
    <d v="2028-12-31T00:00:00"/>
    <n v="5.608219178082192"/>
    <s v="NN"/>
    <m/>
    <s v="3, 5yr"/>
    <n v="726000"/>
    <n v="206.25"/>
    <n v="0.0856"/>
    <x v="85"/>
    <x v="89"/>
    <s v="CBX Worldwide; Folsom"/>
    <x v="50"/>
    <s v="Individual"/>
    <m/>
    <m/>
    <m/>
    <s v=" "/>
    <s v=" "/>
    <m/>
    <s v=" "/>
    <s v=" "/>
    <s v=" "/>
    <m/>
    <s v=" "/>
  </r>
  <r>
    <s v="DaVita Dialysis"/>
    <s v="934 S Long Dr"/>
    <s v="Rockingham"/>
    <s v="NC"/>
    <n v="1.91"/>
    <n v="2022"/>
    <n v="10908"/>
    <n v="155657"/>
    <n v="14.26998533186652"/>
    <d v="2037-04-19T00:00:00"/>
    <n v="13.92876712328767"/>
    <s v="NN"/>
    <s v="Yes"/>
    <s v="3, 5yr"/>
    <n v="2281500"/>
    <n v="209.1584158415841"/>
    <n v="0.06822572868726715"/>
    <x v="86"/>
    <x v="90"/>
    <s v="Boulder Group; Blankstein"/>
    <x v="51"/>
    <s v="Individual"/>
    <m/>
    <m/>
    <n v="2909477"/>
    <n v="0.05349999329776451"/>
    <n v="0.7841615520590127"/>
    <n v="2594283"/>
    <n v="0.06000000770925917"/>
    <n v="0.008225720978007979"/>
    <s v="Yes"/>
    <d v="2022-04-27T00:00:00"/>
    <n v="387"/>
  </r>
  <r>
    <s v="DaVita Dialysis (Condo)"/>
    <s v="3727 N Goldenrod Rd"/>
    <s v="Winter Park"/>
    <s v="FL"/>
    <n v="2.3"/>
    <n v="2007"/>
    <n v="5042"/>
    <n v="106840"/>
    <n v="21.19000396667989"/>
    <m/>
    <s v=" "/>
    <m/>
    <m/>
    <s v="3, 5yr"/>
    <n v="1690000"/>
    <n v="335.1844506148354"/>
    <n v="0.0632189349112426"/>
    <x v="86"/>
    <x v="91"/>
    <s v="M&amp;M; Gould"/>
    <x v="52"/>
    <s v="Individual"/>
    <m/>
    <m/>
    <n v="1700000"/>
    <n v="0.06284705882352941"/>
    <n v="0.9941176470588236"/>
    <n v="1700000"/>
    <n v="0.06284705882352941"/>
    <n v="0.000371876087713191"/>
    <s v="No"/>
    <d v="2023-03-24T00:00:00"/>
    <n v="56"/>
  </r>
  <r>
    <s v="DaVita Dialysis - MOB "/>
    <s v="1151 Warwick Way"/>
    <s v="Racine"/>
    <s v="WI"/>
    <n v="2.31"/>
    <s v="2000 | 2020"/>
    <n v="24522"/>
    <n v="291230"/>
    <n v="11.87627436587554"/>
    <d v="2031-06-30T00:00:00"/>
    <n v="8.123287671232877"/>
    <s v="NN | MG"/>
    <s v="Yes"/>
    <s v="Yes"/>
    <n v="3425000"/>
    <n v="139.6704999592203"/>
    <n v="0.08503065693430657"/>
    <x v="87"/>
    <x v="92"/>
    <s v="M&amp;M; Roti"/>
    <x v="53"/>
    <s v="Individual"/>
    <m/>
    <m/>
    <n v="3900000"/>
    <n v="0.07467435897435898"/>
    <n v="0.8782051282051282"/>
    <n v="3900000"/>
    <n v="0.07467435897435898"/>
    <n v="0.01035629795994759"/>
    <s v="No"/>
    <d v="2022-10-25T00:00:00"/>
    <n v="205"/>
  </r>
  <r>
    <s v="Fresenius Medical Care - MOB"/>
    <s v="12523 S Creek Meadow Dr"/>
    <s v="Riverton"/>
    <s v="UT"/>
    <n v="2.49"/>
    <n v="2015"/>
    <n v="17501"/>
    <n v="613117"/>
    <n v="35.03325524255757"/>
    <m/>
    <s v=" "/>
    <m/>
    <m/>
    <m/>
    <m/>
    <s v=" "/>
    <s v=" "/>
    <x v="88"/>
    <x v="93"/>
    <m/>
    <x v="54"/>
    <s v="Individual"/>
    <m/>
    <m/>
    <m/>
    <s v=" "/>
    <s v=" "/>
    <m/>
    <s v=" "/>
    <s v=" "/>
    <s v=" "/>
    <m/>
    <s v=" "/>
  </r>
  <r>
    <s v="Fresenius Medical Care"/>
    <s v="7 Professional Dr"/>
    <s v="Alton"/>
    <s v="IL"/>
    <n v="1.91"/>
    <n v="2013"/>
    <n v="10227"/>
    <m/>
    <s v=" "/>
    <d v="2028-08-30T00:00:00"/>
    <n v="5.293150684931507"/>
    <s v="NN"/>
    <s v="1.7% annually"/>
    <s v="3, 5yr"/>
    <n v="3350000"/>
    <n v="327.564290603305"/>
    <s v=" "/>
    <x v="88"/>
    <x v="94"/>
    <s v="Pinnacle; Stambaugh"/>
    <x v="3"/>
    <s v="Fund"/>
    <s v="SRS; Sullivan"/>
    <m/>
    <m/>
    <s v=" "/>
    <s v=" "/>
    <m/>
    <s v=" "/>
    <s v=" "/>
    <s v=" "/>
    <m/>
    <s v=" "/>
  </r>
  <r>
    <s v="Fresenius Medical Care"/>
    <s v="1274 S Market St"/>
    <s v="Carthage"/>
    <s v="TX"/>
    <n v="2"/>
    <n v="1978"/>
    <n v="4385"/>
    <m/>
    <s v=" "/>
    <m/>
    <s v=" "/>
    <m/>
    <m/>
    <m/>
    <m/>
    <s v=" "/>
    <s v=" "/>
    <x v="88"/>
    <x v="14"/>
    <m/>
    <x v="3"/>
    <s v="Fund"/>
    <m/>
    <m/>
    <m/>
    <s v=" "/>
    <s v=" "/>
    <m/>
    <s v=" "/>
    <s v=" "/>
    <s v=" "/>
    <m/>
    <s v=" "/>
  </r>
  <r>
    <s v="DaVita Dialysis"/>
    <s v="8850 Gladiolus Dr"/>
    <s v="Fort Myers"/>
    <s v="FL"/>
    <n v="0.86"/>
    <n v="2008"/>
    <n v="10084"/>
    <n v="179950"/>
    <n v="17.84510115033717"/>
    <d v="2027-10-09T00:00:00"/>
    <n v="4.424657534246576"/>
    <s v="NN"/>
    <s v="2% annually"/>
    <s v="2, 5yr"/>
    <n v="3050000"/>
    <n v="302.4593415311384"/>
    <n v="0.059"/>
    <x v="89"/>
    <x v="95"/>
    <s v="Berkeley Capital Advisors; Coates"/>
    <x v="55"/>
    <s v="Individual"/>
    <m/>
    <m/>
    <n v="3130000"/>
    <n v="0.05749201277955272"/>
    <n v="0.9744408945686901"/>
    <n v="3130000"/>
    <n v="0.05749201277955272"/>
    <n v="0.001507987220447281"/>
    <s v="No"/>
    <m/>
    <s v=" "/>
  </r>
  <r>
    <s v="Fresenius Medical Care"/>
    <s v="8710 S Holland rd"/>
    <s v="Chicago"/>
    <s v="IL"/>
    <n v="1.26"/>
    <n v="2014"/>
    <n v="7500"/>
    <n v="197581.75"/>
    <n v="26.34423333333333"/>
    <d v="2032-08-30T00:00:00"/>
    <n v="9.32054794520548"/>
    <s v="NN"/>
    <s v="2.5% annually"/>
    <s v="2, 5 yr"/>
    <n v="3176000"/>
    <n v="423.4666666666666"/>
    <n v="0.06221087846347607"/>
    <x v="89"/>
    <x v="55"/>
    <m/>
    <x v="3"/>
    <s v="Fund"/>
    <m/>
    <m/>
    <n v="3951635"/>
    <n v="0.05"/>
    <n v="0.8037179547200083"/>
    <n v="3951635"/>
    <n v="0.05"/>
    <n v="0.01221087846347606"/>
    <s v="No"/>
    <d v="2022-07-10T00:00:00"/>
    <n v="302"/>
  </r>
  <r>
    <s v="Fresenius Medical Care - MOB"/>
    <s v="2845 Capital Ave SW"/>
    <s v="Battle Creek"/>
    <s v="MI"/>
    <n v="5.03"/>
    <n v="1992"/>
    <n v="37640"/>
    <m/>
    <s v=" "/>
    <m/>
    <s v=" "/>
    <m/>
    <m/>
    <m/>
    <n v="4740000"/>
    <n v="125.9298618490967"/>
    <s v=" "/>
    <x v="90"/>
    <x v="96"/>
    <s v="NAI; Schroer"/>
    <x v="56"/>
    <s v="Fund"/>
    <s v="Friedman; Bower"/>
    <m/>
    <n v="5300000"/>
    <s v=" "/>
    <n v="0.8943396226415095"/>
    <n v="5300000"/>
    <s v=" "/>
    <s v=" "/>
    <s v="No"/>
    <d v="2022-08-23T00:00:00"/>
    <n v="255"/>
  </r>
  <r>
    <s v="DaVita Dialysis"/>
    <s v="599 Court St"/>
    <s v="West Branch"/>
    <s v="MI"/>
    <s v="-"/>
    <n v="2011"/>
    <n v="5600"/>
    <n v="86050.99999999999"/>
    <n v="15.36625"/>
    <d v="2027-01-31T00:00:00"/>
    <n v="3.747945205479452"/>
    <s v="NN"/>
    <s v="2.5% annually"/>
    <s v="2, 5yr"/>
    <n v="1275000"/>
    <n v="227.6785714285714"/>
    <n v="0.06749098039215685"/>
    <x v="91"/>
    <x v="97"/>
    <s v="KW; Graham"/>
    <x v="0"/>
    <s v="Individual"/>
    <m/>
    <m/>
    <n v="1400000"/>
    <n v="0.06146499999999999"/>
    <n v="0.9107142857142857"/>
    <n v="1330000"/>
    <n v="0.06469999999999999"/>
    <n v="0.002790980392156861"/>
    <s v="Yes"/>
    <d v="2022-06-24T00:00:00"/>
    <n v="314"/>
  </r>
  <r>
    <s v="Fresenius Medical Care"/>
    <s v="1725 E Legacy Pky E"/>
    <s v="Maplewood "/>
    <s v="MN"/>
    <n v="2.5"/>
    <n v="2012"/>
    <n v="21257"/>
    <m/>
    <s v=" "/>
    <m/>
    <s v=" "/>
    <m/>
    <m/>
    <m/>
    <n v="2400000"/>
    <n v="112.9039845697888"/>
    <s v=" "/>
    <x v="92"/>
    <x v="73"/>
    <m/>
    <x v="3"/>
    <s v="Fund"/>
    <s v="AY"/>
    <m/>
    <m/>
    <s v=" "/>
    <s v=" "/>
    <m/>
    <s v=" "/>
    <s v=" "/>
    <s v=" "/>
    <m/>
    <s v=" "/>
  </r>
  <r>
    <s v="DaVita Dialysis"/>
    <s v="1407 Goldtree Dr"/>
    <s v="Port St Lucie"/>
    <s v="FL"/>
    <n v="0.78"/>
    <s v="1995 | 2007"/>
    <n v="6130"/>
    <n v="137394"/>
    <n v="22.41337683523654"/>
    <d v="2031-11-30T00:00:00"/>
    <n v="8.608219178082193"/>
    <s v="NN"/>
    <s v="2% annually"/>
    <s v="2, 5yr"/>
    <n v="2245000"/>
    <n v="366.231647634584"/>
    <n v="0.0612"/>
    <x v="93"/>
    <x v="98"/>
    <s v="M&amp;M; Gould"/>
    <x v="57"/>
    <s v="Individual"/>
    <m/>
    <m/>
    <n v="2275000"/>
    <n v="0.06039296703296703"/>
    <n v="0.9868131868131869"/>
    <n v="2275000"/>
    <n v="0.06039296703296703"/>
    <n v="0.0008070329670329668"/>
    <s v="No"/>
    <d v="2023-02-28T00:00:00"/>
    <n v="55"/>
  </r>
  <r>
    <s v="DaVita Dialysis"/>
    <s v="910 S Utah St, B"/>
    <s v="Weslaco"/>
    <s v="TX"/>
    <n v="0.68"/>
    <n v="2005"/>
    <n v="8000"/>
    <n v="120000"/>
    <n v="15"/>
    <d v="2032-08-11T00:00:00"/>
    <n v="9.315068493150685"/>
    <s v="NN"/>
    <s v="Yes"/>
    <s v="3, 5yr"/>
    <n v="2027027"/>
    <n v="253.378375"/>
    <n v="0.05920000078933334"/>
    <x v="94"/>
    <x v="66"/>
    <s v="SJC; Briggs"/>
    <x v="58"/>
    <s v="Individual"/>
    <m/>
    <m/>
    <m/>
    <s v=" "/>
    <s v=" "/>
    <m/>
    <s v=" "/>
    <s v=" "/>
    <s v=" "/>
    <m/>
    <s v=" "/>
  </r>
  <r>
    <s v="Fresenius Medical Care"/>
    <s v="2820 Kingwood St"/>
    <s v="Florence"/>
    <s v="OR"/>
    <n v="1.47"/>
    <n v="2012"/>
    <n v="6436"/>
    <n v="207240"/>
    <n v="32.20012430080796"/>
    <d v="2028-04-30T00:00:00"/>
    <n v="5.03013698630137"/>
    <s v="NN"/>
    <s v="1.7% annually"/>
    <s v="2, 5yr"/>
    <n v="3275000"/>
    <n v="508.8564325668117"/>
    <n v="0.06327938931297709"/>
    <x v="94"/>
    <x v="99"/>
    <s v="Tim Campbell"/>
    <x v="28"/>
    <s v="Fund"/>
    <m/>
    <m/>
    <n v="3350000"/>
    <n v="0.06186268656716418"/>
    <n v="0.9776119402985075"/>
    <n v="3350000"/>
    <n v="0.06186268656716418"/>
    <n v="0.001416702745812917"/>
    <s v="No"/>
    <d v="2023-04-14T00:00:00"/>
    <n v="7"/>
  </r>
  <r>
    <s v="Fresenius - MOB "/>
    <s v="3702 S State St"/>
    <s v="South Salt Lake City"/>
    <s v="UT"/>
    <n v="4.29"/>
    <n v="2018"/>
    <n v="51591"/>
    <m/>
    <s v=" "/>
    <d v="2033-03-30T00:00:00"/>
    <n v="9.967123287671233"/>
    <m/>
    <m/>
    <m/>
    <n v="28915000"/>
    <n v="560.4659727471845"/>
    <s v=" "/>
    <x v="95"/>
    <x v="100"/>
    <m/>
    <x v="59"/>
    <s v="Fund"/>
    <m/>
    <m/>
    <m/>
    <s v=" "/>
    <s v=" "/>
    <m/>
    <s v=" "/>
    <s v=" "/>
    <s v=" "/>
    <m/>
    <s v=" "/>
  </r>
  <r>
    <s v="Fresenius Medical Care"/>
    <s v="3839 Burlington Rd"/>
    <s v="Greensboro"/>
    <s v="NC"/>
    <n v="0.832185"/>
    <n v="1944"/>
    <n v="12650"/>
    <n v="286461.3195644614"/>
    <n v="22.6451636019337"/>
    <d v="2028-06-30T00:00:00"/>
    <n v="5.227397260273973"/>
    <s v="NN"/>
    <s v="2.5% annual"/>
    <s v="3, 5yr"/>
    <n v="4400000"/>
    <n v="347.8260869565217"/>
    <n v="0.0651048453555594"/>
    <x v="96"/>
    <x v="101"/>
    <m/>
    <x v="3"/>
    <s v="Fund"/>
    <m/>
    <m/>
    <m/>
    <s v=" "/>
    <s v=" "/>
    <m/>
    <s v=" "/>
    <s v=" "/>
    <s v=" "/>
    <m/>
    <s v=" "/>
  </r>
  <r>
    <s v="DaVita Dialysis"/>
    <s v="101 S Greenville West Dr"/>
    <s v="Greenville"/>
    <s v="MI"/>
    <n v="1.23"/>
    <n v="1995"/>
    <n v="4500"/>
    <n v="74700"/>
    <n v="16.6"/>
    <d v="2027-01-29T15:36:00"/>
    <n v="3.810000000000004"/>
    <s v="NN"/>
    <s v="5% annually"/>
    <m/>
    <n v="1175000"/>
    <n v="261.1111111111111"/>
    <n v="0.06357446808510639"/>
    <x v="96"/>
    <x v="13"/>
    <m/>
    <x v="0"/>
    <m/>
    <m/>
    <m/>
    <m/>
    <s v=" "/>
    <s v=" "/>
    <m/>
    <s v=" "/>
    <s v=" "/>
    <s v=" "/>
    <m/>
    <s v=" "/>
  </r>
  <r>
    <s v="Fresenius Medical Care - MT"/>
    <s v="617 Lakeview Rd"/>
    <s v="Clearwater"/>
    <s v="FL"/>
    <n v="1.27"/>
    <n v="1985"/>
    <n v="15436"/>
    <n v="142501"/>
    <n v="9.231731018398548"/>
    <d v="2027-08-31T00:00:00"/>
    <n v="4.413698630136986"/>
    <s v="NN"/>
    <s v="3% annualy"/>
    <s v="2, 5yr"/>
    <m/>
    <s v=" "/>
    <s v=" "/>
    <x v="97"/>
    <x v="102"/>
    <s v="CP Partners; Webb"/>
    <x v="60"/>
    <s v="Individual"/>
    <m/>
    <m/>
    <n v="2375000"/>
    <n v="0.06000042105263158"/>
    <s v=" "/>
    <n v="2225000"/>
    <n v="0.06404539325842697"/>
    <s v=" "/>
    <s v="Yes"/>
    <d v="2022-06-14T00:00:00"/>
    <n v="293"/>
  </r>
  <r>
    <s v="Fresenius Medical Care"/>
    <s v="2609 W Lincoln Hwy"/>
    <s v="Olympia Fields"/>
    <s v="IL"/>
    <n v="1.44"/>
    <n v="2005"/>
    <n v="11925"/>
    <n v="268115"/>
    <n v="22.48343815513627"/>
    <d v="2026-04-30T00:00:00"/>
    <n v="3.076712328767123"/>
    <s v="NN"/>
    <s v="3% annually"/>
    <m/>
    <n v="3750000"/>
    <n v="314.4654088050315"/>
    <n v="0.07149733333333333"/>
    <x v="97"/>
    <x v="103"/>
    <s v="CBRE; Selbiger"/>
    <x v="3"/>
    <s v="Fund"/>
    <m/>
    <m/>
    <m/>
    <s v=" "/>
    <s v=" "/>
    <m/>
    <s v=" "/>
    <s v=" "/>
    <s v=" "/>
    <d v="2022-11-11T00:00:00"/>
    <n v="143"/>
  </r>
  <r>
    <s v="Fresenius Medical Care"/>
    <s v="710 Park Pl"/>
    <s v="Mishawaka"/>
    <s v="IN"/>
    <n v="5"/>
    <n v="1993"/>
    <n v="28205"/>
    <n v="275990"/>
    <s v="s"/>
    <d v="2026-04-30T00:00:00"/>
    <n v="3.084931506849315"/>
    <s v="NN"/>
    <s v="1.7% annually"/>
    <s v="2, 5 yr"/>
    <n v="3860000"/>
    <n v="136.8551675234887"/>
    <n v="0.07149999999999999"/>
    <x v="98"/>
    <x v="104"/>
    <m/>
    <x v="3"/>
    <s v="Fund"/>
    <m/>
    <m/>
    <m/>
    <s v=" "/>
    <s v=" "/>
    <m/>
    <s v=" "/>
    <s v=" "/>
    <s v=" "/>
    <m/>
    <s v=" "/>
  </r>
  <r>
    <s v="Fresenius Medical Care - MOB"/>
    <s v="6201 Nimtz Pkwy"/>
    <s v="South Bend"/>
    <s v="IN"/>
    <n v="4.5"/>
    <n v="1996"/>
    <n v="11627"/>
    <n v="288686"/>
    <n v="24.82893265674723"/>
    <d v="2032-05-30T00:00:00"/>
    <n v="9.172602739726027"/>
    <s v="NN"/>
    <s v="1.7% annually"/>
    <s v="2, 5 yr"/>
    <n v="3029233.997901364"/>
    <n v="260.5344455062668"/>
    <n v="0.0953"/>
    <x v="98"/>
    <x v="104"/>
    <m/>
    <x v="3"/>
    <s v="Fund"/>
    <m/>
    <m/>
    <m/>
    <s v=" "/>
    <s v=" "/>
    <m/>
    <s v=" "/>
    <s v=" "/>
    <s v=" "/>
    <m/>
    <s v=" "/>
  </r>
  <r>
    <s v="Fresenius Medical Care"/>
    <s v="121 Townsgate Plaza"/>
    <s v="Clovis"/>
    <s v="NM"/>
    <n v="2.25"/>
    <n v="2007"/>
    <n v="12261"/>
    <n v="207256"/>
    <n v="16.90367832966316"/>
    <d v="2031-10-31T00:00:00"/>
    <n v="8.594520547945205"/>
    <s v="NN"/>
    <s v="10% every 5 years"/>
    <s v="3, 5yr"/>
    <n v="3450000"/>
    <n v="281.3799853193051"/>
    <n v="0.06007420289855073"/>
    <x v="99"/>
    <x v="105"/>
    <s v="M&amp;M; Johnson"/>
    <x v="3"/>
    <s v="Fund"/>
    <m/>
    <m/>
    <n v="3768298"/>
    <n v="0.0549998965050004"/>
    <n v="0.9155326887629376"/>
    <n v="3768298"/>
    <n v="0.0549998965050004"/>
    <n v="0.005074306393550325"/>
    <s v="No"/>
    <d v="2022-08-22T00:00:00"/>
    <n v="220"/>
  </r>
  <r>
    <s v="DaVita Dialysis"/>
    <s v="308 Carswell Ave"/>
    <s v="Waycross"/>
    <s v="GA"/>
    <n v="0.46"/>
    <n v="2005"/>
    <n v="7242"/>
    <n v="132834"/>
    <n v="18.34217067108533"/>
    <d v="2026-05-31T00:00:00"/>
    <n v="3.172602739726027"/>
    <s v="NN"/>
    <s v="2% annually"/>
    <s v="1, 5yr"/>
    <m/>
    <s v=" "/>
    <s v=" "/>
    <x v="99"/>
    <x v="106"/>
    <s v="M&amp;M; Naran"/>
    <x v="61"/>
    <s v="Individual"/>
    <m/>
    <m/>
    <n v="1500000"/>
    <n v="0.088556"/>
    <s v=" "/>
    <n v="1500000"/>
    <n v="0.088556"/>
    <s v=" "/>
    <s v="No"/>
    <d v="2022-10-10T00:00:00"/>
    <n v="171"/>
  </r>
  <r>
    <s v="DaVita Dialysis"/>
    <s v="1700 S 60th St"/>
    <s v="Philadelphia"/>
    <s v="PA"/>
    <n v="0.6"/>
    <s v="1992 | 2001"/>
    <n v="7000"/>
    <n v="115669"/>
    <n v="16.52414285714286"/>
    <m/>
    <s v=" "/>
    <m/>
    <m/>
    <m/>
    <n v="1300000"/>
    <n v="185.7142857142857"/>
    <n v="0.08897615384615384"/>
    <x v="99"/>
    <x v="107"/>
    <m/>
    <x v="62"/>
    <s v="Individual"/>
    <m/>
    <m/>
    <n v="1850000"/>
    <n v="0.06252378378378379"/>
    <n v="0.7027027027027027"/>
    <n v="1850000"/>
    <n v="0.06252378378378379"/>
    <n v="0.02645237006237006"/>
    <s v="No"/>
    <d v="2022-10-25T00:00:00"/>
    <n v="156"/>
  </r>
  <r>
    <s v="Fresenius Medical Care"/>
    <s v="275 W Small St"/>
    <s v="Harrisburg"/>
    <s v="IL"/>
    <n v="44.5"/>
    <n v="2011"/>
    <n v="11918"/>
    <m/>
    <s v=" "/>
    <m/>
    <s v=" "/>
    <m/>
    <m/>
    <m/>
    <n v="1180000"/>
    <n v="99.00990099009901"/>
    <s v=" "/>
    <x v="100"/>
    <x v="108"/>
    <m/>
    <x v="63"/>
    <s v="Individual"/>
    <m/>
    <m/>
    <m/>
    <s v=" "/>
    <s v=" "/>
    <m/>
    <s v=" "/>
    <s v=" "/>
    <s v=" "/>
    <m/>
    <s v=" "/>
  </r>
  <r>
    <s v="Fresenius Medical Care"/>
    <s v="199 Veterans Blvd"/>
    <s v="South Haven"/>
    <s v="MI"/>
    <n v="3"/>
    <n v="2003"/>
    <n v="9000"/>
    <n v="130320"/>
    <n v="14.48"/>
    <d v="2029-06-30T00:00:00"/>
    <n v="6.263013698630137"/>
    <s v="Absolute NNN"/>
    <s v="5% in 2024; 2% annually"/>
    <s v="2, 5yr"/>
    <m/>
    <s v=" "/>
    <s v=" "/>
    <x v="101"/>
    <x v="109"/>
    <s v="M&amp;M; Diffie"/>
    <x v="3"/>
    <s v="Fund"/>
    <m/>
    <m/>
    <n v="2004925"/>
    <n v="0.06499993765352818"/>
    <s v=" "/>
    <n v="2004925"/>
    <n v="0.06499993765352818"/>
    <s v=" "/>
    <s v="No"/>
    <d v="2022-11-11T00:00:00"/>
    <n v="137"/>
  </r>
  <r>
    <s v="Fresenius Medical Care"/>
    <s v="216 Huttleston Ave"/>
    <s v="Fairhaven"/>
    <s v="MA"/>
    <n v="2.27"/>
    <n v="2015"/>
    <n v="10380"/>
    <n v="261900.96"/>
    <n v="25.2313063583815"/>
    <d v="2030-11-30T00:00:00"/>
    <n v="7.720547945205479"/>
    <s v="NN"/>
    <s v="1.7% annually"/>
    <s v="3, 5yr"/>
    <n v="4156158"/>
    <n v="400.4005780346821"/>
    <n v="0.06301515967391037"/>
    <x v="102"/>
    <x v="110"/>
    <s v="Horvath &amp; Tremblay; Tremblay"/>
    <x v="64"/>
    <s v="Fund"/>
    <m/>
    <m/>
    <n v="4365016"/>
    <n v="0.06"/>
    <n v="0.9521518363277477"/>
    <n v="4365016"/>
    <n v="0.06"/>
    <n v="0.003015159673910375"/>
    <s v="No"/>
    <d v="2022-11-15T00:00:00"/>
    <n v="119"/>
  </r>
  <r>
    <s v="Dialysis Clinic Inc"/>
    <s v="219 NW Executive Way"/>
    <s v="Lees Summit"/>
    <s v="MO"/>
    <n v="0.95"/>
    <n v="1996"/>
    <n v="4974"/>
    <m/>
    <s v=" "/>
    <m/>
    <s v=" "/>
    <m/>
    <m/>
    <m/>
    <m/>
    <s v=" "/>
    <s v=" "/>
    <x v="103"/>
    <x v="111"/>
    <m/>
    <x v="65"/>
    <s v="Individual"/>
    <m/>
    <m/>
    <m/>
    <s v=" "/>
    <s v=" "/>
    <m/>
    <s v=" "/>
    <s v=" "/>
    <s v=" "/>
    <m/>
    <s v=" "/>
  </r>
  <r>
    <s v="Fresenius Medical Care (MOB with 75% Occupancy)"/>
    <s v="2740 S Bristol St"/>
    <s v="Santa Ana"/>
    <s v="CA"/>
    <n v="1.89"/>
    <n v="1974"/>
    <n v="28908"/>
    <n v="352590"/>
    <n v="12.1969696969697"/>
    <d v="2028-03-31T00:00:00"/>
    <n v="5.071232876712329"/>
    <s v="NN"/>
    <s v="Annually"/>
    <s v="2, 5yr"/>
    <n v="6805000"/>
    <n v="235.4019648540196"/>
    <n v="0.05181337252020573"/>
    <x v="104"/>
    <x v="112"/>
    <s v="Economos DeWolf, Inc; DeWolf."/>
    <x v="66"/>
    <s v="Individual"/>
    <m/>
    <m/>
    <n v="7050000"/>
    <n v="0.05001276595744681"/>
    <n v="0.9652482269503546"/>
    <n v="7050000"/>
    <n v="0.05001276595744681"/>
    <n v="0.001800606562758919"/>
    <s v="No"/>
    <d v="2022-07-05T00:00:00"/>
    <n v="245"/>
  </r>
  <r>
    <s v="DaVita Dialysis"/>
    <s v="201 Mary Higginson Ln"/>
    <s v="Uniontown"/>
    <s v="PA"/>
    <n v="2"/>
    <n v="2011"/>
    <n v="13000"/>
    <n v="188280"/>
    <n v="14.48307692307692"/>
    <d v="2031-04-30T00:00:00"/>
    <n v="8.167123287671233"/>
    <s v="NN"/>
    <s v="1.5% annually"/>
    <s v="2, 5yr"/>
    <n v="2650000"/>
    <n v="203.8461538461538"/>
    <n v="0.07104905660377359"/>
    <x v="105"/>
    <x v="113"/>
    <s v="M&amp;M; Gould"/>
    <x v="29"/>
    <s v="Individual"/>
    <m/>
    <m/>
    <n v="2700000"/>
    <n v="0.06973333333333333"/>
    <n v="0.9814814814814815"/>
    <n v="2700000"/>
    <n v="0.06973333333333333"/>
    <n v="0.001315723270440258"/>
    <s v="No"/>
    <d v="2022-10-24T00:00:00"/>
    <n v="129"/>
  </r>
  <r>
    <s v="Fresenius Medical Care"/>
    <s v="2240 Holmgren Way"/>
    <s v="Green Bay"/>
    <s v="WI"/>
    <n v="1.23"/>
    <n v="2004"/>
    <n v="11613"/>
    <n v="198152"/>
    <n v="17.06294669766641"/>
    <d v="2036-12-01T00:00:00"/>
    <n v="13.76164383561644"/>
    <s v="NNN"/>
    <s v="1.7% Annual Rental Increases"/>
    <s v="3, 5yr"/>
    <n v="3600000"/>
    <n v="309.9974166881943"/>
    <n v="0.05504222222222222"/>
    <x v="105"/>
    <x v="114"/>
    <s v="SRS; Carter"/>
    <x v="67"/>
    <s v="Individual"/>
    <s v="NGFK; Hopkins"/>
    <s v="First Development Group"/>
    <n v="3963000"/>
    <n v="0.05000050466818067"/>
    <n v="0.9084027252081757"/>
    <n v="3811000"/>
    <n v="0.05199475203358699"/>
    <n v="0.003047470188635236"/>
    <s v="Yes"/>
    <d v="2022-08-15T00:00:00"/>
    <n v="199"/>
  </r>
  <r>
    <s v="DaVita Dialysis"/>
    <s v="3110 High St"/>
    <s v="Portsmouth"/>
    <s v="VA"/>
    <n v="1.42"/>
    <n v="2001"/>
    <n v="10908"/>
    <m/>
    <s v=" "/>
    <d v="2030-10-31T00:00:00"/>
    <n v="7.67945205479452"/>
    <s v="NN"/>
    <m/>
    <m/>
    <n v="2150000"/>
    <n v="197.1030436376971"/>
    <s v=" "/>
    <x v="106"/>
    <x v="115"/>
    <m/>
    <x v="35"/>
    <s v="REIT"/>
    <m/>
    <m/>
    <m/>
    <s v=" "/>
    <s v=" "/>
    <m/>
    <s v=" "/>
    <s v=" "/>
    <s v=" "/>
    <m/>
    <s v=" "/>
  </r>
  <r>
    <s v="American Renal | Midwest Express Clinic - MT"/>
    <s v="1001 5th Ave"/>
    <s v="Hammond"/>
    <s v="IN"/>
    <n v="1.43"/>
    <n v="2017"/>
    <n v="14158"/>
    <n v="344101"/>
    <n v="24.30435089701935"/>
    <d v="2029-11-30T00:00:00"/>
    <n v="6.772602739726027"/>
    <s v="NN"/>
    <s v="Yes"/>
    <s v="2, 5yr"/>
    <n v="4600000"/>
    <n v="324.9046475490888"/>
    <n v="0.0748045652173913"/>
    <x v="107"/>
    <x v="116"/>
    <s v="M&amp;M; Kanich"/>
    <x v="68"/>
    <s v="Individual"/>
    <m/>
    <m/>
    <n v="5098000"/>
    <n v="0.06749725382502943"/>
    <n v="0.9023146331894861"/>
    <n v="5098000"/>
    <n v="0.06749725382502943"/>
    <n v="0.007307311392361876"/>
    <s v="No"/>
    <d v="2022-09-27T00:00:00"/>
    <n v="149"/>
  </r>
  <r>
    <s v="Fresenius Medical Care"/>
    <s v="700 Waterbury Park Dr"/>
    <s v="Elkhart"/>
    <s v="IN"/>
    <n v="2.368"/>
    <n v="1994"/>
    <n v="9910"/>
    <m/>
    <s v=" "/>
    <m/>
    <s v=" "/>
    <m/>
    <m/>
    <m/>
    <m/>
    <s v=" "/>
    <s v=" "/>
    <x v="108"/>
    <x v="117"/>
    <m/>
    <x v="3"/>
    <s v="Fund"/>
    <m/>
    <m/>
    <m/>
    <s v=" "/>
    <s v=" "/>
    <m/>
    <s v=" "/>
    <s v=" "/>
    <s v=" "/>
    <m/>
    <s v=" "/>
  </r>
  <r>
    <s v="Fresenius Medical Care"/>
    <s v="1479 Washington St"/>
    <s v="Macon"/>
    <s v="MS"/>
    <n v="2.72"/>
    <n v="2005"/>
    <n v="7627"/>
    <n v="125458"/>
    <n v="16.44919365412351"/>
    <d v="2037-12-31T00:00:00"/>
    <n v="14.86575342465753"/>
    <s v="Absolute NNN"/>
    <s v="CPI annually"/>
    <s v="3, 5yr"/>
    <n v="2290000"/>
    <n v="300.2491149862331"/>
    <n v="0.05478515283842795"/>
    <x v="108"/>
    <x v="118"/>
    <s v="M&amp;M; Glass"/>
    <x v="69"/>
    <s v="Individual"/>
    <m/>
    <m/>
    <n v="2345000"/>
    <n v="0.05350021321961621"/>
    <n v="0.976545842217484"/>
    <n v="2345000"/>
    <n v="0.05350021321961621"/>
    <n v="0.001284939618811744"/>
    <s v="No"/>
    <d v="2022-10-08T00:00:00"/>
    <n v="137"/>
  </r>
  <r>
    <s v="DaVita Dialysis - MT"/>
    <s v="8602-8608 E 63rd St"/>
    <s v="Kansas City"/>
    <s v="MO"/>
    <n v="6.05"/>
    <n v="1972"/>
    <n v="16974"/>
    <n v="221000"/>
    <n v="13.01991280782373"/>
    <d v="2023-11-01T00:00:00"/>
    <n v="0.6958904109589041"/>
    <s v="NNN"/>
    <m/>
    <s v="3, 5yr"/>
    <n v="3400000"/>
    <n v="200.3063508895958"/>
    <n v="0.065"/>
    <x v="109"/>
    <x v="119"/>
    <s v="SJC; Sladich"/>
    <x v="70"/>
    <s v="Individual"/>
    <m/>
    <m/>
    <n v="3600000"/>
    <n v="0.06138888888888889"/>
    <n v="0.9444444444444444"/>
    <n v="3600000"/>
    <n v="0.06138888888888889"/>
    <n v="0.003611111111111114"/>
    <s v="No"/>
    <m/>
    <s v=" "/>
  </r>
  <r>
    <s v="Fresenius Medical Care - MOB"/>
    <s v="1010 Lakeland Sq Ext"/>
    <s v="Flowood"/>
    <s v="MS"/>
    <n v="1.5"/>
    <n v="2008"/>
    <n v="16196"/>
    <n v="379042"/>
    <n v="23.40343294640652"/>
    <d v="2033-01-31T00:00:00"/>
    <n v="9.953424657534246"/>
    <s v="MG"/>
    <s v="2% annually"/>
    <s v="-"/>
    <n v="5650000"/>
    <n v="348.8515682884663"/>
    <n v="0.06708707964601771"/>
    <x v="109"/>
    <x v="120"/>
    <s v="M&amp;M; Gould"/>
    <x v="71"/>
    <s v="Individual"/>
    <m/>
    <m/>
    <n v="7250000"/>
    <n v="0.05228165517241379"/>
    <n v="0.7793103448275862"/>
    <n v="6250000"/>
    <n v="0.06064672"/>
    <n v="0.006440359646017704"/>
    <s v="Yes"/>
    <d v="2022-08-04T00:00:00"/>
    <n v="200"/>
  </r>
  <r>
    <s v="DaVita Dialysis"/>
    <s v="1808 S West Ave"/>
    <s v="Freeport"/>
    <s v="IL"/>
    <n v="0.82"/>
    <s v="1991 | 2012"/>
    <n v="6515"/>
    <n v="110755"/>
    <n v="17"/>
    <d v="2028-08-26T00:00:00"/>
    <n v="5.517808219178082"/>
    <s v="NN"/>
    <s v="2% annually"/>
    <s v="3, 5yr"/>
    <n v="1480000"/>
    <n v="227.168073676132"/>
    <n v="0.07483445945945946"/>
    <x v="109"/>
    <x v="121"/>
    <m/>
    <x v="72"/>
    <s v="Individual"/>
    <m/>
    <m/>
    <n v="1703923"/>
    <n v="0.0650000029344049"/>
    <n v="0.8685838503265699"/>
    <n v="1600000"/>
    <n v="0.069221875"/>
    <n v="0.00561258445945946"/>
    <s v="Yes"/>
    <d v="2022-09-15T00:00:00"/>
    <n v="158"/>
  </r>
  <r>
    <s v="Fresenius Medical Care"/>
    <s v="694 S Acadia Rd"/>
    <s v="Thibodaux"/>
    <s v="LA"/>
    <n v="1.243"/>
    <n v="1994"/>
    <n v="10042"/>
    <m/>
    <s v=" "/>
    <m/>
    <s v=" "/>
    <m/>
    <m/>
    <m/>
    <n v="1950000"/>
    <n v="194.1844254132643"/>
    <s v=" "/>
    <x v="110"/>
    <x v="122"/>
    <m/>
    <x v="73"/>
    <s v="Fund"/>
    <m/>
    <m/>
    <m/>
    <s v=" "/>
    <s v=" "/>
    <m/>
    <s v=" "/>
    <s v=" "/>
    <s v=" "/>
    <m/>
    <s v=" "/>
  </r>
  <r>
    <s v="Fresenius Medical Care"/>
    <s v="5607 Normandy Blvd"/>
    <s v="Jacksonville"/>
    <s v="FL"/>
    <n v="0.92"/>
    <n v="2014"/>
    <n v="6390"/>
    <n v="179697.2776883466"/>
    <n v="28.12163970083672"/>
    <d v="2028-08-30T00:00:00"/>
    <n v="5.536986301369863"/>
    <s v="NN"/>
    <s v="1.7% annually"/>
    <s v="3, 5yr"/>
    <n v="3450000"/>
    <n v="539.906103286385"/>
    <n v="0.05208616744589757"/>
    <x v="110"/>
    <x v="123"/>
    <m/>
    <x v="3"/>
    <s v="Fund"/>
    <m/>
    <m/>
    <m/>
    <s v=" "/>
    <s v=" "/>
    <m/>
    <s v=" "/>
    <s v=" "/>
    <s v=" "/>
    <m/>
    <s v=" "/>
  </r>
  <r>
    <s v="DaVita Dialysis - MT"/>
    <s v="3007-3017 27th St N"/>
    <s v="Birmingham"/>
    <s v="AL"/>
    <n v="0.6899999999999999"/>
    <s v="1983 | 1995"/>
    <n v="12565"/>
    <n v="59028"/>
    <n v="4.697811380819737"/>
    <d v="2026-04-30T00:00:00"/>
    <n v="3.210958904109589"/>
    <s v="Modified Gross"/>
    <s v="2% every other year"/>
    <s v="1, 5yr"/>
    <n v="700000"/>
    <n v="55.71030640668523"/>
    <n v="0.08432571428571428"/>
    <x v="111"/>
    <x v="124"/>
    <s v="Colliers; Canaray"/>
    <x v="74"/>
    <s v="Individual"/>
    <m/>
    <m/>
    <n v="703400"/>
    <n v="0.08391811202729599"/>
    <n v="0.995166334944555"/>
    <n v="703400"/>
    <n v="0.08391811202729599"/>
    <n v="0.0004076022584182937"/>
    <s v="No"/>
    <d v="2022-11-02T00:00:00"/>
    <n v="103"/>
  </r>
  <r>
    <s v="Fresenius Medical Care"/>
    <s v="1620 Williamsboro St"/>
    <s v="Oxford"/>
    <s v="NC"/>
    <n v="1.72"/>
    <n v="2006"/>
    <n v="8803"/>
    <n v="194005.229"/>
    <n v="22.03853561285926"/>
    <d v="2025-11-30T00:00:00"/>
    <n v="2.805479452054795"/>
    <s v="NN"/>
    <s v="10% every 5"/>
    <s v="2, 5 yr"/>
    <n v="2880000"/>
    <n v="327.161195047143"/>
    <n v="0.06736292673611112"/>
    <x v="112"/>
    <x v="125"/>
    <m/>
    <x v="3"/>
    <s v="Fund"/>
    <m/>
    <m/>
    <m/>
    <s v=" "/>
    <s v=" "/>
    <m/>
    <s v=" "/>
    <s v=" "/>
    <s v=" "/>
    <m/>
    <s v=" "/>
  </r>
  <r>
    <s v="Fresenius Medical Care"/>
    <s v="1416 Centinela Ave"/>
    <s v="Inglewood"/>
    <s v="CA"/>
    <n v="0.28"/>
    <n v="1951"/>
    <n v="7000"/>
    <n v="152040"/>
    <n v="21.72"/>
    <d v="2025-03-31T00:00:00"/>
    <n v="2.136986301369863"/>
    <s v="Absolute NNN"/>
    <s v="3% annually"/>
    <s v="2, 5yr"/>
    <n v="2225000"/>
    <n v="317.8571428571428"/>
    <n v="0.06833258426966292"/>
    <x v="112"/>
    <x v="126"/>
    <s v="M&amp;M; Rostamian"/>
    <x v="75"/>
    <s v="Individual"/>
    <m/>
    <m/>
    <n v="2644174"/>
    <n v="0.05749999810905031"/>
    <n v="0.8414726111065308"/>
    <n v="2339077"/>
    <n v="0.06499999786240471"/>
    <n v="0.003332586407258212"/>
    <s v="Yes"/>
    <d v="2022-10-10T00:00:00"/>
    <n v="123"/>
  </r>
  <r>
    <s v="Fresenius Medical Care"/>
    <s v="1661 W Horizon Ridge Pkwy Ste 101"/>
    <s v="Henderson"/>
    <s v="NV"/>
    <n v="0.57"/>
    <n v="2008"/>
    <n v="14593"/>
    <n v="576913"/>
    <n v="39.53354347975056"/>
    <d v="2030-03-17T00:00:00"/>
    <n v="7.112328767123287"/>
    <s v="NN"/>
    <s v="1.7% annually"/>
    <s v="3, 5yr"/>
    <m/>
    <s v=" "/>
    <s v=" "/>
    <x v="113"/>
    <x v="13"/>
    <m/>
    <x v="0"/>
    <m/>
    <m/>
    <m/>
    <n v="9450000"/>
    <n v="0.06104899470899471"/>
    <s v=" "/>
    <n v="9450000"/>
    <n v="0.06104899470899471"/>
    <s v=" "/>
    <s v="No"/>
    <d v="2023-07-11T00:00:00"/>
    <n v="-155"/>
  </r>
  <r>
    <s v="Fresenius Medical Care"/>
    <s v="98 Stone Chimney Rd SE"/>
    <s v="Supply"/>
    <s v="NC"/>
    <n v="1.38"/>
    <n v="2013"/>
    <n v="6778"/>
    <n v="155826"/>
    <n v="22.9899675420478"/>
    <d v="2028-02-28T00:00:00"/>
    <n v="5.065753424657534"/>
    <s v="NN"/>
    <s v="10% every 5 years"/>
    <s v="3, 5yr"/>
    <n v="2510000"/>
    <n v="370.3157273532015"/>
    <n v="0.06208207171314741"/>
    <x v="114"/>
    <x v="127"/>
    <s v="SVN; Snyder"/>
    <x v="3"/>
    <s v="Fund"/>
    <m/>
    <m/>
    <n v="2782250"/>
    <n v="0.05600718842663312"/>
    <n v="0.9021475424566447"/>
    <n v="2700000"/>
    <n v="0.05771333333333333"/>
    <n v="0.00436873837981408"/>
    <s v="Yes"/>
    <d v="2022-06-16T00:00:00"/>
    <n v="234"/>
  </r>
  <r>
    <s v="DaVita Dialysis - Condo"/>
    <s v="3300 Tamiami Trl"/>
    <s v="Port Charlotte"/>
    <s v="FL"/>
    <n v="0.52"/>
    <n v="1993"/>
    <n v="12072"/>
    <m/>
    <s v=" "/>
    <m/>
    <s v=" "/>
    <m/>
    <m/>
    <m/>
    <m/>
    <s v=" "/>
    <s v=" "/>
    <x v="115"/>
    <x v="128"/>
    <m/>
    <x v="76"/>
    <s v="REIT"/>
    <m/>
    <m/>
    <m/>
    <s v=" "/>
    <s v=" "/>
    <m/>
    <s v=" "/>
    <s v=" "/>
    <s v=" "/>
    <m/>
    <s v=" "/>
  </r>
  <r>
    <s v="Fresenius Medical Care"/>
    <s v="1805 S Anderson St"/>
    <s v="Elwood"/>
    <s v="IN"/>
    <n v="0.51"/>
    <n v="1984"/>
    <n v="7500"/>
    <n v="84750"/>
    <n v="11.3"/>
    <d v="2032-09-30T00:00:00"/>
    <n v="9.671232876712329"/>
    <s v="NN"/>
    <s v="Every 5 years"/>
    <s v="2, 5yr"/>
    <m/>
    <s v=" "/>
    <s v=" "/>
    <x v="116"/>
    <x v="129"/>
    <m/>
    <x v="0"/>
    <s v="Individual"/>
    <m/>
    <m/>
    <n v="1500000"/>
    <n v="0.0565"/>
    <s v=" "/>
    <n v="1412500"/>
    <n v="0.06"/>
    <s v=" "/>
    <s v="Yes"/>
    <d v="2022-08-11T00:00:00"/>
    <n v="173"/>
  </r>
  <r>
    <s v="DaVita Dialysis"/>
    <s v="3071 Clay Lewis Rd"/>
    <s v="Clarksville"/>
    <s v="TN"/>
    <n v="0.84"/>
    <n v="2007"/>
    <n v="4930"/>
    <n v="97367"/>
    <n v="19.74989858012171"/>
    <d v="2029-09-12T00:00:00"/>
    <n v="6.619178082191781"/>
    <s v="NN"/>
    <s v="2% annually"/>
    <s v="2, 5yr"/>
    <n v="1806000"/>
    <n v="366.3286004056795"/>
    <n v="0.05391306755260244"/>
    <x v="116"/>
    <x v="130"/>
    <s v="CP Partners; Webb"/>
    <x v="77"/>
    <s v="Individual"/>
    <m/>
    <m/>
    <n v="1854619"/>
    <n v="0.052499731750834"/>
    <n v="0.97378491215716"/>
    <n v="1806000"/>
    <n v="0.05391306755260244"/>
    <n v="0"/>
    <s v="Yes"/>
    <d v="2022-05-11T00:00:00"/>
    <n v="265"/>
  </r>
  <r>
    <s v="Fresenius Medical Care"/>
    <s v="851 W Burrell Dr"/>
    <s v="Crown Point"/>
    <s v="IN"/>
    <n v="0.956"/>
    <n v="2008"/>
    <n v="10468"/>
    <m/>
    <s v=" "/>
    <m/>
    <s v=" "/>
    <m/>
    <m/>
    <m/>
    <m/>
    <s v=" "/>
    <s v=" "/>
    <x v="117"/>
    <x v="131"/>
    <m/>
    <x v="3"/>
    <s v="Fund"/>
    <m/>
    <m/>
    <m/>
    <s v=" "/>
    <s v=" "/>
    <m/>
    <s v=" "/>
    <s v=" "/>
    <s v=" "/>
    <m/>
    <s v=" "/>
  </r>
  <r>
    <s v="Fresenius Medical Care"/>
    <s v="13648 Olivia Way"/>
    <s v="Fishers"/>
    <s v="IN"/>
    <n v="1.35"/>
    <n v="2012"/>
    <n v="8608"/>
    <m/>
    <s v=" "/>
    <d v="2027-08-31T00:00:00"/>
    <n v="4.594520547945206"/>
    <s v="NN"/>
    <s v="1.7% annually"/>
    <s v="2, 5 yr"/>
    <n v="2965000"/>
    <n v="344.4470260223048"/>
    <s v=" "/>
    <x v="117"/>
    <x v="132"/>
    <m/>
    <x v="3"/>
    <s v="Fund"/>
    <m/>
    <m/>
    <m/>
    <s v=" "/>
    <s v=" "/>
    <m/>
    <s v=" "/>
    <s v=" "/>
    <s v=" "/>
    <m/>
    <s v=" "/>
  </r>
  <r>
    <s v="U.S. Renal Care"/>
    <s v="1721-1737 Tennessee Ave"/>
    <s v="Cincinnati"/>
    <s v="OH"/>
    <n v="3.27"/>
    <n v="1992"/>
    <n v="27166"/>
    <n v="286324.5"/>
    <n v="10.53981079290289"/>
    <m/>
    <s v=" "/>
    <m/>
    <m/>
    <m/>
    <n v="3885000"/>
    <n v="143.0096444084517"/>
    <n v="0.0737"/>
    <x v="118"/>
    <x v="133"/>
    <m/>
    <x v="78"/>
    <s v="Individual"/>
    <m/>
    <m/>
    <m/>
    <s v=" "/>
    <s v=" "/>
    <m/>
    <s v=" "/>
    <s v=" "/>
    <s v=" "/>
    <m/>
    <s v=" "/>
  </r>
  <r>
    <s v="DaVita Dialysis"/>
    <s v="2851 Millennium Dr"/>
    <s v="Kaufman"/>
    <s v="TX"/>
    <n v="1.25"/>
    <n v="2008"/>
    <n v="5539"/>
    <m/>
    <s v=" "/>
    <m/>
    <s v=" "/>
    <m/>
    <m/>
    <m/>
    <m/>
    <s v=" "/>
    <s v=" "/>
    <x v="119"/>
    <x v="134"/>
    <m/>
    <x v="79"/>
    <s v="Individual"/>
    <m/>
    <m/>
    <m/>
    <s v=" "/>
    <s v=" "/>
    <m/>
    <s v=" "/>
    <s v=" "/>
    <s v=" "/>
    <m/>
    <s v=" "/>
  </r>
  <r>
    <s v="Fresenius Medical Care"/>
    <s v="601 W Court St"/>
    <s v="Winnfield"/>
    <s v="LA"/>
    <s v="-"/>
    <n v="1996"/>
    <n v="5470"/>
    <n v="68375"/>
    <n v="12.5"/>
    <d v="2028-01-31T00:00:00"/>
    <n v="5.035616438356165"/>
    <s v="NN"/>
    <s v="FMV"/>
    <s v="2, 5yr"/>
    <m/>
    <s v=" "/>
    <s v=" "/>
    <x v="120"/>
    <x v="135"/>
    <s v="Matthews; Hoover"/>
    <x v="0"/>
    <s v="Individual"/>
    <s v="Colliers; Spisak"/>
    <m/>
    <n v="1139583"/>
    <n v="0.06000001755027936"/>
    <s v=" "/>
    <n v="1139583"/>
    <n v="0.06000001755027936"/>
    <s v=" "/>
    <s v="No"/>
    <d v="2022-04-04T00:00:00"/>
    <n v="290"/>
  </r>
  <r>
    <s v="Fresenius Medical Care"/>
    <s v="975 E Townsend Rd"/>
    <s v="St Johns"/>
    <s v="MI"/>
    <n v="2.89"/>
    <n v="2014"/>
    <n v="8897"/>
    <n v="154871"/>
    <n v="17.40710351803979"/>
    <d v="2029-04-30T00:00:00"/>
    <n v="6.284931506849315"/>
    <s v="NN"/>
    <s v="1% annually"/>
    <s v="3, 5yr"/>
    <m/>
    <s v=" "/>
    <s v=" "/>
    <x v="121"/>
    <x v="136"/>
    <s v="Landmark: Lippitt"/>
    <x v="0"/>
    <s v="Individual"/>
    <m/>
    <m/>
    <n v="3097420"/>
    <n v="0.05"/>
    <s v=" "/>
    <n v="3097420"/>
    <n v="0.05"/>
    <s v=" "/>
    <s v="No"/>
    <d v="2022-03-07T00:00:00"/>
    <n v="317"/>
  </r>
  <r>
    <s v="Fresenius Medical Care - Condo"/>
    <s v="10718 Ballantraye Rd"/>
    <s v="Fredericksburg"/>
    <s v="VA"/>
    <m/>
    <s v="2006 | 2008"/>
    <n v="13524"/>
    <n v="25797.5"/>
    <n v="1.907534753031648"/>
    <m/>
    <s v=" "/>
    <m/>
    <m/>
    <m/>
    <n v="425000"/>
    <n v="31.42561372375037"/>
    <n v="0.0607"/>
    <x v="122"/>
    <x v="13"/>
    <m/>
    <x v="0"/>
    <s v="Individual"/>
    <m/>
    <m/>
    <m/>
    <s v=" "/>
    <s v=" "/>
    <m/>
    <s v=" "/>
    <s v=" "/>
    <s v=" "/>
    <m/>
    <s v=" "/>
  </r>
  <r>
    <s v="Fresenius Medical Care"/>
    <s v="40865 Merchants Lane"/>
    <s v="Leonardtown"/>
    <s v="MD"/>
    <n v="1"/>
    <n v="1994"/>
    <n v="7656"/>
    <n v="138241"/>
    <n v="18.05655694879833"/>
    <d v="2028-12-31T00:00:00"/>
    <n v="5.96986301369863"/>
    <s v="NN"/>
    <s v="14.3% in Option"/>
    <s v="1, 5 yr"/>
    <n v="1950000"/>
    <n v="254.7021943573668"/>
    <n v="0.07089282051282052"/>
    <x v="122"/>
    <x v="137"/>
    <m/>
    <x v="3"/>
    <s v="Fund"/>
    <m/>
    <m/>
    <m/>
    <s v=" "/>
    <s v=" "/>
    <m/>
    <s v=" "/>
    <s v=" "/>
    <s v=" "/>
    <m/>
    <s v=" "/>
  </r>
  <r>
    <s v="Fresenius Medical Care"/>
    <s v="1422 Meadowbrook Rd"/>
    <s v="Rocky Mount"/>
    <s v="NC"/>
    <n v="1.36"/>
    <n v="2017"/>
    <n v="6384"/>
    <m/>
    <s v=" "/>
    <d v="2032-06-30T00:00:00"/>
    <n v="9.468493150684932"/>
    <s v="NN"/>
    <s v="1.7% annually"/>
    <s v="3, 5 yr"/>
    <n v="2456000"/>
    <n v="384.7117794486215"/>
    <s v=" "/>
    <x v="122"/>
    <x v="138"/>
    <m/>
    <x v="80"/>
    <s v="Individual"/>
    <m/>
    <m/>
    <m/>
    <s v=" "/>
    <s v=" "/>
    <m/>
    <s v=" "/>
    <s v=" "/>
    <s v=" "/>
    <m/>
    <s v=" "/>
  </r>
  <r>
    <s v="Fresenius Medical Care - Condo"/>
    <s v="739 Thimble Shoals Blvd"/>
    <s v="Newport News"/>
    <s v="VA"/>
    <n v="1.61"/>
    <n v="1980"/>
    <n v="10988"/>
    <m/>
    <s v=" "/>
    <m/>
    <s v=" "/>
    <m/>
    <m/>
    <m/>
    <m/>
    <s v=" "/>
    <s v=" "/>
    <x v="123"/>
    <x v="13"/>
    <m/>
    <x v="0"/>
    <s v="Individual"/>
    <m/>
    <m/>
    <m/>
    <s v=" "/>
    <s v=" "/>
    <m/>
    <s v=" "/>
    <s v=" "/>
    <s v=" "/>
    <m/>
    <s v=" "/>
  </r>
  <r>
    <s v="DaVita Dialysis"/>
    <s v="110 Enterprise Dr"/>
    <s v="Rocky Mount"/>
    <s v="NC"/>
    <n v="1.54"/>
    <n v="2018"/>
    <n v="8566"/>
    <n v="216156"/>
    <n v="25.23418164837731"/>
    <d v="2033-01-31T00:00:00"/>
    <n v="10.07671232876712"/>
    <s v="NN"/>
    <s v="10% every 5 years"/>
    <s v="2, 5yr"/>
    <n v="3800000"/>
    <n v="443.6142890497315"/>
    <n v="0.05688315789473684"/>
    <x v="124"/>
    <x v="139"/>
    <s v="Colliers; Patel"/>
    <x v="81"/>
    <s v="Individual"/>
    <m/>
    <m/>
    <n v="4238357"/>
    <n v="0.0509999511603199"/>
    <n v="0.896573837456354"/>
    <n v="3930112"/>
    <n v="0.05499995928869203"/>
    <n v="0.001883198606044814"/>
    <s v="Yes"/>
    <d v="2022-08-01T00:00:00"/>
    <n v="158"/>
  </r>
  <r>
    <s v="DaVita Dialysis"/>
    <s v="13 Kingswood Dr"/>
    <s v="Palm Coast"/>
    <s v="FL"/>
    <n v="1.65"/>
    <n v="1998"/>
    <n v="7000"/>
    <n v="136499.9625"/>
    <n v="19.49999464285714"/>
    <d v="2031-12-31T00:00:00"/>
    <n v="8.991780821917809"/>
    <s v="NN"/>
    <s v="10% every 5 years"/>
    <s v="2, 5yr"/>
    <n v="2757575"/>
    <n v="393.9392857142857"/>
    <n v="0.0495"/>
    <x v="125"/>
    <x v="140"/>
    <s v="HT; Felici"/>
    <x v="0"/>
    <s v="Individual"/>
    <m/>
    <m/>
    <m/>
    <s v=" "/>
    <s v=" "/>
    <m/>
    <s v=" "/>
    <s v=" "/>
    <s v=" "/>
    <m/>
    <s v=" "/>
  </r>
  <r>
    <s v="Fresenius Medical Care"/>
    <s v="4407 W Peoria Ave"/>
    <s v="Glendale"/>
    <s v="AZ"/>
    <n v="0.44"/>
    <n v="1985"/>
    <n v="10825"/>
    <m/>
    <s v=" "/>
    <m/>
    <s v=" "/>
    <m/>
    <m/>
    <m/>
    <m/>
    <s v=" "/>
    <s v=" "/>
    <x v="126"/>
    <x v="141"/>
    <m/>
    <x v="82"/>
    <s v="Individual"/>
    <m/>
    <m/>
    <m/>
    <s v=" "/>
    <s v=" "/>
    <m/>
    <s v=" "/>
    <s v=" "/>
    <s v=" "/>
    <m/>
    <s v=" "/>
  </r>
  <r>
    <s v="Fresenius Medical Care"/>
    <s v="1200 Farrow Rd"/>
    <s v="Memphis"/>
    <s v="TN"/>
    <n v="1.04"/>
    <n v="1995"/>
    <n v="7320"/>
    <m/>
    <s v=" "/>
    <m/>
    <s v=" "/>
    <m/>
    <m/>
    <m/>
    <n v="2150000"/>
    <n v="293.7158469945355"/>
    <s v=" "/>
    <x v="127"/>
    <x v="142"/>
    <m/>
    <x v="3"/>
    <s v="Fund"/>
    <m/>
    <m/>
    <m/>
    <s v=" "/>
    <s v=" "/>
    <m/>
    <s v=" "/>
    <s v=" "/>
    <s v=" "/>
    <m/>
    <s v=" "/>
  </r>
  <r>
    <s v="DaVita Dialysis"/>
    <s v="301 Peachtree St"/>
    <s v="Jesup"/>
    <s v="GA"/>
    <n v="0.92"/>
    <m/>
    <n v="6945"/>
    <m/>
    <s v=" "/>
    <m/>
    <s v=" "/>
    <m/>
    <m/>
    <m/>
    <m/>
    <s v=" "/>
    <s v=" "/>
    <x v="127"/>
    <x v="143"/>
    <m/>
    <x v="83"/>
    <s v="Individual"/>
    <m/>
    <m/>
    <m/>
    <s v=" "/>
    <s v=" "/>
    <m/>
    <s v=" "/>
    <s v=" "/>
    <s v=" "/>
    <m/>
    <s v=" "/>
  </r>
  <r>
    <s v="DaVita (Leasehold)"/>
    <s v="1424 US-1 Hwy"/>
    <s v="Sebastian"/>
    <s v="FL"/>
    <n v="1.19"/>
    <n v="1997"/>
    <n v="9600"/>
    <n v="221791"/>
    <n v="23.10322916666667"/>
    <d v="2025-12-31T00:00:00"/>
    <n v="3.027397260273973"/>
    <m/>
    <m/>
    <m/>
    <n v="1775000"/>
    <n v="184.8958333333333"/>
    <n v="0.124952676056338"/>
    <x v="128"/>
    <x v="144"/>
    <m/>
    <x v="84"/>
    <s v="Individual"/>
    <m/>
    <m/>
    <n v="1995000"/>
    <n v="0.1111734335839599"/>
    <n v="0.8897243107769424"/>
    <n v="1995000"/>
    <n v="0.1111734335839599"/>
    <n v="0.01377924247237813"/>
    <s v="No"/>
    <d v="2022-10-25T00:00:00"/>
    <n v="58"/>
  </r>
  <r>
    <s v="Fresenius Medical Care (Portfolio)"/>
    <s v="12541 Hwy 27"/>
    <s v="Summerville"/>
    <s v="GA"/>
    <n v="0.86"/>
    <n v="2007"/>
    <n v="7520"/>
    <m/>
    <s v=" "/>
    <m/>
    <s v=" "/>
    <m/>
    <m/>
    <m/>
    <n v="1236353"/>
    <n v="164.4086436170213"/>
    <s v=" "/>
    <x v="128"/>
    <x v="145"/>
    <m/>
    <x v="85"/>
    <s v="Individual"/>
    <m/>
    <m/>
    <m/>
    <s v=" "/>
    <s v=" "/>
    <m/>
    <s v=" "/>
    <s v=" "/>
    <s v=" "/>
    <m/>
    <s v=" "/>
  </r>
  <r>
    <s v="DaVita | Florida Kidney &amp; Hypertension Care"/>
    <s v="911 E Oakland Park Blvd"/>
    <s v="Oakland Park"/>
    <s v="FL"/>
    <n v="0.5"/>
    <n v="1998"/>
    <n v="6801"/>
    <n v="172500"/>
    <n v="25.36391707101897"/>
    <d v="2031-12-31T00:00:00"/>
    <n v="9.03013698630137"/>
    <s v="Absolute NNN"/>
    <s v="2% annually"/>
    <s v="-"/>
    <n v="2875000"/>
    <n v="422.7319511836495"/>
    <n v="0.06"/>
    <x v="128"/>
    <x v="146"/>
    <s v="Ascension; Lee"/>
    <x v="86"/>
    <s v="Individual"/>
    <m/>
    <m/>
    <n v="3289145"/>
    <n v="0.05244524032841361"/>
    <n v="0.8740873388068936"/>
    <n v="3015050"/>
    <n v="0.05721298154259465"/>
    <n v="0.002787018457405345"/>
    <s v="Yes"/>
    <d v="2022-06-20T00:00:00"/>
    <n v="185"/>
  </r>
  <r>
    <s v="Fresenius Medical Care (Portfolio)"/>
    <s v="172 Three Rivers Dr"/>
    <s v="Rome"/>
    <s v="GA"/>
    <n v="1"/>
    <n v="2005"/>
    <n v="6766"/>
    <m/>
    <s v=" "/>
    <m/>
    <s v=" "/>
    <m/>
    <m/>
    <m/>
    <n v="856884"/>
    <n v="126.6455808454035"/>
    <s v=" "/>
    <x v="128"/>
    <x v="145"/>
    <m/>
    <x v="85"/>
    <s v="Individual"/>
    <m/>
    <m/>
    <m/>
    <s v=" "/>
    <s v=" "/>
    <m/>
    <s v=" "/>
    <s v=" "/>
    <s v=" "/>
    <m/>
    <s v=" "/>
  </r>
  <r>
    <s v="Fresenius Medical Care - Condo"/>
    <s v="11251 NW 20th St"/>
    <s v="Miami"/>
    <s v="FL"/>
    <n v="3.21"/>
    <n v="2008"/>
    <n v="3043"/>
    <m/>
    <s v=" "/>
    <m/>
    <s v=" "/>
    <m/>
    <m/>
    <m/>
    <n v="795000"/>
    <n v="261.2553401248767"/>
    <s v=" "/>
    <x v="129"/>
    <x v="13"/>
    <m/>
    <x v="0"/>
    <s v="Individual"/>
    <m/>
    <m/>
    <m/>
    <s v=" "/>
    <s v=" "/>
    <m/>
    <s v=" "/>
    <s v=" "/>
    <s v=" "/>
    <m/>
    <s v=" "/>
  </r>
  <r>
    <s v="Fresenius Medical Care (Portfolio)"/>
    <s v="105 Sum Mor Dr"/>
    <s v="West Columbia"/>
    <s v="SC"/>
    <n v="3.58"/>
    <n v="1975"/>
    <n v="7088"/>
    <m/>
    <s v=" "/>
    <m/>
    <s v=" "/>
    <m/>
    <m/>
    <m/>
    <n v="1050000"/>
    <n v="148.13769751693"/>
    <s v=" "/>
    <x v="130"/>
    <x v="147"/>
    <m/>
    <x v="87"/>
    <s v="Individual"/>
    <m/>
    <m/>
    <m/>
    <s v=" "/>
    <s v=" "/>
    <m/>
    <s v=" "/>
    <s v=" "/>
    <s v=" "/>
    <m/>
    <s v=" "/>
  </r>
  <r>
    <s v="DaVita Dialysis"/>
    <s v="1021 Court St"/>
    <s v="Pekin"/>
    <s v="IL"/>
    <n v="0.37"/>
    <s v="1989 | 2021"/>
    <n v="11404"/>
    <n v="123198"/>
    <n v="10.80305156085584"/>
    <d v="2028-07-15T00:00:00"/>
    <n v="5.586301369863014"/>
    <s v="NN"/>
    <s v="10% every 5 years"/>
    <s v="3, 5yr"/>
    <n v="1850000"/>
    <n v="162.2237811294283"/>
    <n v="0.06659351351351352"/>
    <x v="131"/>
    <x v="148"/>
    <s v="ACRE Advisors; Reid"/>
    <x v="88"/>
    <s v="Individual"/>
    <m/>
    <m/>
    <n v="1895354"/>
    <n v="0.06499999472394075"/>
    <n v="0.9760709608864624"/>
    <n v="1895354"/>
    <n v="0.06499999472394075"/>
    <n v="0.00159351878957277"/>
    <s v="No"/>
    <d v="2022-04-19T00:00:00"/>
    <n v="240"/>
  </r>
  <r>
    <s v="DaVita Dialysis (Portfolio)"/>
    <s v="1 Kensington Sq"/>
    <s v="New Kensington"/>
    <s v="PA"/>
    <n v="1.46"/>
    <n v="1985"/>
    <n v="9875"/>
    <n v="226471"/>
    <n v="22.93377215189873"/>
    <d v="2026-07-31T00:00:00"/>
    <n v="3.627397260273973"/>
    <m/>
    <m/>
    <m/>
    <m/>
    <m/>
    <m/>
    <x v="131"/>
    <x v="149"/>
    <s v="M&amp;M; Wiles"/>
    <x v="89"/>
    <s v="Individual"/>
    <m/>
    <m/>
    <n v="3020000"/>
    <n v="0.07499039735099337"/>
    <s v=" "/>
    <n v="3020000"/>
    <n v="0.07499039735099337"/>
    <s v=" "/>
    <s v="No"/>
    <d v="2022-04-30T00:00:00"/>
    <n v="229"/>
  </r>
  <r>
    <s v="Fresenius Medical Care"/>
    <s v="685 National Pike W"/>
    <s v="Brownsville"/>
    <s v="PA"/>
    <n v="0.57"/>
    <n v="1990"/>
    <n v="2000"/>
    <m/>
    <s v=" "/>
    <m/>
    <s v=" "/>
    <s v="NN"/>
    <m/>
    <m/>
    <n v="1050000"/>
    <n v="525"/>
    <s v=" "/>
    <x v="131"/>
    <x v="150"/>
    <m/>
    <x v="3"/>
    <s v="Fund"/>
    <m/>
    <m/>
    <m/>
    <s v=" "/>
    <s v=" "/>
    <m/>
    <s v=" "/>
    <s v=" "/>
    <s v=" "/>
    <m/>
    <s v=" "/>
  </r>
  <r>
    <s v="DaVita Dialysis - MT"/>
    <s v="602-622 Del Sol Dr"/>
    <s v="Alamosa"/>
    <s v="CO"/>
    <n v="0.25"/>
    <n v="2002"/>
    <n v="15548"/>
    <n v="301000"/>
    <n v="19.35940313866735"/>
    <m/>
    <s v=" "/>
    <m/>
    <m/>
    <m/>
    <n v="4300000"/>
    <n v="276.5629019809622"/>
    <n v="0.07000000000000001"/>
    <x v="132"/>
    <x v="151"/>
    <m/>
    <x v="90"/>
    <s v="Individual"/>
    <m/>
    <m/>
    <n v="4500000"/>
    <n v="0.06688888888888889"/>
    <n v="0.9555555555555556"/>
    <n v="4500000"/>
    <n v="0.06688888888888889"/>
    <n v="0.00311111111111112"/>
    <s v="No"/>
    <d v="2021-09-10T00:00:00"/>
    <n v="460"/>
  </r>
  <r>
    <s v="DaVita Dialysis"/>
    <s v="1686 Prince Ave"/>
    <s v="Athens"/>
    <s v="GA"/>
    <n v="0.66"/>
    <n v="2016"/>
    <n v="6962"/>
    <n v="108010"/>
    <n v="15.51422005170928"/>
    <d v="2028-05-31T00:00:00"/>
    <n v="5.471232876712329"/>
    <s v="NN"/>
    <s v="10% at each option"/>
    <s v="3, 5yr"/>
    <n v="1800000"/>
    <n v="258.5463947141626"/>
    <n v="0.06000555555555556"/>
    <x v="133"/>
    <x v="152"/>
    <s v="M&amp;M; Gould"/>
    <x v="91"/>
    <s v="Individual"/>
    <m/>
    <m/>
    <n v="1800000"/>
    <n v="0.06000555555555556"/>
    <n v="1"/>
    <n v="1800000"/>
    <n v="0.06000555555555556"/>
    <n v="0"/>
    <s v="No"/>
    <d v="2022-08-02T00:00:00"/>
    <n v="132"/>
  </r>
  <r>
    <s v="DaVita Dialysis"/>
    <s v="1989 Walden Dr"/>
    <s v="Gaylord"/>
    <s v="MI"/>
    <n v="1.4"/>
    <n v="2011"/>
    <n v="5596"/>
    <n v="78334"/>
    <n v="13.99821300929235"/>
    <d v="2027-01-31T00:00:00"/>
    <n v="4.13972602739726"/>
    <s v="NN"/>
    <s v="2.5% annually"/>
    <s v="2, 5yr"/>
    <n v="1210000"/>
    <n v="216.2258756254467"/>
    <n v="0.06473884297520661"/>
    <x v="133"/>
    <x v="153"/>
    <s v="Cook; Valerie"/>
    <x v="92"/>
    <s v="Individual"/>
    <m/>
    <m/>
    <n v="1305750"/>
    <n v="0.05999157572276469"/>
    <n v="0.9266704958835918"/>
    <n v="1305750"/>
    <n v="0.05999157572276469"/>
    <n v="0.004747267252441921"/>
    <s v="No"/>
    <d v="2022-06-25T00:00:00"/>
    <n v="170"/>
  </r>
  <r>
    <s v="Fresenius Medical Care - Condo"/>
    <s v="3655 Fettler Park Dr"/>
    <s v="Dumfries"/>
    <s v="VA"/>
    <n v="2.49"/>
    <n v="2007"/>
    <n v="1500"/>
    <m/>
    <s v=" "/>
    <m/>
    <s v=" "/>
    <m/>
    <m/>
    <m/>
    <n v="338750"/>
    <n v="225.8333333333333"/>
    <s v=" "/>
    <x v="134"/>
    <x v="13"/>
    <m/>
    <x v="0"/>
    <s v="Individual"/>
    <m/>
    <m/>
    <m/>
    <s v=" "/>
    <s v=" "/>
    <m/>
    <s v=" "/>
    <s v=" "/>
    <s v=" "/>
    <m/>
    <s v=" "/>
  </r>
  <r>
    <s v="DaVita Dialysis"/>
    <s v="6090 W Ramsey St"/>
    <s v="Banning"/>
    <s v="CA"/>
    <n v="0.64"/>
    <n v="2003"/>
    <n v="6835"/>
    <n v="251345"/>
    <n v="36.77322604242868"/>
    <d v="2025-06-30T00:00:00"/>
    <n v="2.56986301369863"/>
    <s v="NN"/>
    <s v="FMV in Options"/>
    <s v="2, 5yr"/>
    <n v="2957000"/>
    <n v="432.626188734455"/>
    <n v="0.08500000000000001"/>
    <x v="135"/>
    <x v="154"/>
    <m/>
    <x v="93"/>
    <s v="User"/>
    <m/>
    <m/>
    <m/>
    <s v=" "/>
    <s v=" "/>
    <m/>
    <s v=" "/>
    <s v=" "/>
    <s v=" "/>
    <m/>
    <s v=" "/>
  </r>
  <r>
    <s v="U.S. Renal Care"/>
    <s v="745 Pine St"/>
    <s v="Macon"/>
    <s v="GA"/>
    <n v="0.3"/>
    <n v="1998"/>
    <n v="6572"/>
    <n v="130815"/>
    <n v="19.90489957395009"/>
    <d v="2025-04-30T00:00:00"/>
    <n v="2.402739726027397"/>
    <s v="Gross"/>
    <s v="CPI Annually"/>
    <s v="None"/>
    <n v="1530000"/>
    <n v="232.8058429701765"/>
    <n v="0.08550000000000001"/>
    <x v="135"/>
    <x v="155"/>
    <s v="Coldwell; Folsom"/>
    <x v="94"/>
    <s v="Individual"/>
    <m/>
    <m/>
    <n v="1700000"/>
    <n v="0.07695"/>
    <n v="0.9"/>
    <n v="1700000"/>
    <n v="0.07695"/>
    <n v="0.008550000000000002"/>
    <s v="No"/>
    <d v="2022-09-07T00:00:00"/>
    <n v="89"/>
  </r>
  <r>
    <s v="DaVita Dialysis - Condo"/>
    <s v="1136-1146 Opal Ct"/>
    <s v="Hagerstown"/>
    <s v="MD"/>
    <n v="0.8"/>
    <n v="2003"/>
    <n v="1800"/>
    <m/>
    <s v=" "/>
    <m/>
    <s v=" "/>
    <m/>
    <m/>
    <m/>
    <n v="355000"/>
    <n v="197.2222222222222"/>
    <s v=" "/>
    <x v="135"/>
    <x v="13"/>
    <m/>
    <x v="0"/>
    <s v="Individual"/>
    <m/>
    <m/>
    <m/>
    <s v=" "/>
    <s v=" "/>
    <m/>
    <s v=" "/>
    <s v=" "/>
    <s v=" "/>
    <m/>
    <s v=" "/>
  </r>
  <r>
    <s v="DaVita Dialysis - MT"/>
    <s v="561 25 Rd"/>
    <s v="Grand Junction"/>
    <s v="CO"/>
    <n v="2.34"/>
    <n v="2004"/>
    <n v="19006"/>
    <n v="368249.0000000001"/>
    <n v="19.37540776596865"/>
    <m/>
    <s v=" "/>
    <m/>
    <m/>
    <m/>
    <n v="5260700"/>
    <n v="276.7915395138377"/>
    <n v="0.07000000000000001"/>
    <x v="136"/>
    <x v="156"/>
    <m/>
    <x v="95"/>
    <s v="Individual"/>
    <m/>
    <m/>
    <m/>
    <s v=" "/>
    <s v=" "/>
    <m/>
    <s v=" "/>
    <s v=" "/>
    <s v=" "/>
    <m/>
    <s v=" "/>
  </r>
  <r>
    <s v="DaVita Dialysis"/>
    <s v="2897 W 5th North St"/>
    <s v="Summerville"/>
    <s v="SC"/>
    <n v="2.15"/>
    <n v="2008"/>
    <n v="6530"/>
    <n v="140395"/>
    <n v="21.5"/>
    <d v="2028-05-04T00:00:00"/>
    <n v="5.427397260273972"/>
    <s v="NN"/>
    <s v="2% annually"/>
    <s v="2, 5yr"/>
    <n v="2250000"/>
    <n v="344.5635528330781"/>
    <n v="0.06239777777777778"/>
    <x v="137"/>
    <x v="157"/>
    <s v="SJC; Vaughan"/>
    <x v="96"/>
    <s v="Individual"/>
    <m/>
    <m/>
    <n v="2339900"/>
    <n v="0.06000042736869097"/>
    <n v="0.961579554681824"/>
    <n v="2339900"/>
    <n v="0.06000042736869097"/>
    <n v="0.002397350409086813"/>
    <s v="No"/>
    <d v="2022-09-22T00:00:00"/>
    <n v="70"/>
  </r>
  <r>
    <s v="DaVita Dialysis"/>
    <s v="5414 FM 1960"/>
    <s v="Humble"/>
    <s v="TX"/>
    <n v="1.26"/>
    <n v="2017"/>
    <n v="8910"/>
    <n v="240570"/>
    <n v="27"/>
    <d v="2032-11-30T00:00:00"/>
    <n v="10.01095890410959"/>
    <s v="NN"/>
    <s v="10% every 5 years"/>
    <s v="2, 5yr"/>
    <n v="4024000"/>
    <n v="451.6273849607183"/>
    <n v="0.0597837972166998"/>
    <x v="138"/>
    <x v="13"/>
    <m/>
    <x v="0"/>
    <m/>
    <m/>
    <m/>
    <n v="4811000"/>
    <n v="0.05000415713988775"/>
    <n v="0.8364165454167533"/>
    <n v="4024000"/>
    <n v="0.0597837972166998"/>
    <n v="0"/>
    <s v="Yes"/>
    <d v="2022-06-01T00:00:00"/>
    <n v="181"/>
  </r>
  <r>
    <s v="DaVita Dialysis"/>
    <s v="5414 FM 1960 Rd E"/>
    <s v="Atascocita"/>
    <s v="TX"/>
    <n v="1.26"/>
    <n v="2017"/>
    <n v="8910"/>
    <n v="211260"/>
    <n v="23.71043771043771"/>
    <d v="2032-11-30T00:00:00"/>
    <n v="10.01095890410959"/>
    <s v="NN"/>
    <s v="10% at option"/>
    <s v="2, 5yr"/>
    <n v="4024000"/>
    <n v="451.6273849607183"/>
    <n v="0.0525"/>
    <x v="138"/>
    <x v="158"/>
    <s v="SRS; Mousavi"/>
    <x v="0"/>
    <s v="Individual"/>
    <m/>
    <m/>
    <n v="4811000"/>
    <n v="0.04391186863437955"/>
    <n v="0.8364165454167533"/>
    <n v="4582000"/>
    <n v="0.04610650371017023"/>
    <n v="0.00639349628982977"/>
    <s v="Yes"/>
    <d v="2022-06-01T00:00:00"/>
    <n v="181"/>
  </r>
  <r>
    <s v="Fresenius Medical Care (MOB)"/>
    <s v="1922 Tappahannock Blvd"/>
    <s v="Tappahannock"/>
    <s v="VA"/>
    <n v="1.14"/>
    <n v="1991"/>
    <n v="8116"/>
    <m/>
    <s v=" "/>
    <m/>
    <s v=" "/>
    <m/>
    <m/>
    <m/>
    <n v="1840000"/>
    <n v="226.7126663380976"/>
    <s v=" "/>
    <x v="138"/>
    <x v="159"/>
    <m/>
    <x v="3"/>
    <s v="Fund"/>
    <m/>
    <m/>
    <m/>
    <s v=" "/>
    <s v=" "/>
    <m/>
    <s v=" "/>
    <s v=" "/>
    <s v=" "/>
    <m/>
    <s v=" "/>
  </r>
  <r>
    <s v="Fresenius Medical Care"/>
    <s v="204 E Beech St"/>
    <s v="LaFollette"/>
    <s v="TN"/>
    <n v="0.61"/>
    <n v="1985"/>
    <n v="5688"/>
    <n v="92828"/>
    <n v="16.31997187060478"/>
    <d v="2027-03-31T00:00:00"/>
    <n v="4.358904109589041"/>
    <s v="NN"/>
    <s v="2% annually"/>
    <s v="2, 5yr"/>
    <n v="1526797"/>
    <n v="268.4242264416315"/>
    <n v="0.06079917631486045"/>
    <x v="139"/>
    <x v="160"/>
    <s v="M&amp;M; Freeman"/>
    <x v="97"/>
    <s v="Individual"/>
    <m/>
    <m/>
    <n v="1582000"/>
    <n v="0.05867762326169406"/>
    <n v="0.9651055625790139"/>
    <n v="1582000"/>
    <n v="0.05867762326169406"/>
    <n v="0.002121553053166393"/>
    <s v="No"/>
    <d v="2022-08-17T00:00:00"/>
    <n v="96"/>
  </r>
  <r>
    <s v="Fresenius Medical Care"/>
    <s v="226 Robert Smalls Pkwy"/>
    <s v="Beaufort"/>
    <s v="SC"/>
    <n v="2.06"/>
    <m/>
    <m/>
    <m/>
    <s v=" "/>
    <m/>
    <s v=" "/>
    <m/>
    <m/>
    <m/>
    <n v="4160000"/>
    <s v=" "/>
    <s v=" "/>
    <x v="139"/>
    <x v="36"/>
    <m/>
    <x v="3"/>
    <s v="Fund"/>
    <m/>
    <m/>
    <m/>
    <s v=" "/>
    <s v=" "/>
    <m/>
    <s v=" "/>
    <s v=" "/>
    <s v=" "/>
    <m/>
    <s v=" "/>
  </r>
  <r>
    <s v="Fresenius Medical Care"/>
    <s v="139 Javit Ct"/>
    <s v="Austintown"/>
    <s v="OH"/>
    <n v="1.76"/>
    <n v="1991"/>
    <n v="10505"/>
    <n v="211961"/>
    <n v="20.17715373631604"/>
    <d v="2028-11-30T00:00:00"/>
    <n v="6.038356164383561"/>
    <s v="NN"/>
    <s v="2% annually"/>
    <s v="2, 5yr"/>
    <n v="3365058"/>
    <n v="320.3291765825797"/>
    <n v="0.06298881029688047"/>
    <x v="140"/>
    <x v="161"/>
    <s v="SJC; Briggs"/>
    <x v="98"/>
    <s v="Individual"/>
    <m/>
    <m/>
    <n v="3532690"/>
    <n v="0.05999988677183676"/>
    <n v="0.9525483413489437"/>
    <n v="3532690"/>
    <n v="0.05999988677183676"/>
    <n v="0.002988923525043714"/>
    <s v="No"/>
    <d v="2021-09-24T00:00:00"/>
    <n v="420"/>
  </r>
  <r>
    <s v="Fresenius Medical Care"/>
    <s v="5934 Berryhill Dr"/>
    <s v="Milton"/>
    <s v="FL"/>
    <n v="0.4"/>
    <n v="1989"/>
    <n v="8640"/>
    <m/>
    <s v=" "/>
    <m/>
    <s v=" "/>
    <m/>
    <m/>
    <m/>
    <n v="1899000"/>
    <n v="219.7916666666667"/>
    <s v=" "/>
    <x v="140"/>
    <x v="162"/>
    <m/>
    <x v="3"/>
    <s v="Fund"/>
    <m/>
    <m/>
    <m/>
    <s v=" "/>
    <s v=" "/>
    <m/>
    <s v=" "/>
    <s v=" "/>
    <s v=" "/>
    <m/>
    <s v=" "/>
  </r>
  <r>
    <s v="DaVita Dialysis"/>
    <s v="400 S Wayne St"/>
    <s v="Milledgeville"/>
    <s v="GA"/>
    <n v="0.62"/>
    <n v="1972"/>
    <n v="5115"/>
    <n v="81823.978"/>
    <n v="15.99686764418377"/>
    <m/>
    <s v=" "/>
    <s v="NN"/>
    <s v="10% every 5 years"/>
    <s v="3, 5yr"/>
    <n v="1310000"/>
    <n v="256.1094819159335"/>
    <n v="0.06246105190839695"/>
    <x v="140"/>
    <x v="66"/>
    <s v="SJC; Briggs"/>
    <x v="51"/>
    <s v="Individual"/>
    <m/>
    <m/>
    <n v="1448212"/>
    <n v="0.0565"/>
    <n v="0.9045636964753779"/>
    <n v="1448212"/>
    <n v="0.0565"/>
    <n v="0.00596105190839695"/>
    <s v="No"/>
    <d v="2021-02-24T00:00:00"/>
    <n v="632"/>
  </r>
  <r>
    <s v="U.S. Renal Care - MT"/>
    <s v="265 SE John Jones Dr"/>
    <s v="Burleson"/>
    <s v="TX"/>
    <n v="1.12"/>
    <n v="2014"/>
    <n v="10091"/>
    <m/>
    <s v=" "/>
    <m/>
    <s v=" "/>
    <m/>
    <m/>
    <m/>
    <m/>
    <s v=" "/>
    <s v=" "/>
    <x v="141"/>
    <x v="163"/>
    <m/>
    <x v="99"/>
    <s v="Individual"/>
    <m/>
    <m/>
    <m/>
    <s v=" "/>
    <s v=" "/>
    <m/>
    <s v=" "/>
    <s v=" "/>
    <s v=" "/>
    <m/>
    <s v=" "/>
  </r>
  <r>
    <s v="Fresenius Medical Care"/>
    <s v="3793 Lee St"/>
    <s v="Ayden"/>
    <s v="NC"/>
    <n v="1.15"/>
    <n v="2003"/>
    <n v="6480"/>
    <m/>
    <s v=" "/>
    <m/>
    <s v=" "/>
    <m/>
    <m/>
    <m/>
    <n v="2000000"/>
    <n v="308.641975308642"/>
    <s v=" "/>
    <x v="141"/>
    <x v="164"/>
    <m/>
    <x v="3"/>
    <s v="Fund"/>
    <m/>
    <m/>
    <m/>
    <s v=" "/>
    <s v=" "/>
    <m/>
    <s v=" "/>
    <s v=" "/>
    <s v=" "/>
    <m/>
    <s v=" "/>
  </r>
  <r>
    <s v="Fresenius Medical Care"/>
    <s v="2326 S Darla Ave"/>
    <s v="Gonzales"/>
    <s v="LA"/>
    <n v="0.91"/>
    <n v="2015"/>
    <n v="9060"/>
    <m/>
    <s v=" "/>
    <m/>
    <s v=" "/>
    <m/>
    <m/>
    <m/>
    <n v="2800000"/>
    <n v="309.0507726269316"/>
    <s v=" "/>
    <x v="142"/>
    <x v="165"/>
    <m/>
    <x v="3"/>
    <s v="Fund"/>
    <m/>
    <m/>
    <m/>
    <s v=" "/>
    <s v=" "/>
    <m/>
    <s v=" "/>
    <s v=" "/>
    <s v=" "/>
    <m/>
    <s v=" "/>
  </r>
  <r>
    <s v="Fresenius Medical Care"/>
    <s v="863 W James Campbell Blvd"/>
    <s v="Columbia"/>
    <s v="TN"/>
    <n v="1.93"/>
    <n v="2007"/>
    <n v="14514"/>
    <n v="254402.5000000001"/>
    <n v="17.52807634008544"/>
    <d v="2025-02-28T00:00:00"/>
    <n v="2.304109589041096"/>
    <s v="NN"/>
    <s v="10% every 5"/>
    <s v="3, 5 yr"/>
    <n v="4520000"/>
    <n v="311.423453217583"/>
    <n v="0.05628373893805311"/>
    <x v="143"/>
    <x v="73"/>
    <m/>
    <x v="3"/>
    <s v="Fund"/>
    <m/>
    <m/>
    <m/>
    <s v=" "/>
    <s v=" "/>
    <m/>
    <s v=" "/>
    <s v=" "/>
    <s v=" "/>
    <m/>
    <s v=" "/>
  </r>
  <r>
    <s v="Fresenius Medical Care"/>
    <s v="130 Westavia Blvd"/>
    <s v="Scottsburg"/>
    <s v="IN"/>
    <n v="1.48"/>
    <n v="2010"/>
    <n v="7914"/>
    <n v="137282"/>
    <n v="17.34672731867576"/>
    <d v="2028-12-31T00:00:00"/>
    <n v="6.145205479452055"/>
    <s v="NN"/>
    <s v="2% annually"/>
    <s v="3, 5yr"/>
    <n v="1805158"/>
    <n v="228.0967904978519"/>
    <n v="0.07604985269987447"/>
    <x v="143"/>
    <x v="166"/>
    <s v="M&amp;M; Diffie"/>
    <x v="3"/>
    <s v="Fund"/>
    <m/>
    <m/>
    <n v="2288000"/>
    <n v="0.06000087412587413"/>
    <n v="0.7889676573426574"/>
    <n v="2288000"/>
    <n v="0.06000087412587413"/>
    <n v="0.01604897857400034"/>
    <s v="No"/>
    <d v="2022-05-25T00:00:00"/>
    <n v="169"/>
  </r>
  <r>
    <s v="DaVita Dialysis"/>
    <s v="600 Enterprise Pkwy"/>
    <s v="Ravenna"/>
    <s v="OH"/>
    <n v="2.414"/>
    <m/>
    <n v="8839"/>
    <m/>
    <s v=" "/>
    <m/>
    <s v=" "/>
    <m/>
    <m/>
    <m/>
    <m/>
    <s v=" "/>
    <s v=" "/>
    <x v="144"/>
    <x v="167"/>
    <m/>
    <x v="100"/>
    <s v="Individual"/>
    <m/>
    <m/>
    <m/>
    <s v=" "/>
    <s v=" "/>
    <m/>
    <s v=" "/>
    <s v=" "/>
    <s v=" "/>
    <m/>
    <s v=" "/>
  </r>
  <r>
    <s v="Fresenius Medical Care"/>
    <s v="373 Church St"/>
    <s v="Saratoga Springs"/>
    <s v="NY"/>
    <m/>
    <m/>
    <n v="6808"/>
    <m/>
    <s v=" "/>
    <m/>
    <s v=" "/>
    <m/>
    <m/>
    <m/>
    <n v="3675000"/>
    <n v="539.8061104582844"/>
    <s v=" "/>
    <x v="145"/>
    <x v="168"/>
    <m/>
    <x v="3"/>
    <s v="Fund"/>
    <m/>
    <m/>
    <m/>
    <s v=" "/>
    <s v=" "/>
    <m/>
    <s v=" "/>
    <s v=" "/>
    <s v=" "/>
    <m/>
    <s v=" "/>
  </r>
  <r>
    <s v="Fresenius Medical Care"/>
    <s v="2700 Leighton Ridge Dr"/>
    <s v="Wake Forest"/>
    <s v="NC"/>
    <n v="1.55"/>
    <n v="2016"/>
    <n v="12000"/>
    <m/>
    <s v=" "/>
    <d v="2031-02-28T00:00:00"/>
    <n v="8.326027397260274"/>
    <s v="NN"/>
    <s v="1.7% annually"/>
    <s v="3, 5yr"/>
    <n v="5350000"/>
    <n v="445.8333333333333"/>
    <s v=" "/>
    <x v="146"/>
    <x v="169"/>
    <m/>
    <x v="3"/>
    <s v="Fund"/>
    <m/>
    <m/>
    <m/>
    <s v=" "/>
    <s v=" "/>
    <m/>
    <s v=" "/>
    <s v=" "/>
    <s v=" "/>
    <m/>
    <s v=" "/>
  </r>
  <r>
    <s v="Fresenius Medical Care"/>
    <s v="2841 Deans Bridge Rd"/>
    <s v="Augusta"/>
    <s v="GA"/>
    <n v="1.37"/>
    <n v="2005"/>
    <n v="6710"/>
    <n v="176242.34375"/>
    <n v="26.265625"/>
    <d v="2026-01-31T00:00:00"/>
    <n v="3.254794520547945"/>
    <s v="NN"/>
    <s v="2.5% annually"/>
    <s v="3, 5yr"/>
    <n v="2990000"/>
    <n v="445.6035767511177"/>
    <n v="0.05894392767558528"/>
    <x v="147"/>
    <x v="170"/>
    <s v="SRS"/>
    <x v="3"/>
    <s v="Fund"/>
    <s v="AY; Youngguist"/>
    <m/>
    <m/>
    <s v=" "/>
    <s v=" "/>
    <m/>
    <s v=" "/>
    <s v=" "/>
    <s v=" "/>
    <m/>
    <s v=" "/>
  </r>
  <r>
    <s v="Fresenius Medical Care (Portfolio)"/>
    <s v="6490 Mt Moriah Rd Ext"/>
    <s v="Memphis"/>
    <s v="TN"/>
    <m/>
    <n v="2001"/>
    <n v="43200"/>
    <m/>
    <s v=" "/>
    <m/>
    <s v=" "/>
    <m/>
    <m/>
    <m/>
    <n v="11475892"/>
    <n v="265.6456481481482"/>
    <s v=" "/>
    <x v="148"/>
    <x v="171"/>
    <m/>
    <x v="3"/>
    <s v="Fund"/>
    <m/>
    <m/>
    <m/>
    <s v=" "/>
    <s v=" "/>
    <m/>
    <s v=" "/>
    <s v=" "/>
    <s v=" "/>
    <m/>
    <s v=" "/>
  </r>
  <r>
    <s v="Fresenius Medical Care (Portfolio)"/>
    <s v="1428 Monroe Ave"/>
    <s v="Memphis"/>
    <s v="TN"/>
    <m/>
    <n v="2007"/>
    <n v="17000"/>
    <m/>
    <s v=" "/>
    <m/>
    <s v=" "/>
    <m/>
    <m/>
    <m/>
    <n v="3750000"/>
    <n v="220.5882352941177"/>
    <s v=" "/>
    <x v="148"/>
    <x v="171"/>
    <m/>
    <x v="3"/>
    <s v="Fund"/>
    <m/>
    <m/>
    <m/>
    <s v=" "/>
    <s v=" "/>
    <m/>
    <s v=" "/>
    <s v=" "/>
    <s v=" "/>
    <m/>
    <s v=" "/>
  </r>
  <r>
    <s v="Fresenius Medical Care"/>
    <s v="7318 Southcrest Pkwy"/>
    <s v="Southaven"/>
    <s v="MS"/>
    <n v="1.62"/>
    <n v="2004"/>
    <n v="12259"/>
    <m/>
    <s v=" "/>
    <m/>
    <s v=" "/>
    <m/>
    <m/>
    <m/>
    <m/>
    <s v=" "/>
    <s v=" "/>
    <x v="148"/>
    <x v="171"/>
    <m/>
    <x v="3"/>
    <s v="Fund"/>
    <m/>
    <m/>
    <m/>
    <s v=" "/>
    <s v=" "/>
    <m/>
    <s v=" "/>
    <s v=" "/>
    <s v=" "/>
    <m/>
    <s v=" "/>
  </r>
  <r>
    <s v="Fresenius Medical Care (Portfolio)"/>
    <s v="5484 Airways Blvd"/>
    <s v="Memphis"/>
    <s v="TN"/>
    <n v="4.45"/>
    <n v="2016"/>
    <n v="10056"/>
    <m/>
    <s v=" "/>
    <m/>
    <s v=" "/>
    <m/>
    <m/>
    <m/>
    <n v="4100000"/>
    <n v="407.7167859984089"/>
    <s v=" "/>
    <x v="148"/>
    <x v="171"/>
    <m/>
    <x v="3"/>
    <s v="Fund"/>
    <m/>
    <m/>
    <m/>
    <s v=" "/>
    <s v=" "/>
    <m/>
    <s v=" "/>
    <s v=" "/>
    <s v=" "/>
    <m/>
    <s v=" "/>
  </r>
  <r>
    <s v="Fresenius Medical Care (Portfolio)"/>
    <s v="310 S Rhodes St"/>
    <s v="West Memphis"/>
    <s v="AR"/>
    <n v="0.52"/>
    <n v="1990"/>
    <n v="9704"/>
    <m/>
    <s v=" "/>
    <m/>
    <s v=" "/>
    <m/>
    <m/>
    <m/>
    <n v="1800000"/>
    <n v="185.4905193734542"/>
    <s v=" "/>
    <x v="148"/>
    <x v="171"/>
    <m/>
    <x v="3"/>
    <s v="Fund"/>
    <m/>
    <m/>
    <m/>
    <s v=" "/>
    <s v=" "/>
    <m/>
    <s v=" "/>
    <s v=" "/>
    <s v=" "/>
    <m/>
    <s v=" "/>
  </r>
  <r>
    <s v="Fresenius Medical Care (Portfolio)"/>
    <s v="210 Barrow Hill Rd"/>
    <s v="Forrest City"/>
    <s v="AR"/>
    <n v="1"/>
    <m/>
    <n v="8900"/>
    <m/>
    <s v=" "/>
    <m/>
    <s v=" "/>
    <m/>
    <m/>
    <m/>
    <n v="1285000"/>
    <n v="144.3820224719101"/>
    <s v=" "/>
    <x v="148"/>
    <x v="171"/>
    <m/>
    <x v="3"/>
    <s v="Fund"/>
    <m/>
    <m/>
    <m/>
    <s v=" "/>
    <s v=" "/>
    <m/>
    <s v=" "/>
    <s v=" "/>
    <s v=" "/>
    <m/>
    <s v=" "/>
  </r>
  <r>
    <s v="KidneySpa"/>
    <s v="2375 Metropolitan Pkwy SW"/>
    <s v="Atlanta"/>
    <s v="GA"/>
    <n v="1.23"/>
    <n v="2023"/>
    <n v="8225"/>
    <n v="345450"/>
    <n v="42"/>
    <d v="2037-03-31T00:00:00"/>
    <n v="14.43287671232877"/>
    <s v="Absolute NNN"/>
    <s v="2% annually"/>
    <s v="3, 5yr"/>
    <n v="6015887"/>
    <n v="731.4148328267477"/>
    <n v="0.05742295358938757"/>
    <x v="148"/>
    <x v="172"/>
    <s v="Colliers; Patel"/>
    <x v="101"/>
    <s v="Individual"/>
    <m/>
    <m/>
    <n v="6114159"/>
    <n v="0.05650000269865406"/>
    <n v="0.9839271435368299"/>
    <n v="5894583"/>
    <n v="0.05860465447683068"/>
    <n v="-0.001181700887443113"/>
    <s v="Yes"/>
    <d v="2022-02-15T00:00:00"/>
    <n v="255"/>
  </r>
  <r>
    <s v="Fresenius Medical Care"/>
    <s v="402 S Main St"/>
    <s v="Bristow"/>
    <s v="OK"/>
    <m/>
    <n v="2012"/>
    <n v="7500"/>
    <n v="219000"/>
    <n v="29.2"/>
    <d v="2027-06-30T00:00:00"/>
    <n v="4.673972602739726"/>
    <s v="NN"/>
    <s v="1.7% annually"/>
    <s v="3, 5 yr"/>
    <n v="3197063"/>
    <n v="426.2750666666666"/>
    <n v="0.06850037049629613"/>
    <x v="148"/>
    <x v="173"/>
    <s v="Colliers"/>
    <x v="3"/>
    <s v="Fund"/>
    <s v="Colliers"/>
    <m/>
    <m/>
    <s v=" "/>
    <s v=" "/>
    <m/>
    <s v=" "/>
    <s v=" "/>
    <s v=" "/>
    <m/>
    <s v=" "/>
  </r>
  <r>
    <s v="Fresenius Medical Care (Portfolio)"/>
    <s v="316 W Tyler Ave"/>
    <s v="West Memphis"/>
    <s v="AR"/>
    <m/>
    <m/>
    <n v="2100"/>
    <m/>
    <s v=" "/>
    <m/>
    <s v=" "/>
    <m/>
    <m/>
    <m/>
    <n v="1800000"/>
    <n v="857.1428571428571"/>
    <s v=" "/>
    <x v="148"/>
    <x v="171"/>
    <m/>
    <x v="3"/>
    <s v="Fund"/>
    <m/>
    <m/>
    <m/>
    <s v=" "/>
    <s v=" "/>
    <m/>
    <s v=" "/>
    <s v=" "/>
    <s v=" "/>
    <m/>
    <s v=" "/>
  </r>
  <r>
    <s v="DaVita Dialysis (Portfolio)"/>
    <s v="622 Roxbury Rd"/>
    <s v="Rockford"/>
    <s v="IL"/>
    <n v="1.6"/>
    <n v="2013"/>
    <n v="9920"/>
    <n v="211731"/>
    <n v="21.34385080645161"/>
    <d v="2033-12-31T00:00:00"/>
    <n v="11.18630136986301"/>
    <s v="NN"/>
    <s v="2% annually"/>
    <s v="3, 5yr"/>
    <m/>
    <s v=" "/>
    <s v=" "/>
    <x v="149"/>
    <x v="174"/>
    <s v="Newmark; Berres"/>
    <x v="102"/>
    <s v="Individual"/>
    <m/>
    <m/>
    <n v="4234620"/>
    <n v="0.05"/>
    <s v=" "/>
    <n v="4234620"/>
    <n v="0.05"/>
    <s v=" "/>
    <s v="No"/>
    <d v="2022-05-12T00:00:00"/>
    <n v="168"/>
  </r>
  <r>
    <s v="DaVita Dialysis (Portfolio)"/>
    <s v="3339 N Rockton Ave"/>
    <s v="Rockford"/>
    <s v="IL"/>
    <n v="1.4"/>
    <n v="2008"/>
    <n v="9400"/>
    <n v="220539"/>
    <n v="23.46159574468085"/>
    <d v="2033-10-31T00:00:00"/>
    <n v="11.01917808219178"/>
    <s v="NN"/>
    <s v=".48% annually"/>
    <s v="3, 5yr"/>
    <m/>
    <s v=" "/>
    <s v=" "/>
    <x v="149"/>
    <x v="174"/>
    <s v="Newmark; Berres"/>
    <x v="102"/>
    <s v="Individual"/>
    <m/>
    <m/>
    <n v="4410780"/>
    <n v="0.05"/>
    <s v=" "/>
    <n v="4410780"/>
    <n v="0.05"/>
    <s v=" "/>
    <s v="No"/>
    <d v="2022-05-12T00:00:00"/>
    <n v="168"/>
  </r>
  <r>
    <s v="Fresenius Medical Care (Home)"/>
    <s v="9729 Granger Rd"/>
    <s v="Garfield Heights"/>
    <s v="OH"/>
    <n v="0.018"/>
    <n v="1981"/>
    <n v="7715"/>
    <m/>
    <s v=" "/>
    <m/>
    <s v=" "/>
    <m/>
    <m/>
    <m/>
    <n v="2825000"/>
    <n v="366.1697990926766"/>
    <s v=" "/>
    <x v="149"/>
    <x v="175"/>
    <m/>
    <x v="3"/>
    <s v="Fund"/>
    <m/>
    <m/>
    <m/>
    <s v=" "/>
    <s v=" "/>
    <m/>
    <s v=" "/>
    <s v=" "/>
    <s v=" "/>
    <m/>
    <s v=" "/>
  </r>
  <r>
    <s v="Fresenius Medical Care"/>
    <s v="155 Crescent Dr"/>
    <s v="Collierville"/>
    <s v="TN"/>
    <n v="2"/>
    <n v="2004"/>
    <n v="9785"/>
    <m/>
    <s v=" "/>
    <m/>
    <s v=" "/>
    <m/>
    <m/>
    <m/>
    <n v="1275000"/>
    <n v="130.3014818599898"/>
    <s v=" "/>
    <x v="150"/>
    <x v="171"/>
    <m/>
    <x v="3"/>
    <s v="Fund"/>
    <m/>
    <m/>
    <m/>
    <s v=" "/>
    <s v=" "/>
    <m/>
    <s v=" "/>
    <s v=" "/>
    <s v=" "/>
    <m/>
    <s v=" "/>
  </r>
  <r>
    <s v="DaVita Dialysis"/>
    <s v="3071 Gold Canal Dr"/>
    <s v="Rancho Cordova"/>
    <s v="CA"/>
    <n v="0.87"/>
    <n v="2006"/>
    <n v="11136"/>
    <n v="240357"/>
    <n v="21.58378232758621"/>
    <d v="2030-02-28T00:00:00"/>
    <n v="7.353424657534247"/>
    <s v="NN"/>
    <s v="12.5% every 5 years"/>
    <s v="2, 5yr"/>
    <n v="4811000"/>
    <n v="432.0222701149425"/>
    <n v="0.04995988360008314"/>
    <x v="151"/>
    <x v="176"/>
    <s v="Calliers; Patel"/>
    <x v="103"/>
    <s v="Individual"/>
    <m/>
    <m/>
    <n v="4810752"/>
    <n v="0.04996245909163474"/>
    <n v="1.000051551191997"/>
    <n v="4810752"/>
    <n v="0.04996245909163474"/>
    <n v="-2.575491551595754e-06"/>
    <s v="No"/>
    <d v="2022-08-24T00:00:00"/>
    <n v="61"/>
  </r>
  <r>
    <s v="Fresenius Medical Care"/>
    <s v="1000 American Way"/>
    <s v="Apex"/>
    <s v="NC"/>
    <n v="1.14"/>
    <n v="2006"/>
    <n v="7992"/>
    <n v="186276"/>
    <n v="23.30780780780781"/>
    <d v="2034-05-31T00:00:00"/>
    <n v="11.60821917808219"/>
    <s v="NN"/>
    <s v="3% in Year 6"/>
    <s v="2, 5yr"/>
    <n v="3495000"/>
    <n v="437.3123123123123"/>
    <n v="0.05329785407725322"/>
    <x v="151"/>
    <x v="177"/>
    <s v="Colliers; Patel"/>
    <x v="104"/>
    <s v="Individual"/>
    <m/>
    <m/>
    <n v="3725520"/>
    <n v="0.05"/>
    <n v="0.9381240739547768"/>
    <n v="3725520"/>
    <n v="0.05"/>
    <n v="0.003297854077253214"/>
    <s v="No"/>
    <d v="2022-06-23T00:00:00"/>
    <n v="123"/>
  </r>
  <r>
    <s v="Fresenius Medical Care"/>
    <s v="331 Henry Rd SW"/>
    <s v="Jacksonville"/>
    <s v="AL"/>
    <n v="1.55"/>
    <n v="2008"/>
    <n v="6720"/>
    <m/>
    <s v=" "/>
    <m/>
    <s v=" "/>
    <m/>
    <m/>
    <m/>
    <n v="2701972"/>
    <n v="402.0791666666667"/>
    <s v=" "/>
    <x v="152"/>
    <x v="178"/>
    <m/>
    <x v="3"/>
    <s v="Fund"/>
    <m/>
    <m/>
    <m/>
    <s v=" "/>
    <s v=" "/>
    <m/>
    <s v=" "/>
    <s v=" "/>
    <s v=" "/>
    <m/>
    <s v=" "/>
  </r>
  <r>
    <s v="Fresenius Medical Care"/>
    <s v="838 Ole Turnpike Dr"/>
    <s v="Bedford"/>
    <s v="VA"/>
    <n v="3.35"/>
    <n v="2005"/>
    <n v="7000"/>
    <m/>
    <s v=" "/>
    <m/>
    <s v=" "/>
    <m/>
    <m/>
    <m/>
    <n v="1800000"/>
    <n v="257.1428571428572"/>
    <s v=" "/>
    <x v="153"/>
    <x v="179"/>
    <m/>
    <x v="0"/>
    <s v="Individual"/>
    <m/>
    <m/>
    <m/>
    <s v=" "/>
    <s v=" "/>
    <m/>
    <s v=" "/>
    <s v=" "/>
    <s v=" "/>
    <m/>
    <s v=" "/>
  </r>
  <r>
    <s v="Fresenius Medical Care - Condo"/>
    <s v="400 McClanahan St"/>
    <s v="Roanoke"/>
    <s v="VA"/>
    <n v="1.75"/>
    <n v="2007"/>
    <n v="6300"/>
    <n v="279771.6320601749"/>
    <n v="44.40819556510713"/>
    <d v="2027-12-31T00:00:00"/>
    <n v="5.224657534246576"/>
    <s v="NN"/>
    <s v="1.7% annually"/>
    <s v="2,  5yr"/>
    <n v="3016030"/>
    <n v="478.7349206349206"/>
    <n v="0.09276155477902238"/>
    <x v="154"/>
    <x v="180"/>
    <s v="JLL"/>
    <x v="3"/>
    <s v="Fund"/>
    <s v="AY"/>
    <m/>
    <m/>
    <s v=" "/>
    <s v=" "/>
    <m/>
    <s v=" "/>
    <s v=" "/>
    <s v=" "/>
    <m/>
    <s v=" "/>
  </r>
  <r>
    <s v="Fresenius Medical Care"/>
    <s v="4949 Washtenaw Ave"/>
    <s v="Ann Arbor"/>
    <s v="MI"/>
    <n v="1"/>
    <n v="1984"/>
    <n v="5000"/>
    <m/>
    <s v=" "/>
    <m/>
    <s v=" "/>
    <m/>
    <m/>
    <m/>
    <n v="1175000"/>
    <n v="235"/>
    <s v=" "/>
    <x v="154"/>
    <x v="181"/>
    <m/>
    <x v="105"/>
    <s v="Individual"/>
    <m/>
    <m/>
    <m/>
    <s v=" "/>
    <s v=" "/>
    <m/>
    <s v=" "/>
    <s v=" "/>
    <s v=" "/>
    <m/>
    <s v=" "/>
  </r>
  <r>
    <s v="DaVita Dialysis"/>
    <s v="1810 S Fresno Ave"/>
    <s v="Stockton"/>
    <s v="CA"/>
    <n v="0.96"/>
    <n v="2014"/>
    <n v="8935"/>
    <n v="296731"/>
    <n v="33.20996082820369"/>
    <d v="2029-07-31T00:00:00"/>
    <n v="6.810958904109589"/>
    <s v="NN"/>
    <s v="3% annually"/>
    <s v="3, 5yr"/>
    <n v="5650000"/>
    <n v="632.3447118074986"/>
    <n v="0.0525187610619469"/>
    <x v="155"/>
    <x v="182"/>
    <s v="Matthews; Dykstra"/>
    <x v="106"/>
    <s v="Individual"/>
    <m/>
    <m/>
    <n v="5700000"/>
    <n v="0.0520580701754386"/>
    <n v="0.9912280701754386"/>
    <n v="5700000"/>
    <n v="0.0520580701754386"/>
    <n v="0.000460690886508304"/>
    <s v="No"/>
    <d v="2022-04-11T00:00:00"/>
    <n v="182"/>
  </r>
  <r>
    <s v="DaVita Dialysis"/>
    <s v="555 W Longest St"/>
    <s v="Paoli"/>
    <s v="IN"/>
    <n v="1.93"/>
    <n v="2011"/>
    <n v="5725"/>
    <n v="120225"/>
    <n v="21"/>
    <d v="2028-09-30T00:00:00"/>
    <n v="5.978082191780822"/>
    <s v="NN"/>
    <s v="2.5% annually"/>
    <s v="2, 5yr"/>
    <n v="1970902"/>
    <n v="344.2623580786026"/>
    <n v="0.06099998883759822"/>
    <x v="155"/>
    <x v="183"/>
    <s v="SJC; Largent"/>
    <x v="0"/>
    <s v="Individual"/>
    <m/>
    <s v="Altera Development Company"/>
    <n v="1970902"/>
    <n v="0.06099998883759822"/>
    <n v="1"/>
    <n v="1970902"/>
    <n v="0.06099998883759822"/>
    <n v="0"/>
    <s v="No"/>
    <d v="2022-05-06T00:00:00"/>
    <n v="157"/>
  </r>
  <r>
    <s v="Fresenius Medical Care"/>
    <s v="14 Woodlake Trail"/>
    <s v="Mount Vernon"/>
    <s v="OH"/>
    <n v="1.13"/>
    <n v="1998"/>
    <n v="5264"/>
    <m/>
    <s v=" "/>
    <m/>
    <s v=" "/>
    <m/>
    <m/>
    <m/>
    <m/>
    <s v=" "/>
    <s v=" "/>
    <x v="156"/>
    <x v="184"/>
    <s v="Landmark: Lippitt"/>
    <x v="3"/>
    <s v="Fund"/>
    <m/>
    <m/>
    <m/>
    <s v=" "/>
    <s v=" "/>
    <m/>
    <s v=" "/>
    <s v=" "/>
    <s v=" "/>
    <m/>
    <s v=" "/>
  </r>
  <r>
    <s v="Fresenius Medical Care (MOB)"/>
    <s v="13500-13568 SE 97th Ave"/>
    <s v="Clackamas"/>
    <s v="OR"/>
    <n v="2"/>
    <n v="1999"/>
    <n v="20000"/>
    <n v="446958"/>
    <n v="22.3479"/>
    <d v="2028-01-01T00:00:00"/>
    <n v="5.249315068493151"/>
    <m/>
    <m/>
    <m/>
    <n v="6950000"/>
    <n v="347.5"/>
    <n v="0.0643105035971223"/>
    <x v="157"/>
    <x v="185"/>
    <s v="BenCo; Mcinnis"/>
    <x v="107"/>
    <s v="Individual"/>
    <m/>
    <m/>
    <n v="7450000"/>
    <n v="0.05999436241610738"/>
    <n v="0.9328859060402684"/>
    <n v="7450000"/>
    <n v="0.05999436241610738"/>
    <n v="0.004316141181014921"/>
    <s v="No"/>
    <m/>
    <s v=" "/>
  </r>
  <r>
    <s v="Fresenius Medical Care"/>
    <s v="2214 Robbins St"/>
    <s v="Longview"/>
    <s v="WA"/>
    <n v="0.88"/>
    <s v="2007 | 2021"/>
    <n v="8000"/>
    <n v="170570.4"/>
    <n v="21.3213"/>
    <d v="2034-12-31T00:00:00"/>
    <n v="12.25205479452055"/>
    <s v="NN"/>
    <s v="2.5% annually"/>
    <s v="3, 5yr"/>
    <n v="2650000"/>
    <n v="331.25"/>
    <n v="0.06436618867924528"/>
    <x v="157"/>
    <x v="186"/>
    <m/>
    <x v="3"/>
    <s v="Fund"/>
    <m/>
    <m/>
    <n v="2700000"/>
    <n v="0.06317422222222221"/>
    <n v="0.9814814814814815"/>
    <n v="2700000"/>
    <n v="0.06317422222222221"/>
    <n v="0.001191966457023061"/>
    <s v="No"/>
    <d v="2022-04-12T00:00:00"/>
    <n v="174"/>
  </r>
  <r>
    <s v="DaVita Dialysis | Sherwin Williams | Spinal Rehab"/>
    <s v="8602-8608 E 63rd St"/>
    <s v="Kansas City "/>
    <s v="MO"/>
    <n v="2.9"/>
    <n v="2018"/>
    <n v="16974"/>
    <n v="247596"/>
    <n v="14.58677978084129"/>
    <d v="2023-11-30T00:00:00"/>
    <n v="1.167123287671233"/>
    <s v="NN"/>
    <s v="10% every 5 years"/>
    <s v="3, 5yr"/>
    <n v="3425000"/>
    <n v="201.7791917049605"/>
    <n v="0.07229080291970803"/>
    <x v="158"/>
    <x v="187"/>
    <s v="SJC; Sladdich"/>
    <x v="70"/>
    <s v="Individual"/>
    <m/>
    <m/>
    <n v="3600000"/>
    <n v="0.06877666666666667"/>
    <n v="0.9513888888888888"/>
    <n v="3600000"/>
    <n v="0.06877666666666667"/>
    <n v="0.003514136253041367"/>
    <s v="No"/>
    <d v="2022-05-10T00:00:00"/>
    <n v="143"/>
  </r>
  <r>
    <s v="DaVita Dialysis"/>
    <s v="1751 Deckner Ave"/>
    <s v="Green Bay"/>
    <s v="WI"/>
    <n v="0.9"/>
    <n v="1991"/>
    <n v="13218"/>
    <n v="177609"/>
    <n v="13.43690422151611"/>
    <d v="2029-03-01T00:00:00"/>
    <n v="6.421917808219178"/>
    <s v="NN"/>
    <s v="2.5% annually"/>
    <s v="2, 5yr"/>
    <n v="2700000"/>
    <n v="204.2669087607808"/>
    <n v="0.06578111111111111"/>
    <x v="158"/>
    <x v="188"/>
    <s v="P&amp;H; Brockman"/>
    <x v="0"/>
    <s v="Individual"/>
    <m/>
    <m/>
    <n v="2888000"/>
    <n v="0.06149896121883656"/>
    <n v="0.9349030470914127"/>
    <n v="2732000"/>
    <n v="0.0650106149341142"/>
    <n v="0.0007704961769969126"/>
    <s v="Yes"/>
    <d v="2022-05-16T00:00:00"/>
    <n v="137"/>
  </r>
  <r>
    <s v="DaVita Dialysis"/>
    <s v="2195 Iron Point Rd"/>
    <s v="Folsom"/>
    <s v="CA"/>
    <n v="3.84"/>
    <n v="2022"/>
    <n v="11717"/>
    <n v="463641.69"/>
    <n v="39.57"/>
    <d v="2037-08-31T00:00:00"/>
    <n v="14.92876712328767"/>
    <s v="NN"/>
    <s v="10% every 5 years"/>
    <s v="3, 5yr"/>
    <n v="10386000"/>
    <n v="886.4043697192114"/>
    <n v="0.04464102541883305"/>
    <x v="158"/>
    <x v="5"/>
    <s v="Colliers; Patel"/>
    <x v="108"/>
    <s v="Individual"/>
    <s v="SJC; Maier"/>
    <m/>
    <n v="10300000"/>
    <n v="0.04501375631067961"/>
    <n v="1.008349514563107"/>
    <n v="10300000"/>
    <n v="0.04501375631067961"/>
    <n v="-0.0003727308918465636"/>
    <s v="No"/>
    <d v="2022-05-04T00:00:00"/>
    <n v="149"/>
  </r>
  <r>
    <s v="DaVita Dialysis"/>
    <s v="1849 Davisville Rd"/>
    <s v="Willow Grove"/>
    <s v="PA"/>
    <n v="0.67"/>
    <n v="1986"/>
    <n v="8504"/>
    <m/>
    <s v=" "/>
    <m/>
    <s v=" "/>
    <m/>
    <m/>
    <m/>
    <n v="3200000"/>
    <n v="376.2935089369709"/>
    <s v=" "/>
    <x v="158"/>
    <x v="189"/>
    <m/>
    <x v="109"/>
    <s v="Fund"/>
    <m/>
    <m/>
    <m/>
    <s v=" "/>
    <s v=" "/>
    <m/>
    <s v=" "/>
    <s v=" "/>
    <s v=" "/>
    <m/>
    <s v=" "/>
  </r>
  <r>
    <s v="Fresenius Medical Care"/>
    <s v="301 10th St NW, Bldg A"/>
    <s v="Conover"/>
    <s v="NC"/>
    <n v="0.77"/>
    <n v="2003"/>
    <n v="8624"/>
    <m/>
    <s v=" "/>
    <m/>
    <s v=" "/>
    <m/>
    <m/>
    <m/>
    <n v="2870000"/>
    <n v="332.7922077922078"/>
    <s v=" "/>
    <x v="159"/>
    <x v="138"/>
    <s v="PH; Huffman"/>
    <x v="3"/>
    <s v="Fund"/>
    <s v="AY"/>
    <m/>
    <m/>
    <s v=" "/>
    <s v=" "/>
    <m/>
    <s v=" "/>
    <s v=" "/>
    <s v=" "/>
    <m/>
    <s v=" "/>
  </r>
  <r>
    <s v="Fresenius Medical Care (Condo)"/>
    <s v="700 W Lea Blvd "/>
    <s v="Wilmington"/>
    <s v="DE"/>
    <n v="4.58"/>
    <n v="1969"/>
    <n v="7340"/>
    <m/>
    <s v=" "/>
    <m/>
    <s v=" "/>
    <m/>
    <m/>
    <m/>
    <n v="3390000"/>
    <n v="461.8528610354223"/>
    <s v=" "/>
    <x v="159"/>
    <x v="190"/>
    <s v="AY"/>
    <x v="3"/>
    <s v="Fund"/>
    <m/>
    <m/>
    <m/>
    <s v=" "/>
    <s v=" "/>
    <m/>
    <s v=" "/>
    <s v=" "/>
    <s v=" "/>
    <m/>
    <s v=" "/>
  </r>
  <r>
    <s v="American Renal Associates - MOB"/>
    <s v="27800 Summergate Blvd"/>
    <s v="Wesley Chapel"/>
    <s v="FL"/>
    <n v="1.86"/>
    <n v="2021"/>
    <n v="21361"/>
    <n v="627646"/>
    <n v="29.38280043069145"/>
    <m/>
    <s v=" "/>
    <m/>
    <s v="2% annually"/>
    <s v="Yes"/>
    <n v="11955161.9047619"/>
    <n v="559.6723891560275"/>
    <n v="0.0525"/>
    <x v="160"/>
    <x v="191"/>
    <s v="Colliers; Patel"/>
    <x v="110"/>
    <s v="Individual"/>
    <m/>
    <m/>
    <n v="12552912"/>
    <n v="0.05000003186511624"/>
    <n v="0.9523815593355474"/>
    <n v="12552912"/>
    <n v="0.05000003186511624"/>
    <n v="0.002499968134883762"/>
    <s v="No"/>
    <d v="2022-03-01T00:00:00"/>
    <n v="206"/>
  </r>
  <r>
    <s v="Fresenius Medical Care"/>
    <s v="5920 Amarillo Blvd W"/>
    <s v="Amarillo"/>
    <s v="TX"/>
    <n v="1.2"/>
    <s v="1978 | 2013"/>
    <n v="11990"/>
    <n v="201138"/>
    <n v="16.77547956630525"/>
    <d v="2028-08-31T00:00:00"/>
    <n v="5.945205479452055"/>
    <s v="NN"/>
    <s v="3% in year 11"/>
    <s v="3, 5yr"/>
    <n v="3200000"/>
    <n v="266.8890742285238"/>
    <n v="0.062855625"/>
    <x v="161"/>
    <x v="192"/>
    <s v="Perry Guest; Lesley"/>
    <x v="111"/>
    <s v="Fund"/>
    <m/>
    <m/>
    <n v="3218208"/>
    <n v="0.0625"/>
    <n v="0.9943421929222722"/>
    <n v="3218208"/>
    <n v="0.0625"/>
    <n v="0.0003556249999999983"/>
    <s v="No"/>
    <d v="2022-06-16T00:00:00"/>
    <n v="98"/>
  </r>
  <r>
    <s v="DaVita Dialysis"/>
    <s v="220 Cottonwood"/>
    <s v="Hempstead"/>
    <s v="TX"/>
    <n v="1.21"/>
    <n v="2015"/>
    <n v="6859"/>
    <m/>
    <s v=" "/>
    <m/>
    <s v=" "/>
    <m/>
    <m/>
    <m/>
    <n v="3000000"/>
    <n v="437.3815424989065"/>
    <s v=" "/>
    <x v="161"/>
    <x v="13"/>
    <m/>
    <x v="111"/>
    <s v="Fund"/>
    <m/>
    <m/>
    <m/>
    <s v=" "/>
    <s v=" "/>
    <m/>
    <s v=" "/>
    <s v=" "/>
    <s v=" "/>
    <m/>
    <s v=" "/>
  </r>
  <r>
    <s v="Fresenius Medical Care"/>
    <s v="505 E Airport Ave"/>
    <s v="Baton Rouge"/>
    <s v="LA"/>
    <n v="1.53"/>
    <n v="2018"/>
    <n v="11856"/>
    <n v="335050"/>
    <n v="28.25995276653171"/>
    <d v="2028-09-24T00:00:00"/>
    <n v="6.019178082191781"/>
    <s v="NN"/>
    <s v="2% annually"/>
    <s v="3, 5yr"/>
    <n v="5904000"/>
    <n v="497.9757085020243"/>
    <n v="0.05674966124661247"/>
    <x v="162"/>
    <x v="193"/>
    <m/>
    <x v="3"/>
    <s v="Fund"/>
    <m/>
    <m/>
    <m/>
    <s v=" "/>
    <s v=" "/>
    <m/>
    <s v=" "/>
    <s v=" "/>
    <s v=" "/>
    <m/>
    <s v=" "/>
  </r>
  <r>
    <s v="Fresenius Medical Care"/>
    <s v="2125 Adams Grove Rd"/>
    <s v="Columbia"/>
    <s v="SC"/>
    <n v="1.41"/>
    <n v="1999"/>
    <n v="10520"/>
    <n v="191727"/>
    <n v="18.225"/>
    <d v="2029-12-31T00:00:00"/>
    <n v="7.287671232876712"/>
    <s v="NN"/>
    <s v="1.25% annually"/>
    <s v="2, 5yr"/>
    <n v="3700742"/>
    <n v="351.7815589353612"/>
    <n v="0.05180771856022387"/>
    <x v="162"/>
    <x v="194"/>
    <m/>
    <x v="3"/>
    <s v="Fund"/>
    <m/>
    <m/>
    <m/>
    <s v=" "/>
    <s v=" "/>
    <m/>
    <s v=" "/>
    <s v=" "/>
    <s v=" "/>
    <m/>
    <s v=" "/>
  </r>
  <r>
    <s v="Fresenius Medical Care"/>
    <s v="9115 Antique Aly"/>
    <s v="Bridgeville"/>
    <s v="DE"/>
    <n v="2.92"/>
    <n v="2017"/>
    <n v="9000"/>
    <n v="196346.7"/>
    <n v="21.8163"/>
    <d v="2027-08-31T00:00:00"/>
    <n v="4.950684931506849"/>
    <s v="NN"/>
    <s v="10% ever 5"/>
    <s v="2, 5yr"/>
    <n v="3358043"/>
    <n v="373.1158888888889"/>
    <n v="0.05847057348580707"/>
    <x v="162"/>
    <x v="180"/>
    <s v="JLL"/>
    <x v="3"/>
    <s v="Fund"/>
    <m/>
    <m/>
    <m/>
    <s v=" "/>
    <s v=" "/>
    <m/>
    <s v=" "/>
    <s v=" "/>
    <s v=" "/>
    <m/>
    <s v=" "/>
  </r>
  <r>
    <s v="Fresenius Medical Care"/>
    <s v="31 Landing Ln"/>
    <s v="Fairmont"/>
    <s v="WV"/>
    <n v="0.92"/>
    <n v="2001"/>
    <n v="8500"/>
    <n v="154469.7370141056"/>
    <n v="18.1729102369536"/>
    <d v="2026-07-31T00:00:00"/>
    <n v="3.865753424657534"/>
    <s v="NN"/>
    <s v="CPI annually"/>
    <s v="3, 5yr"/>
    <n v="2540374"/>
    <n v="298.8675294117647"/>
    <n v="0.06080590378192566"/>
    <x v="162"/>
    <x v="180"/>
    <s v="JLL"/>
    <x v="3"/>
    <s v="Fund"/>
    <s v="AY"/>
    <m/>
    <m/>
    <s v=" "/>
    <s v=" "/>
    <m/>
    <s v=" "/>
    <s v=" "/>
    <s v=" "/>
    <m/>
    <s v=" "/>
  </r>
  <r>
    <s v="Fresenius Medical Care"/>
    <s v="5320 W 12th St"/>
    <s v="Little Rock"/>
    <s v="AR"/>
    <n v="0.96"/>
    <s v="1976 | 2012"/>
    <n v="7121"/>
    <m/>
    <s v=" "/>
    <m/>
    <s v=" "/>
    <m/>
    <m/>
    <m/>
    <n v="3047805"/>
    <n v="428.0023873051538"/>
    <s v=" "/>
    <x v="163"/>
    <x v="194"/>
    <s v="AY"/>
    <x v="3"/>
    <s v="Fund"/>
    <s v="Newmark"/>
    <m/>
    <m/>
    <s v=" "/>
    <s v=" "/>
    <m/>
    <s v=" "/>
    <s v=" "/>
    <s v=" "/>
    <m/>
    <s v=" "/>
  </r>
  <r>
    <s v="DaVita Dialysis (Portfolio)"/>
    <s v="582 Pole Line Rd "/>
    <s v="Twin Falls"/>
    <s v="ID"/>
    <n v="1.085"/>
    <n v="2014"/>
    <n v="9594"/>
    <n v="270600"/>
    <n v="28.2051282051282"/>
    <d v="2029-04-06T00:00:00"/>
    <n v="6.558904109589041"/>
    <m/>
    <m/>
    <m/>
    <n v="4125000"/>
    <n v="429.9562226391495"/>
    <n v="0.06560000000000001"/>
    <x v="164"/>
    <x v="163"/>
    <s v="JLL; Knott"/>
    <x v="112"/>
    <s v="Fund"/>
    <m/>
    <m/>
    <m/>
    <s v=" "/>
    <s v=" "/>
    <m/>
    <s v=" "/>
    <s v=" "/>
    <s v=" "/>
    <m/>
    <s v=" "/>
  </r>
  <r>
    <s v="DaVita Dialysis"/>
    <s v="64 Victor St"/>
    <s v="Highland Park"/>
    <s v="MI"/>
    <n v="0.83"/>
    <n v="2021"/>
    <n v="15500"/>
    <n v="216999"/>
    <n v="13.99993548387097"/>
    <d v="2029-12-31T00:00:00"/>
    <n v="7.298630136986302"/>
    <s v="Absolute NNN"/>
    <s v="-"/>
    <s v="-"/>
    <n v="3150000"/>
    <n v="203.2258064516129"/>
    <n v="0.06888857142857142"/>
    <x v="165"/>
    <x v="195"/>
    <s v="CRS; Gonzalez"/>
    <x v="113"/>
    <s v="Individual"/>
    <m/>
    <m/>
    <n v="3840000"/>
    <n v="0.05651015625"/>
    <n v="0.8203125"/>
    <n v="2750000"/>
    <n v="0.07890872727272727"/>
    <n v="-0.01002015584415585"/>
    <s v="Yes"/>
    <d v="2022-02-04T00:00:00"/>
    <n v="223"/>
  </r>
  <r>
    <s v="Fresenius Medical Care"/>
    <s v="2801 Fox Street"/>
    <s v="Philadelphia"/>
    <s v="PA"/>
    <n v="1.1"/>
    <n v="2007"/>
    <n v="30000"/>
    <n v="499678.2654274369"/>
    <n v="16.65594218091456"/>
    <d v="2028-06-30T00:00:00"/>
    <n v="5.797260273972602"/>
    <s v="NNN"/>
    <s v="2% annually"/>
    <m/>
    <n v="9125000"/>
    <n v="304.1666666666667"/>
    <n v="0.05475926196465061"/>
    <x v="166"/>
    <x v="196"/>
    <m/>
    <x v="3"/>
    <s v="Fund"/>
    <m/>
    <m/>
    <m/>
    <s v=" "/>
    <s v=" "/>
    <m/>
    <s v=" "/>
    <s v=" "/>
    <s v=" "/>
    <m/>
    <s v=" "/>
  </r>
  <r>
    <s v="DaVita Dialysis"/>
    <s v="308 Galaxie Ave "/>
    <s v="Harrisonville"/>
    <s v="MO"/>
    <n v="1.85"/>
    <n v="1990"/>
    <n v="4000"/>
    <m/>
    <s v=" "/>
    <m/>
    <s v=" "/>
    <m/>
    <m/>
    <m/>
    <m/>
    <s v=" "/>
    <s v=" "/>
    <x v="166"/>
    <x v="197"/>
    <m/>
    <x v="114"/>
    <s v="Individual"/>
    <m/>
    <m/>
    <m/>
    <s v=" "/>
    <s v=" "/>
    <m/>
    <s v=" "/>
    <s v=" "/>
    <s v=" "/>
    <m/>
    <s v=" "/>
  </r>
  <r>
    <s v="Fresenius Medical Care"/>
    <s v="2096 Mcgee Rd"/>
    <s v="Snellville"/>
    <s v="GA"/>
    <n v="1.57"/>
    <n v="1996"/>
    <n v="5287"/>
    <n v="119268.9834807073"/>
    <n v="22.55891497649088"/>
    <d v="2029-08-31T00:00:00"/>
    <n v="6.972602739726027"/>
    <s v="Absolute NNN"/>
    <s v="Annually"/>
    <s v="2, 5yr"/>
    <n v="2075000"/>
    <n v="392.4721013807452"/>
    <n v="0.05747902818347339"/>
    <x v="167"/>
    <x v="198"/>
    <m/>
    <x v="3"/>
    <s v="Fund"/>
    <m/>
    <m/>
    <m/>
    <s v=" "/>
    <s v=" "/>
    <m/>
    <s v=" "/>
    <s v=" "/>
    <s v=" "/>
    <m/>
    <s v=" "/>
  </r>
  <r>
    <s v="Fresenius Medical Care"/>
    <s v="8303 Creekbend Dr"/>
    <s v="Houston"/>
    <s v="TX"/>
    <n v="1.377388"/>
    <n v="2004"/>
    <n v="11250"/>
    <m/>
    <s v=" "/>
    <m/>
    <s v=" "/>
    <m/>
    <m/>
    <m/>
    <m/>
    <s v=" "/>
    <s v=" "/>
    <x v="168"/>
    <x v="199"/>
    <s v="Colliers; Young"/>
    <x v="3"/>
    <s v="Fund"/>
    <m/>
    <m/>
    <m/>
    <s v=" "/>
    <s v=" "/>
    <m/>
    <s v=" "/>
    <s v=" "/>
    <s v=" "/>
    <m/>
    <s v=" "/>
  </r>
  <r>
    <s v="Fresenius Medical Care"/>
    <s v="343 6th St"/>
    <s v="Dover"/>
    <s v="NH"/>
    <n v="6.99"/>
    <m/>
    <n v="6605"/>
    <m/>
    <s v=" "/>
    <m/>
    <s v=" "/>
    <s v="NN"/>
    <s v="2% annually"/>
    <m/>
    <n v="2957000"/>
    <n v="447.6911430734292"/>
    <s v=" "/>
    <x v="169"/>
    <x v="200"/>
    <s v="Colliers; Spisak"/>
    <x v="64"/>
    <s v="Fund"/>
    <m/>
    <m/>
    <m/>
    <s v=" "/>
    <s v=" "/>
    <m/>
    <s v=" "/>
    <s v=" "/>
    <s v=" "/>
    <m/>
    <s v=" "/>
  </r>
  <r>
    <s v="Fresenius Medical Care"/>
    <s v="6830 Capitol St"/>
    <s v="Houston"/>
    <s v="TX"/>
    <n v="0.88"/>
    <n v="1996"/>
    <n v="8050"/>
    <m/>
    <s v=" "/>
    <m/>
    <s v=" "/>
    <m/>
    <m/>
    <m/>
    <m/>
    <s v=" "/>
    <s v=" "/>
    <x v="170"/>
    <x v="201"/>
    <m/>
    <x v="115"/>
    <s v="Individual"/>
    <m/>
    <m/>
    <m/>
    <s v=" "/>
    <s v=" "/>
    <m/>
    <s v=" "/>
    <s v=" "/>
    <s v=" "/>
    <m/>
    <s v=" "/>
  </r>
  <r>
    <s v="Fresenius Medical Care"/>
    <s v="110 S Park Dr"/>
    <s v="Brownwood"/>
    <s v="TX"/>
    <n v="2.4"/>
    <n v="2007"/>
    <n v="11089"/>
    <n v="192339.3961914062"/>
    <n v="17.34506233126578"/>
    <d v="2032-06-30T00:00:00"/>
    <n v="9.821917808219178"/>
    <s v="NN"/>
    <s v="2.5% annually"/>
    <s v="3, 5yr"/>
    <n v="3850000"/>
    <n v="347.1909099107223"/>
    <n v="0.04995828472504057"/>
    <x v="171"/>
    <x v="202"/>
    <m/>
    <x v="3"/>
    <s v="Fund"/>
    <m/>
    <m/>
    <m/>
    <s v=" "/>
    <s v=" "/>
    <m/>
    <s v=" "/>
    <s v=" "/>
    <s v=" "/>
    <m/>
    <s v=" "/>
  </r>
  <r>
    <s v="Fresenius Medical Care"/>
    <s v="411 N General McMullen Dr"/>
    <s v="San Antonio"/>
    <s v="TX"/>
    <n v="0.9399999999999999"/>
    <n v="1997"/>
    <n v="9500"/>
    <m/>
    <s v=" "/>
    <m/>
    <s v=" "/>
    <m/>
    <m/>
    <m/>
    <n v="3300000"/>
    <n v="347.3684210526316"/>
    <s v=" "/>
    <x v="172"/>
    <x v="203"/>
    <s v="Colliers;"/>
    <x v="3"/>
    <s v="Fund"/>
    <m/>
    <m/>
    <m/>
    <s v=" "/>
    <s v=" "/>
    <m/>
    <s v=" "/>
    <s v=" "/>
    <s v=" "/>
    <m/>
    <s v=" "/>
  </r>
  <r>
    <s v="Fresenius Medical Care"/>
    <s v="4845 Lavista Rd"/>
    <s v="Tucker"/>
    <s v="GA"/>
    <n v="0.72"/>
    <n v="1984"/>
    <n v="8908"/>
    <m/>
    <s v=" "/>
    <m/>
    <s v=" "/>
    <m/>
    <m/>
    <m/>
    <n v="2300000"/>
    <n v="258.1948810058374"/>
    <s v=" "/>
    <x v="172"/>
    <x v="204"/>
    <m/>
    <x v="3"/>
    <s v="Fund"/>
    <m/>
    <m/>
    <m/>
    <s v=" "/>
    <s v=" "/>
    <m/>
    <s v=" "/>
    <s v=" "/>
    <s v=" "/>
    <m/>
    <s v=" "/>
  </r>
  <r>
    <s v="Fresenius Medical Care"/>
    <s v="1919 N Foster Dr"/>
    <s v="Baton Rouge"/>
    <s v="LA"/>
    <n v="1.02"/>
    <n v="2006"/>
    <n v="7935"/>
    <n v="84643"/>
    <n v="10.66704473850032"/>
    <d v="2027-12-31T00:00:00"/>
    <n v="3.708383781709792"/>
    <s v="NN"/>
    <s v="1.5% annually"/>
    <m/>
    <n v="1430000"/>
    <n v="180.2142407057341"/>
    <n v="0.05919090909090909"/>
    <x v="172"/>
    <x v="205"/>
    <s v="Echo West; Butterfield"/>
    <x v="116"/>
    <m/>
    <m/>
    <m/>
    <n v="1430000"/>
    <n v="0.05919090909090909"/>
    <n v="1"/>
    <n v="1450000"/>
    <n v="0.05837448275862069"/>
    <n v="0.0008164263322884002"/>
    <s v="Yes"/>
    <d v="2022-03-16T00:00:00"/>
    <n v="170"/>
  </r>
  <r>
    <s v="DaVita Dialysis"/>
    <s v="720 Village Rd"/>
    <s v="Kenner"/>
    <s v="LA"/>
    <n v="0.6"/>
    <n v="2001"/>
    <n v="6000"/>
    <n v="133569"/>
    <n v="22.2615"/>
    <d v="2024-02-29T00:00:00"/>
    <n v="1.493150684931507"/>
    <s v="NN"/>
    <s v="Yes"/>
    <s v="3, 5yr"/>
    <m/>
    <s v=" "/>
    <s v=" "/>
    <x v="172"/>
    <x v="206"/>
    <s v="CP Partners; Webb"/>
    <x v="0"/>
    <s v="Individual"/>
    <m/>
    <m/>
    <n v="2055000"/>
    <n v="0.06499708029197081"/>
    <s v=" "/>
    <n v="2055000"/>
    <n v="0.06499708029197081"/>
    <s v=" "/>
    <s v="No"/>
    <d v="2022-07-07T00:00:00"/>
    <n v="57"/>
  </r>
  <r>
    <s v="CVS Kidney Care | Satellite Healthcare - Condo"/>
    <s v="16010 Park Valley Dr"/>
    <s v="Round Rock"/>
    <s v="TX"/>
    <n v="1.41"/>
    <n v="2003"/>
    <n v="7565"/>
    <n v="189125"/>
    <n v="25"/>
    <d v="2032-03-31T00:00:00"/>
    <n v="9.586301369863014"/>
    <s v="Absolute NNN"/>
    <s v="2% annually"/>
    <s v="1, 5r"/>
    <n v="3175000"/>
    <n v="419.6959682749504"/>
    <n v="0.05956692913385827"/>
    <x v="173"/>
    <x v="207"/>
    <s v="SJC; Harf"/>
    <x v="0"/>
    <s v="Individual"/>
    <m/>
    <m/>
    <n v="3178352"/>
    <n v="0.0595041077891939"/>
    <n v="0.9989453653969101"/>
    <n v="3178352"/>
    <n v="0.0595041077891939"/>
    <n v="6.282134466437106e-05"/>
    <s v="No"/>
    <d v="2022-07-14T00:00:00"/>
    <n v="49"/>
  </r>
  <r>
    <s v="Fresenius Medical Care"/>
    <s v="5009 Riverchase Dr Ste 300"/>
    <s v="Phenix City"/>
    <s v="AL"/>
    <n v="0.0166"/>
    <n v="2004"/>
    <n v="7200"/>
    <m/>
    <s v=" "/>
    <m/>
    <s v=" "/>
    <m/>
    <m/>
    <m/>
    <n v="3425000"/>
    <n v="475.6944444444445"/>
    <s v=" "/>
    <x v="173"/>
    <x v="208"/>
    <m/>
    <x v="111"/>
    <s v="Fund"/>
    <m/>
    <m/>
    <m/>
    <s v=" "/>
    <s v=" "/>
    <m/>
    <s v=" "/>
    <s v=" "/>
    <s v=" "/>
    <m/>
    <s v=" "/>
  </r>
  <r>
    <s v="Fresenius Medical Care"/>
    <s v="714 E Quincy St"/>
    <s v="San Antonio"/>
    <s v="TX"/>
    <n v="1.24"/>
    <n v="1997"/>
    <n v="11930"/>
    <n v="218200"/>
    <n v="18.29002514668902"/>
    <d v="2027-10-31T00:00:00"/>
    <n v="5.16986301369863"/>
    <s v="NN"/>
    <s v="3% annually"/>
    <s v="2, 5yr"/>
    <n v="4236893"/>
    <n v="355.146102263202"/>
    <n v="0.0515000024782311"/>
    <x v="174"/>
    <x v="209"/>
    <s v="SJC; Briggs"/>
    <x v="117"/>
    <s v="Individual"/>
    <m/>
    <m/>
    <n v="4363994"/>
    <n v="0.05000006874436583"/>
    <n v="0.9708750745303499"/>
    <n v="4363994"/>
    <n v="0.05000006874436583"/>
    <n v="0.001499933733865269"/>
    <s v="No"/>
    <d v="2022-04-13T00:00:00"/>
    <n v="140"/>
  </r>
  <r>
    <s v="DaVita Dialysis"/>
    <s v="215 S Allison Ave"/>
    <s v="Xenia"/>
    <s v="OH"/>
    <n v="0.89"/>
    <n v="2016"/>
    <n v="13921"/>
    <n v="129350"/>
    <n v="9.29171754902665"/>
    <d v="2028-09-09T00:00:00"/>
    <n v="6.032876712328767"/>
    <s v="NN"/>
    <s v="2% annually"/>
    <s v="3, 5yr"/>
    <n v="1795000"/>
    <n v="128.9418863587386"/>
    <n v="0.07206128133704735"/>
    <x v="175"/>
    <x v="210"/>
    <s v="M&amp;M: Gould"/>
    <x v="105"/>
    <s v="Individual"/>
    <m/>
    <m/>
    <n v="2125000"/>
    <n v="0.06087058823529412"/>
    <n v="0.8447058823529412"/>
    <n v="1990000"/>
    <n v="0.065"/>
    <n v="0.007061281337047351"/>
    <s v="Yes"/>
    <d v="2021-09-02T00:00:00"/>
    <n v="362"/>
  </r>
  <r>
    <s v="Fresenius Medical Care"/>
    <s v="2995 Race St"/>
    <s v="Jackson "/>
    <s v="LA"/>
    <n v="1.03"/>
    <n v="2001"/>
    <n v="6083"/>
    <n v="93691.12499999999"/>
    <n v="15.40212477396021"/>
    <d v="2022-12-31T00:00:00"/>
    <n v="0.336986301369863"/>
    <s v="NN"/>
    <s v="0.75% annually"/>
    <s v="1, 5yr"/>
    <n v="1710000"/>
    <n v="281.1112937695216"/>
    <n v="0.05479013157894736"/>
    <x v="175"/>
    <x v="211"/>
    <s v="Colliers; Patel"/>
    <x v="73"/>
    <s v="Fund"/>
    <m/>
    <m/>
    <m/>
    <s v=" "/>
    <s v=" "/>
    <m/>
    <s v=" "/>
    <s v=" "/>
    <s v=" "/>
    <m/>
    <s v=" "/>
  </r>
  <r>
    <s v="Fresenius Medical Care"/>
    <s v="8901 S Kedzie Ave"/>
    <s v="Evergreen Park"/>
    <s v="IL"/>
    <n v="0.6"/>
    <n v="2017"/>
    <n v="17389"/>
    <n v="575000"/>
    <n v="33.06688136178044"/>
    <d v="2032-05-31T00:00:00"/>
    <n v="9.775342465753425"/>
    <s v="NN"/>
    <s v="1.7% annually"/>
    <s v="3, 5 yr"/>
    <n v="10766500"/>
    <n v="619.1557881419288"/>
    <n v="0.05340639947986811"/>
    <x v="176"/>
    <x v="212"/>
    <s v="Colliers; Patel"/>
    <x v="73"/>
    <s v="Fund"/>
    <m/>
    <m/>
    <m/>
    <s v=" "/>
    <s v=" "/>
    <m/>
    <s v=" "/>
    <s v=" "/>
    <s v=" "/>
    <m/>
    <s v=" "/>
  </r>
  <r>
    <s v="Fresenius Medical Care"/>
    <s v="6701 E 21st St"/>
    <s v="Indianapolis"/>
    <s v="IN"/>
    <n v="0.79"/>
    <n v="2016"/>
    <n v="12936"/>
    <n v="503427.7072180169"/>
    <n v="38.91679864084855"/>
    <d v="2031-04-30T00:00:00"/>
    <n v="8.687671232876712"/>
    <s v="NN"/>
    <s v="1.7% annually"/>
    <s v="3, 5yr"/>
    <n v="9748043"/>
    <n v="753.5592918985776"/>
    <n v="0.05164397686982063"/>
    <x v="176"/>
    <x v="212"/>
    <s v="Colliers; Patel"/>
    <x v="3"/>
    <s v="Fund"/>
    <m/>
    <m/>
    <m/>
    <s v=" "/>
    <s v=" "/>
    <m/>
    <s v=" "/>
    <s v=" "/>
    <s v=" "/>
    <m/>
    <s v=" "/>
  </r>
  <r>
    <s v="Fresenius Medical Care"/>
    <s v="4850 Midlothian Turnpike"/>
    <s v="Crestwood"/>
    <s v="IL"/>
    <n v="1.32"/>
    <n v="2018"/>
    <n v="10387"/>
    <n v="318733.1254984819"/>
    <n v="30.68577312972772"/>
    <d v="2033-06-30T00:00:00"/>
    <n v="10.85753424657534"/>
    <s v="NN"/>
    <s v="1.7% annuall"/>
    <s v="3, 5 yr"/>
    <n v="5940000"/>
    <n v="571.8686820063541"/>
    <n v="0.05365877533644475"/>
    <x v="176"/>
    <x v="212"/>
    <s v="Colliers; Patel"/>
    <x v="3"/>
    <s v="Fund"/>
    <m/>
    <m/>
    <m/>
    <s v=" "/>
    <s v=" "/>
    <m/>
    <s v=" "/>
    <s v=" "/>
    <s v=" "/>
    <m/>
    <s v=" "/>
  </r>
  <r>
    <s v="Fresenius Medical Care"/>
    <s v="7320 Archer Ave"/>
    <s v="Summit"/>
    <s v="IL"/>
    <n v="0.43"/>
    <n v="2016"/>
    <n v="8762"/>
    <n v="377283.1074379595"/>
    <n v="43.05901705523391"/>
    <d v="2031-07-01T00:00:00"/>
    <n v="8.857534246575343"/>
    <s v="NN"/>
    <s v="1.7% annually"/>
    <s v="3, 5yr"/>
    <n v="7286000"/>
    <n v="831.5453092901164"/>
    <n v="0.05178192525912154"/>
    <x v="176"/>
    <x v="212"/>
    <s v="Colliers; Patel"/>
    <x v="3"/>
    <s v="Fund"/>
    <m/>
    <m/>
    <m/>
    <s v=" "/>
    <s v=" "/>
    <m/>
    <s v=" "/>
    <s v=" "/>
    <s v=" "/>
    <m/>
    <s v=" "/>
  </r>
  <r>
    <s v="Fresenius Medical Care"/>
    <s v="770 N McLean Blvd"/>
    <s v="South Elgin"/>
    <s v="IL"/>
    <n v="1.2"/>
    <n v="2018"/>
    <n v="7496"/>
    <n v="260324.5715390353"/>
    <n v="34.72846471972188"/>
    <d v="2033-11-30T00:00:00"/>
    <n v="11.27671232876712"/>
    <s v="NN"/>
    <s v="1.7% annuall"/>
    <s v="3, 5 yr"/>
    <n v="4661500"/>
    <n v="621.8649946638207"/>
    <n v="0.05584566588845549"/>
    <x v="176"/>
    <x v="212"/>
    <s v="Colliers; Patel"/>
    <x v="3"/>
    <s v="Fund"/>
    <m/>
    <m/>
    <m/>
    <s v=" "/>
    <s v=" "/>
    <m/>
    <s v=" "/>
    <s v=" "/>
    <s v=" "/>
    <m/>
    <s v=" "/>
  </r>
  <r>
    <s v="Fresenius Medical Care"/>
    <s v="900 Forest Ave E"/>
    <s v="Mora"/>
    <s v="MN"/>
    <n v="1.32"/>
    <n v="2017"/>
    <n v="6000"/>
    <n v="186842.7381495289"/>
    <n v="31.14045635825481"/>
    <d v="2032-03-31T00:00:00"/>
    <n v="9.608219178082193"/>
    <s v="NN"/>
    <s v="1.7% annually"/>
    <s v="3, 5yr"/>
    <n v="3459648"/>
    <n v="576.6079999999999"/>
    <n v="0.05400628565378005"/>
    <x v="176"/>
    <x v="212"/>
    <s v="Colliers; Patel"/>
    <x v="3"/>
    <s v="Fund"/>
    <m/>
    <m/>
    <m/>
    <s v=" "/>
    <s v=" "/>
    <m/>
    <s v=" "/>
    <s v=" "/>
    <s v=" "/>
    <m/>
    <s v=" "/>
  </r>
  <r>
    <s v="Fresenius Medical Care"/>
    <m/>
    <s v="Potosi"/>
    <s v="MO"/>
    <m/>
    <m/>
    <m/>
    <m/>
    <s v=" "/>
    <m/>
    <s v=" "/>
    <m/>
    <m/>
    <m/>
    <m/>
    <s v=" "/>
    <s v=" "/>
    <x v="176"/>
    <x v="212"/>
    <s v="Colliers; Patel"/>
    <x v="3"/>
    <s v="Fund"/>
    <m/>
    <m/>
    <m/>
    <s v=" "/>
    <s v=" "/>
    <m/>
    <s v=" "/>
    <s v=" "/>
    <s v=" "/>
    <m/>
    <s v=" "/>
  </r>
  <r>
    <s v="Fresenius Medical Care"/>
    <m/>
    <s v="Woodbridge"/>
    <s v="IL"/>
    <m/>
    <m/>
    <m/>
    <m/>
    <s v=" "/>
    <m/>
    <s v=" "/>
    <m/>
    <m/>
    <m/>
    <m/>
    <s v=" "/>
    <s v=" "/>
    <x v="176"/>
    <x v="212"/>
    <s v="Colliers; Patel"/>
    <x v="3"/>
    <s v="Fund"/>
    <m/>
    <m/>
    <m/>
    <s v=" "/>
    <s v=" "/>
    <m/>
    <s v=" "/>
    <s v=" "/>
    <s v=" "/>
    <m/>
    <s v=" "/>
  </r>
  <r>
    <s v="Fresenius Medical Care"/>
    <s v="415 Richland St"/>
    <s v="East Peoria"/>
    <s v="IL"/>
    <n v="0.95"/>
    <n v="2019"/>
    <n v="6140"/>
    <n v="197500"/>
    <n v="32.16612377850163"/>
    <d v="2034-05-31T00:00:00"/>
    <n v="11.77808219178082"/>
    <s v="NN"/>
    <s v="1.7% annually"/>
    <s v="3, 5 yr"/>
    <n v="3583644"/>
    <n v="583.6553745928338"/>
    <n v="0.05511150103079435"/>
    <x v="177"/>
    <x v="213"/>
    <m/>
    <x v="73"/>
    <s v="Fund"/>
    <m/>
    <m/>
    <m/>
    <s v=" "/>
    <s v=" "/>
    <m/>
    <s v=" "/>
    <s v=" "/>
    <s v=" "/>
    <m/>
    <s v=" "/>
  </r>
  <r>
    <s v="Fresenius Medical Care"/>
    <s v="15991 N Cleveland Ave"/>
    <s v="North Fort Myers"/>
    <s v="FL"/>
    <n v="0.12"/>
    <n v="2016"/>
    <n v="8213"/>
    <n v="199088"/>
    <n v="24.2405941799586"/>
    <d v="2030-01-31T00:00:00"/>
    <n v="7.454794520547945"/>
    <s v="NN"/>
    <s v="1.7% annually"/>
    <s v="3, 5yr"/>
    <m/>
    <s v=" "/>
    <s v=" "/>
    <x v="178"/>
    <x v="214"/>
    <s v="Colliers; Patel"/>
    <x v="118"/>
    <s v="Individual"/>
    <m/>
    <m/>
    <n v="3981764"/>
    <n v="0.04999994977100602"/>
    <s v=" "/>
    <n v="3981764"/>
    <n v="0.04999994977100602"/>
    <s v=" "/>
    <s v="No"/>
    <d v="2022-05-03T00:00:00"/>
    <n v="109"/>
  </r>
  <r>
    <s v="U.S. Renal Care"/>
    <s v="4705 N Armenia Ave"/>
    <s v="Tampa"/>
    <s v="FL"/>
    <n v="1.8"/>
    <n v="1965"/>
    <n v="13065"/>
    <m/>
    <s v=" "/>
    <d v="2036-06-30T00:00:00"/>
    <n v="13.88219178082192"/>
    <s v="NN"/>
    <s v="10% every 5 years"/>
    <s v="3, 5 yr"/>
    <n v="4950000"/>
    <n v="378.8748564867968"/>
    <s v=" "/>
    <x v="179"/>
    <x v="215"/>
    <s v="Colliers; Patel"/>
    <x v="119"/>
    <s v="Individual"/>
    <m/>
    <m/>
    <m/>
    <s v=" "/>
    <s v=" "/>
    <m/>
    <s v=" "/>
    <s v=" "/>
    <s v=" "/>
    <m/>
    <s v=" "/>
  </r>
  <r>
    <s v="DaVita Dialysis"/>
    <s v="8001 Lansdowne Ave"/>
    <s v="Philadelphia"/>
    <s v="PA"/>
    <n v="2.09"/>
    <n v="2020"/>
    <n v="8000"/>
    <n v="252504"/>
    <n v="31.563"/>
    <d v="2035-11-29T00:00:00"/>
    <n v="13.2958904109589"/>
    <s v="NN"/>
    <m/>
    <m/>
    <n v="5294832"/>
    <n v="661.854"/>
    <n v="0.04768876519594956"/>
    <x v="179"/>
    <x v="216"/>
    <s v="M&amp;M; Mansour"/>
    <x v="120"/>
    <s v="Individual"/>
    <m/>
    <m/>
    <n v="5611200"/>
    <n v="0.045"/>
    <n v="0.9436184773310522"/>
    <n v="5611200"/>
    <n v="0.045"/>
    <n v="0.002688765195949565"/>
    <s v="No"/>
    <d v="2022-02-28T00:00:00"/>
    <n v="169"/>
  </r>
  <r>
    <s v="Fresenius Medical Care"/>
    <s v="387 W Milltown Rd"/>
    <s v="Wooster"/>
    <s v="OH"/>
    <n v="1.4"/>
    <n v="1998"/>
    <n v="6538"/>
    <m/>
    <s v=" "/>
    <m/>
    <s v=" "/>
    <m/>
    <m/>
    <m/>
    <m/>
    <s v=" "/>
    <s v=" "/>
    <x v="179"/>
    <x v="217"/>
    <m/>
    <x v="3"/>
    <s v="Fund"/>
    <m/>
    <m/>
    <m/>
    <s v=" "/>
    <s v=" "/>
    <m/>
    <s v=" "/>
    <s v=" "/>
    <s v=" "/>
    <m/>
    <s v=" "/>
  </r>
  <r>
    <s v="U.S. Renal Care"/>
    <s v="4705 N Armenia Ave"/>
    <s v="Tampa"/>
    <s v="FL"/>
    <n v="1.8"/>
    <n v="1965"/>
    <n v="13065"/>
    <m/>
    <s v=" "/>
    <d v="2036-06-30T00:00:00"/>
    <n v="13.88493150684931"/>
    <s v="NN"/>
    <s v="10% ever 5"/>
    <s v="3, 5 yr"/>
    <n v="4424000"/>
    <n v="338.6146192116341"/>
    <s v=" "/>
    <x v="180"/>
    <x v="218"/>
    <m/>
    <x v="121"/>
    <s v="Fund"/>
    <m/>
    <m/>
    <m/>
    <s v=" "/>
    <s v=" "/>
    <m/>
    <s v=" "/>
    <s v=" "/>
    <s v=" "/>
    <m/>
    <s v=" "/>
  </r>
  <r>
    <s v="DaVita Dialysis"/>
    <s v="2807 Ring Rd"/>
    <s v="Elizabethtown"/>
    <s v="KY"/>
    <n v="2.192"/>
    <n v="2015"/>
    <n v="9648"/>
    <n v="213211"/>
    <n v="22.09898424543947"/>
    <d v="2030-05-29T00:00:00"/>
    <n v="7.791780821917809"/>
    <s v="NN"/>
    <s v="10% every 5 years"/>
    <s v="2, 5yr"/>
    <n v="3650000"/>
    <n v="378.3167495854063"/>
    <n v="0.05841397260273973"/>
    <x v="180"/>
    <x v="219"/>
    <s v="NLRP; Bonanno"/>
    <x v="122"/>
    <s v="Individual"/>
    <m/>
    <m/>
    <n v="3700000"/>
    <n v="0.0576245945945946"/>
    <n v="0.9864864864864865"/>
    <n v="3700000"/>
    <n v="0.0576245945945946"/>
    <n v="0.0007893780081451307"/>
    <s v="No"/>
    <d v="2022-02-23T00:00:00"/>
    <n v="173"/>
  </r>
  <r>
    <s v="DaVita Dialysis"/>
    <s v="6800 N Ridge Rd"/>
    <s v="Madison"/>
    <s v="OH"/>
    <n v="1.97"/>
    <n v="2014"/>
    <n v="6349"/>
    <n v="147594.79"/>
    <n v="23.24693495038589"/>
    <d v="2029-12-09T00:00:00"/>
    <n v="7.323287671232877"/>
    <s v="NN"/>
    <s v="10% every 5 years"/>
    <s v="2, 5yr"/>
    <n v="2615000"/>
    <n v="411.8758859662939"/>
    <n v="0.05644160229445507"/>
    <x v="180"/>
    <x v="220"/>
    <s v="Colliers; Patel"/>
    <x v="123"/>
    <s v="Individual"/>
    <m/>
    <m/>
    <m/>
    <s v=" "/>
    <s v=" "/>
    <m/>
    <s v=" "/>
    <s v=" "/>
    <s v=" "/>
    <m/>
    <s v=" "/>
  </r>
  <r>
    <s v="DaVita Dialysis"/>
    <s v="3121 W 2nd Ct"/>
    <s v="Russellville"/>
    <s v="AR"/>
    <n v="0.54"/>
    <n v="2000"/>
    <n v="4990"/>
    <n v="69150"/>
    <n v="13.85771543086172"/>
    <d v="2027-11-30T00:00:00"/>
    <n v="5.295890410958904"/>
    <s v="NN"/>
    <s v="Annually"/>
    <s v="1, 5yr"/>
    <n v="960000"/>
    <n v="192.3847695390781"/>
    <n v="0.07203125"/>
    <x v="180"/>
    <x v="221"/>
    <s v="M&amp;M; Sulo"/>
    <x v="118"/>
    <s v="Individual"/>
    <m/>
    <m/>
    <n v="1107000"/>
    <n v="0.06246612466124661"/>
    <n v="0.8672086720867209"/>
    <n v="1107000"/>
    <n v="0.06246612466124661"/>
    <n v="0.009565125338753394"/>
    <s v="No"/>
    <d v="2022-04-21T00:00:00"/>
    <n v="116"/>
  </r>
  <r>
    <s v="Fresenius Medical Care"/>
    <s v="311 Goode Way"/>
    <s v="Portsmouth"/>
    <s v="VA"/>
    <n v="0.99"/>
    <n v="1990"/>
    <n v="10145"/>
    <n v="134540.224928124"/>
    <n v="13.2617274448619"/>
    <d v="2026-05-31T00:00:00"/>
    <n v="3.802739726027397"/>
    <s v="NN"/>
    <s v="1.7% annually"/>
    <s v="3, 5yr"/>
    <n v="2384755"/>
    <n v="235.0670280926565"/>
    <n v="0.05641679121256649"/>
    <x v="181"/>
    <x v="222"/>
    <m/>
    <x v="3"/>
    <s v="Fund"/>
    <s v="AY"/>
    <m/>
    <m/>
    <s v=" "/>
    <s v=" "/>
    <m/>
    <s v=" "/>
    <s v=" "/>
    <s v=" "/>
    <m/>
    <s v=" "/>
  </r>
  <r>
    <s v="DaVita Dialysis"/>
    <s v="8029 W Florissant Ave"/>
    <s v="Jennings"/>
    <s v="MO"/>
    <n v="1.47"/>
    <n v="2017"/>
    <n v="9300"/>
    <n v="167400"/>
    <n v="18"/>
    <d v="2032-02-01T00:00:00"/>
    <n v="9.479452054794521"/>
    <s v="NN"/>
    <s v="5% every 5 years"/>
    <s v="3, 5yr"/>
    <m/>
    <s v=" "/>
    <s v=" "/>
    <x v="181"/>
    <x v="223"/>
    <s v="Mid America; McParland"/>
    <x v="124"/>
    <s v="Individual"/>
    <m/>
    <m/>
    <n v="3189000"/>
    <n v="0.05249294449670743"/>
    <s v=" "/>
    <n v="3189000"/>
    <n v="0.05249294449670743"/>
    <s v=" "/>
    <s v="No"/>
    <d v="2021-11-04T00:00:00"/>
    <n v="281"/>
  </r>
  <r>
    <s v="DaVita Dialysis"/>
    <s v="4434 Hugh Howell Rd"/>
    <s v="Tucker"/>
    <s v="GA"/>
    <n v="0.9"/>
    <n v="2000"/>
    <n v="6656"/>
    <n v="136848"/>
    <n v="20.56009615384615"/>
    <d v="2025-07-01T00:00:00"/>
    <n v="2.887671232876712"/>
    <s v="NN"/>
    <s v="3% annually"/>
    <s v="2, 5yr"/>
    <n v="2073454"/>
    <n v="311.5165264423077"/>
    <n v="0.06600001736233357"/>
    <x v="181"/>
    <x v="224"/>
    <s v="SRS; Luther"/>
    <x v="125"/>
    <s v="Individual"/>
    <m/>
    <m/>
    <n v="2281000"/>
    <n v="0.05999473914949584"/>
    <n v="0.909010960105217"/>
    <n v="2281000"/>
    <n v="0.05999473914949584"/>
    <n v="0.006005278212837736"/>
    <s v="No"/>
    <d v="2022-04-11T00:00:00"/>
    <n v="123"/>
  </r>
  <r>
    <s v="DaVita Dialysis"/>
    <s v="1221 S 10th St"/>
    <s v="Weslaco"/>
    <s v="TX"/>
    <n v="3.44"/>
    <n v="2005"/>
    <n v="35739"/>
    <m/>
    <s v=" "/>
    <m/>
    <s v=" "/>
    <m/>
    <m/>
    <m/>
    <n v="2800000"/>
    <n v="78.34578471697586"/>
    <s v=" "/>
    <x v="182"/>
    <x v="225"/>
    <s v="Christian Gutierrez"/>
    <x v="126"/>
    <s v="User"/>
    <m/>
    <m/>
    <m/>
    <s v=" "/>
    <s v=" "/>
    <m/>
    <s v=" "/>
    <s v=" "/>
    <s v=" "/>
    <m/>
    <s v=" "/>
  </r>
  <r>
    <s v="Fresenius Medical Care"/>
    <s v="2601 S Harlem Ave"/>
    <s v="Berwyn"/>
    <s v="IL"/>
    <n v="0.93"/>
    <n v="1962"/>
    <n v="11918"/>
    <n v="278808.328125"/>
    <n v="23.39388556175533"/>
    <d v="2025-10-31T00:00:00"/>
    <n v="3.227397260273972"/>
    <s v="NN"/>
    <s v="2.5% annually"/>
    <s v="2, 5yr"/>
    <n v="5023203"/>
    <n v="421.4803658331935"/>
    <n v="0.05550409332949514"/>
    <x v="183"/>
    <x v="194"/>
    <m/>
    <x v="73"/>
    <s v="Fund"/>
    <m/>
    <m/>
    <m/>
    <s v=" "/>
    <s v=" "/>
    <m/>
    <s v=" "/>
    <s v=" "/>
    <s v=" "/>
    <m/>
    <s v=" "/>
  </r>
  <r>
    <s v="Fresenius Medical Care"/>
    <s v="9540 Pkwy E"/>
    <s v="Birmingham"/>
    <s v="AL"/>
    <n v="1.32"/>
    <n v="1979"/>
    <n v="9943"/>
    <n v="142092"/>
    <n v="14.29065674343759"/>
    <d v="2026-01-31T00:00:00"/>
    <n v="3.479452054794521"/>
    <s v="NNN"/>
    <s v="10% every 5 years"/>
    <s v="3, 5yr"/>
    <n v="2751837"/>
    <n v="276.7612390626571"/>
    <n v="0.05163532578419434"/>
    <x v="183"/>
    <x v="194"/>
    <s v="AY"/>
    <x v="3"/>
    <s v="Fund"/>
    <s v="Newmark"/>
    <m/>
    <m/>
    <s v=" "/>
    <s v=" "/>
    <m/>
    <s v=" "/>
    <s v=" "/>
    <s v=" "/>
    <m/>
    <s v=" "/>
  </r>
  <r>
    <s v="Fresenius Medical Care"/>
    <s v="115 Wilson Rd"/>
    <s v="Sanford"/>
    <s v="NC"/>
    <n v="1.34"/>
    <n v="2013"/>
    <n v="9620"/>
    <m/>
    <s v=" "/>
    <d v="2028-08-30T00:00:00"/>
    <n v="6.06027397260274"/>
    <s v="NN"/>
    <s v="10% every 5 years; FMV in options"/>
    <s v="3, 5yr"/>
    <n v="3330000"/>
    <n v="346.1538461538461"/>
    <s v=" "/>
    <x v="183"/>
    <x v="226"/>
    <m/>
    <x v="3"/>
    <s v="Fund"/>
    <m/>
    <m/>
    <m/>
    <s v=" "/>
    <s v=" "/>
    <m/>
    <s v=" "/>
    <s v=" "/>
    <s v=" "/>
    <m/>
    <s v=" "/>
  </r>
  <r>
    <s v="Fresenius Medical Care"/>
    <s v="6020 Enterprise Pkwy"/>
    <s v="Solon"/>
    <s v="OH"/>
    <n v="1.5"/>
    <n v="1995"/>
    <n v="8340"/>
    <n v="143258.6315"/>
    <n v="17.17729394484413"/>
    <d v="2026-11-11T00:00:00"/>
    <n v="4.257534246575342"/>
    <s v="NN"/>
    <s v="3% annually"/>
    <s v="2, 5yr"/>
    <n v="2776411"/>
    <n v="332.9029976019185"/>
    <n v="0.05159849586390488"/>
    <x v="183"/>
    <x v="194"/>
    <m/>
    <x v="3"/>
    <s v="Fund"/>
    <m/>
    <m/>
    <m/>
    <s v=" "/>
    <s v=" "/>
    <m/>
    <s v=" "/>
    <s v=" "/>
    <s v=" "/>
    <m/>
    <s v=" "/>
  </r>
  <r>
    <s v="Fresenius Medical Care"/>
    <s v="800 Goodyear Ave"/>
    <s v="Gadsden"/>
    <s v="AL"/>
    <n v="1.4"/>
    <n v="2012"/>
    <n v="10482"/>
    <m/>
    <s v=" "/>
    <m/>
    <s v=" "/>
    <m/>
    <m/>
    <m/>
    <n v="4675000"/>
    <n v="446.0026712459454"/>
    <s v=" "/>
    <x v="184"/>
    <x v="208"/>
    <m/>
    <x v="111"/>
    <s v="Fund"/>
    <m/>
    <m/>
    <m/>
    <s v=" "/>
    <s v=" "/>
    <m/>
    <s v=" "/>
    <s v=" "/>
    <s v=" "/>
    <m/>
    <s v=" "/>
  </r>
  <r>
    <s v="Fresenius Medical Care"/>
    <s v="2402 S Main St"/>
    <s v="Charleston"/>
    <s v="MO"/>
    <n v="1.5"/>
    <n v="2015"/>
    <n v="7495"/>
    <n v="276494.6675838698"/>
    <n v="36.89054937743427"/>
    <d v="2030-06-30T00:00:00"/>
    <n v="7.917808219178082"/>
    <s v="NN"/>
    <s v="1.7% annually"/>
    <s v="3, 5yr"/>
    <n v="4743000"/>
    <n v="632.8218812541694"/>
    <n v="0.05829531258356944"/>
    <x v="185"/>
    <x v="227"/>
    <m/>
    <x v="3"/>
    <s v="Fund"/>
    <m/>
    <m/>
    <m/>
    <s v=" "/>
    <s v=" "/>
    <m/>
    <s v=" "/>
    <s v=" "/>
    <s v=" "/>
    <m/>
    <s v=" "/>
  </r>
  <r>
    <s v="Fresenius Medical Care | Nevada Kidney"/>
    <s v="5815 S Rainbow Rd"/>
    <s v="Las Vegas"/>
    <s v="NV"/>
    <n v="1.85"/>
    <n v="2020"/>
    <n v="22000"/>
    <n v="662500"/>
    <n v="30.11363636363636"/>
    <d v="2035-10-31T00:00:00"/>
    <n v="13.26575342465753"/>
    <s v="NN"/>
    <s v="1.7% annually"/>
    <s v="3, 5 yr"/>
    <n v="13250000"/>
    <n v="602.2727272727273"/>
    <n v="0.05"/>
    <x v="186"/>
    <x v="228"/>
    <m/>
    <x v="3"/>
    <s v="Fund"/>
    <m/>
    <m/>
    <m/>
    <s v=" "/>
    <s v=" "/>
    <m/>
    <s v=" "/>
    <s v=" "/>
    <s v=" "/>
    <m/>
    <s v=" "/>
  </r>
  <r>
    <s v="Fresenius Medical Care"/>
    <s v="2545 S Bruce St"/>
    <s v="Las Vegas"/>
    <s v="NV"/>
    <n v="1.76"/>
    <n v="1980"/>
    <n v="21520"/>
    <m/>
    <s v=" "/>
    <m/>
    <s v=" "/>
    <m/>
    <m/>
    <m/>
    <n v="9090000"/>
    <n v="422.3977695167286"/>
    <s v=" "/>
    <x v="186"/>
    <x v="192"/>
    <m/>
    <x v="3"/>
    <s v="Fund"/>
    <m/>
    <m/>
    <m/>
    <s v=" "/>
    <s v=" "/>
    <m/>
    <s v=" "/>
    <s v=" "/>
    <s v=" "/>
    <m/>
    <s v=" "/>
  </r>
  <r>
    <s v="Fresenius Medical Care - MOB"/>
    <s v="1581 Mount Moriah Dr"/>
    <s v="Las Vegas"/>
    <s v="NV"/>
    <n v="2.08"/>
    <n v="2017"/>
    <n v="14814"/>
    <n v="407500"/>
    <n v="27.50776292696098"/>
    <d v="2032-10-31T00:00:00"/>
    <n v="10.26575342465753"/>
    <s v="NN"/>
    <s v="1.7% annually"/>
    <s v="3, 5yr"/>
    <n v="8150000"/>
    <n v="550.1552585392196"/>
    <n v="0.05"/>
    <x v="186"/>
    <x v="229"/>
    <s v="AY"/>
    <x v="3"/>
    <s v="Fund"/>
    <m/>
    <m/>
    <m/>
    <s v=" "/>
    <s v=" "/>
    <m/>
    <s v=" "/>
    <s v=" "/>
    <s v=" "/>
    <m/>
    <s v=" "/>
  </r>
  <r>
    <s v="Fresenius Medical Care"/>
    <s v="1051 Wellness Plz"/>
    <s v="Henderson"/>
    <s v="NV"/>
    <n v="1.57"/>
    <n v="2019"/>
    <n v="12478"/>
    <m/>
    <s v=" "/>
    <d v="2034-06-30T00:00:00"/>
    <n v="11.92876712328767"/>
    <s v="NN"/>
    <s v="1.7% annually"/>
    <s v="3, 5yr"/>
    <n v="7500000"/>
    <n v="601.0578618368328"/>
    <s v=" "/>
    <x v="186"/>
    <x v="230"/>
    <m/>
    <x v="3"/>
    <s v="Fund"/>
    <m/>
    <m/>
    <m/>
    <s v=" "/>
    <s v=" "/>
    <m/>
    <s v=" "/>
    <s v=" "/>
    <s v=" "/>
    <m/>
    <s v=" "/>
  </r>
  <r>
    <s v="Fresenius Medical Care"/>
    <s v="7465 W Azure"/>
    <s v="Las Vegas"/>
    <s v="NV"/>
    <n v="0.28"/>
    <n v="2007"/>
    <n v="12229"/>
    <m/>
    <s v=" "/>
    <m/>
    <s v=" "/>
    <m/>
    <m/>
    <m/>
    <n v="6425000"/>
    <n v="525.3904652874315"/>
    <s v=" "/>
    <x v="186"/>
    <x v="231"/>
    <m/>
    <x v="3"/>
    <s v="Fund"/>
    <m/>
    <m/>
    <m/>
    <s v=" "/>
    <s v=" "/>
    <m/>
    <s v=" "/>
    <s v=" "/>
    <s v=" "/>
    <m/>
    <s v=" "/>
  </r>
  <r>
    <s v="Fresenius Medical Care"/>
    <s v="5723 Memorial Dr"/>
    <s v="Stone Mountain"/>
    <s v="GA"/>
    <n v="0.8"/>
    <n v="1995"/>
    <n v="8700"/>
    <n v="182700"/>
    <n v="21"/>
    <d v="2025-06-06T00:00:00"/>
    <n v="2.857534246575343"/>
    <s v="NN"/>
    <s v="5% at options"/>
    <s v="1, 5yr remaining"/>
    <n v="2950000"/>
    <n v="339.0804597701149"/>
    <n v="0.06193220338983051"/>
    <x v="186"/>
    <x v="232"/>
    <m/>
    <x v="3"/>
    <s v="Fund"/>
    <m/>
    <m/>
    <m/>
    <s v=" "/>
    <s v=" "/>
    <m/>
    <s v=" "/>
    <s v=" "/>
    <s v=" "/>
    <m/>
    <s v=" "/>
  </r>
  <r>
    <s v="Fresenius Medical Care"/>
    <s v="2545 Sullivan Rd"/>
    <s v="College Park"/>
    <s v="GA"/>
    <n v="1.05"/>
    <n v="1977"/>
    <n v="6400"/>
    <n v="139104"/>
    <n v="21.735"/>
    <d v="2025-06-30T00:00:00"/>
    <n v="2.923287671232877"/>
    <s v="NNN"/>
    <s v="5% at option"/>
    <s v="1, 5yr remaining"/>
    <n v="2214500"/>
    <n v="346.015625"/>
    <n v="0.06281508241137955"/>
    <x v="186"/>
    <x v="232"/>
    <m/>
    <x v="3"/>
    <s v="Fund"/>
    <m/>
    <m/>
    <m/>
    <s v=" "/>
    <s v=" "/>
    <m/>
    <s v=" "/>
    <s v=" "/>
    <s v=" "/>
    <m/>
    <s v=" "/>
  </r>
  <r>
    <s v="U.S. Renal Care"/>
    <s v="1009 Executive Parkway Dr"/>
    <s v="Creve Coeur"/>
    <s v="MO"/>
    <n v="1.58"/>
    <n v="2012"/>
    <n v="19129"/>
    <n v="499301"/>
    <n v="26.10178263369753"/>
    <d v="2023-11-03T00:00:00"/>
    <n v="1.268493150684932"/>
    <s v="Absolute NNN"/>
    <s v="3% annually"/>
    <s v="2, 5yr"/>
    <n v="7017969"/>
    <n v="366.8758952375974"/>
    <n v="0.07114608229246952"/>
    <x v="187"/>
    <x v="233"/>
    <s v="SJC; Briggs"/>
    <x v="127"/>
    <s v="Individual"/>
    <m/>
    <m/>
    <n v="7236252"/>
    <n v="0.06899994638108237"/>
    <n v="0.9698347984564385"/>
    <n v="7236252"/>
    <n v="0.06899994638108237"/>
    <n v="0.002146135911387154"/>
    <s v="No"/>
    <d v="2022-04-01T00:00:00"/>
    <n v="118"/>
  </r>
  <r>
    <s v="Fresenius Medical Care"/>
    <s v="1507 W Pettigrew St"/>
    <s v="Durham"/>
    <s v="NC"/>
    <n v="1.42"/>
    <m/>
    <n v="9857"/>
    <n v="223951"/>
    <n v="22.71999594197017"/>
    <d v="2027-05-31T00:00:00"/>
    <n v="4.843835616438356"/>
    <s v="NN"/>
    <s v="3% annually"/>
    <s v="3, 5yr"/>
    <n v="4100000"/>
    <n v="415.9480572182205"/>
    <n v="0.05462219512195122"/>
    <x v="187"/>
    <x v="234"/>
    <s v="M&amp;M; Ryan"/>
    <x v="3"/>
    <s v="Fund"/>
    <m/>
    <m/>
    <n v="4479000"/>
    <n v="0.05000022326412146"/>
    <n v="0.9153828979682965"/>
    <n v="4479000"/>
    <n v="0.05000022326412146"/>
    <n v="0.004621971857829761"/>
    <s v="No"/>
    <d v="2022-01-14T00:00:00"/>
    <n v="195"/>
  </r>
  <r>
    <s v="Fresenius Medical Care"/>
    <s v="3107 NW 50th St"/>
    <s v="Oklahoma City"/>
    <s v="OK"/>
    <n v="1.04"/>
    <n v="2010"/>
    <n v="8653"/>
    <m/>
    <s v=" "/>
    <d v="2029-01-31T00:00:00"/>
    <n v="6.517808219178082"/>
    <s v="NN"/>
    <s v="1.7% annually"/>
    <s v="3, 5 yr"/>
    <n v="6309500"/>
    <n v="729.169074309488"/>
    <s v=" "/>
    <x v="187"/>
    <x v="235"/>
    <m/>
    <x v="3"/>
    <s v="Fund"/>
    <m/>
    <m/>
    <m/>
    <s v=" "/>
    <s v=" "/>
    <m/>
    <s v=" "/>
    <s v=" "/>
    <s v=" "/>
    <m/>
    <s v=" "/>
  </r>
  <r>
    <s v="Fresenius Medical Care"/>
    <s v="716 Grand Ave"/>
    <s v="Yazoo City"/>
    <s v="MS"/>
    <n v="0.66"/>
    <n v="1992"/>
    <n v="5650"/>
    <m/>
    <s v=" "/>
    <d v="2022-10-01T00:00:00"/>
    <n v="0.1780821917808219"/>
    <s v="NN"/>
    <s v="3% after second year"/>
    <s v="2, 5yr"/>
    <n v="1400000"/>
    <n v="247.787610619469"/>
    <s v=" "/>
    <x v="187"/>
    <x v="236"/>
    <s v="Cook"/>
    <x v="0"/>
    <s v="Individual"/>
    <m/>
    <m/>
    <m/>
    <s v=" "/>
    <s v=" "/>
    <m/>
    <s v=" "/>
    <s v=" "/>
    <s v=" "/>
    <m/>
    <s v=" "/>
  </r>
  <r>
    <s v="Fresenius Medical Care"/>
    <s v="4425 Utica St"/>
    <s v="Metairie"/>
    <s v="LA"/>
    <n v="0.51"/>
    <n v="1995"/>
    <n v="8639"/>
    <n v="160167"/>
    <n v="18.53999305475171"/>
    <d v="2026-04-30T00:00:00"/>
    <n v="3.74351581494166"/>
    <s v="NN"/>
    <s v="2%-3% annually in base; FMV at options"/>
    <s v="2, 5yr"/>
    <n v="2225000"/>
    <n v="257.5529575182313"/>
    <n v="0.07198516853932584"/>
    <x v="188"/>
    <x v="237"/>
    <m/>
    <x v="128"/>
    <s v="REIT"/>
    <m/>
    <m/>
    <n v="2562672"/>
    <n v="0.0625"/>
    <n v="0.868234405339427"/>
    <n v="2450000"/>
    <n v="0.06537428571428572"/>
    <n v="0.006610882825040118"/>
    <s v="Yes"/>
    <d v="2021-11-17T00:00:00"/>
    <n v="252"/>
  </r>
  <r>
    <s v="Fresenius Medical Care - MOB"/>
    <s v="635 4th St N"/>
    <s v="St Petersburg"/>
    <s v="FL"/>
    <n v="0.48"/>
    <n v="2014"/>
    <n v="22703"/>
    <m/>
    <s v=" "/>
    <m/>
    <s v=" "/>
    <m/>
    <m/>
    <m/>
    <n v="5500000"/>
    <n v="242.2587323261243"/>
    <s v=" "/>
    <x v="189"/>
    <x v="238"/>
    <s v="RTP Capital Advisors; Ravi"/>
    <x v="129"/>
    <s v="Individual"/>
    <m/>
    <s v="Central Development Enterprises"/>
    <n v="6255000"/>
    <s v=" "/>
    <n v="0.8792965627498002"/>
    <n v="6255000"/>
    <s v=" "/>
    <s v=" "/>
    <s v="No"/>
    <d v="2022-04-11T00:00:00"/>
    <n v="106"/>
  </r>
  <r>
    <s v="Fresenius Medical Care"/>
    <s v="2014 City Line Rd"/>
    <s v="Bethlehem"/>
    <s v="PA"/>
    <n v="2.57"/>
    <n v="1972"/>
    <n v="19775"/>
    <m/>
    <s v=" "/>
    <m/>
    <s v=" "/>
    <m/>
    <m/>
    <m/>
    <m/>
    <s v=" "/>
    <s v=" "/>
    <x v="189"/>
    <x v="36"/>
    <m/>
    <x v="73"/>
    <s v="Fund"/>
    <m/>
    <m/>
    <m/>
    <s v=" "/>
    <s v=" "/>
    <m/>
    <s v=" "/>
    <s v=" "/>
    <s v=" "/>
    <m/>
    <s v=" "/>
  </r>
  <r>
    <s v="DaVita Dialysis"/>
    <s v="1197 S Redondo Dr"/>
    <s v="Yuma"/>
    <s v="AZ"/>
    <n v="0.99"/>
    <n v="2014"/>
    <n v="7500"/>
    <n v="194700"/>
    <n v="25.96"/>
    <d v="2029-10-06T00:00:00"/>
    <n v="7.213698630136986"/>
    <s v="NN"/>
    <s v="2.5% annually"/>
    <s v="3, 5yr"/>
    <n v="3622050"/>
    <n v="482.94"/>
    <n v="0.05375408953493187"/>
    <x v="190"/>
    <x v="239"/>
    <s v="Colliers; Patel"/>
    <x v="130"/>
    <s v="Individual"/>
    <m/>
    <m/>
    <n v="3708571"/>
    <n v="0.05250000606702689"/>
    <n v="0.9766699895997677"/>
    <n v="3708571"/>
    <n v="0.05250000606702689"/>
    <n v="0.001254083467904982"/>
    <s v="No"/>
    <d v="2022-02-03T00:00:00"/>
    <n v="169"/>
  </r>
  <r>
    <s v="Fresenius Medical Care"/>
    <s v="1276 Kitson Ave"/>
    <s v="Sturgis"/>
    <s v="MI"/>
    <n v="1.226"/>
    <n v="2008"/>
    <n v="6500"/>
    <n v="84565"/>
    <n v="13.01"/>
    <d v="2026-08-31T00:00:00"/>
    <n v="4.112328767123287"/>
    <s v="NN"/>
    <s v="Yes"/>
    <s v="3,5yr"/>
    <m/>
    <s v=" "/>
    <s v=" "/>
    <x v="190"/>
    <x v="240"/>
    <s v="Landmark: Lippitt"/>
    <x v="131"/>
    <s v="Individual"/>
    <m/>
    <m/>
    <n v="1409416"/>
    <n v="0.06000002838054911"/>
    <s v=" "/>
    <n v="1409416"/>
    <n v="0.06000002838054911"/>
    <s v=" "/>
    <s v="No"/>
    <d v="2022-05-04T00:00:00"/>
    <n v="79"/>
  </r>
  <r>
    <s v="DaVita Dialysis (MT)"/>
    <s v="5020 W 95th St"/>
    <s v="Oak Lawn"/>
    <s v="IL"/>
    <n v="0.74"/>
    <n v="2007"/>
    <n v="9921"/>
    <m/>
    <s v=" "/>
    <m/>
    <s v=" "/>
    <m/>
    <m/>
    <m/>
    <n v="3300000"/>
    <n v="332.6277592984578"/>
    <s v=" "/>
    <x v="191"/>
    <x v="13"/>
    <m/>
    <x v="132"/>
    <s v="Individual"/>
    <m/>
    <m/>
    <m/>
    <s v=" "/>
    <s v=" "/>
    <m/>
    <s v=" "/>
    <s v=" "/>
    <s v=" "/>
    <m/>
    <s v=" "/>
  </r>
  <r>
    <s v="Fresenius Medical Care"/>
    <s v="121 N Church St"/>
    <s v="Conway"/>
    <s v="NC"/>
    <n v="1.48"/>
    <s v="2008 | 2013"/>
    <n v="8025"/>
    <m/>
    <s v=" "/>
    <m/>
    <s v=" "/>
    <m/>
    <m/>
    <m/>
    <n v="2615984"/>
    <n v="325.9793146417446"/>
    <s v=" "/>
    <x v="191"/>
    <x v="241"/>
    <m/>
    <x v="73"/>
    <s v="Fund"/>
    <m/>
    <s v="Robert Kemp"/>
    <m/>
    <s v=" "/>
    <s v=" "/>
    <m/>
    <s v=" "/>
    <s v=" "/>
    <s v=" "/>
    <m/>
    <s v=" "/>
  </r>
  <r>
    <s v="DaVita Dialysis"/>
    <s v="105 E Washington Jackson Rd"/>
    <s v="Eaton"/>
    <s v="OH"/>
    <n v="0.32"/>
    <n v="2007"/>
    <n v="5692"/>
    <n v="92418"/>
    <n v="16.2364722417428"/>
    <d v="2028-08-31T00:00:00"/>
    <n v="6.123287671232877"/>
    <s v="NN"/>
    <s v="2% annually"/>
    <s v="3, 5yr"/>
    <m/>
    <s v=" "/>
    <s v=" "/>
    <x v="192"/>
    <x v="242"/>
    <s v="Matthews: Mackulak"/>
    <x v="0"/>
    <s v="Individual"/>
    <m/>
    <m/>
    <n v="1170000"/>
    <n v="0.07898974358974359"/>
    <s v=" "/>
    <n v="1170000"/>
    <n v="0.07898974358974359"/>
    <s v=" "/>
    <s v="No"/>
    <d v="2021-06-07T00:00:00"/>
    <n v="407"/>
  </r>
  <r>
    <s v="DaVita Dialysis - MOB"/>
    <s v="11321 Fallbrook Dr"/>
    <s v="Houston"/>
    <s v="TX"/>
    <n v="1.88"/>
    <n v="2019"/>
    <n v="15353"/>
    <n v="295450"/>
    <n v="19.24379600078161"/>
    <d v="2029-04-30T00:00:00"/>
    <n v="6.789041095890411"/>
    <s v="NN"/>
    <s v="2% annually"/>
    <s v="3, 5yr"/>
    <m/>
    <s v=" "/>
    <s v=" "/>
    <x v="193"/>
    <x v="243"/>
    <s v="Moore: Colliers"/>
    <x v="133"/>
    <s v="Individual"/>
    <m/>
    <m/>
    <n v="4750000"/>
    <n v="0.0622"/>
    <s v=" "/>
    <n v="4750000"/>
    <n v="0.0622"/>
    <s v=" "/>
    <s v="No"/>
    <d v="2021-04-12T00:00:00"/>
    <n v="462"/>
  </r>
  <r>
    <s v="Fresenius Medical Care"/>
    <s v="2046 Main Hwy"/>
    <s v="Bamberg"/>
    <s v="SC"/>
    <n v="1.5"/>
    <n v="2004"/>
    <n v="7500"/>
    <n v="101478.015"/>
    <n v="13.530402"/>
    <d v="2026-03-31T00:00:00"/>
    <n v="3.704109589041096"/>
    <s v="NN"/>
    <s v="2% annually"/>
    <s v="3, 5yr"/>
    <m/>
    <s v=" "/>
    <s v=" "/>
    <x v="193"/>
    <x v="244"/>
    <m/>
    <x v="3"/>
    <s v="Fund"/>
    <m/>
    <m/>
    <m/>
    <s v=" "/>
    <s v=" "/>
    <m/>
    <s v=" "/>
    <s v=" "/>
    <s v=" "/>
    <m/>
    <s v=" "/>
  </r>
  <r>
    <s v="Fresenius Medical Care"/>
    <s v="200 Church St"/>
    <s v="Honea Path"/>
    <s v="SC"/>
    <n v="1.5"/>
    <n v="2005"/>
    <n v="7296"/>
    <n v="136597"/>
    <n v="18.72217653508772"/>
    <d v="2025-05-31T00:00:00"/>
    <n v="2.871232876712329"/>
    <s v="NN"/>
    <s v="CPI every 5"/>
    <s v="3, 5 yr"/>
    <n v="2528092"/>
    <n v="346.5038377192982"/>
    <n v="0.05403165707577098"/>
    <x v="193"/>
    <x v="245"/>
    <m/>
    <x v="3"/>
    <s v="Fund"/>
    <m/>
    <m/>
    <m/>
    <s v=" "/>
    <s v=" "/>
    <m/>
    <s v=" "/>
    <s v=" "/>
    <s v=" "/>
    <m/>
    <s v=" "/>
  </r>
  <r>
    <s v="DaVita Dialysis"/>
    <s v="320 Peachtree St"/>
    <s v="Jesup"/>
    <s v="GA"/>
    <n v="0.77"/>
    <n v="2022"/>
    <n v="3106"/>
    <n v="65816"/>
    <n v="21.18995492594977"/>
    <d v="2037-01-06T00:00:00"/>
    <n v="12.73304131595637"/>
    <s v="NN"/>
    <s v="10% every 5 years"/>
    <s v="3, 5yr"/>
    <n v="1253638.1"/>
    <n v="403.618190598841"/>
    <n v="0.05249999980058041"/>
    <x v="194"/>
    <x v="66"/>
    <s v="SJC; Briggs"/>
    <x v="134"/>
    <s v="Individual"/>
    <s v="Hampton Investment Properties"/>
    <s v="Genesis KC Dev, LLC / DaVita"/>
    <n v="1277983"/>
    <n v="0.05149990258086375"/>
    <n v="0.9809505290758954"/>
    <n v="1277983"/>
    <n v="0.05149990258086375"/>
    <n v="0.001000097219716653"/>
    <s v="No"/>
    <d v="2022-03-30T00:00:00"/>
    <n v="107"/>
  </r>
  <r>
    <s v="DaVita Dialysis"/>
    <s v="740 N Court St"/>
    <s v="Medina"/>
    <s v="OH"/>
    <n v="1"/>
    <n v="2017"/>
    <n v="5530"/>
    <n v="98158"/>
    <n v="17.7500904159132"/>
    <d v="2032-10-31T00:00:00"/>
    <n v="10.32602739726027"/>
    <s v="NN"/>
    <s v="2% annually"/>
    <s v="3, 5yr"/>
    <n v="1952000"/>
    <n v="352.9837251356238"/>
    <n v="0.0502858606557377"/>
    <x v="195"/>
    <x v="246"/>
    <s v="M&amp;M; Sharko"/>
    <x v="135"/>
    <s v="Individual"/>
    <m/>
    <m/>
    <m/>
    <s v=" "/>
    <s v=" "/>
    <m/>
    <s v=" "/>
    <s v=" "/>
    <s v=" "/>
    <m/>
    <s v=" "/>
  </r>
  <r>
    <s v="Fresenius Medical Care"/>
    <s v="611 Electric Ave"/>
    <s v="Lewistown"/>
    <s v="PA"/>
    <n v="0.99"/>
    <n v="1946"/>
    <n v="23260"/>
    <n v="161720"/>
    <n v="6.952708512467756"/>
    <m/>
    <s v=" "/>
    <m/>
    <m/>
    <m/>
    <n v="2600000"/>
    <n v="111.7798796216681"/>
    <n v="0.0622"/>
    <x v="196"/>
    <x v="247"/>
    <s v="M&amp;M; Buiso"/>
    <x v="136"/>
    <s v="Individual"/>
    <m/>
    <m/>
    <m/>
    <s v=" "/>
    <s v=" "/>
    <m/>
    <s v=" "/>
    <s v=" "/>
    <s v=" "/>
    <m/>
    <s v=" "/>
  </r>
  <r>
    <s v="Fresenius Medical Care"/>
    <s v="55 Sterling Way"/>
    <s v="Mount Sterling"/>
    <s v="KY"/>
    <s v="-"/>
    <n v="2017"/>
    <n v="7267"/>
    <n v="250106"/>
    <n v="34.41667813403055"/>
    <d v="2032-12-31T00:00:00"/>
    <n v="10.50958904109589"/>
    <s v="NN"/>
    <s v="10% every 5 years"/>
    <s v="3, 5yr"/>
    <m/>
    <s v=" "/>
    <s v=" "/>
    <x v="196"/>
    <x v="132"/>
    <s v="PH: Peranich Huffman "/>
    <x v="137"/>
    <s v="Individual"/>
    <m/>
    <m/>
    <n v="4719000"/>
    <n v="0.05299978809069718"/>
    <s v=" "/>
    <n v="4719000"/>
    <n v="0.05299978809069718"/>
    <s v=" "/>
    <s v="No"/>
    <d v="2022-03-28T00:00:00"/>
    <n v="95"/>
  </r>
  <r>
    <s v="Fresenius Medical Care"/>
    <s v="1781 Santa Clara Dr"/>
    <s v="Roseville"/>
    <s v="CA"/>
    <n v="1.02"/>
    <n v="2017"/>
    <n v="7200"/>
    <n v="405932.0045321545"/>
    <n v="56.37944507391035"/>
    <d v="2032-02-29T00:00:00"/>
    <n v="9.673972602739726"/>
    <s v="NN"/>
    <s v="1.7% annually"/>
    <s v="3, 5yr"/>
    <n v="7659500"/>
    <n v="1063.819444444444"/>
    <n v="0.05299719361996926"/>
    <x v="197"/>
    <x v="248"/>
    <m/>
    <x v="138"/>
    <s v="REIT"/>
    <m/>
    <m/>
    <m/>
    <s v=" "/>
    <s v=" "/>
    <m/>
    <s v=" "/>
    <s v=" "/>
    <s v=" "/>
    <m/>
    <s v=" "/>
  </r>
  <r>
    <s v="U.S. Renal Care"/>
    <s v="506 N Patterson St"/>
    <s v="Valdosta"/>
    <s v="GA"/>
    <n v="0.46"/>
    <n v="1984"/>
    <n v="5564"/>
    <m/>
    <s v=" "/>
    <m/>
    <s v=" "/>
    <m/>
    <m/>
    <m/>
    <n v="1670000"/>
    <n v="300.1437814521927"/>
    <s v=" "/>
    <x v="197"/>
    <x v="249"/>
    <m/>
    <x v="139"/>
    <s v="Individual"/>
    <m/>
    <m/>
    <m/>
    <s v=" "/>
    <s v=" "/>
    <m/>
    <s v=" "/>
    <s v=" "/>
    <s v=" "/>
    <m/>
    <s v=" "/>
  </r>
  <r>
    <s v="Fresenius Medical Care"/>
    <s v="1906 Johnson St"/>
    <s v="Jennings"/>
    <s v="LA"/>
    <n v="0.6"/>
    <n v="1990"/>
    <n v="3704"/>
    <n v="56116"/>
    <n v="15.15010799136069"/>
    <d v="2029-07-31T00:00:00"/>
    <n v="7.093150684931507"/>
    <s v="NN"/>
    <s v="18.8% in Aug '24"/>
    <s v="2, 5yr"/>
    <n v="935260"/>
    <n v="252.5"/>
    <n v="0.06000042768855719"/>
    <x v="198"/>
    <x v="250"/>
    <s v="SJC; Powell"/>
    <x v="3"/>
    <s v="Fund"/>
    <s v="AY; Youngguist"/>
    <m/>
    <n v="935260"/>
    <n v="0.06000042768855719"/>
    <n v="1"/>
    <n v="935260"/>
    <n v="0.06000042768855719"/>
    <n v="0"/>
    <s v="No"/>
    <d v="2021-12-07T00:00:00"/>
    <n v="204"/>
  </r>
  <r>
    <s v="Fresenius Medical Care"/>
    <s v="608 N Bedell Ave"/>
    <s v="Del Rio"/>
    <s v="TX"/>
    <n v="2.24"/>
    <n v="2021"/>
    <n v="7356"/>
    <n v="94696"/>
    <n v="12.87330070690593"/>
    <d v="2026-04-30T00:00:00"/>
    <n v="3.843835616438356"/>
    <s v="NN"/>
    <s v="FMV at each option"/>
    <s v="2, 5yr"/>
    <n v="1611000"/>
    <n v="219.0048939641109"/>
    <n v="0.05878088144009932"/>
    <x v="199"/>
    <x v="251"/>
    <s v="SVN; Berhow"/>
    <x v="3"/>
    <s v="Fund"/>
    <m/>
    <m/>
    <n v="1646902"/>
    <n v="0.05749947477141931"/>
    <n v="0.9782002814982312"/>
    <n v="1646902"/>
    <n v="0.05749947477141931"/>
    <n v="0.001281406668680013"/>
    <s v="No"/>
    <d v="2021-12-17T00:00:00"/>
    <n v="192"/>
  </r>
  <r>
    <s v="DaVita Dialysis"/>
    <s v="2977 Redondo Ave"/>
    <s v="Long Beach"/>
    <s v="CA"/>
    <n v="0.7382919999999999"/>
    <n v="1968"/>
    <n v="9966"/>
    <n v="340560"/>
    <n v="34.17218543046358"/>
    <d v="2029-09-30T00:00:00"/>
    <n v="7.273972602739726"/>
    <s v="NN"/>
    <s v="10% every 5 years"/>
    <s v="3, 5yr"/>
    <n v="8480000"/>
    <n v="850.8930363234999"/>
    <n v="0.04016037735849057"/>
    <x v="200"/>
    <x v="252"/>
    <m/>
    <x v="140"/>
    <s v="Individual"/>
    <m/>
    <m/>
    <n v="8480000"/>
    <n v="0.04016037735849057"/>
    <n v="1"/>
    <n v="8480000"/>
    <n v="0.04016037735849057"/>
    <n v="0"/>
    <s v="No"/>
    <m/>
    <s v=" "/>
  </r>
  <r>
    <s v="DaVita Dialysis"/>
    <s v="1424 E Whitmore Ave"/>
    <s v="Ceres"/>
    <s v="CA"/>
    <n v="1.3"/>
    <n v="2016"/>
    <n v="9066"/>
    <n v="276134.1"/>
    <n v="30.45820648577102"/>
    <d v="2031-03-01T00:00:00"/>
    <n v="8.69041095890411"/>
    <s v="NN"/>
    <s v="10% every 5"/>
    <s v="3, 5yr"/>
    <n v="5700000"/>
    <n v="628.722700198544"/>
    <n v="0.04844457894736843"/>
    <x v="200"/>
    <x v="253"/>
    <s v="SRS; Luther"/>
    <x v="138"/>
    <s v="REIT"/>
    <m/>
    <m/>
    <m/>
    <s v=" "/>
    <s v=" "/>
    <m/>
    <s v=" "/>
    <s v=" "/>
    <s v=" "/>
    <m/>
    <s v=" "/>
  </r>
  <r>
    <s v="Fresenius Medical Care"/>
    <s v="5221 Las Soleras Dr"/>
    <s v="Santa Fe"/>
    <s v="NM"/>
    <n v="1.21"/>
    <n v="2018"/>
    <n v="6500"/>
    <n v="199047.5"/>
    <n v="30.62269230769231"/>
    <d v="2034-02-28T00:00:00"/>
    <n v="11.69041095890411"/>
    <s v="NN"/>
    <s v="1.7% annually"/>
    <s v="3, 5yr"/>
    <n v="3865000"/>
    <n v="594.6153846153846"/>
    <n v="0.0515"/>
    <x v="200"/>
    <x v="254"/>
    <s v="Colliers; Patel"/>
    <x v="3"/>
    <s v="Fund"/>
    <m/>
    <m/>
    <m/>
    <s v=" "/>
    <s v=" "/>
    <m/>
    <s v=" "/>
    <s v=" "/>
    <s v=" "/>
    <m/>
    <s v=" "/>
  </r>
  <r>
    <s v="DaVita Dialysis - MT"/>
    <s v="1014 N Susquehanna Trl"/>
    <s v="Selinsgrove"/>
    <s v="PA"/>
    <n v="2.01"/>
    <n v="1974"/>
    <n v="14440"/>
    <n v="102723"/>
    <n v="7.113781163434903"/>
    <m/>
    <s v=" "/>
    <m/>
    <m/>
    <m/>
    <n v="1455000"/>
    <n v="100.7617728531856"/>
    <n v="0.0706"/>
    <x v="201"/>
    <x v="255"/>
    <m/>
    <x v="141"/>
    <s v="Individual"/>
    <m/>
    <m/>
    <n v="1725000"/>
    <n v="0.05954956521739131"/>
    <n v="0.8434782608695652"/>
    <n v="1725000"/>
    <n v="0.05954956521739131"/>
    <n v="0.01105043478260869"/>
    <s v="No"/>
    <m/>
    <s v=" "/>
  </r>
  <r>
    <s v="DaVita Dialysis"/>
    <s v="3737 State Ave"/>
    <s v="Kansas City"/>
    <s v="KS"/>
    <n v="1.18"/>
    <n v="1999"/>
    <n v="8369"/>
    <n v="138600"/>
    <n v="16.56111841319154"/>
    <d v="2029-03-31T00:00:00"/>
    <n v="6.775342465753424"/>
    <s v="NN"/>
    <s v="10% every 5"/>
    <s v="2, 5yr"/>
    <n v="2200000"/>
    <n v="262.8748954474848"/>
    <n v="0.063"/>
    <x v="201"/>
    <x v="256"/>
    <s v="KW; Cook"/>
    <x v="49"/>
    <s v="REIT"/>
    <m/>
    <m/>
    <m/>
    <s v=" "/>
    <s v=" "/>
    <m/>
    <s v=" "/>
    <s v=" "/>
    <s v=" "/>
    <m/>
    <s v=" "/>
  </r>
  <r>
    <s v="Fresenius Medical Care"/>
    <s v="440 S 15th St"/>
    <s v="Allentown"/>
    <s v="PA"/>
    <n v="0.36"/>
    <n v="1958"/>
    <n v="5400"/>
    <m/>
    <s v=" "/>
    <m/>
    <s v=" "/>
    <m/>
    <m/>
    <m/>
    <n v="3296564"/>
    <n v="610.4748148148149"/>
    <s v=" "/>
    <x v="202"/>
    <x v="36"/>
    <m/>
    <x v="73"/>
    <s v="Fund"/>
    <m/>
    <m/>
    <m/>
    <s v=" "/>
    <s v=" "/>
    <m/>
    <s v=" "/>
    <s v=" "/>
    <s v=" "/>
    <m/>
    <s v=" "/>
  </r>
  <r>
    <s v="DaVita Dialysis"/>
    <s v="13 Kingswood Dr"/>
    <s v="Palm Coast"/>
    <s v="FL"/>
    <n v="1.65"/>
    <n v="2005"/>
    <n v="7000"/>
    <n v="136500"/>
    <n v="19.5"/>
    <d v="2031-12-31T00:00:00"/>
    <n v="9.534246575342467"/>
    <s v="NN"/>
    <s v="10% every 5 years"/>
    <s v="3, 5yr"/>
    <n v="2757575"/>
    <n v="393.9392857142857"/>
    <n v="0.04950001359890484"/>
    <x v="203"/>
    <x v="257"/>
    <s v="SJC; Briggs"/>
    <x v="142"/>
    <s v="Individual"/>
    <m/>
    <m/>
    <n v="2873684"/>
    <n v="0.04750000347985373"/>
    <n v="0.9595957662707522"/>
    <n v="2873684"/>
    <n v="0.04750000347985373"/>
    <n v="0.002000010119051106"/>
    <s v="No"/>
    <d v="2022-02-18T00:00:00"/>
    <n v="123"/>
  </r>
  <r>
    <s v="Fresenius Medical Care"/>
    <s v="2001 E Bowie Ave"/>
    <s v="Crockett"/>
    <s v="TX"/>
    <n v="1.41"/>
    <n v="2015"/>
    <n v="8317"/>
    <m/>
    <s v=" "/>
    <m/>
    <s v=" "/>
    <m/>
    <m/>
    <m/>
    <m/>
    <s v=" "/>
    <s v=" "/>
    <x v="204"/>
    <x v="248"/>
    <m/>
    <x v="138"/>
    <s v="REIT"/>
    <m/>
    <m/>
    <m/>
    <s v=" "/>
    <s v=" "/>
    <m/>
    <s v=" "/>
    <s v=" "/>
    <s v=" "/>
    <m/>
    <s v=" "/>
  </r>
  <r>
    <s v="DaVita Dialysis"/>
    <s v="112 Sullivan Dr"/>
    <s v="Rushville"/>
    <s v="IL"/>
    <n v="2.15"/>
    <n v="2001"/>
    <n v="3384"/>
    <n v="72587"/>
    <n v="21.45005910165485"/>
    <d v="2027-11-30T00:00:00"/>
    <n v="5.457534246575342"/>
    <s v="Absolute NNN"/>
    <s v="Yes"/>
    <s v="3, 5yr"/>
    <n v="1110000"/>
    <n v="328.0141843971631"/>
    <n v="0.06539369369369369"/>
    <x v="204"/>
    <x v="258"/>
    <s v="SJC; Briggs"/>
    <x v="143"/>
    <s v="Individual"/>
    <m/>
    <m/>
    <n v="1100000"/>
    <n v="0.06598818181818182"/>
    <n v="1.009090909090909"/>
    <n v="1100000"/>
    <n v="0.06598818181818182"/>
    <n v="-0.0005944881244881323"/>
    <s v="No"/>
    <d v="2020-09-15T00:00:00"/>
    <n v="640"/>
  </r>
  <r>
    <s v="The Kidney Group "/>
    <s v="1340 Belmont Ave"/>
    <s v="Youngstown"/>
    <s v="OH"/>
    <n v="0.3"/>
    <n v="1950"/>
    <n v="23502"/>
    <m/>
    <s v=" "/>
    <m/>
    <s v=" "/>
    <m/>
    <m/>
    <m/>
    <n v="2300000"/>
    <n v="97.86401157348311"/>
    <s v=" "/>
    <x v="205"/>
    <x v="259"/>
    <s v="M&amp;M; Gould"/>
    <x v="139"/>
    <s v="Individual"/>
    <m/>
    <m/>
    <m/>
    <s v=" "/>
    <s v=" "/>
    <m/>
    <s v=" "/>
    <s v=" "/>
    <s v=" "/>
    <m/>
    <s v=" "/>
  </r>
  <r>
    <s v="Fresenius Medical Care"/>
    <s v="1215 Maplewood Ave"/>
    <s v="Lewisburg"/>
    <s v="WV"/>
    <n v="1.76"/>
    <n v="2009"/>
    <n v="7417"/>
    <n v="92632.5"/>
    <n v="12.48921396791155"/>
    <d v="2024-08-31T00:00:00"/>
    <n v="2.232876712328767"/>
    <m/>
    <m/>
    <m/>
    <n v="1611000"/>
    <n v="217.2037211810705"/>
    <n v="0.0575"/>
    <x v="206"/>
    <x v="260"/>
    <s v="SVN; Berhow"/>
    <x v="3"/>
    <s v="Fund"/>
    <m/>
    <m/>
    <m/>
    <s v=" "/>
    <s v=" "/>
    <m/>
    <s v=" "/>
    <s v=" "/>
    <s v=" "/>
    <m/>
    <s v=" "/>
  </r>
  <r>
    <s v="DaVita"/>
    <s v="5190 Mini Dr"/>
    <s v="Vallejo"/>
    <s v="CA"/>
    <n v="1.3"/>
    <n v="2022"/>
    <n v="10182"/>
    <m/>
    <s v=" "/>
    <m/>
    <s v=" "/>
    <m/>
    <m/>
    <m/>
    <n v="11500000"/>
    <n v="1129.444117069338"/>
    <s v=" "/>
    <x v="207"/>
    <x v="5"/>
    <m/>
    <x v="144"/>
    <s v="Individual"/>
    <m/>
    <m/>
    <m/>
    <s v=" "/>
    <s v=" "/>
    <m/>
    <s v=" "/>
    <s v=" "/>
    <s v=" "/>
    <m/>
    <s v=" "/>
  </r>
  <r>
    <s v="Fresenius Medical Care"/>
    <s v="3280 W 25th St"/>
    <s v="Cleveland"/>
    <s v="OH"/>
    <n v="1.187"/>
    <n v="2016"/>
    <n v="9800"/>
    <n v="0"/>
    <s v=" "/>
    <d v="2031-12-01T00:00:00"/>
    <n v="9.501369863013698"/>
    <s v="NN"/>
    <s v="10% every 5 years"/>
    <s v="3, 5yr"/>
    <n v="5260473"/>
    <n v="536.7829591836735"/>
    <s v=" "/>
    <x v="207"/>
    <x v="248"/>
    <m/>
    <x v="138"/>
    <s v="REIT"/>
    <m/>
    <m/>
    <m/>
    <s v=" "/>
    <s v=" "/>
    <m/>
    <s v=" "/>
    <s v=" "/>
    <s v=" "/>
    <m/>
    <s v=" "/>
  </r>
  <r>
    <s v="Fresenius Medical Care"/>
    <s v="1525 Long Beach Blvd"/>
    <s v="Long Beach"/>
    <s v="CA"/>
    <n v="0.58"/>
    <n v="2020"/>
    <n v="8600"/>
    <n v="428063"/>
    <n v="49.77476744186046"/>
    <d v="2035-06-30T00:00:00"/>
    <n v="11.20975364472349"/>
    <s v="NN"/>
    <m/>
    <m/>
    <n v="9306000"/>
    <n v="1082.093023255814"/>
    <n v="0.04599860305179454"/>
    <x v="207"/>
    <x v="261"/>
    <s v="M&amp;M; Mansour"/>
    <x v="145"/>
    <s v="Individual"/>
    <s v="M&amp;M; Mansour"/>
    <s v="Cross Development"/>
    <n v="9512511"/>
    <n v="0.04500000052562357"/>
    <n v="0.9782905901501717"/>
    <n v="9512511"/>
    <n v="0.04500000052562357"/>
    <n v="0.0009986025261709691"/>
    <s v="No"/>
    <d v="2022-02-01T00:00:00"/>
    <n v="122"/>
  </r>
  <r>
    <s v="Fresenius Medical Care"/>
    <s v="721 Mikes Pike St"/>
    <s v="Winslow"/>
    <s v="AZ"/>
    <n v="1.23"/>
    <n v="2014"/>
    <n v="8228"/>
    <n v="275142.2944"/>
    <n v="33.43975381623724"/>
    <d v="2029-01-31T00:00:00"/>
    <n v="6.668493150684932"/>
    <s v="NN"/>
    <m/>
    <m/>
    <n v="4555336"/>
    <n v="553.6383082158483"/>
    <n v="0.0604"/>
    <x v="207"/>
    <x v="253"/>
    <s v="SRS; Luther"/>
    <x v="138"/>
    <s v="REIT"/>
    <m/>
    <m/>
    <m/>
    <s v=" "/>
    <s v=" "/>
    <m/>
    <s v=" "/>
    <s v=" "/>
    <s v=" "/>
    <m/>
    <s v=" "/>
  </r>
  <r>
    <s v="Fresenius Medical Care"/>
    <s v="3711 Dewey St"/>
    <s v="Manitowoc"/>
    <s v="WI"/>
    <n v="1.51"/>
    <n v="2013"/>
    <n v="7186"/>
    <n v="248539.4164"/>
    <n v="34.58661514055107"/>
    <d v="2029-06-08T00:00:00"/>
    <n v="7.019178082191781"/>
    <s v="NN"/>
    <m/>
    <m/>
    <n v="4114891"/>
    <n v="572.6260784859448"/>
    <n v="0.0604"/>
    <x v="207"/>
    <x v="253"/>
    <s v="SRS; Luther"/>
    <x v="138"/>
    <s v="REIT"/>
    <m/>
    <m/>
    <m/>
    <s v=" "/>
    <s v=" "/>
    <m/>
    <s v=" "/>
    <s v=" "/>
    <s v=" "/>
    <m/>
    <s v=" "/>
  </r>
  <r>
    <s v="Fresenius Medical Care"/>
    <s v="321 Meridian Ave"/>
    <s v="Scranton"/>
    <s v="PA"/>
    <n v="1.21"/>
    <n v="2017"/>
    <n v="7104"/>
    <n v="260966.38722"/>
    <n v="36.73513333614866"/>
    <d v="2032-02-01T00:00:00"/>
    <n v="9.671232876712329"/>
    <s v="NN"/>
    <s v="10% every 5 years"/>
    <s v="3, 5yr"/>
    <n v="4915654"/>
    <n v="691.9557995495495"/>
    <n v="0.05308884376727899"/>
    <x v="207"/>
    <x v="248"/>
    <m/>
    <x v="138"/>
    <s v="REIT"/>
    <m/>
    <m/>
    <m/>
    <s v=" "/>
    <s v=" "/>
    <m/>
    <s v=" "/>
    <s v=" "/>
    <s v=" "/>
    <m/>
    <s v=" "/>
  </r>
  <r>
    <s v="Fresenius Medical Care"/>
    <s v="6739 Seeco Dr"/>
    <s v="Kalamazoo"/>
    <s v="MI"/>
    <n v="0.9399999999999999"/>
    <n v="1998"/>
    <n v="8830"/>
    <n v="130870.25"/>
    <n v="14.82109286523217"/>
    <d v="2026-12-31T00:00:00"/>
    <n v="4.586301369863014"/>
    <s v="NN"/>
    <s v="1.7% annually"/>
    <s v="3, 5 yr"/>
    <n v="1945000"/>
    <n v="220.2718006795017"/>
    <n v="0.06728547557840618"/>
    <x v="208"/>
    <x v="262"/>
    <s v="Callander Commercial; Callander"/>
    <x v="73"/>
    <s v="Fund"/>
    <s v="AY; Youngguist"/>
    <m/>
    <n v="2199500"/>
    <n v="0.0595"/>
    <n v="0.8842918845192089"/>
    <n v="1975000"/>
    <n v="0.06626341772151899"/>
    <n v="0.001022057856887193"/>
    <s v="Yes"/>
    <d v="2021-04-27T00:00:00"/>
    <n v="400"/>
  </r>
  <r>
    <s v="DaVita Dialysis"/>
    <s v="1908 Jutland Dr"/>
    <s v="Harvey"/>
    <s v="LA"/>
    <n v="0.7749"/>
    <n v="2008"/>
    <n v="5770"/>
    <m/>
    <s v=" "/>
    <m/>
    <s v=" "/>
    <m/>
    <m/>
    <m/>
    <n v="2356000"/>
    <n v="408.3188908145581"/>
    <s v=" "/>
    <x v="208"/>
    <x v="263"/>
    <m/>
    <x v="146"/>
    <s v="Individual"/>
    <m/>
    <m/>
    <m/>
    <s v=" "/>
    <s v=" "/>
    <m/>
    <s v=" "/>
    <s v=" "/>
    <s v=" "/>
    <m/>
    <s v=" "/>
  </r>
  <r>
    <s v="Fresenius Medical Care"/>
    <s v="1647 S Alameda St"/>
    <s v="Corpus Christi"/>
    <s v="TX"/>
    <n v="1.6519"/>
    <m/>
    <n v="9819"/>
    <n v="264969.4422586674"/>
    <n v="26.98537959656456"/>
    <d v="2030-08-31T00:00:00"/>
    <n v="8.257534246575343"/>
    <s v="NN"/>
    <s v="1.7% annually"/>
    <s v="3, 5yr"/>
    <n v="5169126"/>
    <n v="526.4411854567675"/>
    <n v="0.05126000841509134"/>
    <x v="209"/>
    <x v="264"/>
    <m/>
    <x v="73"/>
    <s v="Fund"/>
    <m/>
    <m/>
    <m/>
    <s v=" "/>
    <s v=" "/>
    <m/>
    <s v=" "/>
    <s v=" "/>
    <s v=" "/>
    <m/>
    <s v=" "/>
  </r>
  <r>
    <s v="Fresenius Medical Care"/>
    <s v="2210 W Arbors Dr"/>
    <s v="Charlotte"/>
    <s v="NC"/>
    <n v="1.16"/>
    <n v="2022"/>
    <n v="7478"/>
    <n v="220601"/>
    <n v="29.5"/>
    <d v="2037-01-31T00:00:00"/>
    <n v="14.68219178082192"/>
    <s v="NN"/>
    <s v="2% annually; 2.5% annually in options"/>
    <s v="3, 5yr"/>
    <n v="4500000"/>
    <n v="601.7651778550414"/>
    <n v="0.04902244444444444"/>
    <x v="209"/>
    <x v="265"/>
    <s v="Berkeley Capital; Foose"/>
    <x v="147"/>
    <s v="Individual"/>
    <m/>
    <m/>
    <n v="4413000"/>
    <n v="0.04998889644232948"/>
    <n v="1.019714479945615"/>
    <n v="4413000"/>
    <n v="0.04998889644232948"/>
    <n v="-0.0009664519978850386"/>
    <s v="No"/>
    <d v="2021-09-08T00:00:00"/>
    <n v="265"/>
  </r>
  <r>
    <s v="DaVita Dialysis"/>
    <s v="4223 E Anaheim St"/>
    <s v="Long Beach"/>
    <s v="CA"/>
    <n v="0.72"/>
    <n v="2020"/>
    <n v="11747"/>
    <n v="496311"/>
    <n v="42.25002128202946"/>
    <d v="2035-03-01T00:00:00"/>
    <n v="12.76986301369863"/>
    <s v="NN"/>
    <s v="2.5% annually"/>
    <s v="3, 5yr"/>
    <n v="10600000"/>
    <n v="902.3580488635396"/>
    <n v="0.04682179245283019"/>
    <x v="210"/>
    <x v="266"/>
    <s v="Colliers; Patel"/>
    <x v="148"/>
    <s v="Individual"/>
    <m/>
    <m/>
    <m/>
    <s v=" "/>
    <s v=" "/>
    <m/>
    <s v=" "/>
    <s v=" "/>
    <s v=" "/>
    <m/>
    <s v=" "/>
  </r>
  <r>
    <s v="Fresenius Medical Care"/>
    <s v="1333 Smith St"/>
    <s v="Logansport"/>
    <s v="IN"/>
    <n v="0.87"/>
    <s v="1967 | 2002"/>
    <n v="9222"/>
    <m/>
    <s v=" "/>
    <m/>
    <s v=" "/>
    <m/>
    <m/>
    <m/>
    <m/>
    <s v=" "/>
    <s v=" "/>
    <x v="211"/>
    <x v="267"/>
    <m/>
    <x v="149"/>
    <s v="Individual"/>
    <m/>
    <m/>
    <m/>
    <s v=" "/>
    <s v=" "/>
    <m/>
    <s v=" "/>
    <s v=" "/>
    <s v=" "/>
    <m/>
    <s v=" "/>
  </r>
  <r>
    <s v="Fresenius Medical Care"/>
    <s v="319 W Wade St"/>
    <s v="Trenton"/>
    <s v="FL"/>
    <n v="1.03"/>
    <n v="1997"/>
    <n v="9194"/>
    <m/>
    <s v=" "/>
    <m/>
    <s v=" "/>
    <m/>
    <m/>
    <m/>
    <n v="2300000"/>
    <n v="250.1631498803567"/>
    <s v=" "/>
    <x v="211"/>
    <x v="268"/>
    <m/>
    <x v="73"/>
    <s v="Fund"/>
    <m/>
    <m/>
    <m/>
    <s v=" "/>
    <s v=" "/>
    <m/>
    <s v=" "/>
    <s v=" "/>
    <s v=" "/>
    <m/>
    <s v=" "/>
  </r>
  <r>
    <s v="Fresenius Medical Care"/>
    <s v="734 Us Hwy 64 E "/>
    <s v="Plymouth"/>
    <s v="NC"/>
    <n v="0.9399999999999999"/>
    <n v="2002"/>
    <n v="6565"/>
    <n v="83200"/>
    <n v="12.67326732673267"/>
    <d v="2027-05-31T00:00:00"/>
    <n v="5.016438356164383"/>
    <s v="NN"/>
    <s v="FMV at options"/>
    <s v="2, 5yr remaining"/>
    <n v="1421500"/>
    <n v="216.5270373191165"/>
    <n v="0.05852972212451635"/>
    <x v="211"/>
    <x v="269"/>
    <m/>
    <x v="73"/>
    <s v="Fund"/>
    <s v="SRS; Nutt"/>
    <m/>
    <m/>
    <s v=" "/>
    <s v=" "/>
    <m/>
    <s v=" "/>
    <s v=" "/>
    <s v=" "/>
    <m/>
    <s v=" "/>
  </r>
  <r>
    <s v="Fresenius Medical Care"/>
    <s v="110 Industrial Park Dr "/>
    <s v="Trenton"/>
    <s v="NC"/>
    <n v="1.62"/>
    <n v="2001"/>
    <n v="5129"/>
    <n v="101850"/>
    <n v="19.85767206083057"/>
    <d v="2028-06-30T00:00:00"/>
    <n v="6.101369863013699"/>
    <s v="NN"/>
    <s v="5% options"/>
    <s v="3, 5 yr"/>
    <n v="1860500"/>
    <n v="362.7412751023591"/>
    <n v="0.05474334856221446"/>
    <x v="211"/>
    <x v="269"/>
    <m/>
    <x v="73"/>
    <s v="Fund"/>
    <s v="SRS; Nutt"/>
    <m/>
    <m/>
    <s v=" "/>
    <s v=" "/>
    <m/>
    <s v=" "/>
    <s v=" "/>
    <s v=" "/>
    <m/>
    <s v=" "/>
  </r>
  <r>
    <s v="DaVita Dialysis"/>
    <s v="267 Shrewsbury St"/>
    <s v="Worcester"/>
    <s v="MA"/>
    <n v="0.46"/>
    <n v="2017"/>
    <n v="11080"/>
    <n v="291267"/>
    <n v="26.28763537906137"/>
    <d v="2032-09-15T00:00:00"/>
    <n v="10.32054794520548"/>
    <s v="NN"/>
    <s v="10% every 5 years"/>
    <s v="2, 5yr"/>
    <n v="5430000"/>
    <n v="490.072202166065"/>
    <n v="0.0536403314917127"/>
    <x v="212"/>
    <x v="270"/>
    <s v="M&amp;M; Kunofsky"/>
    <x v="150"/>
    <s v="Individual"/>
    <m/>
    <m/>
    <n v="5444242"/>
    <n v="0.05350000973505586"/>
    <n v="0.997384025177426"/>
    <n v="5444242"/>
    <n v="0.05350000973505586"/>
    <n v="0.0001403217566568402"/>
    <s v="No"/>
    <d v="2021-10-14T00:00:00"/>
    <n v="222"/>
  </r>
  <r>
    <s v="Fresenius Medical Care"/>
    <s v="104 Marty Dr"/>
    <s v="Buffalo"/>
    <s v="MN"/>
    <n v="1.18"/>
    <n v="2004"/>
    <n v="6000"/>
    <m/>
    <s v=" "/>
    <m/>
    <s v=" "/>
    <m/>
    <m/>
    <m/>
    <n v="1425000"/>
    <n v="237.5"/>
    <s v=" "/>
    <x v="213"/>
    <x v="271"/>
    <s v="AY"/>
    <x v="73"/>
    <s v="Fund"/>
    <m/>
    <m/>
    <m/>
    <s v=" "/>
    <s v=" "/>
    <m/>
    <s v=" "/>
    <s v=" "/>
    <s v=" "/>
    <m/>
    <s v=" "/>
  </r>
  <r>
    <s v="DaVita Dialysis"/>
    <s v="8980 Natural Bridge Rd"/>
    <s v="Saint Louis"/>
    <s v="MO"/>
    <n v="1.1466"/>
    <n v="2017"/>
    <n v="15000"/>
    <m/>
    <s v=" "/>
    <d v="2031-10-31T00:00:00"/>
    <n v="9.465753424657533"/>
    <m/>
    <m/>
    <m/>
    <m/>
    <s v=" "/>
    <s v=" "/>
    <x v="214"/>
    <x v="253"/>
    <s v="SRS; Luther"/>
    <x v="138"/>
    <s v="REIT"/>
    <m/>
    <m/>
    <m/>
    <s v=" "/>
    <s v=" "/>
    <m/>
    <s v=" "/>
    <s v=" "/>
    <s v=" "/>
    <m/>
    <s v=" "/>
  </r>
  <r>
    <s v="Fresenius Medical Care"/>
    <s v="821 S Edwin C Moses Blvd "/>
    <s v="Dayton"/>
    <s v="OH"/>
    <n v="0.9036999999999999"/>
    <n v="2017"/>
    <n v="8419"/>
    <n v="322580.01"/>
    <n v="38.31571564318803"/>
    <d v="2031-05-31T00:00:00"/>
    <n v="9.054794520547945"/>
    <m/>
    <m/>
    <m/>
    <n v="5940700"/>
    <n v="705.630122342321"/>
    <n v="0.0543"/>
    <x v="215"/>
    <x v="253"/>
    <s v="SRS; Luther"/>
    <x v="138"/>
    <s v="REIT"/>
    <m/>
    <m/>
    <m/>
    <s v=" "/>
    <s v=" "/>
    <m/>
    <s v=" "/>
    <s v=" "/>
    <s v=" "/>
    <m/>
    <s v=" "/>
  </r>
  <r>
    <s v="Fresenius Medical Care"/>
    <s v="120 W Locust St "/>
    <s v="Davenport"/>
    <s v="IA"/>
    <n v="0.55"/>
    <n v="1995"/>
    <n v="6769"/>
    <n v="157470"/>
    <n v="23.26340670704683"/>
    <d v="2031-04-30T00:00:00"/>
    <n v="8.96986301369863"/>
    <m/>
    <m/>
    <m/>
    <n v="2900000"/>
    <n v="428.4236962623726"/>
    <n v="0.0543"/>
    <x v="215"/>
    <x v="253"/>
    <s v="SRS; Luther"/>
    <x v="138"/>
    <s v="REIT"/>
    <m/>
    <m/>
    <m/>
    <s v=" "/>
    <s v=" "/>
    <m/>
    <s v=" "/>
    <s v=" "/>
    <s v=" "/>
    <m/>
    <s v=" "/>
  </r>
  <r>
    <s v="Fresenius Medical Care"/>
    <s v="2623 17th St"/>
    <s v="Rock Island"/>
    <s v="IL"/>
    <n v="0.8097"/>
    <n v="2009"/>
    <n v="6050"/>
    <n v="135574.7739"/>
    <n v="22.40905353719008"/>
    <d v="2031-05-01T00:00:00"/>
    <n v="8.972602739726028"/>
    <m/>
    <m/>
    <m/>
    <n v="2496773"/>
    <n v="412.6897520661157"/>
    <n v="0.0543"/>
    <x v="215"/>
    <x v="253"/>
    <s v="SRS; Luther"/>
    <x v="138"/>
    <s v="REIT"/>
    <m/>
    <m/>
    <m/>
    <s v=" "/>
    <s v=" "/>
    <m/>
    <s v=" "/>
    <s v=" "/>
    <s v=" "/>
    <m/>
    <s v=" "/>
  </r>
  <r>
    <s v="Fresenius Medical Care"/>
    <s v="311 Parham St "/>
    <s v="Muscatine"/>
    <s v="IA"/>
    <n v="0.8725000000000001"/>
    <n v="2010"/>
    <n v="4588"/>
    <n v="93450.3"/>
    <n v="20.36841761115955"/>
    <d v="2031-04-30T00:00:00"/>
    <n v="8.96986301369863"/>
    <m/>
    <m/>
    <m/>
    <n v="1721000"/>
    <n v="375.1089799476896"/>
    <n v="0.0543"/>
    <x v="215"/>
    <x v="253"/>
    <s v="SRS; Luther"/>
    <x v="138"/>
    <s v="REIT"/>
    <m/>
    <m/>
    <m/>
    <s v=" "/>
    <s v=" "/>
    <m/>
    <s v=" "/>
    <s v=" "/>
    <s v=" "/>
    <m/>
    <s v=" "/>
  </r>
  <r>
    <s v="U.S. Renal Care"/>
    <s v="100 Shaffer Park Dr"/>
    <s v="Tiffin"/>
    <s v="OH"/>
    <n v="2.45"/>
    <n v="2019"/>
    <n v="8201"/>
    <n v="145049"/>
    <n v="17.68674551883917"/>
    <d v="2029-11-21T00:00:00"/>
    <n v="7.534246575342466"/>
    <s v="NNN"/>
    <s v="2% annually"/>
    <s v="2, 5yr"/>
    <n v="2321000"/>
    <n v="283.0142665528594"/>
    <n v="0.0624941835415769"/>
    <x v="216"/>
    <x v="157"/>
    <s v="SJC; Scrivner"/>
    <x v="151"/>
    <s v="Individual"/>
    <s v="SJC; Scrivner"/>
    <m/>
    <n v="2321000"/>
    <n v="0.0624941835415769"/>
    <n v="1"/>
    <n v="2321000"/>
    <n v="0.0624941835415769"/>
    <n v="0"/>
    <s v="No"/>
    <d v="2021-08-13T00:00:00"/>
    <n v="272"/>
  </r>
  <r>
    <s v="Fresenius Medical Care"/>
    <s v="1104 Frank W Evans Way"/>
    <s v="Bennettsville"/>
    <s v="SC"/>
    <n v="1.02"/>
    <n v="2000"/>
    <n v="7192"/>
    <n v="65571"/>
    <n v="9.117213570634037"/>
    <d v="2026-01-07T00:00:00"/>
    <n v="3.66027397260274"/>
    <s v="Modified Gross"/>
    <s v="1.5% annually"/>
    <s v="3, 5 yr"/>
    <n v="937000"/>
    <n v="130.2836484983315"/>
    <n v="0.06997972251867662"/>
    <x v="216"/>
    <x v="272"/>
    <s v="M&amp;M; Patel "/>
    <x v="73"/>
    <s v="Fund"/>
    <m/>
    <m/>
    <n v="995000"/>
    <n v="0.06590050251256281"/>
    <n v="0.9417085427135679"/>
    <n v="995000"/>
    <n v="0.06590050251256281"/>
    <n v="0.004079220006113812"/>
    <s v="No"/>
    <d v="2021-05-18T00:00:00"/>
    <n v="359"/>
  </r>
  <r>
    <s v="DaVita Dialysis"/>
    <s v="347 US Hwy 70 W"/>
    <s v="Marion"/>
    <s v="NC"/>
    <n v="0.53"/>
    <n v="2021"/>
    <n v="8640"/>
    <n v="150682"/>
    <n v="17.44004629629629"/>
    <d v="2036-11-19T00:00:00"/>
    <n v="14.53972602739726"/>
    <s v="NN"/>
    <s v="10% every 5 years"/>
    <s v="3, 5yr"/>
    <n v="2928904.08"/>
    <n v="338.9935277777778"/>
    <n v="0.05144654651851897"/>
    <x v="217"/>
    <x v="273"/>
    <s v="SJC; Briggs"/>
    <x v="152"/>
    <s v="Individual"/>
    <m/>
    <m/>
    <n v="3013632"/>
    <n v="0.05000013273020727"/>
    <n v="0.9718851140417941"/>
    <n v="3013632"/>
    <n v="0.05000013273020727"/>
    <n v="0.001446413788311694"/>
    <s v="No"/>
    <d v="2021-12-01T00:00:00"/>
    <n v="160"/>
  </r>
  <r>
    <s v="Fresenius Medical Care - MOB"/>
    <s v="336 Thompson Rd"/>
    <s v="Webster"/>
    <s v="MA"/>
    <n v="2.3"/>
    <n v="2002"/>
    <n v="14156"/>
    <n v="183920"/>
    <n v="12.99237072619384"/>
    <m/>
    <s v=" "/>
    <s v="NNN"/>
    <m/>
    <m/>
    <n v="2050000"/>
    <n v="144.8149194687765"/>
    <n v="0.0897170731707317"/>
    <x v="218"/>
    <x v="274"/>
    <s v="Kelleher; William Kelleher"/>
    <x v="153"/>
    <s v="Individual"/>
    <m/>
    <m/>
    <n v="2299000"/>
    <n v="0.08"/>
    <n v="0.8916920400173989"/>
    <m/>
    <s v=" "/>
    <s v=" "/>
    <s v=" "/>
    <d v="2021-09-20T00:00:00"/>
    <n v="231"/>
  </r>
  <r>
    <s v="DaVita Dialysis"/>
    <s v="518 Knorr St"/>
    <s v="Philadelphia"/>
    <s v="PA"/>
    <n v="0.28"/>
    <n v="1988"/>
    <n v="5668"/>
    <n v="132825"/>
    <n v="23.43419195483416"/>
    <d v="2030-02-14T00:00:00"/>
    <n v="7.786301369863014"/>
    <s v="NN"/>
    <s v="2% annually"/>
    <s v="2, 5yr"/>
    <n v="2320000"/>
    <n v="409.3154551870148"/>
    <n v="0.05725215517241379"/>
    <x v="219"/>
    <x v="275"/>
    <s v="M&amp;M; Gould"/>
    <x v="154"/>
    <s v="Fund"/>
    <m/>
    <m/>
    <n v="2415000"/>
    <n v="0.055"/>
    <n v="0.9606625258799172"/>
    <n v="2415000"/>
    <n v="0.055"/>
    <n v="0.00225215517241379"/>
    <s v="No"/>
    <d v="2021-12-02T00:00:00"/>
    <n v="154"/>
  </r>
  <r>
    <s v="Fresenius Medical Care (MT)"/>
    <s v="5148 S Lancaster Rd"/>
    <s v="Dallas"/>
    <s v="TX"/>
    <n v="1.51"/>
    <n v="2006"/>
    <n v="18500"/>
    <n v="331237.5"/>
    <n v="17.90472972972973"/>
    <m/>
    <m/>
    <m/>
    <m/>
    <m/>
    <n v="4125000"/>
    <n v="222.972972972973"/>
    <n v="0.0803"/>
    <x v="220"/>
    <x v="276"/>
    <s v="Tierra Venta Ventures; Girdley"/>
    <x v="155"/>
    <s v="Individual"/>
    <m/>
    <m/>
    <n v="4125000"/>
    <n v="0.0803"/>
    <n v="1"/>
    <n v="4125000"/>
    <n v="0.0803"/>
    <n v="0"/>
    <s v="No"/>
    <m/>
    <s v=" "/>
  </r>
  <r>
    <s v="Fresenius Medical Care"/>
    <s v="101 W Park"/>
    <s v="Livingston"/>
    <s v="TX"/>
    <n v="1.83"/>
    <n v="2016"/>
    <n v="7105"/>
    <n v="286965"/>
    <n v="40.38916256157636"/>
    <m/>
    <s v=" "/>
    <s v="-"/>
    <s v="10% every 5 years"/>
    <s v="3, 5yr"/>
    <m/>
    <s v=" "/>
    <s v=" "/>
    <x v="220"/>
    <x v="277"/>
    <s v="CBRE; Shover"/>
    <x v="156"/>
    <s v="Individual"/>
    <m/>
    <s v="Wellington Development Company"/>
    <n v="5466000"/>
    <n v="0.0525"/>
    <s v=" "/>
    <n v="5466000"/>
    <n v="0.0525"/>
    <s v=" "/>
    <s v="No"/>
    <d v="2021-12-09T00:00:00"/>
    <n v="145"/>
  </r>
  <r>
    <s v="Fresenius Medical Care (MT)"/>
    <s v="30164-30166 Commerce Dr "/>
    <s v="Millsboro"/>
    <s v="DE"/>
    <n v="0.958"/>
    <m/>
    <n v="9490"/>
    <m/>
    <s v=" "/>
    <m/>
    <s v=" "/>
    <m/>
    <m/>
    <m/>
    <n v="2295910"/>
    <n v="241.9293993677555"/>
    <s v=" "/>
    <x v="221"/>
    <x v="278"/>
    <m/>
    <x v="157"/>
    <s v="Fund"/>
    <m/>
    <m/>
    <m/>
    <s v=" "/>
    <s v=" "/>
    <m/>
    <s v=" "/>
    <s v=" "/>
    <s v=" "/>
    <m/>
    <s v=" "/>
  </r>
  <r>
    <s v="Fresenius Medical Care"/>
    <s v="6646 Regal Oaks Dr"/>
    <s v="Charlotte"/>
    <s v="NC"/>
    <n v="2.932"/>
    <n v="2016"/>
    <n v="12195"/>
    <n v="430426.7"/>
    <n v="35.29534235342354"/>
    <d v="2031-12-31T00:00:00"/>
    <n v="9.67945205479452"/>
    <s v="NN"/>
    <s v="10% every 5 years"/>
    <s v="3, 5yr"/>
    <n v="8609000"/>
    <n v="705.9450594505945"/>
    <n v="0.04999729353002672"/>
    <x v="222"/>
    <x v="279"/>
    <m/>
    <x v="73"/>
    <s v="Fund"/>
    <m/>
    <m/>
    <m/>
    <s v=" "/>
    <s v=" "/>
    <m/>
    <s v=" "/>
    <s v=" "/>
    <s v=" "/>
    <m/>
    <s v=" "/>
  </r>
  <r>
    <s v="Fresenius Medical Care"/>
    <s v="604 Canterbury Rd"/>
    <s v="Kings Mountain"/>
    <s v="NC"/>
    <n v="41.23"/>
    <n v="2017"/>
    <n v="9970"/>
    <n v="331123.1"/>
    <n v="33.21194583751254"/>
    <d v="2032-06-30T00:00:00"/>
    <n v="10.17808219178082"/>
    <s v="NN"/>
    <s v="10% every 5 years"/>
    <s v="3, 5yr"/>
    <n v="6020000"/>
    <n v="603.8114343029088"/>
    <n v="0.05500383720930233"/>
    <x v="222"/>
    <x v="279"/>
    <m/>
    <x v="73"/>
    <s v="Fund"/>
    <m/>
    <m/>
    <m/>
    <s v=" "/>
    <s v=" "/>
    <m/>
    <s v=" "/>
    <s v=" "/>
    <s v=" "/>
    <m/>
    <s v=" "/>
  </r>
  <r>
    <s v="DaVita Dialysis"/>
    <s v="40 Purple Heart Blvd"/>
    <s v="Springville"/>
    <s v="AL"/>
    <n v="0.75"/>
    <n v="2012"/>
    <n v="4850"/>
    <n v="89725"/>
    <n v="18.5"/>
    <d v="2025-10-31T00:00:00"/>
    <n v="3.50958904109589"/>
    <s v="NN"/>
    <s v="3% annually"/>
    <s v="3, 5yr"/>
    <n v="1255000"/>
    <n v="258.7628865979381"/>
    <n v="0.07149402390438248"/>
    <x v="222"/>
    <x v="157"/>
    <s v="SJC; Vaughn"/>
    <x v="158"/>
    <s v="Individual"/>
    <m/>
    <s v="Seakay Construction"/>
    <n v="1282000"/>
    <n v="0.06998829953198128"/>
    <n v="0.9789391575663027"/>
    <n v="1282000"/>
    <n v="0.06998829953198128"/>
    <n v="0.001505724372401193"/>
    <s v="No"/>
    <d v="2022-01-18T00:00:00"/>
    <n v="101"/>
  </r>
  <r>
    <s v="DaVita Dialysis"/>
    <s v="1041 Willow Run Rd"/>
    <s v="Greensboro"/>
    <s v="GA"/>
    <n v="5.99"/>
    <n v="2021"/>
    <n v="7065"/>
    <n v="183277"/>
    <n v="25.94154281670205"/>
    <d v="2036-08-25T00:00:00"/>
    <n v="14.34246575342466"/>
    <s v="NN"/>
    <s v="10% every 5 years"/>
    <s v="3, 5yr"/>
    <n v="3490782.86"/>
    <n v="494.0952384996461"/>
    <n v="0.05250312246577262"/>
    <x v="223"/>
    <x v="66"/>
    <s v="SJC; Briggs"/>
    <x v="0"/>
    <s v="Individual"/>
    <m/>
    <m/>
    <n v="3665540"/>
    <n v="0.05"/>
    <n v="0.9523243123796221"/>
    <n v="3665540"/>
    <n v="0.05"/>
    <n v="0.002503122465772618"/>
    <s v="No"/>
    <m/>
    <s v=" "/>
  </r>
  <r>
    <s v="Fresenius Medical Care"/>
    <s v="835 S New Hope Rd"/>
    <s v="Raleigh"/>
    <s v="NC"/>
    <n v="1.4"/>
    <n v="2004"/>
    <n v="10694"/>
    <m/>
    <s v=" "/>
    <d v="2027-02-28T00:00:00"/>
    <n v="4.863013698630137"/>
    <s v="NN"/>
    <m/>
    <m/>
    <n v="3425000"/>
    <n v="320.2730503085842"/>
    <s v=" "/>
    <x v="224"/>
    <x v="280"/>
    <s v="Sevilla; Cook Commercial"/>
    <x v="49"/>
    <s v="REIT"/>
    <m/>
    <s v="Stephenson General Contractors"/>
    <m/>
    <s v=" "/>
    <s v=" "/>
    <m/>
    <s v=" "/>
    <s v=" "/>
    <s v=" "/>
    <m/>
    <s v=" "/>
  </r>
  <r>
    <s v="DaVita Dialysis"/>
    <s v="2345 Alice Regional Blvd"/>
    <s v="Alice"/>
    <s v="TX"/>
    <n v="1"/>
    <n v="2004"/>
    <n v="8436"/>
    <n v="130758"/>
    <n v="15.5"/>
    <d v="2036-08-08T00:00:00"/>
    <n v="14.31232876712329"/>
    <s v="NN"/>
    <s v="10% every 5 years"/>
    <s v="3, 5yr"/>
    <n v="2496533.33"/>
    <n v="295.9380429113324"/>
    <n v="0.05237582788450094"/>
    <x v="224"/>
    <x v="66"/>
    <s v="SJC; Briggs"/>
    <x v="159"/>
    <s v="Individual"/>
    <s v="David Hanson"/>
    <m/>
    <n v="2615160"/>
    <n v="0.05"/>
    <n v="0.9546388481010722"/>
    <n v="2615160"/>
    <n v="0.05"/>
    <n v="0.002375827884500942"/>
    <s v="No"/>
    <m/>
    <s v=" "/>
  </r>
  <r>
    <s v="DaVita Dialysis"/>
    <s v="4182 Oceanside Blvd"/>
    <s v="Oceanside"/>
    <s v="CA"/>
    <n v="0.25"/>
    <n v="2016"/>
    <n v="10655"/>
    <n v="397775"/>
    <n v="37.3322383857344"/>
    <d v="2035-06-30T00:00:00"/>
    <n v="13.20821917808219"/>
    <s v="NN"/>
    <s v="2% annually"/>
    <m/>
    <n v="8875000"/>
    <n v="832.9422806194275"/>
    <n v="0.04481971830985915"/>
    <x v="225"/>
    <x v="281"/>
    <s v="M&amp;M; Sambazis"/>
    <x v="160"/>
    <s v="Individual"/>
    <m/>
    <s v="Centres, Inc."/>
    <n v="8875000"/>
    <n v="0.04481971830985915"/>
    <n v="1"/>
    <n v="8875000"/>
    <n v="0.04481971830985915"/>
    <n v="0"/>
    <s v="No"/>
    <d v="2022-01-05T00:00:00"/>
    <n v="103"/>
  </r>
  <r>
    <s v="U.S. Renal Care"/>
    <s v="2249 N Reynolds Rd"/>
    <s v="Toledo"/>
    <s v="OH"/>
    <n v="0.6"/>
    <n v="2000"/>
    <n v="6125"/>
    <n v="115375"/>
    <n v="18.83673469387755"/>
    <d v="2026-02-25T00:00:00"/>
    <n v="3.873972602739726"/>
    <s v="NN"/>
    <m/>
    <s v="2, 5yr"/>
    <n v="1775000"/>
    <n v="289.7959183673469"/>
    <n v="0.065"/>
    <x v="226"/>
    <x v="282"/>
    <s v="Landmark; Lippitt"/>
    <x v="161"/>
    <s v="Individual"/>
    <m/>
    <m/>
    <n v="1878185"/>
    <n v="0.06142898596251168"/>
    <n v="0.9450613225001797"/>
    <n v="1878185"/>
    <n v="0.06142898596251168"/>
    <n v="0.003571014037488322"/>
    <s v="No"/>
    <d v="2023-02-09T00:00:00"/>
    <n v="-302"/>
  </r>
  <r>
    <s v="US Renal Care"/>
    <s v="2249 N Reynolds Rd"/>
    <s v="Toledo"/>
    <s v="OH"/>
    <n v="0.62"/>
    <n v="2000"/>
    <n v="6125"/>
    <n v="122082"/>
    <n v="19.93175510204082"/>
    <d v="2026-02-14T00:00:00"/>
    <n v="3.843835616438356"/>
    <s v="NN"/>
    <s v="FMV at option"/>
    <s v="2, 5yr"/>
    <n v="1775000"/>
    <n v="289.7959183673469"/>
    <n v="0.06877859154929578"/>
    <x v="226"/>
    <x v="282"/>
    <s v="Landmark: Lippitt"/>
    <x v="162"/>
    <s v="Individual"/>
    <m/>
    <m/>
    <n v="1878185"/>
    <n v="0.06499998668927714"/>
    <n v="0.9450613225001797"/>
    <n v="1878185"/>
    <n v="0.06499998668927714"/>
    <n v="0.003778604860018631"/>
    <s v="No"/>
    <d v="2021-06-15T00:00:00"/>
    <n v="302"/>
  </r>
  <r>
    <s v="Fresenius Medical Care"/>
    <s v="19701 Vernier Rd"/>
    <s v="Harper Woods"/>
    <s v="MI"/>
    <n v="1.64"/>
    <n v="1984"/>
    <n v="28000"/>
    <m/>
    <s v=" "/>
    <m/>
    <s v=" "/>
    <m/>
    <m/>
    <m/>
    <m/>
    <s v=" "/>
    <s v=" "/>
    <x v="227"/>
    <x v="283"/>
    <m/>
    <x v="73"/>
    <s v="Fund"/>
    <m/>
    <m/>
    <m/>
    <s v=" "/>
    <s v=" "/>
    <m/>
    <s v=" "/>
    <s v=" "/>
    <s v=" "/>
    <m/>
    <s v=" "/>
  </r>
  <r>
    <s v="Fresenius | Pike Peak Nephrology"/>
    <s v="1910 Lelaray St"/>
    <s v="Colorado Springs"/>
    <s v="CO"/>
    <n v="2.014"/>
    <n v="2009"/>
    <n v="19187"/>
    <n v="558932"/>
    <n v="29.13076562255694"/>
    <d v="2029-12-31T00:00:00"/>
    <n v="7.728767123287671"/>
    <s v="NNN"/>
    <s v="2% annually starting 2025"/>
    <s v="2, 5yr"/>
    <n v="10600000"/>
    <n v="552.4573930265284"/>
    <n v="0.05272943396226415"/>
    <x v="227"/>
    <x v="284"/>
    <s v="Sullivan; SRS"/>
    <x v="163"/>
    <s v="Individual"/>
    <m/>
    <m/>
    <n v="11179000"/>
    <n v="0.04999838983808928"/>
    <n v="0.9482064585383309"/>
    <n v="11179000"/>
    <n v="0.04999838983808928"/>
    <n v="0.002731044124174874"/>
    <s v="No"/>
    <d v="2021-10-25T00:00:00"/>
    <n v="168"/>
  </r>
  <r>
    <s v="DaVita Dialysis"/>
    <s v="2410 W Grant Ave"/>
    <s v="Pauls Valley"/>
    <s v="OK"/>
    <n v="1.4"/>
    <n v="2016"/>
    <n v="6064"/>
    <n v="156754"/>
    <n v="25.84993403693931"/>
    <d v="2031-12-31T00:00:00"/>
    <n v="9.728767123287671"/>
    <s v="NN"/>
    <s v="10% every 5 years"/>
    <s v="3, 5yr"/>
    <n v="2800000"/>
    <n v="461.7414248021108"/>
    <n v="0.05598357142857143"/>
    <x v="227"/>
    <x v="285"/>
    <s v="PH: Peranich Huffman "/>
    <x v="164"/>
    <s v="Individual"/>
    <m/>
    <m/>
    <n v="2800000"/>
    <n v="0.05598357142857143"/>
    <n v="1"/>
    <n v="2800000"/>
    <n v="0.05598357142857143"/>
    <n v="0"/>
    <s v="No"/>
    <m/>
    <s v=" "/>
  </r>
  <r>
    <s v="DaVita Dialysis (MT)"/>
    <s v="12201 W 110th St"/>
    <s v="Overland Park"/>
    <s v="KS"/>
    <n v="2.2299"/>
    <n v="2010"/>
    <n v="7254"/>
    <m/>
    <s v=" "/>
    <m/>
    <s v=" "/>
    <m/>
    <m/>
    <m/>
    <m/>
    <s v=" "/>
    <s v=" "/>
    <x v="228"/>
    <x v="55"/>
    <m/>
    <x v="0"/>
    <s v="Individual"/>
    <m/>
    <m/>
    <m/>
    <s v=" "/>
    <s v=" "/>
    <m/>
    <s v=" "/>
    <s v=" "/>
    <s v=" "/>
    <m/>
    <s v=" "/>
  </r>
  <r>
    <s v="Fresenius Medical Care"/>
    <s v="1160 Williams Reserve Blvd"/>
    <s v="Wadsworth"/>
    <s v="OH"/>
    <n v="3.4693"/>
    <n v="2005"/>
    <n v="7049"/>
    <n v="178850"/>
    <n v="25.37239324726912"/>
    <d v="2029-08-31T00:00:00"/>
    <n v="7.408219178082192"/>
    <s v="NN"/>
    <s v="1.7% annually"/>
    <s v="3, 5 yr"/>
    <n v="3400000"/>
    <n v="482.3379202723791"/>
    <n v="0.05260294117647059"/>
    <x v="229"/>
    <x v="286"/>
    <m/>
    <x v="73"/>
    <s v="Fund"/>
    <m/>
    <m/>
    <m/>
    <s v=" "/>
    <s v=" "/>
    <m/>
    <s v=" "/>
    <s v=" "/>
    <s v=" "/>
    <m/>
    <s v=" "/>
  </r>
  <r>
    <s v="DaVita Dialysis"/>
    <s v="3313 6th Ave SE"/>
    <s v="Aberdeen"/>
    <s v="SD"/>
    <n v="1"/>
    <n v="2000"/>
    <n v="7042"/>
    <n v="120000"/>
    <n v="17.04061346208464"/>
    <m/>
    <s v=" "/>
    <m/>
    <m/>
    <m/>
    <n v="2000000"/>
    <n v="284.0102243680773"/>
    <n v="0.06"/>
    <x v="230"/>
    <x v="287"/>
    <s v="Dakota Plains Development, Inc."/>
    <x v="165"/>
    <s v="Individual"/>
    <s v="First Premier Realty"/>
    <m/>
    <n v="2198000"/>
    <n v="0.0545950864422202"/>
    <n v="0.9099181073703366"/>
    <m/>
    <s v=" "/>
    <s v=" "/>
    <s v=" "/>
    <m/>
    <n v="55"/>
  </r>
  <r>
    <s v="Fresenius Medical Care "/>
    <s v="1036 Easton Rd"/>
    <s v="Willow Grove"/>
    <s v="PA"/>
    <n v="0.96"/>
    <n v="2011"/>
    <n v="11300"/>
    <n v="259900"/>
    <n v="23"/>
    <d v="2026-12-31T00:00:00"/>
    <n v="4.753424657534246"/>
    <s v="NN"/>
    <s v="4% in year 3"/>
    <s v="2, 5yr"/>
    <n v="4050000"/>
    <n v="358.4070796460177"/>
    <n v="0.06417283950617284"/>
    <x v="231"/>
    <x v="288"/>
    <s v="M&amp;M; Dougherty"/>
    <x v="166"/>
    <s v="Individual"/>
    <m/>
    <m/>
    <n v="4331666"/>
    <n v="0.06000000923432231"/>
    <n v="0.9349751342785894"/>
    <n v="4331666"/>
    <n v="0.06000000923432231"/>
    <n v="0.004172830271850524"/>
    <s v="No"/>
    <d v="2022-01-20T00:00:00"/>
    <n v="71"/>
  </r>
  <r>
    <s v="Fresenius Medical Care"/>
    <s v="6144 Mae Anne Ave"/>
    <s v="Reno"/>
    <s v="NV"/>
    <n v="0.2153"/>
    <n v="2005"/>
    <n v="8755"/>
    <n v="244640"/>
    <n v="27.94288977727013"/>
    <d v="2029-02-28T00:00:00"/>
    <n v="6.917808219178082"/>
    <s v="NN"/>
    <s v="1.7% annually"/>
    <s v="3, 5 yr"/>
    <n v="4448000"/>
    <n v="508.0525414049115"/>
    <n v="0.055"/>
    <x v="231"/>
    <x v="289"/>
    <s v="Ribeiro Corp; Yuill"/>
    <x v="73"/>
    <s v="Fund"/>
    <m/>
    <m/>
    <m/>
    <s v=" "/>
    <s v=" "/>
    <m/>
    <s v=" "/>
    <s v=" "/>
    <s v=" "/>
    <m/>
    <s v=" "/>
  </r>
  <r>
    <s v="DaVita Dialysis - MOB"/>
    <s v="972 Emerson Pkwy"/>
    <s v="Greenwood"/>
    <s v="IN"/>
    <n v="3.42"/>
    <n v="2007"/>
    <n v="23582"/>
    <n v="436017"/>
    <n v="18.48939869391909"/>
    <m/>
    <s v=" "/>
    <s v="NNN"/>
    <m/>
    <s v="3, 5yr"/>
    <m/>
    <s v=" "/>
    <s v=" "/>
    <x v="232"/>
    <x v="290"/>
    <s v="M&amp;M; Glass"/>
    <x v="167"/>
    <s v="Individual"/>
    <m/>
    <m/>
    <n v="6100000"/>
    <n v="0.07147819672131148"/>
    <s v=" "/>
    <n v="6100000"/>
    <n v="0.07147819672131148"/>
    <s v=" "/>
    <s v="No"/>
    <d v="2021-11-23T00:00:00"/>
    <n v="128"/>
  </r>
  <r>
    <s v="Fresenius Medical Care"/>
    <s v="4500 S Carson St"/>
    <s v="Carson City"/>
    <s v="NV"/>
    <n v="0.18"/>
    <n v="2008"/>
    <n v="7800"/>
    <n v="238560"/>
    <n v="30.58461538461539"/>
    <d v="2029-01-31T00:00:00"/>
    <n v="6.843835616438356"/>
    <s v="NN"/>
    <m/>
    <s v="3, 5yr"/>
    <n v="4200000"/>
    <n v="538.4615384615385"/>
    <n v="0.0568"/>
    <x v="232"/>
    <x v="291"/>
    <s v="Ribeiro Corp; Yuill"/>
    <x v="73"/>
    <s v="Fund"/>
    <m/>
    <m/>
    <m/>
    <s v=" "/>
    <s v=" "/>
    <m/>
    <s v=" "/>
    <s v=" "/>
    <s v=" "/>
    <d v="2021-10-08T00:00:00"/>
    <n v="174"/>
  </r>
  <r>
    <s v="Fresenius Medical Care"/>
    <s v="2429 Hickory Tree Rd"/>
    <s v="Balch Springs"/>
    <s v="TX"/>
    <n v="0.8"/>
    <n v="2018"/>
    <n v="7385"/>
    <n v="179662"/>
    <n v="24.32796208530806"/>
    <m/>
    <s v=" "/>
    <m/>
    <s v="10% every 5 years"/>
    <m/>
    <m/>
    <s v=" "/>
    <s v=" "/>
    <x v="232"/>
    <x v="292"/>
    <m/>
    <x v="168"/>
    <s v="Individual"/>
    <m/>
    <m/>
    <m/>
    <s v=" "/>
    <s v=" "/>
    <m/>
    <s v=" "/>
    <s v=" "/>
    <s v=" "/>
    <m/>
    <s v=" "/>
  </r>
  <r>
    <s v="Fresenius Medical Care"/>
    <s v="605 Tilghman Dr"/>
    <s v="Dunn"/>
    <s v="NC"/>
    <n v="3.12"/>
    <n v="1992"/>
    <n v="8874"/>
    <n v="161479"/>
    <n v="18.19686725264819"/>
    <d v="2029-09-30T00:00:00"/>
    <n v="7.50958904109589"/>
    <s v="NNN"/>
    <s v="2% annually"/>
    <s v="2, 5yr"/>
    <n v="3100000"/>
    <n v="349.3351363533919"/>
    <n v="0.05209"/>
    <x v="233"/>
    <x v="293"/>
    <s v="Gaylord; NAI Tri-Properties"/>
    <x v="73"/>
    <s v="Fund"/>
    <m/>
    <m/>
    <n v="3150802"/>
    <n v="0.05125012615835587"/>
    <n v="0.9838764860502184"/>
    <n v="3150802"/>
    <n v="0.05125012615835587"/>
    <n v="0.0008398738416441273"/>
    <s v="No"/>
    <d v="2021-09-18T00:00:00"/>
    <n v="193"/>
  </r>
  <r>
    <s v="Fresenius Medical Care"/>
    <s v="760 S Farmerville St"/>
    <s v="Ruston"/>
    <s v="LA"/>
    <n v="1.06"/>
    <n v="1995"/>
    <n v="7000"/>
    <n v="86910.72"/>
    <n v="12.41581714285714"/>
    <d v="2024-06-30T00:00:00"/>
    <n v="2.257534246575343"/>
    <s v="Modified Gross"/>
    <s v="2% annually"/>
    <s v="1, 5yr"/>
    <n v="895735"/>
    <n v="127.9621428571429"/>
    <n v="0.09702726810942969"/>
    <x v="234"/>
    <x v="294"/>
    <m/>
    <x v="169"/>
    <s v="Individual"/>
    <m/>
    <m/>
    <m/>
    <s v=" "/>
    <s v=" "/>
    <m/>
    <s v=" "/>
    <s v=" "/>
    <s v=" "/>
    <m/>
    <s v=" "/>
  </r>
  <r>
    <s v="Fresenius Medical Care"/>
    <s v="185 Old Peachtree Rd NW"/>
    <s v="Suwanee"/>
    <s v="GA"/>
    <n v="1.02"/>
    <n v="2006"/>
    <n v="7740"/>
    <n v="151284"/>
    <n v="19.54573643410853"/>
    <d v="2026-09-30T00:00:00"/>
    <n v="4.52054794520548"/>
    <s v="NN"/>
    <s v="5% every 5 years"/>
    <s v="1, 5yr"/>
    <n v="2162480"/>
    <n v="279.390180878553"/>
    <n v="0.06995856609078466"/>
    <x v="235"/>
    <x v="295"/>
    <s v="M&amp;M; Isaac"/>
    <x v="73"/>
    <s v="Fund"/>
    <m/>
    <m/>
    <n v="2161000"/>
    <n v="0.07000647848218418"/>
    <n v="1.000684868116613"/>
    <n v="2161000"/>
    <n v="0.07000647848218418"/>
    <n v="-4.791239139952108e-05"/>
    <s v="No"/>
    <d v="2021-10-21T00:00:00"/>
    <n v="155"/>
  </r>
  <r>
    <s v="Fresenius Medical Care"/>
    <s v="355 Dupont St"/>
    <s v="Punta Gorda"/>
    <s v="FL"/>
    <n v="1"/>
    <n v="1996"/>
    <n v="4957"/>
    <n v="72500"/>
    <n v="14.62578172281622"/>
    <m/>
    <s v=" "/>
    <m/>
    <m/>
    <m/>
    <n v="1450000"/>
    <n v="292.5156344563244"/>
    <n v="0.05"/>
    <x v="235"/>
    <x v="296"/>
    <m/>
    <x v="170"/>
    <s v="Individual"/>
    <m/>
    <m/>
    <m/>
    <s v=" "/>
    <s v=" "/>
    <m/>
    <s v=" "/>
    <s v=" "/>
    <s v=" "/>
    <m/>
    <s v=" "/>
  </r>
  <r>
    <s v="Fresenius Medical Care"/>
    <s v="2213 Old Kemp Hwy"/>
    <s v="Kaufman"/>
    <s v="TX"/>
    <n v="0.61"/>
    <n v="2008"/>
    <n v="5459"/>
    <m/>
    <s v=" "/>
    <m/>
    <s v=" "/>
    <m/>
    <m/>
    <m/>
    <m/>
    <s v=" "/>
    <s v=" "/>
    <x v="236"/>
    <x v="297"/>
    <m/>
    <x v="171"/>
    <s v="Individual"/>
    <m/>
    <m/>
    <m/>
    <s v=" "/>
    <s v=" "/>
    <m/>
    <s v=" "/>
    <s v=" "/>
    <s v=" "/>
    <m/>
    <s v=" "/>
  </r>
  <r>
    <s v="Fresenius Medical Care"/>
    <s v="6107 N FM 2100"/>
    <s v="Crosby"/>
    <s v="TX"/>
    <n v="0.9399999999999999"/>
    <n v="2005"/>
    <n v="6000"/>
    <n v="129000"/>
    <n v="21.5"/>
    <d v="2025-01-31T00:00:00"/>
    <n v="2.868493150684932"/>
    <s v="NN"/>
    <s v="FMV"/>
    <s v="2, 5yr"/>
    <n v="1516000"/>
    <n v="252.6666666666667"/>
    <n v="0.08509234828496043"/>
    <x v="237"/>
    <x v="298"/>
    <s v="Choi; Edward Choi Investments"/>
    <x v="73"/>
    <s v="Fund"/>
    <m/>
    <m/>
    <n v="2205128"/>
    <n v="0.05850000544186097"/>
    <n v="0.6874884360454359"/>
    <n v="2205128"/>
    <n v="0.05850000544186097"/>
    <n v="0.02659234284309946"/>
    <s v="No"/>
    <d v="2021-06-25T00:00:00"/>
    <n v="269"/>
  </r>
  <r>
    <s v="Fresenius Medical Care"/>
    <s v="2845 E Skelly Dr"/>
    <s v="Tulsa"/>
    <s v="OK"/>
    <n v="3.35"/>
    <n v="2018"/>
    <n v="12159"/>
    <n v="399832.928"/>
    <n v="32.88370162019903"/>
    <d v="2032-12-31T00:00:00"/>
    <n v="10.7972602739726"/>
    <s v="NN"/>
    <s v="10% every 5 years"/>
    <s v="3, 5yr"/>
    <n v="7993000"/>
    <n v="657.3731392384242"/>
    <n v="0.05002288602527211"/>
    <x v="238"/>
    <x v="299"/>
    <m/>
    <x v="73"/>
    <s v="Fund"/>
    <m/>
    <m/>
    <m/>
    <s v=" "/>
    <s v=" "/>
    <m/>
    <s v=" "/>
    <s v=" "/>
    <s v=" "/>
    <m/>
    <s v=" "/>
  </r>
  <r>
    <s v="Fresenius - MT"/>
    <s v="2051 E Mary St"/>
    <s v="Garden City"/>
    <s v="KS"/>
    <n v="1.22"/>
    <n v="2016"/>
    <n v="11000"/>
    <n v="333617"/>
    <n v="30.32881818181818"/>
    <d v="2031-06-30T00:00:00"/>
    <n v="9.29041095890411"/>
    <s v="NN"/>
    <s v="Annually"/>
    <s v="3, 5yr"/>
    <n v="5700000"/>
    <n v="518.1818181818181"/>
    <n v="0.05852929824561404"/>
    <x v="238"/>
    <x v="300"/>
    <s v="CP Partners, Webb"/>
    <x v="172"/>
    <s v="Individual"/>
    <m/>
    <m/>
    <n v="6065000"/>
    <n v="0.05500692497938994"/>
    <n v="0.9398186314921682"/>
    <n v="6065000"/>
    <n v="0.05500692497938994"/>
    <n v="0.003522373266224094"/>
    <s v="No"/>
    <d v="2021-10-06T00:00:00"/>
    <n v="163"/>
  </r>
  <r>
    <s v="DaVita Dialysis"/>
    <s v="900 E 21st St"/>
    <s v="Kansas City"/>
    <s v="MO"/>
    <n v="1.82"/>
    <n v="2015"/>
    <n v="7793"/>
    <n v="349330"/>
    <n v="44.82612601052227"/>
    <d v="2030-07-30T00:00:00"/>
    <n v="8.38082191780822"/>
    <s v="NNN"/>
    <s v="10% every 5 years"/>
    <s v="2, 5yr"/>
    <n v="6500000"/>
    <n v="834.0818683433851"/>
    <n v="0.05374307692307692"/>
    <x v="239"/>
    <x v="301"/>
    <s v="Finholm; Unique"/>
    <x v="173"/>
    <s v="Individual"/>
    <m/>
    <m/>
    <n v="6600000"/>
    <n v="0.05292878787878788"/>
    <n v="0.9848484848484849"/>
    <n v="6600000"/>
    <n v="0.05292878787878788"/>
    <n v="0.0008142890442890405"/>
    <s v="No"/>
    <d v="2021-04-07T00:00:00"/>
    <n v="342"/>
  </r>
  <r>
    <s v="DaVita Dialysis"/>
    <s v="805-815 N Beckley Ave"/>
    <s v="Dallas"/>
    <s v="TX"/>
    <n v="1.29"/>
    <n v="2007"/>
    <n v="7954"/>
    <m/>
    <s v=" "/>
    <d v="2027-02-28T00:00:00"/>
    <n v="4.964383561643835"/>
    <s v="NNN"/>
    <m/>
    <m/>
    <n v="3800000"/>
    <n v="477.7470455116922"/>
    <s v=" "/>
    <x v="240"/>
    <x v="177"/>
    <s v="CP Partners"/>
    <x v="174"/>
    <s v="Individual"/>
    <m/>
    <s v="The Mitchell Companies"/>
    <m/>
    <s v=" "/>
    <s v=" "/>
    <m/>
    <s v=" "/>
    <s v=" "/>
    <s v=" "/>
    <m/>
    <s v=" "/>
  </r>
  <r>
    <s v="Fresenius Medical Care"/>
    <s v="711 Talbotton Rd"/>
    <s v="Columbus"/>
    <s v="GA"/>
    <n v="0.05"/>
    <n v="1971"/>
    <n v="2002"/>
    <m/>
    <s v=" "/>
    <m/>
    <s v=" "/>
    <m/>
    <m/>
    <m/>
    <n v="1225000"/>
    <n v="611.8881118881119"/>
    <s v=" "/>
    <x v="241"/>
    <x v="302"/>
    <m/>
    <x v="175"/>
    <s v="Individual"/>
    <m/>
    <m/>
    <m/>
    <s v=" "/>
    <s v=" "/>
    <m/>
    <s v=" "/>
    <s v=" "/>
    <s v=" "/>
    <m/>
    <s v=" "/>
  </r>
  <r>
    <s v="DaVita Dialysis"/>
    <s v="417 N McDowell Blvd - Part of a Portfolio"/>
    <s v="Petaluma"/>
    <s v="CA"/>
    <n v="2.889"/>
    <n v="2015"/>
    <n v="15003"/>
    <m/>
    <s v=" "/>
    <m/>
    <s v=" "/>
    <m/>
    <m/>
    <m/>
    <n v="5926164"/>
    <n v="394.998600279944"/>
    <s v=" "/>
    <x v="242"/>
    <x v="303"/>
    <s v="Eastdil Secured, LLC: Hoffmann"/>
    <x v="176"/>
    <s v="Fund"/>
    <m/>
    <m/>
    <m/>
    <s v=" "/>
    <s v=" "/>
    <m/>
    <s v=" "/>
    <s v=" "/>
    <s v=" "/>
    <m/>
    <s v=" "/>
  </r>
  <r>
    <s v="DaVita Dialysis"/>
    <s v="2985 Landover Blvd"/>
    <s v="Spring Hill"/>
    <s v="FL"/>
    <n v="1.109"/>
    <n v="2001"/>
    <n v="10200"/>
    <n v="286518"/>
    <n v="28.09"/>
    <d v="2028-09-30T00:00:00"/>
    <n v="6.567123287671233"/>
    <s v="NN"/>
    <s v="-"/>
    <s v="-"/>
    <n v="4906884"/>
    <n v="481.0670588235294"/>
    <n v="0.05839102778871479"/>
    <x v="242"/>
    <x v="304"/>
    <s v=": "/>
    <x v="177"/>
    <s v="Individual"/>
    <m/>
    <m/>
    <m/>
    <s v=" "/>
    <s v=" "/>
    <m/>
    <s v=" "/>
    <s v=" "/>
    <s v=" "/>
    <m/>
    <s v=" "/>
  </r>
  <r>
    <s v="DaVita Dialysis"/>
    <s v="22761 US-17"/>
    <s v="Hampstead"/>
    <s v="NC"/>
    <n v="3.34"/>
    <n v="2021"/>
    <n v="23000"/>
    <m/>
    <s v=" "/>
    <m/>
    <s v=" "/>
    <m/>
    <m/>
    <m/>
    <n v="2750000"/>
    <n v="119.5652173913043"/>
    <s v=" "/>
    <x v="243"/>
    <x v="139"/>
    <m/>
    <x v="178"/>
    <s v="Individual"/>
    <m/>
    <m/>
    <m/>
    <s v=" "/>
    <s v=" "/>
    <m/>
    <s v=" "/>
    <s v=" "/>
    <s v=" "/>
    <m/>
    <s v=" "/>
  </r>
  <r>
    <s v="DaVita Dialysis"/>
    <s v="411 Lindberg Ave"/>
    <s v="Mcallen"/>
    <s v="TX"/>
    <n v="0.8424"/>
    <n v="1997"/>
    <n v="9904"/>
    <m/>
    <s v=" "/>
    <m/>
    <s v=" "/>
    <m/>
    <m/>
    <m/>
    <m/>
    <s v=" "/>
    <s v=" "/>
    <x v="243"/>
    <x v="305"/>
    <m/>
    <x v="109"/>
    <s v="Fund"/>
    <m/>
    <m/>
    <m/>
    <s v=" "/>
    <s v=" "/>
    <m/>
    <s v=" "/>
    <s v=" "/>
    <s v=" "/>
    <m/>
    <s v=" "/>
  </r>
  <r>
    <s v="DaVita Dialysis"/>
    <s v="173 Savannah Garden Dr"/>
    <s v="Carthage"/>
    <s v="NC"/>
    <n v="0.98"/>
    <n v="2010"/>
    <n v="6536"/>
    <m/>
    <s v=" "/>
    <m/>
    <s v=" "/>
    <m/>
    <m/>
    <m/>
    <n v="1960000"/>
    <n v="299.8776009791922"/>
    <s v=" "/>
    <x v="243"/>
    <x v="13"/>
    <m/>
    <x v="0"/>
    <s v="Individual"/>
    <m/>
    <m/>
    <m/>
    <s v=" "/>
    <s v=" "/>
    <m/>
    <s v=" "/>
    <s v=" "/>
    <s v=" "/>
    <m/>
    <s v=" "/>
  </r>
  <r>
    <s v="DaVita Dialysis"/>
    <s v="418 Broad St"/>
    <s v="Sumter"/>
    <s v="SC"/>
    <n v="1.39"/>
    <n v="2015"/>
    <n v="9232"/>
    <n v="169693"/>
    <n v="18.3809575389948"/>
    <d v="2030-09-30T00:00:00"/>
    <n v="8.583561643835617"/>
    <s v="NNN"/>
    <s v="10% every 5 years"/>
    <s v="2, 5yr"/>
    <n v="3085334"/>
    <n v="334.1999566724436"/>
    <n v="0.05499988007781329"/>
    <x v="244"/>
    <x v="69"/>
    <s v="Colliers; Patel"/>
    <x v="179"/>
    <s v="Individual"/>
    <m/>
    <m/>
    <n v="3393868"/>
    <n v="0.04999988214037788"/>
    <n v="0.9090907483732426"/>
    <n v="3393868"/>
    <n v="0.04999988214037788"/>
    <n v="0.004999997937435413"/>
    <s v="No"/>
    <d v="2021-09-22T00:00:00"/>
    <n v="162"/>
  </r>
  <r>
    <s v="DaVita Dialysis - Condo"/>
    <s v="11140 W Colonial Dr"/>
    <s v="Ocoee"/>
    <s v="FL"/>
    <n v="1.4"/>
    <n v="1987"/>
    <n v="4985"/>
    <n v="113960"/>
    <n v="22.86058174523571"/>
    <m/>
    <s v=" "/>
    <s v="NNN"/>
    <s v="3% annually"/>
    <s v="2, 3yr"/>
    <n v="1850000"/>
    <n v="371.1133400200602"/>
    <n v="0.0616"/>
    <x v="245"/>
    <x v="306"/>
    <s v="SRS; Carter"/>
    <x v="0"/>
    <s v="Individual"/>
    <m/>
    <m/>
    <n v="1549000"/>
    <n v="0.07357004519044545"/>
    <n v="1.194318915429309"/>
    <n v="1549000"/>
    <n v="0.07357004519044545"/>
    <n v="-0.01197004519044545"/>
    <s v="No"/>
    <m/>
    <s v=" "/>
  </r>
  <r>
    <s v="DaVita Dialysis"/>
    <s v="56845 29 Palms Hwy"/>
    <s v="Yucca Valley"/>
    <s v="CA"/>
    <n v="1.57"/>
    <n v="2016"/>
    <n v="19950"/>
    <n v="340857"/>
    <n v="17.08556390977444"/>
    <d v="2031-07-19T00:00:00"/>
    <n v="9.389041095890411"/>
    <s v="NN"/>
    <s v="10% every 5 years"/>
    <s v="2, 5yr"/>
    <n v="5454000"/>
    <n v="273.3834586466165"/>
    <n v="0.06249669966996699"/>
    <x v="246"/>
    <x v="307"/>
    <s v="Cole; M&amp;M"/>
    <x v="138"/>
    <s v="REIT"/>
    <m/>
    <m/>
    <n v="6175000"/>
    <n v="0.05519951417004049"/>
    <n v="0.8832388663967611"/>
    <n v="6175000"/>
    <n v="0.05519951417004049"/>
    <n v="0.007297185499926508"/>
    <s v="No"/>
    <d v="2021-07-15T00:00:00"/>
    <n v="229"/>
  </r>
  <r>
    <s v="Davita Dialysis"/>
    <s v="22807 US-17"/>
    <s v="Surf City"/>
    <s v="NC"/>
    <n v="3.34"/>
    <n v="2015"/>
    <n v="7917"/>
    <m/>
    <s v=" "/>
    <m/>
    <s v=" "/>
    <m/>
    <m/>
    <m/>
    <n v="2750000"/>
    <n v="347.3537956296577"/>
    <s v=" "/>
    <x v="247"/>
    <x v="308"/>
    <s v="Colliers"/>
    <x v="180"/>
    <s v="Individual"/>
    <s v="Marcus &amp; Millichap"/>
    <m/>
    <m/>
    <s v=" "/>
    <s v=" "/>
    <m/>
    <s v=" "/>
    <s v=" "/>
    <s v=" "/>
    <m/>
    <s v=" "/>
  </r>
  <r>
    <s v="Fresenius Medical Care"/>
    <s v="1061 Husband Rd"/>
    <s v="Paducah"/>
    <s v="KY"/>
    <n v="0.6899999999999999"/>
    <n v="2002"/>
    <n v="5682"/>
    <n v="169170.5729087136"/>
    <n v="29.77306809375459"/>
    <d v="2027-09-30T00:00:00"/>
    <n v="5.610958904109589"/>
    <s v="NN"/>
    <s v="CPI annually"/>
    <s v="2, 5yr"/>
    <n v="1685000"/>
    <n v="296.5505103836677"/>
    <n v="0.1003979661179309"/>
    <x v="248"/>
    <x v="309"/>
    <m/>
    <x v="73"/>
    <s v="Fund"/>
    <m/>
    <m/>
    <m/>
    <s v=" "/>
    <s v=" "/>
    <m/>
    <s v=" "/>
    <s v=" "/>
    <s v=" "/>
    <m/>
    <s v=" "/>
  </r>
  <r>
    <s v="DaVita Dialysis"/>
    <s v="1809 Ave H"/>
    <s v="Birmingham"/>
    <s v="AL"/>
    <n v="0.91"/>
    <n v="2010"/>
    <n v="6500"/>
    <n v="36058"/>
    <n v="5.547384615384615"/>
    <d v="2026-01-31T00:00:00"/>
    <n v="3.953424657534247"/>
    <s v="Absolute NNN"/>
    <s v="2% annually"/>
    <s v="2, 5yr"/>
    <n v="481000"/>
    <n v="74"/>
    <n v="0.07496465696465697"/>
    <x v="249"/>
    <x v="310"/>
    <s v="Vaughan; SJC"/>
    <x v="181"/>
    <s v="Individual"/>
    <m/>
    <m/>
    <n v="515114"/>
    <n v="0.07000003882635689"/>
    <n v="0.9337738830627783"/>
    <n v="515144"/>
    <n v="0.06999596229403818"/>
    <n v="0.004968694670618792"/>
    <s v="Yes"/>
    <d v="2021-10-06T00:00:00"/>
    <n v="135"/>
  </r>
  <r>
    <s v="DaVita Dialysis"/>
    <s v="575 Altapass Hwy"/>
    <s v="Spruce Pine"/>
    <s v="NC"/>
    <n v="3.49"/>
    <n v="1975"/>
    <n v="6527"/>
    <m/>
    <s v=" "/>
    <m/>
    <s v=" "/>
    <m/>
    <m/>
    <m/>
    <n v="1748000"/>
    <n v="267.8106327562433"/>
    <s v=" "/>
    <x v="250"/>
    <x v="139"/>
    <m/>
    <x v="182"/>
    <s v="Individual"/>
    <m/>
    <m/>
    <m/>
    <s v=" "/>
    <s v=" "/>
    <m/>
    <s v=" "/>
    <s v=" "/>
    <s v=" "/>
    <m/>
    <s v=" "/>
  </r>
  <r>
    <s v="Davita Dialysis - MT"/>
    <s v="560 E Herndon Ave"/>
    <s v="Fresno"/>
    <s v="CA"/>
    <n v="1.84"/>
    <n v="2011"/>
    <n v="30560"/>
    <m/>
    <s v=" "/>
    <m/>
    <s v=" "/>
    <m/>
    <m/>
    <m/>
    <n v="11400000"/>
    <n v="373.0366492146597"/>
    <s v=" "/>
    <x v="251"/>
    <x v="311"/>
    <m/>
    <x v="183"/>
    <s v="Individual"/>
    <m/>
    <m/>
    <m/>
    <s v=" "/>
    <s v=" "/>
    <m/>
    <s v=" "/>
    <s v=" "/>
    <s v=" "/>
    <m/>
    <s v=" "/>
  </r>
  <r>
    <s v="DaVita Dialysis"/>
    <s v="1299 E Commercial Blvd"/>
    <s v="Oakland Park"/>
    <s v="FL"/>
    <n v="0.52"/>
    <n v="2011"/>
    <n v="17946"/>
    <n v="309951"/>
    <n v="17.27131394182548"/>
    <d v="2029-04-30T00:00:00"/>
    <n v="7.205479452054795"/>
    <s v="NN"/>
    <s v="2.5% annually"/>
    <s v="2, 5yr"/>
    <n v="4000000"/>
    <n v="222.8908949069431"/>
    <n v="0.07748774999999999"/>
    <x v="251"/>
    <x v="312"/>
    <s v="PH: Peranich Huffman "/>
    <x v="184"/>
    <s v="Individual"/>
    <m/>
    <m/>
    <n v="4768000"/>
    <n v="0.06500650167785235"/>
    <n v="0.8389261744966443"/>
    <n v="4768000"/>
    <n v="0.06500650167785235"/>
    <n v="0.01248124832214764"/>
    <s v="No"/>
    <d v="2021-09-01T00:00:00"/>
    <n v="168"/>
  </r>
  <r>
    <s v="DaVita Dialysis"/>
    <s v="2880 W Airline Hwy"/>
    <s v="La Place"/>
    <s v="LA"/>
    <n v="1.09"/>
    <n v="2021"/>
    <n v="8645"/>
    <n v="146387"/>
    <n v="16.93314054366686"/>
    <d v="2036-02-28T00:00:00"/>
    <n v="14.04383561643836"/>
    <s v="NN"/>
    <s v="10% every 5 years"/>
    <s v="3, 5yr"/>
    <n v="2814612.5"/>
    <n v="325.5769230769231"/>
    <n v="0.05200964608804942"/>
    <x v="252"/>
    <x v="66"/>
    <s v="SJC; Briggs"/>
    <x v="185"/>
    <s v="Individual"/>
    <s v="Newmark"/>
    <m/>
    <n v="2927740"/>
    <n v="0.05"/>
    <n v="0.9613601276069597"/>
    <n v="2927740"/>
    <n v="0.05"/>
    <n v="0.002009646088049419"/>
    <s v="No"/>
    <d v="2021-11-17T00:00:00"/>
    <n v="90"/>
  </r>
  <r>
    <s v="DaVita Dialysis"/>
    <s v="1550 Goodman Ave"/>
    <s v="North College Hill"/>
    <s v="OH"/>
    <n v="0.677"/>
    <n v="2021"/>
    <n v="7481"/>
    <n v="173374"/>
    <n v="23.1752439513434"/>
    <d v="2036-11-29T00:00:00"/>
    <n v="14.7972602739726"/>
    <s v="NN"/>
    <s v="10% every 5 years, Lesser of 10% or FMV in each option"/>
    <s v="3, 5yr"/>
    <n v="3271878"/>
    <n v="437.3583745488571"/>
    <n v="0.05298913957060746"/>
    <x v="252"/>
    <x v="66"/>
    <s v="SJC; Briggs"/>
    <x v="186"/>
    <s v="Individual"/>
    <m/>
    <m/>
    <n v="3422673"/>
    <n v="0.05065456150792086"/>
    <n v="0.9559423292847432"/>
    <n v="3467480"/>
    <n v="0.05"/>
    <n v="0.002989139570607459"/>
    <s v="Yes"/>
    <d v="2021-07-01T00:00:00"/>
    <n v="229"/>
  </r>
  <r>
    <s v="Fresenius Medical Care"/>
    <s v="8704 University Ave"/>
    <s v="Lubbock"/>
    <s v="TX"/>
    <n v="1.8"/>
    <n v="2016"/>
    <n v="8387"/>
    <n v="355805.1898108342"/>
    <n v="42.42341597839921"/>
    <d v="2031-08-30T00:00:00"/>
    <n v="9.545205479452054"/>
    <s v="NN"/>
    <s v="1.7% annually"/>
    <s v="3, 5yr"/>
    <m/>
    <s v=" "/>
    <s v=" "/>
    <x v="253"/>
    <x v="313"/>
    <m/>
    <x v="73"/>
    <s v="Fund"/>
    <m/>
    <m/>
    <m/>
    <s v=" "/>
    <s v=" "/>
    <m/>
    <s v=" "/>
    <s v=" "/>
    <s v=" "/>
    <m/>
    <s v=" "/>
  </r>
  <r>
    <s v="U.S. Renal Care"/>
    <s v="501 College Ave"/>
    <s v="Fort Worth"/>
    <s v="TX"/>
    <n v="0.93"/>
    <n v="2010"/>
    <n v="18000"/>
    <n v="477365"/>
    <n v="26.52027777777778"/>
    <d v="2028-10-31T00:00:00"/>
    <n v="6.723287671232876"/>
    <s v="NN"/>
    <s v="2% annually"/>
    <s v="2, 5yr"/>
    <n v="8175000"/>
    <n v="454.1666666666667"/>
    <n v="0.05839327217125382"/>
    <x v="254"/>
    <x v="163"/>
    <s v="CBRE; Schroeder"/>
    <x v="187"/>
    <s v="REIT"/>
    <m/>
    <m/>
    <n v="8302000"/>
    <n v="0.0575"/>
    <n v="0.9847024813298001"/>
    <n v="8302000"/>
    <n v="0.0575"/>
    <n v="0.0008932721712538172"/>
    <s v="No"/>
    <d v="2021-10-14T00:00:00"/>
    <n v="120"/>
  </r>
  <r>
    <s v="Davita Dialysis"/>
    <s v="2703 S Towne Ave"/>
    <s v="Pomona"/>
    <s v="CA"/>
    <n v="2.735641"/>
    <n v="2014"/>
    <n v="11549"/>
    <n v="359445"/>
    <n v="31.12347389384362"/>
    <d v="2029-07-30T00:00:00"/>
    <n v="7.471232876712329"/>
    <s v="NN"/>
    <s v="10% every 5 years"/>
    <s v="2, 5yr"/>
    <n v="7730000"/>
    <n v="669.3220192224435"/>
    <n v="0.0465"/>
    <x v="255"/>
    <x v="314"/>
    <s v="Matthews; Solomon"/>
    <x v="188"/>
    <s v="Fund"/>
    <s v="KPI Brokers"/>
    <m/>
    <m/>
    <s v=" "/>
    <s v=" "/>
    <m/>
    <s v=" "/>
    <s v=" "/>
    <s v=" "/>
    <m/>
    <s v=" "/>
  </r>
  <r>
    <s v="DaVita Dialysis - MT"/>
    <s v="20333 Southwest Fwy"/>
    <s v="Sugar Land"/>
    <s v="TX"/>
    <n v="1.59"/>
    <n v="2010"/>
    <n v="11177"/>
    <m/>
    <s v=" "/>
    <m/>
    <s v=" "/>
    <m/>
    <m/>
    <m/>
    <m/>
    <s v=" "/>
    <s v=" "/>
    <x v="255"/>
    <x v="315"/>
    <s v="Oliver Commercial Real Estate: Oliver"/>
    <x v="189"/>
    <s v="Individual"/>
    <m/>
    <m/>
    <m/>
    <s v=" "/>
    <s v=" "/>
    <m/>
    <s v=" "/>
    <s v=" "/>
    <s v=" "/>
    <m/>
    <s v=" "/>
  </r>
  <r>
    <s v="Fresenius Medical Care"/>
    <s v="3 Windcrest National"/>
    <s v="Magnolia"/>
    <s v="TX"/>
    <n v="1.0502"/>
    <n v="2015"/>
    <n v="5686"/>
    <m/>
    <s v=" "/>
    <m/>
    <s v=" "/>
    <m/>
    <m/>
    <m/>
    <m/>
    <s v=" "/>
    <s v=" "/>
    <x v="256"/>
    <x v="316"/>
    <m/>
    <x v="190"/>
    <s v="Individual"/>
    <m/>
    <m/>
    <m/>
    <s v=" "/>
    <s v=" "/>
    <m/>
    <s v=" "/>
    <s v=" "/>
    <s v=" "/>
    <m/>
    <s v=" "/>
  </r>
  <r>
    <s v="DaVita Dialysis"/>
    <s v="1595 Old Lebanon Rd"/>
    <s v="Campbellsville"/>
    <s v="KY"/>
    <n v="1.5"/>
    <n v="2015"/>
    <n v="7069"/>
    <m/>
    <s v=" "/>
    <m/>
    <s v=" "/>
    <m/>
    <m/>
    <m/>
    <n v="3334000"/>
    <n v="471.6367237232989"/>
    <s v=" "/>
    <x v="257"/>
    <x v="294"/>
    <m/>
    <x v="191"/>
    <s v="Individual"/>
    <m/>
    <m/>
    <m/>
    <s v=" "/>
    <s v=" "/>
    <m/>
    <s v=" "/>
    <s v=" "/>
    <s v=" "/>
    <m/>
    <s v=" "/>
  </r>
  <r>
    <s v="Fresenius Medical Care"/>
    <s v="3300 Vista Way"/>
    <s v="Oceanside"/>
    <s v="CA"/>
    <n v="1.69"/>
    <n v="1997"/>
    <n v="12634"/>
    <n v="469812"/>
    <n v="37.18632262149755"/>
    <m/>
    <s v=" "/>
    <m/>
    <m/>
    <m/>
    <n v="7140000"/>
    <n v="565.1416811777742"/>
    <n v="0.0658"/>
    <x v="258"/>
    <x v="317"/>
    <m/>
    <x v="149"/>
    <s v="Individual"/>
    <m/>
    <m/>
    <m/>
    <s v=" "/>
    <s v=" "/>
    <m/>
    <s v=" "/>
    <s v=" "/>
    <s v=" "/>
    <m/>
    <s v=" "/>
  </r>
  <r>
    <s v="DaVita Dialysis"/>
    <s v="5180 Yelm Hwy"/>
    <s v="Lacey"/>
    <s v="WA"/>
    <m/>
    <n v="2020"/>
    <n v="10320"/>
    <n v="371250"/>
    <n v="35.97383720930232"/>
    <d v="2036-09-29T00:00:00"/>
    <n v="14.66575342465753"/>
    <s v="NN"/>
    <s v="10% every 5 years"/>
    <m/>
    <n v="8200000"/>
    <n v="794.5736434108527"/>
    <n v="0.04527439024390244"/>
    <x v="258"/>
    <x v="193"/>
    <s v="Matthews; Selleck"/>
    <x v="192"/>
    <s v="Individual"/>
    <s v="Lee; Barr"/>
    <m/>
    <n v="8250000"/>
    <n v="0.045"/>
    <n v="0.9939393939393939"/>
    <n v="8250000"/>
    <n v="0.045"/>
    <n v="0.0002743902439024393"/>
    <s v="No"/>
    <m/>
    <s v=" "/>
  </r>
  <r>
    <s v="Fresenius Medical Care"/>
    <s v="1605 S Main St"/>
    <s v="Lillington"/>
    <s v="NC"/>
    <n v="1.51"/>
    <n v="2005"/>
    <n v="7020"/>
    <n v="138750"/>
    <n v="19.76495726495726"/>
    <m/>
    <s v=" "/>
    <m/>
    <m/>
    <m/>
    <n v="2626000"/>
    <n v="374.0740740740741"/>
    <n v="0.05283701447067784"/>
    <x v="258"/>
    <x v="318"/>
    <m/>
    <x v="73"/>
    <s v="Fund"/>
    <m/>
    <m/>
    <m/>
    <s v=" "/>
    <s v=" "/>
    <m/>
    <s v=" "/>
    <s v=" "/>
    <s v=" "/>
    <m/>
    <s v=" "/>
  </r>
  <r>
    <s v="DaVita Dialysis"/>
    <s v="4309 Mesa Dr"/>
    <s v="Denton"/>
    <s v="TX"/>
    <n v="1.5"/>
    <n v="1982"/>
    <n v="12216"/>
    <m/>
    <s v=" "/>
    <m/>
    <s v=" "/>
    <m/>
    <m/>
    <m/>
    <m/>
    <s v=" "/>
    <s v=" "/>
    <x v="259"/>
    <x v="319"/>
    <m/>
    <x v="171"/>
    <s v="Individual"/>
    <m/>
    <m/>
    <m/>
    <s v=" "/>
    <s v=" "/>
    <m/>
    <s v=" "/>
    <s v=" "/>
    <s v=" "/>
    <m/>
    <s v=" "/>
  </r>
  <r>
    <s v="Fresenius Medical Care"/>
    <s v="4300 W Railroad St"/>
    <s v="Gulfport"/>
    <s v="MS"/>
    <n v="0.71"/>
    <n v="1993"/>
    <n v="7781"/>
    <m/>
    <s v=" "/>
    <m/>
    <s v=" "/>
    <m/>
    <m/>
    <m/>
    <n v="3018750"/>
    <n v="387.9642719444801"/>
    <s v=" "/>
    <x v="259"/>
    <x v="320"/>
    <m/>
    <x v="193"/>
    <s v="Fund"/>
    <m/>
    <m/>
    <m/>
    <s v=" "/>
    <s v=" "/>
    <m/>
    <s v=" "/>
    <s v=" "/>
    <s v=" "/>
    <m/>
    <s v=" "/>
  </r>
  <r>
    <s v="Fresenius Medical Care"/>
    <s v="1604 Cynthia St"/>
    <s v="Franklin"/>
    <s v="LA"/>
    <n v="0.3"/>
    <n v="1994"/>
    <n v="4200"/>
    <n v="55258"/>
    <n v="13.15666666666667"/>
    <d v="2027-11-30T00:00:00"/>
    <n v="5.843835616438356"/>
    <s v="NN"/>
    <s v="6.4% in December 2022"/>
    <s v="2, 5yr"/>
    <n v="810487"/>
    <n v="192.9730952380952"/>
    <n v="0.06817876165811419"/>
    <x v="260"/>
    <x v="250"/>
    <s v="SJC; Powell"/>
    <x v="194"/>
    <s v="Individual"/>
    <m/>
    <m/>
    <n v="850123"/>
    <n v="0.06500000588150186"/>
    <n v="0.9533761585088275"/>
    <n v="850123"/>
    <n v="0.06500000588150186"/>
    <n v="0.003178755776612335"/>
    <s v="No"/>
    <d v="2021-11-10T00:00:00"/>
    <n v="78"/>
  </r>
  <r>
    <s v="U.S. Renal Care"/>
    <s v="7600 Lakeview Pky"/>
    <s v="Rowlett"/>
    <s v="TX"/>
    <n v="2.57"/>
    <n v="2004"/>
    <n v="12629"/>
    <m/>
    <s v=" "/>
    <m/>
    <s v=" "/>
    <m/>
    <m/>
    <m/>
    <m/>
    <s v=" "/>
    <s v=" "/>
    <x v="261"/>
    <x v="321"/>
    <s v=": "/>
    <x v="195"/>
    <s v="Individual"/>
    <m/>
    <m/>
    <m/>
    <s v=" "/>
    <s v=" "/>
    <m/>
    <s v=" "/>
    <s v=" "/>
    <s v=" "/>
    <m/>
    <s v=" "/>
  </r>
  <r>
    <s v="Fresenius Medical Care"/>
    <m/>
    <s v="Portfolio of 8"/>
    <m/>
    <m/>
    <m/>
    <n v="92956"/>
    <n v="2883540"/>
    <n v="31.02048280907096"/>
    <m/>
    <s v=" "/>
    <m/>
    <m/>
    <m/>
    <n v="56540000"/>
    <n v="608.2447609621756"/>
    <n v="0.051"/>
    <x v="262"/>
    <x v="248"/>
    <s v="SRS; Luther"/>
    <x v="73"/>
    <s v="Fund"/>
    <s v="AY; Youngguist"/>
    <m/>
    <m/>
    <s v=" "/>
    <s v=" "/>
    <m/>
    <s v=" "/>
    <s v=" "/>
    <s v=" "/>
    <d v="2021-04-27T00:00:00"/>
    <n v="269"/>
  </r>
  <r>
    <s v="Fresenius Medical Care - Portfolio of 8"/>
    <s v="2429 Martin Luther King Jr Dr"/>
    <s v="Cleveland"/>
    <s v="OH"/>
    <n v="2.42"/>
    <n v="2016"/>
    <n v="31365"/>
    <n v="717182"/>
    <n v="22.86567830384186"/>
    <d v="2031-10-31T00:00:00"/>
    <n v="9.780821917808218"/>
    <s v="NN"/>
    <s v="10% every 5 years; FMV at each option"/>
    <s v="3, 5yr"/>
    <n v="14000000"/>
    <n v="446.3574047505181"/>
    <n v="0.05122728571428571"/>
    <x v="262"/>
    <x v="248"/>
    <s v="SRS; Luther"/>
    <x v="73"/>
    <s v="Fund"/>
    <s v="AY; Youngguist"/>
    <s v="Choice One Property"/>
    <n v="12212813"/>
    <n v="0.05872373547355552"/>
    <n v="1.146337047820187"/>
    <n v="13453282"/>
    <n v="0.05330907357773367"/>
    <n v="-0.002081787863447961"/>
    <s v="Yes"/>
    <d v="2021-04-27T00:00:00"/>
    <n v="269"/>
  </r>
  <r>
    <s v="Fresenius Medical Care - Portfolio of 8"/>
    <s v="4901 E Sam Houston Pkwy"/>
    <s v="Pasadena"/>
    <s v="TX"/>
    <n v="1.77"/>
    <n v="2016"/>
    <n v="11570"/>
    <m/>
    <s v=" "/>
    <d v="2032-02-10T00:00:00"/>
    <n v="10.06027397260274"/>
    <s v="NN"/>
    <m/>
    <m/>
    <n v="7094265"/>
    <n v="613.1603284356094"/>
    <s v=" "/>
    <x v="262"/>
    <x v="248"/>
    <s v="SRS; Luther"/>
    <x v="73"/>
    <s v="Fund"/>
    <s v="AY; Youngguist"/>
    <m/>
    <m/>
    <s v=" "/>
    <s v=" "/>
    <m/>
    <s v=" "/>
    <s v=" "/>
    <s v=" "/>
    <m/>
    <s v=" "/>
  </r>
  <r>
    <s v="Fresenius Medical Care - Portfolio of 8"/>
    <s v="1570 Long Pond Rd"/>
    <s v="Greece"/>
    <s v="NY"/>
    <n v="1.77"/>
    <n v="2015"/>
    <n v="10377"/>
    <m/>
    <s v=" "/>
    <d v="2030-05-31T00:00:00"/>
    <n v="8.361643835616439"/>
    <s v="NN"/>
    <s v="10% every 5 years"/>
    <s v="3, 5yr"/>
    <n v="7083374"/>
    <n v="682.6032572034306"/>
    <s v=" "/>
    <x v="262"/>
    <x v="248"/>
    <s v="SRS; Luther"/>
    <x v="73"/>
    <s v="Fund"/>
    <s v="AY; Youngguist"/>
    <m/>
    <n v="6578250"/>
    <s v=" "/>
    <n v="1.076786987420667"/>
    <n v="7002720"/>
    <s v=" "/>
    <s v=" "/>
    <s v="Yes"/>
    <d v="2021-05-07T00:00:00"/>
    <n v="259"/>
  </r>
  <r>
    <s v="DaVita Dialysis (Leasehold)"/>
    <s v="5240 W Lowell Ave"/>
    <s v="Spokane"/>
    <s v="WA"/>
    <n v="1.72"/>
    <n v="2021"/>
    <n v="10215"/>
    <n v="139908"/>
    <n v="13.69632892804699"/>
    <d v="2036-01-06T00:00:00"/>
    <n v="13.96712328767123"/>
    <s v="NN"/>
    <s v="10% every 5 years"/>
    <s v="3, 5yr"/>
    <n v="2300000"/>
    <n v="225.1590797846304"/>
    <n v="0.0608295652173913"/>
    <x v="262"/>
    <x v="66"/>
    <s v="SJC; Briggs"/>
    <x v="196"/>
    <s v="Fund"/>
    <m/>
    <s v="Vandervert Developments"/>
    <n v="2624907"/>
    <n v="0.05330017406330967"/>
    <n v="0.8762215194671659"/>
    <n v="2624907"/>
    <n v="0.05330017406330967"/>
    <n v="0.007529391154081633"/>
    <s v="No"/>
    <d v="2021-09-06T00:00:00"/>
    <n v="137"/>
  </r>
  <r>
    <s v="Fresenius Medical Care - Portfolio of 8"/>
    <s v="110 Logan Ct"/>
    <s v="Albany"/>
    <s v="GA"/>
    <n v="2.02"/>
    <n v="2015"/>
    <n v="8564"/>
    <n v="299481.129"/>
    <n v="34.96977218589443"/>
    <m/>
    <s v=" "/>
    <m/>
    <m/>
    <m/>
    <n v="5872179"/>
    <n v="685.6818075665577"/>
    <n v="0.05099999999999999"/>
    <x v="262"/>
    <x v="248"/>
    <s v="SRS; Luther"/>
    <x v="73"/>
    <s v="Fund"/>
    <s v="AY; Youngguist"/>
    <m/>
    <n v="17277725"/>
    <n v="0.01733336588005654"/>
    <n v="0.339869919216795"/>
    <n v="17277725"/>
    <n v="0.01733336588005654"/>
    <n v="0.03366663411994344"/>
    <s v="No"/>
    <d v="2021-05-08T00:00:00"/>
    <n v="258"/>
  </r>
  <r>
    <s v="Fresenius Medical Care - Portfolio of 8"/>
    <s v="4625 Center St"/>
    <s v="Deer Park"/>
    <s v="TX"/>
    <n v="1.22"/>
    <n v="2015"/>
    <n v="8334"/>
    <m/>
    <s v=" "/>
    <d v="2031-05-31T00:00:00"/>
    <n v="9.361643835616439"/>
    <s v="NN"/>
    <m/>
    <m/>
    <n v="4837158"/>
    <n v="580.4125269978401"/>
    <s v=" "/>
    <x v="262"/>
    <x v="248"/>
    <s v="SRS; Luther"/>
    <x v="73"/>
    <s v="Fund"/>
    <s v="AY; Youngguist"/>
    <m/>
    <m/>
    <s v=" "/>
    <s v=" "/>
    <m/>
    <s v=" "/>
    <s v=" "/>
    <s v=" "/>
    <m/>
    <s v=" "/>
  </r>
  <r>
    <s v="Fresenius Medical Care - Portfolio of 8"/>
    <s v="2101 W Broadway St"/>
    <s v="Bolivar"/>
    <s v="MO"/>
    <n v="1.24"/>
    <n v="2017"/>
    <n v="8141"/>
    <m/>
    <s v=" "/>
    <d v="2032-02-10T00:00:00"/>
    <n v="10.06027397260274"/>
    <s v="NN"/>
    <m/>
    <m/>
    <n v="5913577"/>
    <n v="726.3944232895221"/>
    <s v=" "/>
    <x v="262"/>
    <x v="248"/>
    <s v="SRS; Luther"/>
    <x v="73"/>
    <s v="Fund"/>
    <s v="AY; Youngguist"/>
    <m/>
    <m/>
    <s v=" "/>
    <s v=" "/>
    <m/>
    <s v=" "/>
    <s v=" "/>
    <s v=" "/>
    <m/>
    <s v=" "/>
  </r>
  <r>
    <s v="Fresenius Medical Care - Portfolio of 8"/>
    <s v="500 Sunchase Blvd"/>
    <s v="Farmville"/>
    <s v="VA"/>
    <n v="2.12"/>
    <m/>
    <n v="8014"/>
    <n v="909963"/>
    <n v="113.5466683304218"/>
    <m/>
    <s v=" "/>
    <m/>
    <m/>
    <m/>
    <n v="6876455"/>
    <n v="858.0552782630397"/>
    <m/>
    <x v="262"/>
    <x v="248"/>
    <s v="SRS; Luther"/>
    <x v="73"/>
    <s v="Fund"/>
    <s v="AY; Youngguist"/>
    <m/>
    <n v="17277725"/>
    <n v="0.05266682968967269"/>
    <n v="0.3979953958058715"/>
    <n v="17277725"/>
    <n v="0.05266682968967269"/>
    <s v=" "/>
    <s v="No"/>
    <d v="2021-05-08T00:00:00"/>
    <n v="258"/>
  </r>
  <r>
    <s v="DaVita Dialysis"/>
    <s v="425 M-B Ln"/>
    <s v="Chilton"/>
    <s v="WI"/>
    <n v="1.12"/>
    <n v="2014"/>
    <n v="7847"/>
    <n v="175772"/>
    <n v="22.39989805021027"/>
    <d v="2029-12-31T00:00:00"/>
    <n v="7.947945205479452"/>
    <s v="NN"/>
    <s v="2% annually"/>
    <s v="3, 5yr"/>
    <n v="2950000"/>
    <n v="375.9398496240602"/>
    <n v="0.05958372881355932"/>
    <x v="262"/>
    <x v="322"/>
    <s v="M&amp;M; Ruble"/>
    <x v="197"/>
    <s v="Individual"/>
    <m/>
    <m/>
    <n v="3057000"/>
    <n v="0.05749820085050703"/>
    <n v="0.9649983644095519"/>
    <n v="3057000"/>
    <n v="0.05749820085050703"/>
    <n v="0.002085527963052287"/>
    <s v="No"/>
    <d v="2021-11-11T00:00:00"/>
    <n v="71"/>
  </r>
  <r>
    <s v="DaVita Dialysis"/>
    <s v="227 N Lee St"/>
    <s v="Americus"/>
    <s v="GA"/>
    <n v="0.92"/>
    <m/>
    <n v="6912"/>
    <m/>
    <s v=" "/>
    <m/>
    <s v=" "/>
    <m/>
    <m/>
    <m/>
    <m/>
    <m/>
    <m/>
    <x v="262"/>
    <x v="13"/>
    <m/>
    <x v="0"/>
    <s v="Individual"/>
    <m/>
    <m/>
    <m/>
    <s v=" "/>
    <s v=" "/>
    <m/>
    <s v=" "/>
    <s v=" "/>
    <s v=" "/>
    <m/>
    <s v=" "/>
  </r>
  <r>
    <s v="Fresenius Medical Care - Portfolio of 8"/>
    <s v="65 Francis Way"/>
    <s v="Sharpsburg"/>
    <s v="GA"/>
    <n v="1.62"/>
    <n v="2016"/>
    <n v="6322"/>
    <n v="909963"/>
    <n v="143.9359379943056"/>
    <m/>
    <s v=" "/>
    <m/>
    <m/>
    <m/>
    <n v="4865682"/>
    <n v="769.6428345460297"/>
    <m/>
    <x v="262"/>
    <x v="248"/>
    <s v="SRS; Luther"/>
    <x v="73"/>
    <s v="Fund"/>
    <s v="AY; Youngguist"/>
    <m/>
    <n v="17277725"/>
    <n v="0.05266682968967269"/>
    <n v="0.2816158956112567"/>
    <n v="17277725"/>
    <n v="0.05266682968967269"/>
    <s v=" "/>
    <s v="No"/>
    <d v="2021-05-08T00:00:00"/>
    <n v="258"/>
  </r>
  <r>
    <s v="DaVita Dialysis"/>
    <s v="140 Thomas Johnson Dr"/>
    <s v="Frederick"/>
    <s v="MD"/>
    <n v="2.25"/>
    <n v="2008"/>
    <n v="20436"/>
    <m/>
    <s v=" "/>
    <m/>
    <s v=" "/>
    <m/>
    <m/>
    <m/>
    <n v="8000000"/>
    <n v="391.4660403210021"/>
    <s v=" "/>
    <x v="263"/>
    <x v="323"/>
    <s v="Scheer Partners Inc."/>
    <x v="198"/>
    <s v="Individual"/>
    <m/>
    <m/>
    <m/>
    <s v=" "/>
    <s v=" "/>
    <m/>
    <s v=" "/>
    <s v=" "/>
    <s v=" "/>
    <m/>
    <s v=" "/>
  </r>
  <r>
    <s v="DaVita Dialysis"/>
    <s v="10700 Macarthur Blvd - Part of a Portfolio"/>
    <s v="Oakland"/>
    <s v="CA"/>
    <n v="0.54"/>
    <n v="1962"/>
    <n v="8136"/>
    <n v="136660.462"/>
    <n v="16.79700860373648"/>
    <m/>
    <s v=" "/>
    <m/>
    <m/>
    <m/>
    <n v="1846763"/>
    <n v="226.9866027531957"/>
    <n v="0.074"/>
    <x v="263"/>
    <x v="324"/>
    <s v="JLL: Ley"/>
    <x v="199"/>
    <s v="Individual"/>
    <m/>
    <m/>
    <m/>
    <s v=" "/>
    <s v=" "/>
    <m/>
    <s v=" "/>
    <s v=" "/>
    <s v=" "/>
    <m/>
    <s v=" "/>
  </r>
  <r>
    <s v="Fresenius Medical Care"/>
    <s v="3314 Longmire"/>
    <s v="College Station"/>
    <s v="TX"/>
    <n v="0.1722"/>
    <n v="1999"/>
    <n v="7267"/>
    <m/>
    <s v=" "/>
    <m/>
    <s v=" "/>
    <m/>
    <m/>
    <m/>
    <m/>
    <s v=" "/>
    <s v=" "/>
    <x v="264"/>
    <x v="325"/>
    <m/>
    <x v="73"/>
    <s v="Fund"/>
    <s v="AY; Youngguist"/>
    <m/>
    <m/>
    <s v=" "/>
    <s v=" "/>
    <m/>
    <s v=" "/>
    <s v=" "/>
    <s v=" "/>
    <m/>
    <s v=" "/>
  </r>
  <r>
    <s v="Fresenius Medical Care"/>
    <s v="3411 W Millbrook Rd"/>
    <s v="Raleigh"/>
    <s v="NC"/>
    <n v="1.33"/>
    <n v="2006"/>
    <n v="7668"/>
    <n v="178741"/>
    <n v="23.30998956703182"/>
    <d v="2026-12-31T00:00:00"/>
    <n v="4.958904109589041"/>
    <s v="NN"/>
    <s v="At each option"/>
    <s v="2, 5yr"/>
    <n v="3109000"/>
    <n v="405.4512258737611"/>
    <n v="0.05749147635895786"/>
    <x v="265"/>
    <x v="326"/>
    <m/>
    <x v="200"/>
    <s v="Individual"/>
    <m/>
    <m/>
    <n v="3108540"/>
    <n v="0.05749998391527855"/>
    <n v="1.000147979437292"/>
    <n v="3108540"/>
    <n v="0.05749998391527855"/>
    <n v="-8.507556320688781e-06"/>
    <s v="No"/>
    <d v="2021-10-13T00:00:00"/>
    <n v="95"/>
  </r>
  <r>
    <s v="Fresenius Medical Care"/>
    <s v="500 Walnut Way"/>
    <s v="Palmetto"/>
    <s v="GA"/>
    <n v="2"/>
    <n v="2008"/>
    <n v="6835"/>
    <n v="182957.67"/>
    <n v="26.76776444769568"/>
    <d v="2032-09-19T00:00:00"/>
    <n v="10.68767123287671"/>
    <s v="NNN"/>
    <s v="2.25% annually"/>
    <s v="3, 5yr"/>
    <n v="3484908"/>
    <n v="509.8621799561083"/>
    <n v="0.0525"/>
    <x v="266"/>
    <x v="327"/>
    <s v="Bennett Realty and Development"/>
    <x v="201"/>
    <s v="Individual"/>
    <m/>
    <m/>
    <n v="3451455"/>
    <n v="0.05300885278817194"/>
    <n v="1.009692434060418"/>
    <n v="3451455"/>
    <n v="0.05300885278817194"/>
    <n v="-0.0005088527881719415"/>
    <s v="No"/>
    <d v="2021-10-22T00:00:00"/>
    <n v="84"/>
  </r>
  <r>
    <s v="DaVita Dialysis"/>
    <s v="2410 S Adams St"/>
    <s v="Tallahassee"/>
    <s v="FL"/>
    <n v="1.37"/>
    <n v="1999"/>
    <n v="6500"/>
    <n v="146884"/>
    <n v="22.59753846153846"/>
    <d v="2029-08-17T00:00:00"/>
    <n v="7.594520547945206"/>
    <s v="NN"/>
    <s v="2% annually"/>
    <s v="3, 5yr"/>
    <n v="2599717"/>
    <n v="399.9564615384616"/>
    <n v="0.05649999596109884"/>
    <x v="266"/>
    <x v="245"/>
    <s v="SJC; Briggs"/>
    <x v="186"/>
    <s v="Individual"/>
    <m/>
    <m/>
    <n v="2670613"/>
    <n v="0.05500010671707208"/>
    <n v="0.9734532858186491"/>
    <n v="2670613"/>
    <n v="0.05500010671707208"/>
    <n v="0.001499889244026768"/>
    <s v="No"/>
    <d v="2021-09-27T00:00:00"/>
    <n v="109"/>
  </r>
  <r>
    <s v="DaVita Dialysis"/>
    <s v="235 W Chelten Ave"/>
    <s v="Philadelphia"/>
    <s v="PA"/>
    <n v="0.5048"/>
    <n v="1985"/>
    <n v="13600"/>
    <m/>
    <s v=" "/>
    <m/>
    <s v=" "/>
    <m/>
    <m/>
    <m/>
    <n v="2475000"/>
    <n v="181.9852941176471"/>
    <s v=" "/>
    <x v="267"/>
    <x v="328"/>
    <s v=": "/>
    <x v="109"/>
    <s v="Fund"/>
    <m/>
    <m/>
    <m/>
    <s v=" "/>
    <s v=" "/>
    <m/>
    <s v=" "/>
    <s v=" "/>
    <s v=" "/>
    <m/>
    <s v=" "/>
  </r>
  <r>
    <s v="DaVita Dialysis - MOB"/>
    <s v="1253 Corporate Center Dr"/>
    <s v="Oconomowoc"/>
    <s v="WI"/>
    <n v="1.49"/>
    <n v="2003"/>
    <n v="12084"/>
    <n v="117633"/>
    <n v="9.734607745779543"/>
    <d v="2032-02-28T00:00:00"/>
    <n v="10.13698630136986"/>
    <s v="Gross"/>
    <s v="3% annually"/>
    <s v="2, 5yr"/>
    <n v="1807000"/>
    <n v="149.5365772922873"/>
    <n v="0.06509850581073602"/>
    <x v="268"/>
    <x v="329"/>
    <s v="Colliers: Spisak"/>
    <x v="202"/>
    <s v="Individual"/>
    <m/>
    <m/>
    <m/>
    <s v=" "/>
    <s v=" "/>
    <m/>
    <s v=" "/>
    <s v=" "/>
    <s v=" "/>
    <m/>
    <s v=" "/>
  </r>
  <r>
    <s v="Fresenius Medical Care"/>
    <s v="3134 W 76th St"/>
    <s v="Chicago"/>
    <s v="IL"/>
    <n v="1.36"/>
    <n v="2016"/>
    <n v="10947"/>
    <n v="224414"/>
    <n v="20.50004567461405"/>
    <d v="2026-10-31T00:00:00"/>
    <n v="4.816438356164384"/>
    <s v="NN"/>
    <m/>
    <s v="2, 5yr"/>
    <n v="3100000"/>
    <n v="283.18260710697"/>
    <n v="0.07239161290322581"/>
    <x v="269"/>
    <x v="76"/>
    <s v="SJC; Briggs"/>
    <x v="203"/>
    <s v="REIT"/>
    <m/>
    <m/>
    <n v="3534072"/>
    <n v="0.0635001211067573"/>
    <n v="0.8771751113163512"/>
    <n v="3349456"/>
    <n v="0.06700013375306318"/>
    <n v="0.005391479150162623"/>
    <s v="Yes"/>
    <d v="2021-01-20T00:00:00"/>
    <n v="352"/>
  </r>
  <r>
    <s v="DaVita Dialysis | VA Clinic"/>
    <s v="930 Furman Dr"/>
    <s v="Waupaca"/>
    <s v="WI"/>
    <n v="1.49"/>
    <n v="2015"/>
    <n v="6171"/>
    <n v="124128"/>
    <n v="20.1147301895965"/>
    <d v="2028-05-31T00:00:00"/>
    <n v="6.405479452054794"/>
    <s v="NN"/>
    <s v="2% annually"/>
    <s v="3, 5yr"/>
    <n v="1625000"/>
    <n v="263.3284718846216"/>
    <n v="0.07638646153846154"/>
    <x v="270"/>
    <x v="330"/>
    <s v="Meyers; SAGE"/>
    <x v="204"/>
    <s v="Individual"/>
    <m/>
    <m/>
    <n v="1688816"/>
    <n v="0.07350001421113964"/>
    <n v="0.9622125797008081"/>
    <n v="1688816"/>
    <n v="0.07350001421113964"/>
    <n v="0.002886447327321906"/>
    <s v="No"/>
    <d v="2021-09-29T00:00:00"/>
    <n v="98"/>
  </r>
  <r>
    <s v="DaVita Dialysis"/>
    <s v="8910 N 43rd Ave"/>
    <s v="Glendale"/>
    <s v="AZ"/>
    <n v="0.42"/>
    <n v="1980"/>
    <n v="2944"/>
    <m/>
    <s v=" "/>
    <m/>
    <s v=" "/>
    <m/>
    <m/>
    <m/>
    <n v="1295000"/>
    <n v="439.8777173913044"/>
    <s v=" "/>
    <x v="270"/>
    <x v="331"/>
    <s v="Walt Danley Realty"/>
    <x v="205"/>
    <s v="Individual"/>
    <m/>
    <m/>
    <m/>
    <s v=" "/>
    <s v=" "/>
    <m/>
    <s v=" "/>
    <s v=" "/>
    <s v=" "/>
    <m/>
    <s v=" "/>
  </r>
  <r>
    <s v="Fresenius Medical Care"/>
    <s v="2717 Decatur St"/>
    <s v="Kenner"/>
    <s v="LA"/>
    <n v="0.77"/>
    <n v="2006"/>
    <n v="7360"/>
    <n v="127328"/>
    <n v="17.3"/>
    <d v="2027-04-30T00:00:00"/>
    <n v="5.32054794520548"/>
    <s v="NN"/>
    <s v="Yes"/>
    <s v="3, 5yr"/>
    <n v="1800000"/>
    <n v="244.5652173913043"/>
    <n v="0.07073777777777777"/>
    <x v="271"/>
    <x v="332"/>
    <s v="James Capital; Anderson"/>
    <x v="206"/>
    <s v="Individual"/>
    <m/>
    <m/>
    <n v="1958892"/>
    <n v="0.06500001020985333"/>
    <n v="0.9188867992722417"/>
    <n v="1958892"/>
    <n v="0.06500001020985333"/>
    <n v="0.005737767567924448"/>
    <s v="No"/>
    <d v="2021-08-26T00:00:00"/>
    <n v="131"/>
  </r>
  <r>
    <s v="DaVita Dialysis"/>
    <s v="1905 Market Way"/>
    <s v="Watertown"/>
    <s v="WI"/>
    <n v="2.75"/>
    <n v="2019"/>
    <n v="5755"/>
    <n v="143702"/>
    <n v="24.96993918331885"/>
    <d v="2034-08-01T00:00:00"/>
    <n v="12.58356164383562"/>
    <s v="NN"/>
    <s v="2% annually"/>
    <s v="3, 5yr"/>
    <n v="3120000"/>
    <n v="542.1372719374457"/>
    <n v="0.04605833333333333"/>
    <x v="272"/>
    <x v="333"/>
    <s v="Bryant; M&amp;M"/>
    <x v="207"/>
    <s v="Individual"/>
    <m/>
    <m/>
    <n v="3120000"/>
    <n v="0.04605833333333333"/>
    <n v="1"/>
    <n v="3120000"/>
    <n v="0.04605833333333333"/>
    <n v="0"/>
    <s v="No"/>
    <d v="2021-11-18T00:00:00"/>
    <n v="46"/>
  </r>
  <r>
    <s v="Fresenius Medical Care"/>
    <s v="1536 W Center Rd"/>
    <s v="Essexville"/>
    <s v="MI"/>
    <n v="1.32"/>
    <n v="1991"/>
    <n v="8994"/>
    <n v="118271"/>
    <n v="13.14998888147654"/>
    <d v="2026-05-31T00:00:00"/>
    <n v="4.413698630136986"/>
    <s v="NN"/>
    <m/>
    <m/>
    <n v="1701741"/>
    <n v="189.2084723148766"/>
    <n v="0.06950000029381674"/>
    <x v="273"/>
    <x v="334"/>
    <s v="Lippitt; Landmark "/>
    <x v="208"/>
    <s v="Individual"/>
    <m/>
    <m/>
    <n v="1819554"/>
    <n v="0.06499999450414772"/>
    <n v="0.9352517155302893"/>
    <n v="1819554"/>
    <n v="0.06499999450414772"/>
    <n v="0.004500005789669026"/>
    <s v="No"/>
    <d v="2021-07-28T00:00:00"/>
    <n v="157"/>
  </r>
  <r>
    <s v="DaVita  Dialysis"/>
    <s v="510 N Macarthur Ave"/>
    <s v="Panama City"/>
    <s v="FL"/>
    <n v="0.93"/>
    <n v="1985"/>
    <n v="10000"/>
    <n v="301389.39"/>
    <n v="30.138939"/>
    <m/>
    <s v=" "/>
    <m/>
    <m/>
    <m/>
    <n v="4465028"/>
    <n v="446.5028"/>
    <n v="0.0675"/>
    <x v="274"/>
    <x v="335"/>
    <s v="Colliers International"/>
    <x v="49"/>
    <s v="REIT"/>
    <m/>
    <m/>
    <m/>
    <s v=" "/>
    <s v=" "/>
    <m/>
    <s v=" "/>
    <s v=" "/>
    <s v=" "/>
    <m/>
    <s v=" "/>
  </r>
  <r>
    <s v="Fresenius Medical Care"/>
    <s v="757 W Court St"/>
    <s v="Seguin"/>
    <s v="TX"/>
    <n v="0.9399999999999999"/>
    <s v="1969 | 2008"/>
    <n v="14400"/>
    <m/>
    <s v=" "/>
    <m/>
    <s v=" "/>
    <m/>
    <m/>
    <m/>
    <n v="2275000"/>
    <n v="157.9861111111111"/>
    <s v=" "/>
    <x v="274"/>
    <x v="336"/>
    <s v="Echo West; Butterfield"/>
    <x v="73"/>
    <s v="Fund"/>
    <s v="AY; Youngguist"/>
    <m/>
    <m/>
    <s v=" "/>
    <s v=" "/>
    <m/>
    <s v=" "/>
    <s v=" "/>
    <s v=" "/>
    <m/>
    <s v=" "/>
  </r>
  <r>
    <s v="Fresenius Medical Care"/>
    <s v="2154 Stenton Ave"/>
    <s v="Philadelphia"/>
    <s v="PA"/>
    <n v="0.47"/>
    <n v="2009"/>
    <n v="12520"/>
    <n v="325000"/>
    <n v="25.95846645367412"/>
    <d v="2024-06-01T00:00:00"/>
    <n v="2.421917808219178"/>
    <s v="NN"/>
    <s v="3% annually in base term; 2% annually in options"/>
    <m/>
    <n v="4100000"/>
    <n v="327.4760383386582"/>
    <n v="0.07926829268292683"/>
    <x v="275"/>
    <x v="337"/>
    <s v="Anthony Falcone"/>
    <x v="73"/>
    <s v="Fund"/>
    <m/>
    <m/>
    <n v="4700000"/>
    <n v="0.06914893617021277"/>
    <n v="0.8723404255319149"/>
    <n v="4600000"/>
    <n v="0.07065217391304347"/>
    <n v="0.008616118769883357"/>
    <s v="Yes"/>
    <d v="2017-07-27T00:00:00"/>
    <n v="1617"/>
  </r>
  <r>
    <s v="Fresenius Medical Care"/>
    <s v="4660 Mack Rd - Part of a Portfolio"/>
    <s v="Sacramento"/>
    <s v="CA"/>
    <n v="0.5096000000000001"/>
    <n v="2009"/>
    <n v="22197"/>
    <m/>
    <s v=" "/>
    <d v="2028-11-30T00:00:00"/>
    <n v="6.928767123287671"/>
    <s v="NN"/>
    <m/>
    <m/>
    <n v="1793885"/>
    <n v="80.81655178627743"/>
    <s v=" "/>
    <x v="276"/>
    <x v="338"/>
    <s v=": "/>
    <x v="209"/>
    <s v="Individual"/>
    <m/>
    <m/>
    <m/>
    <s v=" "/>
    <s v=" "/>
    <m/>
    <s v=" "/>
    <s v=" "/>
    <s v=" "/>
    <m/>
    <s v=" "/>
  </r>
  <r>
    <s v="Fresenius Medical Care"/>
    <s v="1720-1724 Phoenix Pky - Part of a Portfolio"/>
    <s v="College Park"/>
    <s v="GA"/>
    <n v="1.3168"/>
    <n v="1985"/>
    <n v="13944"/>
    <m/>
    <s v=" "/>
    <m/>
    <s v=" "/>
    <m/>
    <m/>
    <m/>
    <n v="1445333"/>
    <n v="103.6526821572002"/>
    <s v=" "/>
    <x v="276"/>
    <x v="339"/>
    <s v="Avison Young"/>
    <x v="210"/>
    <s v="Individual"/>
    <m/>
    <m/>
    <m/>
    <s v=" "/>
    <s v=" "/>
    <m/>
    <s v=" "/>
    <s v=" "/>
    <s v=" "/>
    <m/>
    <s v=" "/>
  </r>
  <r>
    <s v="Fresenius Medical Care"/>
    <s v="555 Denbigh Blvd"/>
    <s v="Newport News"/>
    <s v="VA"/>
    <n v="1.12"/>
    <n v="2020"/>
    <n v="11323"/>
    <n v="188999"/>
    <n v="16.69160116576879"/>
    <d v="2030-12-31T00:00:00"/>
    <n v="9.03013698630137"/>
    <s v="NNN"/>
    <s v="3% annually"/>
    <s v="3, 5yr"/>
    <m/>
    <s v=" "/>
    <s v=" "/>
    <x v="277"/>
    <x v="340"/>
    <s v="Harvey Lindsay; Allen"/>
    <x v="35"/>
    <s v="REIT"/>
    <m/>
    <m/>
    <n v="3375000"/>
    <n v="0.0559997037037037"/>
    <s v=" "/>
    <n v="3375000"/>
    <n v="0.0559997037037037"/>
    <s v=" "/>
    <s v="No"/>
    <d v="2021-09-02T00:00:00"/>
    <n v="111"/>
  </r>
  <r>
    <s v="Fresenius Medical Care"/>
    <s v="14166 Steele Creek Rd"/>
    <s v="Charlotte"/>
    <s v="NC"/>
    <n v="2.08"/>
    <n v="2017"/>
    <n v="12814"/>
    <n v="498240.5"/>
    <n v="38.8825113157484"/>
    <d v="2031-10-31T00:00:00"/>
    <n v="9.863013698630137"/>
    <s v="Absolute NNN"/>
    <s v="10% every 5 years"/>
    <m/>
    <n v="10273000"/>
    <n v="801.7012642422351"/>
    <n v="0.0485"/>
    <x v="277"/>
    <x v="341"/>
    <m/>
    <x v="211"/>
    <s v="Fund"/>
    <m/>
    <m/>
    <n v="10273000"/>
    <n v="0.0485"/>
    <n v="1"/>
    <n v="10273000"/>
    <n v="0.0485"/>
    <n v="0"/>
    <s v="No"/>
    <m/>
    <s v=" "/>
  </r>
  <r>
    <s v="U.S. Renal Care"/>
    <s v="1524 Sparta St"/>
    <s v="McMinnville"/>
    <s v="TN"/>
    <n v="1.45"/>
    <n v="2006"/>
    <n v="7079"/>
    <n v="172019.7"/>
    <n v="24.3"/>
    <d v="2031-01-31T00:00:00"/>
    <n v="9.117808219178082"/>
    <s v="NN"/>
    <s v="2% annually"/>
    <s v="3, 5yr"/>
    <n v="2774290"/>
    <n v="391.9042237604181"/>
    <n v="0.06200494540945611"/>
    <x v="278"/>
    <x v="342"/>
    <s v="SJC; Cornell"/>
    <x v="212"/>
    <s v="Individual"/>
    <m/>
    <m/>
    <n v="2866995"/>
    <n v="0.05999999999999999"/>
    <n v="0.9676647500257238"/>
    <n v="2866995"/>
    <n v="0.05999999999999999"/>
    <n v="0.002004945409456116"/>
    <s v="No"/>
    <d v="2021-04-16T00:00:00"/>
    <n v="249"/>
  </r>
  <r>
    <s v="DaVita Dialysis"/>
    <s v="1520 N Broadway"/>
    <s v="Santa Maria"/>
    <s v="CA"/>
    <n v="1.05"/>
    <n v="2021"/>
    <n v="10150"/>
    <n v="405680"/>
    <n v="39.96847290640394"/>
    <d v="2036-05-30T00:00:00"/>
    <n v="14.44931506849315"/>
    <s v="NN"/>
    <s v="10% every 5 years"/>
    <s v="3, 5yr"/>
    <n v="8800000"/>
    <n v="866.9950738916256"/>
    <n v="0.0461"/>
    <x v="278"/>
    <x v="66"/>
    <s v="SJC; Briggs"/>
    <x v="213"/>
    <s v="Individual"/>
    <m/>
    <m/>
    <n v="8716753"/>
    <n v="0.04654026562413779"/>
    <n v="1.00955023045852"/>
    <n v="8716753"/>
    <n v="0.04654026562413779"/>
    <n v="-0.0004402656241377922"/>
    <s v="No"/>
    <d v="2021-08-30T00:00:00"/>
    <n v="113"/>
  </r>
  <r>
    <s v="Fresenius Medical Care"/>
    <s v="1000 American Way"/>
    <s v="Apex"/>
    <s v="NC"/>
    <n v="1.402893"/>
    <n v="2006"/>
    <n v="7992"/>
    <n v="198800"/>
    <n v="24.87487487487487"/>
    <m/>
    <s v=" "/>
    <m/>
    <m/>
    <m/>
    <n v="3350000"/>
    <n v="419.1691691691692"/>
    <n v="0.05934328358208955"/>
    <x v="279"/>
    <x v="326"/>
    <s v="Matthews™"/>
    <x v="214"/>
    <s v="Fund"/>
    <m/>
    <m/>
    <m/>
    <s v=" "/>
    <s v=" "/>
    <m/>
    <s v=" "/>
    <s v=" "/>
    <s v=" "/>
    <m/>
    <s v=" "/>
  </r>
  <r>
    <s v="Fresenius Medical Care"/>
    <s v="137 Water St"/>
    <s v="New Haven"/>
    <s v="CT"/>
    <n v="1.058012"/>
    <n v="2009"/>
    <n v="14550"/>
    <m/>
    <s v=" "/>
    <m/>
    <s v=" "/>
    <m/>
    <m/>
    <m/>
    <n v="4300000"/>
    <n v="295.5326460481099"/>
    <s v=" "/>
    <x v="279"/>
    <x v="343"/>
    <s v="Matthews™"/>
    <x v="215"/>
    <s v="Institutional"/>
    <s v="SRS; Suffoletto"/>
    <s v="Santoro Developments"/>
    <m/>
    <s v=" "/>
    <s v=" "/>
    <m/>
    <s v=" "/>
    <s v=" "/>
    <s v=" "/>
    <m/>
    <s v=" "/>
  </r>
  <r>
    <s v="U.S. Renal Care"/>
    <s v="8115 Datapoint Dr"/>
    <s v="San Antonio"/>
    <s v="TX"/>
    <n v="1.41"/>
    <n v="2020"/>
    <n v="16750"/>
    <n v="477750"/>
    <n v="28.52238805970149"/>
    <d v="2030-10-31T00:00:00"/>
    <n v="8.876712328767123"/>
    <s v="Absolute NNN"/>
    <s v="Yes"/>
    <s v="2, 5yr"/>
    <n v="9100000"/>
    <n v="543.2835820895523"/>
    <n v="0.0525"/>
    <x v="280"/>
    <x v="344"/>
    <s v="SJC; Cornell"/>
    <x v="216"/>
    <s v="Individual"/>
    <m/>
    <m/>
    <n v="9179000"/>
    <n v="0.05204815339361586"/>
    <n v="0.9913933979736355"/>
    <n v="9179000"/>
    <n v="0.05204815339361586"/>
    <n v="0.0004518466063841362"/>
    <s v="No"/>
    <d v="2021-10-04T00:00:00"/>
    <n v="74"/>
  </r>
  <r>
    <s v="Fresenius Medical Care"/>
    <s v="920 N Niagara St"/>
    <s v="Saginaw"/>
    <s v="MI"/>
    <n v="1.63"/>
    <n v="1988"/>
    <n v="12221"/>
    <m/>
    <s v=" "/>
    <m/>
    <s v=" "/>
    <m/>
    <m/>
    <s v="2, 5yr"/>
    <n v="1475000"/>
    <n v="120.6938875705752"/>
    <s v=" "/>
    <x v="281"/>
    <x v="336"/>
    <m/>
    <x v="73"/>
    <s v="Fund"/>
    <m/>
    <m/>
    <m/>
    <s v=" "/>
    <s v=" "/>
    <m/>
    <s v=" "/>
    <s v=" "/>
    <s v=" "/>
    <m/>
    <s v=" "/>
  </r>
  <r>
    <s v="Kidney Center of Frederick"/>
    <s v="5992 Iris Pkwy"/>
    <s v="Frederick"/>
    <s v="CO"/>
    <n v="1.69"/>
    <n v="2016"/>
    <n v="6995"/>
    <n v="177660"/>
    <n v="25.39814152966404"/>
    <d v="2031-11-30T00:00:00"/>
    <n v="9.96986301369863"/>
    <s v="NNN"/>
    <s v="2% annually"/>
    <s v="2, 5yr"/>
    <n v="3150000"/>
    <n v="450.3216583273767"/>
    <n v="0.0564"/>
    <x v="281"/>
    <x v="345"/>
    <s v="SJC; Briggs"/>
    <x v="217"/>
    <s v="Individual"/>
    <m/>
    <m/>
    <n v="3259265"/>
    <n v="0.0545092221712564"/>
    <n v="0.9664755704123476"/>
    <n v="3259265"/>
    <n v="0.0545092221712564"/>
    <n v="0.001890777828743598"/>
    <s v="No"/>
    <d v="2021-04-28T00:00:00"/>
    <n v="229"/>
  </r>
  <r>
    <s v="DaVita Dialysis"/>
    <s v="1533 Holly Rd"/>
    <s v="Corpus Christi"/>
    <s v="TX"/>
    <n v="1.59"/>
    <n v="2008"/>
    <n v="7930"/>
    <n v="306846"/>
    <n v="38.69432534678436"/>
    <d v="2028-05-31T00:00:00"/>
    <n v="6.468493150684932"/>
    <s v="NNN"/>
    <s v="2.5% annually"/>
    <s v="4, 5yr"/>
    <n v="4800000"/>
    <n v="605.296343001261"/>
    <n v="0.06392625"/>
    <x v="281"/>
    <x v="346"/>
    <s v="Gould; M&amp;M"/>
    <x v="218"/>
    <s v="Individual"/>
    <m/>
    <m/>
    <n v="5115000"/>
    <n v="0.05998944281524927"/>
    <n v="0.9384164222873901"/>
    <n v="5000000"/>
    <n v="0.0613692"/>
    <n v="0.002557050000000005"/>
    <s v="Yes"/>
    <d v="2021-06-17T00:00:00"/>
    <n v="179"/>
  </r>
  <r>
    <s v="Fresenius Medical Care"/>
    <s v="118 Osigian Blvd"/>
    <s v="Warner Robins"/>
    <s v="GA"/>
    <n v="2.04"/>
    <n v="1996"/>
    <n v="6600"/>
    <m/>
    <s v=" "/>
    <m/>
    <s v=" "/>
    <s v="NN"/>
    <s v="2% annually"/>
    <s v="2, 5yr"/>
    <m/>
    <s v=" "/>
    <s v=" "/>
    <x v="281"/>
    <x v="347"/>
    <m/>
    <x v="73"/>
    <s v="Fund"/>
    <m/>
    <m/>
    <m/>
    <s v=" "/>
    <s v=" "/>
    <m/>
    <s v=" "/>
    <s v=" "/>
    <s v=" "/>
    <m/>
    <s v=" "/>
  </r>
  <r>
    <s v="DaVita Dialysis"/>
    <s v="1201 W 155th St"/>
    <s v="Gardena"/>
    <s v="CA"/>
    <n v="0.66"/>
    <n v="2018"/>
    <n v="10766"/>
    <n v="204699"/>
    <n v="19.01346832621215"/>
    <d v="2033-03-07T00:00:00"/>
    <n v="11.24657534246575"/>
    <s v="NN"/>
    <s v="10% every 5 years"/>
    <s v="3, 5yr"/>
    <n v="2900000"/>
    <n v="269.3665242429872"/>
    <n v="0.07058586206896551"/>
    <x v="282"/>
    <x v="66"/>
    <s v="SJC; Briggs"/>
    <x v="219"/>
    <s v="Individual"/>
    <m/>
    <m/>
    <n v="6304835"/>
    <n v="0.03246698763726569"/>
    <n v="0.4599644558501531"/>
    <n v="5194894"/>
    <n v="0.03940388389060489"/>
    <n v="0.03118197817836062"/>
    <s v="Yes"/>
    <d v="2019-02-11T00:00:00"/>
    <n v="1033"/>
  </r>
  <r>
    <s v="DaVita Dialysis | AR Renal Group"/>
    <s v="115 Wirghts St"/>
    <s v="Hot Springs"/>
    <s v="AR"/>
    <n v="2.38"/>
    <n v="2010"/>
    <n v="44903"/>
    <m/>
    <s v=" "/>
    <m/>
    <s v=" "/>
    <m/>
    <m/>
    <m/>
    <n v="10610136"/>
    <n v="236.2901365164911"/>
    <s v=" "/>
    <x v="283"/>
    <x v="348"/>
    <s v="Newmark"/>
    <x v="220"/>
    <s v="Individual"/>
    <m/>
    <m/>
    <m/>
    <s v=" "/>
    <s v=" "/>
    <m/>
    <s v=" "/>
    <s v=" "/>
    <s v=" "/>
    <m/>
    <s v=" "/>
  </r>
  <r>
    <s v="Fresenius Medical Care"/>
    <s v="4800 E McLeod Dr"/>
    <s v="Saginaw"/>
    <s v="MI"/>
    <n v="1.55"/>
    <n v="1991"/>
    <n v="11865"/>
    <n v="128163"/>
    <n v="10.80176991150442"/>
    <d v="2031-05-31T00:00:00"/>
    <n v="9.482191780821918"/>
    <s v="NN"/>
    <s v="2% annually starting 2026"/>
    <s v="-"/>
    <n v="2161481.481481481"/>
    <n v="182.1729019369137"/>
    <n v="0.05929405414667581"/>
    <x v="283"/>
    <x v="334"/>
    <s v="Lippitt; Landmark "/>
    <x v="221"/>
    <s v="Individual"/>
    <m/>
    <m/>
    <n v="2228921"/>
    <n v="0.05750001906752191"/>
    <n v="0.9697434236033854"/>
    <n v="2228921"/>
    <n v="0.05750001906752191"/>
    <n v="0.001794035079153898"/>
    <s v="No"/>
    <d v="2021-07-28T00:00:00"/>
    <n v="133"/>
  </r>
  <r>
    <s v="DaVita Dialysis"/>
    <s v="12249 Rojas Dr"/>
    <s v="El Paso"/>
    <s v="TX"/>
    <n v="5.18"/>
    <n v="2011"/>
    <n v="7500"/>
    <n v="188205"/>
    <n v="25.094"/>
    <d v="2026-06-29T00:00:00"/>
    <n v="4.564383561643836"/>
    <s v="NN"/>
    <s v="FMV at each option"/>
    <s v="3, 5yr"/>
    <n v="3008400"/>
    <n v="401.12"/>
    <n v="0.06255983246908656"/>
    <x v="284"/>
    <x v="349"/>
    <s v="Matthews; Bishop"/>
    <x v="222"/>
    <s v="Individual"/>
    <m/>
    <s v="Stone Oak Dialysis, LLC"/>
    <n v="3133750"/>
    <n v="0.06005743917032309"/>
    <n v="0.96"/>
    <n v="3133750"/>
    <n v="0.06005743917032309"/>
    <n v="0.002502393298763464"/>
    <s v="No"/>
    <d v="2021-06-21T00:00:00"/>
    <n v="168"/>
  </r>
  <r>
    <s v="DaVita Dialysis"/>
    <s v="540 E Oglethorpe Ave"/>
    <s v="Savannah"/>
    <s v="GA"/>
    <n v="0.38"/>
    <n v="2015"/>
    <n v="8897"/>
    <n v="207238"/>
    <n v="23.29302011914128"/>
    <d v="2030-04-25T00:00:00"/>
    <n v="8.389041095890411"/>
    <s v="NNN"/>
    <s v="10% every 5 years"/>
    <s v="2, 5yr"/>
    <n v="4144768"/>
    <n v="465.8613015623244"/>
    <n v="0.04999990349278898"/>
    <x v="284"/>
    <x v="69"/>
    <s v="Colliers; Patel"/>
    <x v="223"/>
    <s v="Individual"/>
    <m/>
    <m/>
    <n v="4144768"/>
    <n v="0.04999990349278898"/>
    <n v="1"/>
    <n v="4144768"/>
    <n v="0.04999990349278898"/>
    <n v="0"/>
    <s v="No"/>
    <d v="2021-09-22T00:00:00"/>
    <n v="75"/>
  </r>
  <r>
    <s v="DaVita Dialysis"/>
    <s v="1644 Gateway Blvd"/>
    <s v="Murfreesboro"/>
    <s v="TN"/>
    <n v="1.76"/>
    <n v="2019"/>
    <n v="8000"/>
    <n v="289926"/>
    <n v="36.24075"/>
    <d v="2034-11-16T00:00:00"/>
    <n v="12.96164383561644"/>
    <s v="NN"/>
    <s v="10% every 5 years"/>
    <s v="3, 5yr"/>
    <n v="4411000"/>
    <n v="551.375"/>
    <n v="0.06572795284515982"/>
    <x v="285"/>
    <x v="350"/>
    <m/>
    <x v="224"/>
    <s v="Individual"/>
    <s v="Encore; Rupp"/>
    <m/>
    <m/>
    <s v=" "/>
    <s v=" "/>
    <m/>
    <s v=" "/>
    <s v=" "/>
    <s v=" "/>
    <m/>
    <s v=" "/>
  </r>
  <r>
    <s v="Fresenius Medical Care"/>
    <s v="6508 EJ Oliver Blvd"/>
    <s v="Fairfield"/>
    <s v="AL"/>
    <n v="1.04"/>
    <n v="2001"/>
    <n v="4468"/>
    <n v="114808"/>
    <n v="25.69561324977619"/>
    <d v="2037-12-30T00:00:00"/>
    <n v="16.08493150684932"/>
    <s v="Absolute NNN"/>
    <s v="CPI annually"/>
    <s v="3, 5yr"/>
    <n v="2186825"/>
    <n v="489.4415846016115"/>
    <n v="0.05249985709876191"/>
    <x v="285"/>
    <x v="351"/>
    <s v="M&amp;M: Glass"/>
    <x v="73"/>
    <s v="Fund"/>
    <m/>
    <m/>
    <n v="2145950"/>
    <n v="0.05349984855192339"/>
    <n v="1.019047508096647"/>
    <n v="2186819"/>
    <n v="0.05250000114321304"/>
    <n v="-1.440444511377481e-07"/>
    <s v="Yes"/>
    <d v="2021-02-03T00:00:00"/>
    <n v="303"/>
  </r>
  <r>
    <s v="Fresenius Medical Care"/>
    <s v="314 W Spring St"/>
    <s v="Sylacauga"/>
    <s v="AL"/>
    <n v="0.98"/>
    <n v="1998"/>
    <n v="5018"/>
    <n v="93940"/>
    <n v="18.72060581905141"/>
    <d v="2037-12-30T00:00:00"/>
    <n v="16.08493150684932"/>
    <s v="Absolute NNN"/>
    <s v="CPI annually"/>
    <s v="3, 5yr"/>
    <n v="1789335"/>
    <n v="356.5833001195696"/>
    <n v="0.05249995109915136"/>
    <x v="285"/>
    <x v="351"/>
    <s v="M&amp;M: Glass"/>
    <x v="73"/>
    <s v="Fund"/>
    <m/>
    <m/>
    <n v="1789335"/>
    <n v="0.05249995109915136"/>
    <n v="1"/>
    <n v="1789335"/>
    <n v="0.05249995109915136"/>
    <n v="0"/>
    <s v="No"/>
    <d v="2021-02-03T00:00:00"/>
    <n v="303"/>
  </r>
  <r>
    <s v="Fresenius Medical Care"/>
    <s v="101 D Anna Place PL"/>
    <s v="Helena"/>
    <s v="AR"/>
    <n v="1.22"/>
    <n v="1996"/>
    <n v="5730"/>
    <n v="90422"/>
    <n v="15.7804537521815"/>
    <d v="2038-02-01T00:00:00"/>
    <n v="16.17534246575342"/>
    <s v="Absolute NNN"/>
    <s v="CPI annually"/>
    <s v="3, 5yr"/>
    <m/>
    <s v=" "/>
    <s v=" "/>
    <x v="285"/>
    <x v="351"/>
    <s v="M&amp;M: Glass"/>
    <x v="73"/>
    <s v="Fund"/>
    <m/>
    <m/>
    <n v="1690129"/>
    <n v="0.05350005827957511"/>
    <s v=" "/>
    <n v="1722323"/>
    <n v="0.05250002467597541"/>
    <s v=" "/>
    <s v="Yes"/>
    <d v="2021-02-04T00:00:00"/>
    <n v="302"/>
  </r>
  <r>
    <s v="Fresenius Medical Care"/>
    <s v="918 Corunna Ave"/>
    <s v="Owosso"/>
    <s v="MI"/>
    <n v="0.63"/>
    <n v="1972"/>
    <n v="5074"/>
    <n v="95367"/>
    <n v="18.79523058730785"/>
    <d v="2038-02-01T00:00:00"/>
    <n v="16.17534246575342"/>
    <s v="Absolute NNN"/>
    <s v="CPI annually"/>
    <s v="3, 5yr"/>
    <m/>
    <s v=" "/>
    <s v=" "/>
    <x v="285"/>
    <x v="351"/>
    <s v="M&amp;M: Glass"/>
    <x v="73"/>
    <s v="Fund"/>
    <m/>
    <m/>
    <n v="1816526"/>
    <n v="0.05249966144167494"/>
    <s v=" "/>
    <n v="1816526"/>
    <n v="0.05249966144167494"/>
    <s v=" "/>
    <s v="No"/>
    <d v="2021-05-03T00:00:00"/>
    <n v="214"/>
  </r>
  <r>
    <s v="Fresenius Medical Care"/>
    <s v="561 S Water Ave"/>
    <s v="Gallatin"/>
    <s v="TN"/>
    <n v="0.75"/>
    <n v="1998"/>
    <n v="4750"/>
    <n v="104500"/>
    <n v="22"/>
    <d v="2025-04-30T00:00:00"/>
    <n v="3.410958904109589"/>
    <s v="Absolute NNN"/>
    <s v="2% annually"/>
    <s v="1, 5yr"/>
    <n v="1659000"/>
    <n v="349.2631578947368"/>
    <n v="0.06298975286317059"/>
    <x v="286"/>
    <x v="352"/>
    <s v="SRS: Mousavi"/>
    <x v="73"/>
    <s v="Fund"/>
    <m/>
    <m/>
    <n v="1659000"/>
    <n v="0.06298975286317059"/>
    <n v="1"/>
    <n v="1659000"/>
    <n v="0.06298975286317059"/>
    <n v="0"/>
    <s v="No"/>
    <d v="2021-06-10T00:00:00"/>
    <n v="175"/>
  </r>
  <r>
    <s v="Fresenius Medical Care"/>
    <s v="106 Mooreland Dr"/>
    <s v="Springfield"/>
    <s v="TN"/>
    <n v="0.74"/>
    <n v="1998"/>
    <n v="4600"/>
    <n v="99455"/>
    <n v="21.62065217391304"/>
    <d v="2027-05-31T00:00:00"/>
    <n v="5.495890410958904"/>
    <s v="Absolute NNN"/>
    <s v="FMV at option"/>
    <s v="1, 5yr"/>
    <n v="1658000"/>
    <n v="360.4347826086956"/>
    <n v="0.05998492159227985"/>
    <x v="286"/>
    <x v="352"/>
    <s v="SRS: Mousavi"/>
    <x v="73"/>
    <s v="Fund"/>
    <m/>
    <m/>
    <n v="1658000"/>
    <n v="0.05998492159227985"/>
    <n v="1"/>
    <n v="1658000"/>
    <n v="0.05998492159227985"/>
    <n v="0"/>
    <s v="No"/>
    <d v="2021-06-10T00:00:00"/>
    <n v="175"/>
  </r>
  <r>
    <s v="DaVita Dialysis"/>
    <s v="7065 East Fwy"/>
    <s v="Houston"/>
    <s v="TX"/>
    <n v="1.23"/>
    <n v="2002"/>
    <n v="8880"/>
    <n v="220289"/>
    <n v="24.80731981981982"/>
    <d v="2030-01-31T00:00:00"/>
    <n v="8.172602739726027"/>
    <s v="NNN"/>
    <s v="10% every 5 years"/>
    <s v="2, 5yr"/>
    <n v="3389065"/>
    <n v="381.651463963964"/>
    <n v="0.06499993361000748"/>
    <x v="287"/>
    <x v="353"/>
    <s v="Finholm; Unique"/>
    <x v="225"/>
    <s v="Individual"/>
    <m/>
    <s v="Genesis KC Dev, LLC / DaVita"/>
    <n v="3524628"/>
    <n v="0.06249992907052886"/>
    <n v="0.9615383524161982"/>
    <n v="3524628"/>
    <n v="0.06249992907052886"/>
    <n v="0.002500004539478622"/>
    <s v="No"/>
    <d v="2021-06-04T00:00:00"/>
    <n v="180"/>
  </r>
  <r>
    <s v="Fresenius Medical Care"/>
    <s v="525 West St"/>
    <s v="Wind Gap"/>
    <s v="PA"/>
    <n v="1.74"/>
    <n v="1998"/>
    <n v="5100"/>
    <n v="70125"/>
    <n v="13.75"/>
    <d v="2024-03-31T00:00:00"/>
    <n v="2.334246575342466"/>
    <s v="NN"/>
    <s v="2% annually"/>
    <s v="1, 5yr"/>
    <n v="1289744"/>
    <n v="252.8909803921569"/>
    <n v="0.05437125507077373"/>
    <x v="288"/>
    <x v="354"/>
    <s v="Berkely; Lucier"/>
    <x v="190"/>
    <s v="Individual"/>
    <s v="JRW Investments; Marston"/>
    <m/>
    <m/>
    <s v=" "/>
    <s v=" "/>
    <m/>
    <s v=" "/>
    <s v=" "/>
    <s v=" "/>
    <m/>
    <s v=" "/>
  </r>
  <r>
    <s v="Fresenius Medical Care"/>
    <s v="774 Jordan Dr"/>
    <s v="Monticello "/>
    <s v="AR"/>
    <n v="1.43"/>
    <n v="1997"/>
    <n v="5000"/>
    <n v="82500"/>
    <n v="16.5"/>
    <d v="2028-12-31T00:00:00"/>
    <n v="7.090410958904109"/>
    <s v="NN"/>
    <s v="1.5% annually"/>
    <s v="-"/>
    <n v="1320000"/>
    <n v="264"/>
    <n v="0.0625"/>
    <x v="288"/>
    <x v="355"/>
    <s v="Colliers: Lewis"/>
    <x v="73"/>
    <s v="Fund"/>
    <s v="AY; Youngguist"/>
    <m/>
    <n v="1375000"/>
    <n v="0.06"/>
    <n v="0.96"/>
    <n v="1375000"/>
    <n v="0.06"/>
    <n v="0.002500000000000002"/>
    <s v="No"/>
    <d v="2021-01-27T00:00:00"/>
    <n v="307"/>
  </r>
  <r>
    <s v="Fresenius Medical Care"/>
    <s v="902 Lincoln Ave"/>
    <s v="Robstown"/>
    <s v="TX"/>
    <n v="1.17"/>
    <n v="2002"/>
    <n v="8349"/>
    <n v="78817.8125"/>
    <n v="9.440389567612888"/>
    <d v="2025-09-30T00:00:00"/>
    <n v="3.835616438356164"/>
    <s v="NN"/>
    <s v="None"/>
    <s v="3, 5yr"/>
    <n v="1261085"/>
    <n v="151.0462330818062"/>
    <n v="0.0625"/>
    <x v="288"/>
    <x v="356"/>
    <s v="M&amp;M; Diffie"/>
    <x v="226"/>
    <s v="Individual"/>
    <m/>
    <m/>
    <n v="1335750"/>
    <n v="0.05900641025641026"/>
    <n v="0.9441025641025641"/>
    <n v="1335750"/>
    <n v="0.05900641025641026"/>
    <n v="0.003493589743589744"/>
    <s v="No"/>
    <d v="2021-06-17T00:00:00"/>
    <n v="166"/>
  </r>
  <r>
    <s v="Davita Dialysis"/>
    <s v="2205 W Kennedy Blvd"/>
    <s v="Tampa"/>
    <s v="FL"/>
    <n v="0.5731818"/>
    <n v="2007"/>
    <n v="8452"/>
    <m/>
    <s v=" "/>
    <m/>
    <s v=" "/>
    <m/>
    <m/>
    <m/>
    <n v="5980000"/>
    <n v="707.5248461902509"/>
    <s v=" "/>
    <x v="289"/>
    <x v="357"/>
    <s v="Colliers International"/>
    <x v="227"/>
    <s v="Individual"/>
    <s v="Colliers International"/>
    <m/>
    <m/>
    <s v=" "/>
    <s v=" "/>
    <m/>
    <s v=" "/>
    <s v=" "/>
    <s v=" "/>
    <m/>
    <s v=" "/>
  </r>
  <r>
    <s v="DaVita Dialysis - MT"/>
    <s v="2424 W Manatee Ave"/>
    <s v="Bradenton"/>
    <s v="FL"/>
    <n v="0.99"/>
    <n v="2010"/>
    <n v="15905"/>
    <n v="102828"/>
    <m/>
    <m/>
    <s v=" "/>
    <m/>
    <m/>
    <m/>
    <n v="1850000"/>
    <n v="116.3156240176045"/>
    <n v="0.0555827027027027"/>
    <x v="290"/>
    <x v="358"/>
    <s v="Bakker; MS&amp;C"/>
    <x v="228"/>
    <s v="Individual"/>
    <m/>
    <m/>
    <n v="1900000"/>
    <n v="0.05412"/>
    <n v="0.9736842105263158"/>
    <n v="1900000"/>
    <n v="0.05412"/>
    <n v="0.001462702702702698"/>
    <s v="No"/>
    <d v="2021-06-07T00:00:00"/>
    <n v="169"/>
  </r>
  <r>
    <s v="Fresenius Medical Care"/>
    <s v="95-97 Lakeshore Dr"/>
    <s v="Kuttawa"/>
    <s v="KY"/>
    <n v="1.99"/>
    <n v="1996"/>
    <n v="7621"/>
    <m/>
    <s v=" "/>
    <m/>
    <s v=" "/>
    <m/>
    <m/>
    <m/>
    <n v="750000"/>
    <n v="98.41228185277522"/>
    <s v=" "/>
    <x v="291"/>
    <x v="13"/>
    <m/>
    <x v="0"/>
    <s v="Individual"/>
    <m/>
    <m/>
    <m/>
    <s v=" "/>
    <s v=" "/>
    <m/>
    <s v=" "/>
    <s v=" "/>
    <s v=" "/>
    <m/>
    <s v=" "/>
  </r>
  <r>
    <s v="Fresenius Medical Care"/>
    <s v="110 S Park Dr"/>
    <s v="Brownwood"/>
    <s v="TX"/>
    <n v="2.38"/>
    <n v="2007"/>
    <n v="9839"/>
    <m/>
    <s v=" "/>
    <m/>
    <s v=" "/>
    <m/>
    <m/>
    <m/>
    <m/>
    <s v=" "/>
    <s v=" "/>
    <x v="292"/>
    <x v="359"/>
    <m/>
    <x v="229"/>
    <s v="REIT"/>
    <m/>
    <m/>
    <m/>
    <s v=" "/>
    <s v=" "/>
    <m/>
    <s v=" "/>
    <s v=" "/>
    <s v=" "/>
    <m/>
    <s v=" "/>
  </r>
  <r>
    <s v="DaVita Dialysis"/>
    <s v="4679 W Spruce Ave"/>
    <s v="Fresno"/>
    <s v="CA"/>
    <n v="1.532"/>
    <n v="2021"/>
    <n v="12800"/>
    <n v="323625"/>
    <n v="25.283203125"/>
    <d v="2036-06-30T00:00:00"/>
    <n v="14.62465753424657"/>
    <s v="NN"/>
    <s v="10% every 5 years"/>
    <s v="3, 5yr"/>
    <n v="7191667"/>
    <n v="561.848984375"/>
    <n v="0.0449999979142527"/>
    <x v="293"/>
    <x v="360"/>
    <s v="Hagar; Intero "/>
    <x v="230"/>
    <s v="Individual"/>
    <m/>
    <m/>
    <n v="7614706"/>
    <n v="0.04249999934337583"/>
    <n v="0.9444444736277409"/>
    <n v="7614706"/>
    <n v="0.04249999934337583"/>
    <n v="0.00249999857087687"/>
    <s v="No"/>
    <d v="2021-07-22T00:00:00"/>
    <n v="119"/>
  </r>
  <r>
    <s v="Fresenius Medical Care"/>
    <s v="604 Mount Tabor Rd"/>
    <s v="New Albany"/>
    <s v="IN"/>
    <n v="1.87"/>
    <n v="2019"/>
    <n v="8138"/>
    <n v="171020"/>
    <n v="21.01499139837798"/>
    <d v="2034-04-30T00:00:00"/>
    <n v="12.45479452054795"/>
    <s v="NN"/>
    <s v="10% every 5 years"/>
    <s v="3, 5yr"/>
    <m/>
    <s v=" "/>
    <s v=" "/>
    <x v="293"/>
    <x v="361"/>
    <s v="Trio: Edens"/>
    <x v="231"/>
    <s v="Individual"/>
    <m/>
    <m/>
    <n v="6160000"/>
    <n v="0.02776298701298701"/>
    <s v=" "/>
    <n v="3400000"/>
    <n v="0.0503"/>
    <s v=" "/>
    <s v="Yes"/>
    <d v="2020-10-23T00:00:00"/>
    <n v="391"/>
  </r>
  <r>
    <s v="DaVita Dialysis"/>
    <s v="331 James Payton Blvd"/>
    <s v="Sylacauga"/>
    <s v="AL"/>
    <n v="1.71"/>
    <n v="2008"/>
    <n v="7000"/>
    <m/>
    <s v=" "/>
    <m/>
    <s v=" "/>
    <m/>
    <m/>
    <m/>
    <n v="1027012"/>
    <n v="146.716"/>
    <s v=" "/>
    <x v="293"/>
    <x v="362"/>
    <m/>
    <x v="232"/>
    <s v="Individual"/>
    <m/>
    <m/>
    <m/>
    <s v=" "/>
    <s v=" "/>
    <m/>
    <s v=" "/>
    <s v=" "/>
    <s v=" "/>
    <m/>
    <s v=" "/>
  </r>
  <r>
    <s v="Fresenius Medical Care"/>
    <s v="1720 Highway 97 E"/>
    <s v="Jourdanton"/>
    <s v="TX"/>
    <n v="2.64"/>
    <n v="2006"/>
    <n v="9535"/>
    <n v="157041"/>
    <n v="16.46995280545359"/>
    <d v="2027-01-31T00:00:00"/>
    <n v="5.208219178082191"/>
    <s v="NNN"/>
    <s v="Yes"/>
    <s v="2, 5yr"/>
    <n v="2405000"/>
    <n v="252.2286313581542"/>
    <n v="0.06529771309771309"/>
    <x v="294"/>
    <x v="363"/>
    <m/>
    <x v="233"/>
    <s v="Individual"/>
    <m/>
    <m/>
    <m/>
    <s v=" "/>
    <s v=" "/>
    <m/>
    <s v=" "/>
    <s v=" "/>
    <s v=" "/>
    <m/>
    <s v=" "/>
  </r>
  <r>
    <s v="Fresenius Medical Care"/>
    <s v="2355 S Hamilton Rd"/>
    <s v="Columbus"/>
    <s v="OH"/>
    <n v="1.86"/>
    <n v="1989"/>
    <n v="11200"/>
    <n v="117820"/>
    <n v="10.51964285714286"/>
    <d v="2022-04-30T00:00:00"/>
    <n v="0.4520547945205479"/>
    <s v="NN"/>
    <s v="Flat"/>
    <s v="2, 5yr"/>
    <n v="1735000"/>
    <n v="154.9107142857143"/>
    <n v="0.0679077809798271"/>
    <x v="295"/>
    <x v="364"/>
    <m/>
    <x v="73"/>
    <s v="Fund"/>
    <m/>
    <m/>
    <m/>
    <s v=" "/>
    <s v=" "/>
    <m/>
    <s v=" "/>
    <s v=" "/>
    <s v=" "/>
    <m/>
    <s v=" "/>
  </r>
  <r>
    <s v="Fresenius Medical Care"/>
    <s v="4730 Champions Trace Ln"/>
    <s v="Louisville"/>
    <s v="KY"/>
    <n v="1.41"/>
    <n v="2020"/>
    <m/>
    <m/>
    <s v=" "/>
    <m/>
    <s v=" "/>
    <m/>
    <m/>
    <m/>
    <n v="4513000"/>
    <s v=" "/>
    <s v=" "/>
    <x v="296"/>
    <x v="36"/>
    <m/>
    <x v="234"/>
    <s v="Individual"/>
    <m/>
    <s v="Choice One Development"/>
    <n v="4513000"/>
    <s v=" "/>
    <n v="1"/>
    <m/>
    <s v=" "/>
    <s v=" "/>
    <s v=" "/>
    <m/>
    <s v=" "/>
  </r>
  <r>
    <s v="DaVita Dialysis - MT"/>
    <s v="725 Ridder Park Dr"/>
    <s v="San Jose"/>
    <s v="CA"/>
    <n v="2.22"/>
    <n v="2009"/>
    <n v="24834"/>
    <n v="891483"/>
    <n v="35.89768059917854"/>
    <d v="2027-09-04T00:00:00"/>
    <n v="5.805479452054795"/>
    <s v="NN"/>
    <s v="3% annually"/>
    <s v="3, 5yr"/>
    <n v="13800000"/>
    <n v="555.6897801401304"/>
    <n v="0.06460021739130435"/>
    <x v="296"/>
    <x v="365"/>
    <s v="Meacham/Oppenheimer: Taxin"/>
    <x v="235"/>
    <s v="Individual"/>
    <m/>
    <m/>
    <m/>
    <s v=" "/>
    <s v=" "/>
    <m/>
    <s v=" "/>
    <s v=" "/>
    <s v=" "/>
    <m/>
    <s v=" "/>
  </r>
  <r>
    <s v="Davita Dialysis"/>
    <s v="2301 W Dr Martin Luther King Jr Blvd"/>
    <s v="Tampa"/>
    <s v="FL"/>
    <n v="1.08781"/>
    <n v="2015"/>
    <n v="12070"/>
    <m/>
    <s v=" "/>
    <m/>
    <s v=" "/>
    <m/>
    <m/>
    <m/>
    <n v="3528230"/>
    <n v="292.3140016570008"/>
    <s v=" "/>
    <x v="297"/>
    <x v="366"/>
    <s v="Colliers International"/>
    <x v="236"/>
    <s v="Individual"/>
    <s v="Colliers International"/>
    <m/>
    <m/>
    <s v=" "/>
    <s v=" "/>
    <m/>
    <s v=" "/>
    <s v=" "/>
    <s v=" "/>
    <m/>
    <s v=" "/>
  </r>
  <r>
    <s v="DaVita Dialysis"/>
    <s v="1104 SE 30th St"/>
    <s v="Bentonville"/>
    <s v="AR"/>
    <n v="3.88"/>
    <n v="2006"/>
    <n v="7933"/>
    <n v="178044"/>
    <n v="22.4434640110929"/>
    <d v="2028-01-31T00:00:00"/>
    <n v="6.227397260273973"/>
    <s v="NNN"/>
    <s v="3% annually"/>
    <s v="2, 5yr"/>
    <n v="3166273"/>
    <n v="399.1268120509265"/>
    <n v="0.05623141150494604"/>
    <x v="298"/>
    <x v="367"/>
    <m/>
    <x v="237"/>
    <s v="Individual"/>
    <m/>
    <s v="Northwest Arkansas Renal Investments"/>
    <m/>
    <s v=" "/>
    <s v=" "/>
    <m/>
    <s v=" "/>
    <s v=" "/>
    <s v=" "/>
    <m/>
    <s v=" "/>
  </r>
  <r>
    <s v="Fresenius Medical Care"/>
    <s v="1200 N Main St"/>
    <s v="Mountain Grove"/>
    <s v="MO"/>
    <n v="1.83"/>
    <n v="1998"/>
    <n v="9800"/>
    <n v="140910"/>
    <n v="14.37857142857143"/>
    <d v="2028-12-31T00:00:00"/>
    <n v="7.145205479452055"/>
    <s v="NN"/>
    <s v="2% annually"/>
    <s v="2, 5 yr"/>
    <n v="2100000"/>
    <n v="214.2857142857143"/>
    <n v="0.06710000000000001"/>
    <x v="298"/>
    <x v="368"/>
    <s v="SRS; Sullivan"/>
    <x v="73"/>
    <s v="Fund"/>
    <m/>
    <m/>
    <n v="2200000"/>
    <n v="0.06405"/>
    <n v="0.9545454545454546"/>
    <n v="2200000"/>
    <n v="0.06405"/>
    <n v="0.003050000000000011"/>
    <s v="No"/>
    <d v="2021-01-25T00:00:00"/>
    <n v="289"/>
  </r>
  <r>
    <s v="Fresenius Medical Care - MT"/>
    <s v="784 Howard Ave"/>
    <s v="Biloxi"/>
    <s v="MS"/>
    <n v="0.2"/>
    <m/>
    <n v="11438"/>
    <n v="229483"/>
    <n v="20.06321035146005"/>
    <d v="2028-07-31T00:00:00"/>
    <n v="6.731506849315068"/>
    <s v="NN"/>
    <s v="1.5% annually"/>
    <m/>
    <n v="3200000"/>
    <n v="279.7691904179052"/>
    <n v="0.0717134375"/>
    <x v="299"/>
    <x v="73"/>
    <s v="JLL; Sharrin"/>
    <x v="0"/>
    <s v="Individual"/>
    <m/>
    <m/>
    <n v="3200000"/>
    <n v="0.0717134375"/>
    <n v="1"/>
    <n v="3200000"/>
    <n v="0.0717134375"/>
    <n v="0"/>
    <s v="No"/>
    <d v="2021-05-24T00:00:00"/>
    <n v="168"/>
  </r>
  <r>
    <s v="DaVita Dialysis"/>
    <s v="5942 Rugby Ave"/>
    <s v="Huntington Park"/>
    <s v="CA"/>
    <n v="0.52"/>
    <n v="2009"/>
    <n v="7400"/>
    <n v="339528"/>
    <n v="45.88216216216216"/>
    <d v="2026-07-31T00:00:00"/>
    <n v="4.742465753424658"/>
    <s v="NN"/>
    <s v="10% every 5 years"/>
    <s v="1, 5yr"/>
    <n v="6000000"/>
    <n v="810.8108108108108"/>
    <n v="0.056588"/>
    <x v="300"/>
    <x v="369"/>
    <s v="Chu; "/>
    <x v="238"/>
    <s v="Individual"/>
    <s v="Clouser; Kennedy Wilson"/>
    <m/>
    <n v="6300000"/>
    <n v="0.05389333333333333"/>
    <n v="0.9523809523809523"/>
    <n v="6300000"/>
    <n v="0.05389333333333333"/>
    <n v="0.002694666666666665"/>
    <s v="No"/>
    <d v="2021-07-29T00:00:00"/>
    <n v="97"/>
  </r>
  <r>
    <s v="Fresenius Medical Care"/>
    <s v="4300A W Railroad St"/>
    <s v="Gulfport"/>
    <s v="MS"/>
    <n v="0.7196969"/>
    <n v="1993"/>
    <n v="7781"/>
    <m/>
    <s v=" "/>
    <m/>
    <s v=" "/>
    <m/>
    <m/>
    <m/>
    <n v="3446276"/>
    <n v="442.9091376429765"/>
    <s v=" "/>
    <x v="300"/>
    <x v="13"/>
    <s v="Colliers International"/>
    <x v="239"/>
    <s v="Individual"/>
    <m/>
    <m/>
    <m/>
    <s v=" "/>
    <s v=" "/>
    <m/>
    <s v=" "/>
    <s v=" "/>
    <s v=" "/>
    <m/>
    <s v=" "/>
  </r>
  <r>
    <s v="Fresenius Medical Care"/>
    <s v="310 S Highland Ave"/>
    <s v="Oklahoma City"/>
    <s v="OK"/>
    <n v="1.18"/>
    <n v="1999"/>
    <n v="7920"/>
    <n v="114015"/>
    <n v="14.39583333333333"/>
    <d v="2024-08-31T00:00:00"/>
    <n v="2.827397260273973"/>
    <s v="NN"/>
    <m/>
    <s v="2, 5yr"/>
    <n v="1650000"/>
    <n v="208.3333333333333"/>
    <n v="0.06909999999999999"/>
    <x v="300"/>
    <x v="370"/>
    <s v="Interwest Realty: Huffman"/>
    <x v="240"/>
    <s v="Individual"/>
    <m/>
    <m/>
    <n v="1650000"/>
    <n v="0.06909999999999999"/>
    <n v="1"/>
    <n v="1650000"/>
    <n v="0.06909999999999999"/>
    <n v="0"/>
    <s v="No"/>
    <d v="2019-07-09T00:00:00"/>
    <n v="848"/>
  </r>
  <r>
    <s v="DaVita Dialysis"/>
    <s v="2945 Central Blvd"/>
    <s v="Brownsville"/>
    <s v="TX"/>
    <n v="0.62"/>
    <n v="1995"/>
    <n v="7373"/>
    <n v="81103"/>
    <n v="11"/>
    <d v="2036-05-31T00:00:00"/>
    <n v="14.58630136986301"/>
    <s v="NN"/>
    <s v="10% every 5 years"/>
    <s v="3, 5yr"/>
    <n v="1536000"/>
    <n v="208.3276820832768"/>
    <n v="0.05280143229166667"/>
    <x v="301"/>
    <x v="273"/>
    <s v="SJC; Briggs"/>
    <x v="188"/>
    <s v="Fund"/>
    <s v="KPI Brokers"/>
    <m/>
    <n v="1544819"/>
    <n v="0.05250000161831257"/>
    <n v="0.9942912405919399"/>
    <n v="1544819"/>
    <n v="0.05250000161831257"/>
    <n v="0.0003014306733541"/>
    <s v="No"/>
    <d v="2021-06-01T00:00:00"/>
    <n v="154"/>
  </r>
  <r>
    <s v="Fresenius Medical Care"/>
    <s v="2525 33rd St"/>
    <s v="Gulfport"/>
    <s v="MS"/>
    <n v="0.77"/>
    <n v="2008"/>
    <n v="6700"/>
    <m/>
    <s v=" "/>
    <m/>
    <s v=" "/>
    <m/>
    <m/>
    <m/>
    <m/>
    <s v=" "/>
    <s v=" "/>
    <x v="302"/>
    <x v="320"/>
    <m/>
    <x v="193"/>
    <s v="Fund"/>
    <m/>
    <m/>
    <m/>
    <s v=" "/>
    <s v=" "/>
    <m/>
    <s v=" "/>
    <s v=" "/>
    <s v=" "/>
    <m/>
    <s v=" "/>
  </r>
  <r>
    <s v="Fresenius Medical Care"/>
    <s v="804 W Madison St"/>
    <s v="Pontiac"/>
    <s v="IL"/>
    <n v="0.34"/>
    <n v="2001"/>
    <n v="3564"/>
    <m/>
    <s v=" "/>
    <m/>
    <s v=" "/>
    <m/>
    <m/>
    <m/>
    <n v="1350000"/>
    <n v="378.7878787878788"/>
    <s v=" "/>
    <x v="303"/>
    <x v="371"/>
    <m/>
    <x v="73"/>
    <s v="Fund"/>
    <m/>
    <m/>
    <m/>
    <s v=" "/>
    <s v=" "/>
    <m/>
    <s v=" "/>
    <s v=" "/>
    <s v=" "/>
    <m/>
    <s v=" "/>
  </r>
  <r>
    <s v="Fresenius Medical Care"/>
    <s v="929 Falls Rd"/>
    <s v="Toccoa"/>
    <s v="GA"/>
    <n v="1.62"/>
    <n v="1994"/>
    <n v="4548"/>
    <n v="75480"/>
    <n v="16.59630606860158"/>
    <d v="2028-10-31T00:00:00"/>
    <n v="7.021917808219178"/>
    <s v="NN"/>
    <s v="FMV at each option"/>
    <s v="2, 5yr"/>
    <n v="1415000"/>
    <n v="311.1257695690413"/>
    <n v="0.05334275618374559"/>
    <x v="304"/>
    <x v="372"/>
    <s v="M&amp;M; Gould"/>
    <x v="241"/>
    <s v="Individual"/>
    <s v="M&amp;M; Gould"/>
    <m/>
    <m/>
    <s v=" "/>
    <s v=" "/>
    <m/>
    <s v=" "/>
    <s v=" "/>
    <s v=" "/>
    <m/>
    <s v=" "/>
  </r>
  <r>
    <s v="DaVita Dialysis"/>
    <s v="776 E Centerville Rd"/>
    <s v="Garland"/>
    <s v="TX"/>
    <n v="0.8"/>
    <n v="1992"/>
    <n v="7400"/>
    <n v="159100"/>
    <n v="21.5"/>
    <d v="2033-02-28T00:00:00"/>
    <n v="11.35342465753425"/>
    <s v="Absolute NNN"/>
    <s v="2% annually"/>
    <s v="4, 5yr"/>
    <n v="3182000"/>
    <n v="429.9999999999999"/>
    <n v="0.05000000000000001"/>
    <x v="304"/>
    <x v="373"/>
    <s v="Avison Young; Barnes"/>
    <x v="242"/>
    <s v="Individual"/>
    <m/>
    <m/>
    <n v="3349474"/>
    <n v="0.0474999955216849"/>
    <n v="0.9499999104336978"/>
    <n v="3349474"/>
    <n v="0.0474999955216849"/>
    <n v="0.00250000447831511"/>
    <s v="No"/>
    <d v="2021-07-12T00:00:00"/>
    <n v="105"/>
  </r>
  <r>
    <s v="DaVita Dialysis"/>
    <s v="201 S Jupiter Rd"/>
    <s v="Allen"/>
    <s v="TX"/>
    <n v="1.08"/>
    <n v="2013"/>
    <n v="8856"/>
    <n v="88472"/>
    <n v="9.990063233965673"/>
    <d v="2028-02-27T00:00:00"/>
    <n v="6.35068493150685"/>
    <s v="NN"/>
    <s v="CPI based increases annually"/>
    <s v="2, 5yr"/>
    <n v="1638370"/>
    <n v="185.0011291779584"/>
    <n v="0.05400001220725477"/>
    <x v="305"/>
    <x v="374"/>
    <s v="Gary Metzler"/>
    <x v="243"/>
    <s v="Individual"/>
    <s v="Naftis; Windward Group"/>
    <m/>
    <n v="2500000"/>
    <n v="0.0353888"/>
    <n v="0.655348"/>
    <n v="1900000"/>
    <n v="0.04656421052631579"/>
    <n v="0.007435801680938978"/>
    <s v="Yes"/>
    <d v="2017-10-29T00:00:00"/>
    <n v="1455"/>
  </r>
  <r>
    <s v="Fresenius Medical Care"/>
    <s v="1355 Palm Bay Rd NE"/>
    <s v="Melbourne"/>
    <s v="FL"/>
    <n v="1.48"/>
    <n v="2016"/>
    <n v="10392"/>
    <n v="364614"/>
    <n v="35.08602771362587"/>
    <d v="2031-11-30T00:00:00"/>
    <n v="10.11232876712329"/>
    <s v="Absolute NNN"/>
    <s v="1.7% annually"/>
    <s v="3, 5yr"/>
    <n v="6750000"/>
    <n v="649.5381062355658"/>
    <n v="0.05401688888888889"/>
    <x v="306"/>
    <x v="375"/>
    <m/>
    <x v="244"/>
    <s v="Individual"/>
    <m/>
    <m/>
    <m/>
    <s v=" "/>
    <s v=" "/>
    <m/>
    <s v=" "/>
    <s v=" "/>
    <s v=" "/>
    <m/>
    <s v=" "/>
  </r>
  <r>
    <s v="Fresenius Medical Care - MT"/>
    <s v="2014 City Line Rd"/>
    <s v="Bethlehem"/>
    <s v="PA"/>
    <n v="2.567011"/>
    <n v="1972"/>
    <n v="20120"/>
    <m/>
    <s v=" "/>
    <d v="2025-12-31T00:00:00"/>
    <n v="4.2"/>
    <m/>
    <m/>
    <m/>
    <n v="4850000"/>
    <n v="241.0536779324056"/>
    <s v=" "/>
    <x v="307"/>
    <x v="376"/>
    <m/>
    <x v="245"/>
    <s v="Individual"/>
    <m/>
    <m/>
    <m/>
    <s v=" "/>
    <s v=" "/>
    <m/>
    <s v=" "/>
    <s v=" "/>
    <s v=" "/>
    <m/>
    <s v=" "/>
  </r>
  <r>
    <s v="DaVita Dialysis"/>
    <s v="6890 Winton Blount Blvd"/>
    <s v="Montgomery"/>
    <s v="AL"/>
    <n v="0.39"/>
    <n v="1995"/>
    <n v="4084"/>
    <m/>
    <s v=" "/>
    <m/>
    <s v=" "/>
    <m/>
    <m/>
    <m/>
    <n v="1550000"/>
    <n v="379.5298726738492"/>
    <s v=" "/>
    <x v="307"/>
    <x v="377"/>
    <s v="M&amp;M; Granda"/>
    <x v="246"/>
    <s v="Individual"/>
    <m/>
    <m/>
    <m/>
    <s v=" "/>
    <s v=" "/>
    <m/>
    <s v=" "/>
    <s v=" "/>
    <s v=" "/>
    <m/>
    <s v=" "/>
  </r>
  <r>
    <s v="Kidney Care Centers Of Cambridge"/>
    <s v="6901 Glenn Hwy"/>
    <s v="Cambridge"/>
    <s v="OH"/>
    <n v="3.38"/>
    <n v="2012"/>
    <n v="8300"/>
    <n v="136949.995"/>
    <n v="16.49999939759036"/>
    <m/>
    <s v=" "/>
    <m/>
    <s v="1.5% annually"/>
    <s v="2, 5yr"/>
    <n v="2200000"/>
    <n v="265.0602409638554"/>
    <n v="0.06224999772727272"/>
    <x v="308"/>
    <x v="378"/>
    <s v="Dunholter; Babson Real Estate Advisors"/>
    <x v="247"/>
    <s v="REIT"/>
    <m/>
    <m/>
    <n v="2106923"/>
    <n v="0.065"/>
    <n v="1.044176744949863"/>
    <n v="2106923"/>
    <n v="0.065"/>
    <n v="-0.00275000227272728"/>
    <s v="No"/>
    <m/>
    <s v=" "/>
  </r>
  <r>
    <s v="Fresenius Medical Care"/>
    <s v="300 N Commercial St"/>
    <s v="Neenah"/>
    <s v="WI"/>
    <n v="0.83"/>
    <n v="2008"/>
    <n v="15000"/>
    <n v="320500"/>
    <n v="21.36666666666667"/>
    <d v="2028-11-30T00:00:00"/>
    <n v="7.134246575342465"/>
    <s v="NN"/>
    <s v="10% on 12/1/2023"/>
    <s v="3, 5yr"/>
    <n v="5043400"/>
    <n v="336.2266666666667"/>
    <n v="0.0635483998889638"/>
    <x v="309"/>
    <x v="379"/>
    <m/>
    <x v="248"/>
    <s v="Individual"/>
    <m/>
    <m/>
    <m/>
    <s v=" "/>
    <s v=" "/>
    <m/>
    <s v=" "/>
    <s v=" "/>
    <s v=" "/>
    <m/>
    <s v=" "/>
  </r>
  <r>
    <s v="Fresenius Medical Care"/>
    <s v="411 Lone Pine Blvd"/>
    <s v="The Dalles"/>
    <s v="OR"/>
    <n v="0.6313"/>
    <n v="2013"/>
    <n v="6365"/>
    <m/>
    <s v=" "/>
    <m/>
    <s v=" "/>
    <m/>
    <m/>
    <m/>
    <n v="2616000"/>
    <n v="410.9976433621367"/>
    <s v=" "/>
    <x v="310"/>
    <x v="380"/>
    <s v=": "/>
    <x v="249"/>
    <s v="Individual"/>
    <m/>
    <m/>
    <m/>
    <s v=" "/>
    <s v=" "/>
    <m/>
    <s v=" "/>
    <s v=" "/>
    <s v=" "/>
    <m/>
    <s v=" "/>
  </r>
  <r>
    <s v="DaVita Dialysis"/>
    <s v="101 Davita Ln"/>
    <s v="Elizabeth City"/>
    <s v="NC"/>
    <n v="2.79"/>
    <n v="2016"/>
    <n v="9993"/>
    <n v="243472.79"/>
    <n v="24.36433403382368"/>
    <d v="2031-07-01T00:00:00"/>
    <n v="9.736986301369862"/>
    <s v="NN"/>
    <s v="10% every 5 years"/>
    <s v="2, 5yr"/>
    <n v="4500000"/>
    <n v="450.3152206544581"/>
    <n v="0.05410506444444445"/>
    <x v="311"/>
    <x v="381"/>
    <s v="SJC; Briggs"/>
    <x v="250"/>
    <s v="Fund"/>
    <m/>
    <m/>
    <n v="4426778"/>
    <n v="0.055"/>
    <n v="1.016540698449301"/>
    <n v="4426778"/>
    <n v="0.055"/>
    <n v="-0.0008949355555555524"/>
    <s v="No"/>
    <d v="2021-04-16T00:00:00"/>
    <n v="174"/>
  </r>
  <r>
    <s v="Fresenius Medical Care"/>
    <s v="3909 Forest Park Way"/>
    <s v="North Tonawanda"/>
    <s v="NY"/>
    <n v="2.21"/>
    <n v="2011"/>
    <n v="7500"/>
    <n v="172560"/>
    <n v="23.008"/>
    <d v="2026-05-31T00:00:00"/>
    <n v="4.652054794520548"/>
    <s v="NN"/>
    <s v="2% annually"/>
    <s v="1, 5yr"/>
    <n v="2200000"/>
    <n v="293.3333333333333"/>
    <n v="0.07843636363636364"/>
    <x v="312"/>
    <x v="382"/>
    <s v="Thyssen; Fisher"/>
    <x v="73"/>
    <s v="Fund"/>
    <s v="AY; Youngguist"/>
    <m/>
    <n v="2500000"/>
    <n v="0.069024"/>
    <n v="0.88"/>
    <n v="2200000"/>
    <n v="0.07843636363636364"/>
    <n v="0"/>
    <s v="Yes"/>
    <d v="2019-10-31T00:00:00"/>
    <n v="706"/>
  </r>
  <r>
    <s v="Fresenius Medical Care"/>
    <s v="2721 Irvin Way"/>
    <s v="Decatur"/>
    <s v="GA"/>
    <n v="2.4"/>
    <n v="2006"/>
    <n v="9174"/>
    <n v="221680.575"/>
    <n v="24.16400425114454"/>
    <d v="2026-07-31T00:00:00"/>
    <n v="4.821917808219178"/>
    <s v="NN"/>
    <s v="1.7% annually"/>
    <s v="3, 5yr"/>
    <n v="3586000"/>
    <n v="390.8872901678657"/>
    <n v="0.06181834216397099"/>
    <x v="313"/>
    <x v="383"/>
    <m/>
    <x v="111"/>
    <s v="Fund"/>
    <m/>
    <m/>
    <m/>
    <s v=" "/>
    <s v=" "/>
    <m/>
    <s v=" "/>
    <s v=" "/>
    <s v=" "/>
    <m/>
    <s v=" "/>
  </r>
  <r>
    <s v="DaVita Dialysis"/>
    <s v="404 E 24th St"/>
    <s v="Lynn Haven"/>
    <s v="FL"/>
    <n v="1.26"/>
    <n v="2015"/>
    <n v="6761"/>
    <n v="175602"/>
    <n v="25.97278509096288"/>
    <d v="2030-02-28T00:00:00"/>
    <n v="8.419178082191781"/>
    <s v="NN"/>
    <s v="10% every 5 years"/>
    <s v="3, 5 yr"/>
    <n v="3100000"/>
    <n v="458.5120544298181"/>
    <n v="0.0566458064516129"/>
    <x v="314"/>
    <x v="384"/>
    <s v="Matthews; Blalock"/>
    <x v="251"/>
    <s v="Institutional"/>
    <m/>
    <m/>
    <n v="3108000"/>
    <n v="0.0565"/>
    <n v="0.9974259974259975"/>
    <n v="3108000"/>
    <n v="0.0565"/>
    <n v="0.0001458064516128982"/>
    <s v="No"/>
    <d v="2021-05-04T00:00:00"/>
    <n v="149"/>
  </r>
  <r>
    <s v="DaVita Dialysis"/>
    <s v="481 Shiloh Rd"/>
    <s v="Plano"/>
    <s v="TX"/>
    <n v="1.29"/>
    <n v="2008"/>
    <n v="8436"/>
    <n v="185592"/>
    <n v="22"/>
    <d v="2033-02-28T00:00:00"/>
    <n v="11.42191780821918"/>
    <s v="Absolute NNN"/>
    <s v="2% annually"/>
    <s v="4, 5yr"/>
    <n v="3907200"/>
    <n v="463.1578947368421"/>
    <n v="0.0475"/>
    <x v="314"/>
    <x v="177"/>
    <s v="CP; Stark"/>
    <x v="252"/>
    <s v="Individual"/>
    <m/>
    <m/>
    <n v="3907200"/>
    <n v="0.0475"/>
    <n v="1"/>
    <n v="3907200"/>
    <n v="0.0475"/>
    <n v="0"/>
    <s v="No"/>
    <d v="2021-07-12T00:00:00"/>
    <n v="80"/>
  </r>
  <r>
    <s v="Fresenius Medical Care"/>
    <s v="1901 Honey Creek Commons SE"/>
    <s v="Conyers"/>
    <s v="GA"/>
    <n v="1.410009"/>
    <n v="2010"/>
    <n v="9779"/>
    <m/>
    <s v=" "/>
    <m/>
    <s v=" "/>
    <m/>
    <m/>
    <m/>
    <n v="3535073"/>
    <n v="361.4963697719603"/>
    <s v=" "/>
    <x v="315"/>
    <x v="385"/>
    <m/>
    <x v="64"/>
    <s v="Fund"/>
    <m/>
    <m/>
    <m/>
    <s v=" "/>
    <s v=" "/>
    <m/>
    <s v=" "/>
    <s v=" "/>
    <s v=" "/>
    <m/>
    <s v=" "/>
  </r>
  <r>
    <s v="DaVita Dialysis"/>
    <s v="1225 Willow Pass Rd"/>
    <s v="Concord"/>
    <s v="CA"/>
    <n v="1.51"/>
    <n v="1975"/>
    <n v="9578"/>
    <n v="897883"/>
    <n v="93.744309876801"/>
    <d v="2036-05-31T00:00:00"/>
    <n v="14.68493150684932"/>
    <s v="NN"/>
    <s v="10% every 5 years"/>
    <s v="3, 5yr"/>
    <n v="18400000"/>
    <n v="1921.06911672583"/>
    <n v="0.04879798913043478"/>
    <x v="316"/>
    <x v="386"/>
    <s v="Kase; Abusharkh"/>
    <x v="253"/>
    <s v="Individual"/>
    <m/>
    <m/>
    <n v="19309333"/>
    <n v="0.04649994901429273"/>
    <n v="0.9529070734861738"/>
    <n v="19309333"/>
    <n v="0.04649994901429273"/>
    <n v="0.002298040116142056"/>
    <s v="No"/>
    <d v="2021-03-02T00:00:00"/>
    <n v="209"/>
  </r>
  <r>
    <s v="DaVita Dialysis"/>
    <s v="9100 Calumet Ave"/>
    <s v="Munster"/>
    <s v="IN"/>
    <n v="2.177"/>
    <m/>
    <n v="10506"/>
    <m/>
    <s v=" "/>
    <m/>
    <s v=" "/>
    <m/>
    <m/>
    <m/>
    <m/>
    <s v=" "/>
    <s v=" "/>
    <x v="317"/>
    <x v="387"/>
    <s v=": "/>
    <x v="254"/>
    <s v="User"/>
    <m/>
    <m/>
    <m/>
    <s v=" "/>
    <s v=" "/>
    <m/>
    <s v=" "/>
    <s v=" "/>
    <s v=" "/>
    <m/>
    <s v=" "/>
  </r>
  <r>
    <s v="DaVita Dialysis"/>
    <s v="19265 Vernier Rd"/>
    <s v="Harper Woods"/>
    <s v="MI"/>
    <n v="0.8902"/>
    <n v="2000"/>
    <n v="13064"/>
    <m/>
    <s v=" "/>
    <m/>
    <s v=" "/>
    <m/>
    <m/>
    <m/>
    <m/>
    <s v=" "/>
    <s v=" "/>
    <x v="317"/>
    <x v="388"/>
    <m/>
    <x v="255"/>
    <s v="Individual"/>
    <m/>
    <m/>
    <m/>
    <s v=" "/>
    <s v=" "/>
    <m/>
    <s v=" "/>
    <s v=" "/>
    <s v=" "/>
    <m/>
    <s v=" "/>
  </r>
  <r>
    <s v="DaVita Dialysis"/>
    <s v="196 Sloane Garden Rd"/>
    <s v="Boiling Springs"/>
    <s v="SC"/>
    <n v="2.05"/>
    <n v="2020"/>
    <n v="7494"/>
    <n v="194552"/>
    <n v="25.96103549506272"/>
    <d v="2035-06-30T00:00:00"/>
    <n v="13.77143590404618"/>
    <s v="NN"/>
    <s v="10% every 5 years"/>
    <s v="3, 5yr"/>
    <n v="3775000"/>
    <n v="503.7363223912463"/>
    <n v="0.05153695364238411"/>
    <x v="317"/>
    <x v="389"/>
    <s v="Gould; M&amp;M"/>
    <x v="256"/>
    <s v="Individual"/>
    <s v="Maier; SJC"/>
    <m/>
    <n v="3775000"/>
    <n v="0.05153695364238411"/>
    <n v="1"/>
    <n v="3775000"/>
    <n v="0.05153695364238411"/>
    <n v="0"/>
    <s v="No"/>
    <d v="2021-06-23T00:00:00"/>
    <n v="91"/>
  </r>
  <r>
    <s v="DaVita Dialysis"/>
    <s v="196 Sloane Garden Rd"/>
    <s v="Boiling Springs"/>
    <s v="SC"/>
    <n v="10.87"/>
    <n v="2021"/>
    <n v="7494"/>
    <n v="194552"/>
    <n v="25.96103549506272"/>
    <d v="2035-06-30T00:00:00"/>
    <n v="13.77808219178082"/>
    <m/>
    <s v="10% every 5 years"/>
    <s v="3, 5yr"/>
    <n v="3775000"/>
    <n v="503.7363223912463"/>
    <n v="0.05153695364238411"/>
    <x v="317"/>
    <x v="390"/>
    <s v="Marcus &amp; Millichap"/>
    <x v="257"/>
    <s v="Individual"/>
    <s v="Stan Johnson Company"/>
    <m/>
    <m/>
    <s v=" "/>
    <s v=" "/>
    <m/>
    <s v=" "/>
    <s v=" "/>
    <s v=" "/>
    <m/>
    <s v=" "/>
  </r>
  <r>
    <s v="Davita Dialysis"/>
    <s v="196 Sloane Garden Rd"/>
    <s v="Valley Falls"/>
    <s v="SC"/>
    <n v="2.054235"/>
    <n v="2020"/>
    <n v="7494"/>
    <n v="194412.5"/>
    <n v="25.94242060314919"/>
    <d v="2035-06-30T00:00:00"/>
    <n v="13.77808219178082"/>
    <s v="NN"/>
    <m/>
    <m/>
    <n v="3775000"/>
    <n v="503.7363223912463"/>
    <n v="0.0515"/>
    <x v="317"/>
    <x v="391"/>
    <s v="M&amp;M; Gould"/>
    <x v="258"/>
    <s v="Individual"/>
    <s v="Miaer; SJC"/>
    <m/>
    <m/>
    <s v=" "/>
    <s v=" "/>
    <m/>
    <s v=" "/>
    <s v=" "/>
    <s v=" "/>
    <m/>
    <s v=" "/>
  </r>
  <r>
    <s v="DaVita Dialysis"/>
    <s v="2622 Heartland Blvd"/>
    <s v="Ionia"/>
    <s v="MI"/>
    <n v="2.0122"/>
    <n v="2007"/>
    <n v="4868"/>
    <m/>
    <s v=" "/>
    <m/>
    <s v=" "/>
    <m/>
    <m/>
    <m/>
    <m/>
    <s v=" "/>
    <s v=" "/>
    <x v="318"/>
    <x v="13"/>
    <m/>
    <x v="259"/>
    <s v="Individual"/>
    <s v="Landmark Commercial RE Services"/>
    <m/>
    <m/>
    <s v=" "/>
    <s v=" "/>
    <m/>
    <s v=" "/>
    <s v=" "/>
    <s v=" "/>
    <m/>
    <s v=" "/>
  </r>
  <r>
    <s v="Fresenius Medical Care"/>
    <s v="193 Brown Junction Rd"/>
    <s v="Centerville"/>
    <s v="TN"/>
    <n v="1.01"/>
    <n v="2008"/>
    <n v="13460"/>
    <n v="136599"/>
    <n v="10.14851411589896"/>
    <d v="2024-12-31T00:00:00"/>
    <n v="3.293150684931507"/>
    <s v="NN"/>
    <s v="2% annually starting 2022"/>
    <s v="2, 5yr"/>
    <n v="1887000"/>
    <n v="140.1931649331352"/>
    <n v="0.07238950715421304"/>
    <x v="319"/>
    <x v="336"/>
    <s v="Mousavi; SRS"/>
    <x v="260"/>
    <s v="Individual"/>
    <m/>
    <m/>
    <n v="1951000"/>
    <n v="0.07001486417221937"/>
    <n v="0.9671963095848283"/>
    <n v="1951000"/>
    <n v="0.07001486417221937"/>
    <n v="0.002374642981993663"/>
    <s v="No"/>
    <d v="2021-06-10T00:00:00"/>
    <n v="98"/>
  </r>
  <r>
    <s v="U.S. Renal Care"/>
    <s v="306 Main St"/>
    <s v="Edgefield"/>
    <s v="SC"/>
    <n v="0.19"/>
    <n v="2005"/>
    <n v="6250"/>
    <n v="66000"/>
    <n v="10.56"/>
    <d v="2023-08-22T00:00:00"/>
    <n v="1.931506849315068"/>
    <s v="Modified Gross"/>
    <s v="At option"/>
    <s v="1, 5yr"/>
    <n v="570000"/>
    <n v="91.2"/>
    <n v="0.1157894736842105"/>
    <x v="319"/>
    <x v="392"/>
    <s v="Horvath &amp; Tremblay - Saddle Brook; Schiavello"/>
    <x v="261"/>
    <s v="Individual"/>
    <m/>
    <m/>
    <n v="566963"/>
    <n v="0.1164097128031282"/>
    <n v="1.005356610572471"/>
    <n v="566963"/>
    <n v="0.1164097128031282"/>
    <n v="-0.0006202391189177175"/>
    <s v="No"/>
    <d v="2021-03-03T00:00:00"/>
    <n v="197"/>
  </r>
  <r>
    <s v="DaVita Dialysis"/>
    <s v="1220 3rd St"/>
    <s v="Whitehall"/>
    <s v="PA"/>
    <n v="0.9"/>
    <n v="2016"/>
    <n v="7791"/>
    <n v="141407"/>
    <n v="18.15004492362983"/>
    <d v="2031-03-25T00:00:00"/>
    <n v="9.526027397260274"/>
    <s v="NN"/>
    <s v="10% every 5 years"/>
    <s v="2, 5yr"/>
    <m/>
    <s v=" "/>
    <s v=" "/>
    <x v="319"/>
    <x v="393"/>
    <s v="CP; Webb"/>
    <x v="262"/>
    <s v="Individual"/>
    <m/>
    <m/>
    <n v="2525000"/>
    <n v="0.05600277227722773"/>
    <s v=" "/>
    <n v="2525000"/>
    <n v="0.05600277227722773"/>
    <s v=" "/>
    <s v="No"/>
    <d v="2021-04-19T00:00:00"/>
    <n v="150"/>
  </r>
  <r>
    <s v="Fresenius Medical Care"/>
    <s v="234 Kings Bay Rd"/>
    <s v="Kingsland"/>
    <s v="GA"/>
    <n v="1.5"/>
    <n v="2016"/>
    <n v="7104"/>
    <n v="166902"/>
    <n v="23.49408783783784"/>
    <d v="2031-05-31T00:00:00"/>
    <n v="9.712328767123287"/>
    <s v="NN"/>
    <s v="Annually"/>
    <s v="3, 5yr"/>
    <n v="2929100"/>
    <n v="412.3170045045045"/>
    <n v="0.05698064251817964"/>
    <x v="320"/>
    <x v="394"/>
    <s v="Diffie; M&amp;M"/>
    <x v="35"/>
    <s v="REIT"/>
    <m/>
    <m/>
    <n v="3034582"/>
    <n v="0.05499999670465323"/>
    <n v="0.9652400231728785"/>
    <n v="3034582"/>
    <n v="0.05499999670465323"/>
    <n v="0.001980645813526416"/>
    <s v="No"/>
    <d v="2021-07-26T00:00:00"/>
    <n v="51"/>
  </r>
  <r>
    <s v="DaVita Dialysis"/>
    <s v="1216 E 8th St"/>
    <s v="Odessa"/>
    <s v="TX"/>
    <n v="0.8"/>
    <n v="2021"/>
    <n v="11526"/>
    <n v="181524.64"/>
    <n v="15.74914454277286"/>
    <d v="2036-01-06T00:00:00"/>
    <n v="14.31780821917808"/>
    <s v="NN"/>
    <s v="10% every 5 years"/>
    <s v="3, 5yr"/>
    <n v="3330900"/>
    <n v="288.9901093180635"/>
    <n v="0.05449717493770453"/>
    <x v="320"/>
    <x v="66"/>
    <s v="SJC; Briggs"/>
    <x v="263"/>
    <s v="Individual"/>
    <m/>
    <m/>
    <n v="3643078"/>
    <n v="0.04982727243281643"/>
    <n v="0.9143092736416844"/>
    <n v="3393168"/>
    <n v="0.05349709769749096"/>
    <n v="0.001000077240213566"/>
    <s v="Yes"/>
    <d v="2021-03-15T00:00:00"/>
    <n v="184"/>
  </r>
  <r>
    <s v="DaVita  Dialysis"/>
    <s v="1441 Ct "/>
    <s v="Tacoma"/>
    <s v="WA"/>
    <n v="0.1680441"/>
    <n v="2012"/>
    <n v="18732"/>
    <n v="493920"/>
    <n v="26.3677130044843"/>
    <d v="2032-11-30T00:00:00"/>
    <n v="11.21917808219178"/>
    <m/>
    <m/>
    <m/>
    <n v="9800000"/>
    <n v="523.168908819133"/>
    <n v="0.0504"/>
    <x v="321"/>
    <x v="395"/>
    <s v="Matthews™"/>
    <x v="264"/>
    <s v="Fund"/>
    <m/>
    <m/>
    <m/>
    <s v=" "/>
    <s v=" "/>
    <m/>
    <s v=" "/>
    <s v=" "/>
    <s v=" "/>
    <m/>
    <s v=" "/>
  </r>
  <r>
    <s v="DaVita Dialysis"/>
    <s v="739 E 20th St"/>
    <s v="Houston"/>
    <s v="TX"/>
    <n v="0.66"/>
    <n v="1993"/>
    <n v="8640"/>
    <n v="275525"/>
    <n v="31.88946759259259"/>
    <d v="2029-12-31T00:00:00"/>
    <n v="8.301369863013699"/>
    <s v="NN"/>
    <m/>
    <m/>
    <n v="4408391"/>
    <n v="510.2304398148148"/>
    <n v="0.06250012759757471"/>
    <x v="321"/>
    <x v="396"/>
    <s v="Unique Properties; Finholm"/>
    <x v="265"/>
    <s v="REIT"/>
    <m/>
    <m/>
    <n v="4514192"/>
    <n v="0.06103528604897621"/>
    <n v="0.9765625830713448"/>
    <n v="4514192"/>
    <n v="0.06103528604897621"/>
    <n v="0.001464841548598508"/>
    <s v="No"/>
    <d v="2021-06-08T00:00:00"/>
    <n v="98"/>
  </r>
  <r>
    <s v="DaVita Dialysis"/>
    <s v="739 E 20th St"/>
    <s v="Houston"/>
    <s v="TX"/>
    <n v="0.66"/>
    <n v="1993"/>
    <n v="8640"/>
    <n v="282137"/>
    <n v="32.65474537037037"/>
    <d v="2029-12-31T00:00:00"/>
    <n v="8.301369863013699"/>
    <s v="NNN"/>
    <s v="10% every 5 years"/>
    <s v="2, 5yr"/>
    <n v="4408391"/>
    <n v="510.2304398148148"/>
    <n v="0.06399999455583681"/>
    <x v="321"/>
    <x v="397"/>
    <s v="Finholm; Unique"/>
    <x v="265"/>
    <s v="REIT"/>
    <m/>
    <m/>
    <n v="4514192"/>
    <n v="0.0625"/>
    <n v="0.9765625830713448"/>
    <n v="4514192"/>
    <n v="0.0625"/>
    <n v="0.001499994555836812"/>
    <s v="No"/>
    <d v="2021-06-04T00:00:00"/>
    <n v="102"/>
  </r>
  <r>
    <s v="DaVita Dialysis"/>
    <s v="10708 Victoria Ash Dr"/>
    <s v="Keller"/>
    <s v="TX"/>
    <n v="0.5600000000000001"/>
    <n v="2008"/>
    <n v="11200"/>
    <n v="248425.03"/>
    <n v="22.18080625"/>
    <m/>
    <s v=" "/>
    <m/>
    <m/>
    <m/>
    <n v="3548929"/>
    <n v="316.8686607142857"/>
    <n v="0.07000000000000001"/>
    <x v="322"/>
    <x v="192"/>
    <s v="Perry Guest NV Co; Lesley"/>
    <x v="266"/>
    <s v="Individual"/>
    <m/>
    <m/>
    <n v="3548929"/>
    <n v="0.07000000000000001"/>
    <n v="1"/>
    <n v="3548929"/>
    <n v="0.07000000000000001"/>
    <n v="0"/>
    <s v="No"/>
    <d v="2021-03-12T00:00:00"/>
    <n v="175"/>
  </r>
  <r>
    <s v="Fresenius Medical Care"/>
    <s v="9076 Kingston Rd"/>
    <s v="Shreveport"/>
    <s v="LA"/>
    <n v="2"/>
    <n v="2018"/>
    <n v="8562"/>
    <n v="205040"/>
    <n v="23.94767577668769"/>
    <d v="2027-06-30T00:00:00"/>
    <n v="5.824657534246575"/>
    <s v="NN"/>
    <s v="10% at each option"/>
    <s v="2, 5yr"/>
    <n v="3106000"/>
    <n v="362.7657089465078"/>
    <n v="0.06601416613007083"/>
    <x v="322"/>
    <x v="398"/>
    <s v="SRS: Sullivan"/>
    <x v="49"/>
    <s v="REIT"/>
    <m/>
    <m/>
    <n v="3200000"/>
    <n v="0.06407499999999999"/>
    <n v="0.970625"/>
    <n v="3200000"/>
    <n v="0.06407499999999999"/>
    <n v="0.001939166130070835"/>
    <s v="No"/>
    <d v="2021-06-10T00:00:00"/>
    <n v="85"/>
  </r>
  <r>
    <s v="DaVita Dialysis"/>
    <s v="1207 E Columbus St"/>
    <s v="Kenton"/>
    <s v="OH"/>
    <n v="2.03"/>
    <n v="2013"/>
    <n v="5000"/>
    <m/>
    <s v=" "/>
    <m/>
    <s v=" "/>
    <m/>
    <m/>
    <m/>
    <m/>
    <s v=" "/>
    <s v=" "/>
    <x v="322"/>
    <x v="399"/>
    <m/>
    <x v="0"/>
    <s v="Individual"/>
    <m/>
    <m/>
    <m/>
    <s v=" "/>
    <s v=" "/>
    <m/>
    <s v=" "/>
    <s v=" "/>
    <s v=" "/>
    <m/>
    <s v=" "/>
  </r>
  <r>
    <s v="Fresenius Medical Care"/>
    <s v="1710 Southern Ave"/>
    <s v="Monroe"/>
    <s v="LA"/>
    <n v="1.33"/>
    <n v="2012"/>
    <n v="9312"/>
    <m/>
    <s v=" "/>
    <d v="2029-07-31T00:00:00"/>
    <n v="7.915068493150685"/>
    <s v="NN"/>
    <s v="1.7% annually"/>
    <s v="3, 5 yr"/>
    <n v="2590000"/>
    <n v="278.1357388316151"/>
    <s v=" "/>
    <x v="323"/>
    <x v="400"/>
    <s v="M&amp;M: Biuso"/>
    <x v="267"/>
    <s v="Fund"/>
    <m/>
    <m/>
    <m/>
    <s v=" "/>
    <s v=" "/>
    <m/>
    <s v=" "/>
    <s v=" "/>
    <s v=" "/>
    <m/>
    <s v=" "/>
  </r>
  <r>
    <s v="Davita Dialysis"/>
    <s v="6018 Pkwy Dr"/>
    <s v="Corpus Christi"/>
    <s v="TX"/>
    <n v="1.5"/>
    <n v="2017"/>
    <n v="9264"/>
    <m/>
    <s v=" "/>
    <m/>
    <s v=" "/>
    <m/>
    <m/>
    <m/>
    <m/>
    <s v=" "/>
    <s v=" "/>
    <x v="323"/>
    <x v="401"/>
    <m/>
    <x v="268"/>
    <s v="Individual"/>
    <m/>
    <m/>
    <m/>
    <s v=" "/>
    <s v=" "/>
    <m/>
    <s v=" "/>
    <s v=" "/>
    <s v=" "/>
    <m/>
    <s v=" "/>
  </r>
  <r>
    <s v="Fresenius Medical Care"/>
    <s v="800 W Bristol St"/>
    <s v="Elkhart"/>
    <s v="IN"/>
    <n v="1.29"/>
    <n v="2020"/>
    <n v="6300"/>
    <m/>
    <s v=" "/>
    <m/>
    <s v=" "/>
    <m/>
    <m/>
    <m/>
    <n v="3040000"/>
    <n v="482.5396825396825"/>
    <s v=" "/>
    <x v="324"/>
    <x v="402"/>
    <s v="M&amp;M; Shelby"/>
    <x v="111"/>
    <s v="Fund"/>
    <m/>
    <m/>
    <m/>
    <s v=" "/>
    <s v=" "/>
    <m/>
    <s v=" "/>
    <s v=" "/>
    <s v=" "/>
    <m/>
    <s v=" "/>
  </r>
  <r>
    <s v="DaVita Dialysis"/>
    <s v="2345 Alice Regional Blvd"/>
    <s v="Alice"/>
    <s v="TX"/>
    <n v="1"/>
    <n v="2003"/>
    <n v="8466"/>
    <n v="99000"/>
    <n v="11.69383416017009"/>
    <m/>
    <s v=" "/>
    <s v="NN"/>
    <s v="1.5% annually"/>
    <s v="2, 5yr"/>
    <n v="1800000"/>
    <n v="212.6151665485471"/>
    <n v="0.055"/>
    <x v="324"/>
    <x v="403"/>
    <m/>
    <x v="93"/>
    <s v="User"/>
    <m/>
    <m/>
    <m/>
    <s v=" "/>
    <s v=" "/>
    <m/>
    <s v=" "/>
    <s v=" "/>
    <s v=" "/>
    <m/>
    <s v=" "/>
  </r>
  <r>
    <s v="DaVita Dialysis"/>
    <s v="9198 S S Chicago Ave"/>
    <s v="Chicago"/>
    <s v="IL"/>
    <n v="0.84"/>
    <n v="1999"/>
    <n v="12650"/>
    <n v="245719"/>
    <n v="19.42442687747036"/>
    <d v="2030-02-28T00:00:00"/>
    <n v="8.498630136986302"/>
    <s v="NN"/>
    <s v="2% annually"/>
    <s v="3, 5yr"/>
    <n v="4907000"/>
    <n v="387.9051383399209"/>
    <n v="0.05007519869574078"/>
    <x v="324"/>
    <x v="404"/>
    <s v="Upland: Sturm"/>
    <x v="269"/>
    <s v="Fund"/>
    <m/>
    <m/>
    <n v="4907000"/>
    <n v="0.05007519869574078"/>
    <n v="1"/>
    <n v="4907000"/>
    <n v="0.05007519869574078"/>
    <n v="0"/>
    <s v="No"/>
    <d v="2021-01-26T00:00:00"/>
    <n v="218"/>
  </r>
  <r>
    <s v="DaVita Dialysis"/>
    <s v="1611 Andrews Rd"/>
    <s v="Murphy "/>
    <s v="NC"/>
    <n v="3.2"/>
    <n v="2006"/>
    <n v="3152"/>
    <m/>
    <s v=" "/>
    <m/>
    <s v=" "/>
    <m/>
    <m/>
    <m/>
    <n v="2044500"/>
    <n v="648.6357868020305"/>
    <s v=" "/>
    <x v="324"/>
    <x v="69"/>
    <s v="Colliers; Patel"/>
    <x v="270"/>
    <s v="Individual"/>
    <m/>
    <m/>
    <m/>
    <s v=" "/>
    <s v=" "/>
    <m/>
    <s v=" "/>
    <s v=" "/>
    <s v=" "/>
    <m/>
    <s v=" "/>
  </r>
  <r>
    <s v="DaVita Dialysis"/>
    <s v="2345 Forest Ave"/>
    <s v="Chico"/>
    <s v="CA"/>
    <n v="1.02"/>
    <n v="1995"/>
    <n v="7200"/>
    <n v="172800"/>
    <n v="24"/>
    <d v="2026-08-14T00:00:00"/>
    <n v="4.956164383561644"/>
    <s v="NN"/>
    <s v="2% annually"/>
    <s v="1, 5yr"/>
    <n v="3100000"/>
    <n v="430.5555555555555"/>
    <n v="0.05574193548387097"/>
    <x v="325"/>
    <x v="405"/>
    <s v="CP; Webb"/>
    <x v="271"/>
    <s v="Individual"/>
    <m/>
    <m/>
    <n v="3140000"/>
    <n v="0.05503184713375796"/>
    <n v="0.9872611464968153"/>
    <n v="3140000"/>
    <n v="0.05503184713375796"/>
    <n v="0.0007100883501130056"/>
    <s v="No"/>
    <d v="2021-07-02T00:00:00"/>
    <n v="60"/>
  </r>
  <r>
    <s v="Fresenius Medical Care"/>
    <s v="14001 Osborne St"/>
    <s v="Arleta"/>
    <s v="CA"/>
    <n v="0.62"/>
    <n v="2018"/>
    <n v="10008"/>
    <n v="452200"/>
    <n v="45.18385291766587"/>
    <d v="2033-12-31T00:00:00"/>
    <n v="12.34520547945205"/>
    <s v="NN"/>
    <s v="1.7% annually"/>
    <s v="3, 5yr"/>
    <n v="8960000"/>
    <n v="895.2837729816147"/>
    <n v="0.05046875"/>
    <x v="326"/>
    <x v="406"/>
    <s v="Embree; Byrnes"/>
    <x v="272"/>
    <s v="User"/>
    <m/>
    <m/>
    <n v="9590000"/>
    <n v="0.04715328467153285"/>
    <n v="0.9343065693430657"/>
    <n v="9042000"/>
    <n v="0.0500110595001106"/>
    <n v="0.0004576904998894044"/>
    <s v="Yes"/>
    <d v="2018-11-20T00:00:00"/>
    <n v="1014"/>
  </r>
  <r>
    <s v="DaVita Dialysis"/>
    <s v="2655 Hollywood Blvd"/>
    <s v="Hollywood"/>
    <s v="FL"/>
    <n v="0.68"/>
    <n v="1962"/>
    <n v="5825"/>
    <n v="111551"/>
    <n v="19.15038626609442"/>
    <d v="2029-04-30T00:00:00"/>
    <n v="7.671232876712328"/>
    <s v="NN"/>
    <s v="1.5% annually"/>
    <s v="2, 5yr"/>
    <n v="2146250"/>
    <n v="368.4549356223176"/>
    <n v="0.05197483983692487"/>
    <x v="326"/>
    <x v="407"/>
    <s v="Froged RE; Schrenk"/>
    <x v="273"/>
    <s v="Individual"/>
    <m/>
    <m/>
    <m/>
    <s v=" "/>
    <s v=" "/>
    <m/>
    <s v=" "/>
    <s v=" "/>
    <s v=" "/>
    <m/>
    <s v=" "/>
  </r>
  <r>
    <s v="Fresenius Medical Care"/>
    <s v="111 Eudora Welty Dr"/>
    <s v="Starkville"/>
    <s v="MS"/>
    <n v="0.45"/>
    <m/>
    <n v="9916"/>
    <m/>
    <s v=" "/>
    <m/>
    <s v=" "/>
    <m/>
    <m/>
    <m/>
    <n v="2500000"/>
    <n v="252.1177894312223"/>
    <s v=" "/>
    <x v="327"/>
    <x v="408"/>
    <s v="M&amp;M; Biuso"/>
    <x v="274"/>
    <s v="Fund"/>
    <m/>
    <m/>
    <m/>
    <s v=" "/>
    <s v=" "/>
    <m/>
    <s v=" "/>
    <s v=" "/>
    <s v=" "/>
    <m/>
    <s v=" "/>
  </r>
  <r>
    <s v="DaVita Dialysis"/>
    <s v="830 Fairgrounds Rd"/>
    <s v="Winnemucca"/>
    <s v="NV"/>
    <n v="0.78"/>
    <n v="2012"/>
    <n v="6558"/>
    <n v="172536"/>
    <n v="26.3092406221409"/>
    <d v="2027-06-27T00:00:00"/>
    <n v="5.835616438356165"/>
    <s v="NN"/>
    <s v="2.5% annually"/>
    <s v="3, 5yr"/>
    <n v="2458000"/>
    <n v="374.8093931076548"/>
    <n v="0.07019365337672905"/>
    <x v="327"/>
    <x v="409"/>
    <s v="PH: Peranich Huffman "/>
    <x v="225"/>
    <s v="Individual"/>
    <m/>
    <m/>
    <n v="2548000"/>
    <n v="0.06771428571428571"/>
    <n v="0.9646781789638933"/>
    <n v="2548000"/>
    <n v="0.06771428571428571"/>
    <n v="0.002479367662443333"/>
    <s v="No"/>
    <d v="2021-05-25T00:00:00"/>
    <n v="94"/>
  </r>
  <r>
    <s v="Fresenius Medical Care"/>
    <s v="975 E Townsend Rd."/>
    <s v="St Johns"/>
    <s v="MI"/>
    <n v="2.89"/>
    <n v="2014"/>
    <n v="8897"/>
    <n v="137700"/>
    <n v="15.47712712150163"/>
    <d v="2029-04-30T00:00:00"/>
    <n v="5.039890631024861"/>
    <s v="NN"/>
    <s v="1% annually"/>
    <s v="3, 5yr"/>
    <n v="2025000"/>
    <n v="227.6048106103181"/>
    <n v="0.068"/>
    <x v="327"/>
    <x v="410"/>
    <s v="Landmark; Lippitt"/>
    <x v="275"/>
    <s v="Individual"/>
    <m/>
    <m/>
    <m/>
    <s v=" "/>
    <s v=" "/>
    <m/>
    <s v=" "/>
    <s v=" "/>
    <s v=" "/>
    <m/>
    <s v=" "/>
  </r>
  <r>
    <s v="Fresenius Medical Care (MT)"/>
    <s v="2051 E Mary St"/>
    <s v="Garden City"/>
    <s v="KS"/>
    <n v="1.22"/>
    <n v="2016"/>
    <n v="11000"/>
    <n v="240825"/>
    <n v="21.89318181818182"/>
    <m/>
    <s v=" "/>
    <m/>
    <m/>
    <m/>
    <n v="4013750"/>
    <n v="364.8863636363636"/>
    <n v="0.06"/>
    <x v="328"/>
    <x v="411"/>
    <s v="CPPRE; Andreini"/>
    <x v="276"/>
    <s v="Individual"/>
    <s v="CPPRE; Andreini"/>
    <m/>
    <n v="5044000"/>
    <n v="0.04774484536082474"/>
    <n v="0.7957474226804123"/>
    <m/>
    <s v=" "/>
    <s v=" "/>
    <s v=" "/>
    <m/>
    <s v=" "/>
  </r>
  <r>
    <s v="DaVita &amp; Nevada Cancer Research Foundation"/>
    <s v="1750 E Desert Inn Rd"/>
    <s v="Las Vegas"/>
    <s v="NV"/>
    <n v="0.38"/>
    <n v="1986"/>
    <n v="13053"/>
    <n v="256254"/>
    <n v="19.6318087795909"/>
    <d v="2028-03-31T00:00:00"/>
    <n v="6.6"/>
    <s v="NN"/>
    <s v="2.75% annually"/>
    <s v="2, 5 yr"/>
    <n v="3799020"/>
    <n v="291.0457366122731"/>
    <n v="0.06745265884359651"/>
    <x v="328"/>
    <x v="412"/>
    <s v="M&amp;M; Ruble"/>
    <x v="277"/>
    <s v="Individual"/>
    <m/>
    <m/>
    <n v="3999000"/>
    <n v="0.06407951987996999"/>
    <n v="0.9499924981245311"/>
    <n v="3999000"/>
    <n v="0.06407951987996999"/>
    <n v="0.003373138963626524"/>
    <s v="No"/>
    <d v="2021-04-12T00:00:00"/>
    <n v="136"/>
  </r>
  <r>
    <s v="Kidney Center of North Georgia"/>
    <s v="102 Erlanger South Dr"/>
    <s v="Ringgold"/>
    <s v="GA"/>
    <n v="2.23"/>
    <n v="2012"/>
    <n v="9092"/>
    <n v="152250"/>
    <n v="16.74549054113506"/>
    <d v="2031-06-04T00:00:00"/>
    <n v="9.780821917808218"/>
    <s v="NNN"/>
    <s v="2% annually"/>
    <m/>
    <n v="2216000"/>
    <n v="243.7307523097228"/>
    <n v="0.06870487364620939"/>
    <x v="329"/>
    <x v="413"/>
    <s v="Fox; Hudson Companies"/>
    <x v="278"/>
    <s v="Individual"/>
    <m/>
    <s v="Fox Developments, LLC"/>
    <n v="2255555"/>
    <n v="0.06750001662561986"/>
    <n v="0.9824632961732257"/>
    <n v="2255555"/>
    <n v="0.06750001662561986"/>
    <n v="0.001204857020589534"/>
    <s v="No"/>
    <d v="2021-05-24T00:00:00"/>
    <n v="93"/>
  </r>
  <r>
    <s v="DaVita Dialysis"/>
    <s v="110 Heritage Ct"/>
    <s v="Greeneville"/>
    <s v="TN"/>
    <n v="3.46"/>
    <n v="2012"/>
    <n v="7022"/>
    <m/>
    <s v=" "/>
    <m/>
    <s v=" "/>
    <m/>
    <m/>
    <m/>
    <n v="1666551"/>
    <n v="237.3328111649103"/>
    <s v=" "/>
    <x v="329"/>
    <x v="69"/>
    <s v="Colliers; Patel"/>
    <x v="270"/>
    <s v="Individual"/>
    <m/>
    <m/>
    <m/>
    <s v=" "/>
    <s v=" "/>
    <m/>
    <s v=" "/>
    <s v=" "/>
    <s v=" "/>
    <m/>
    <s v=" "/>
  </r>
  <r>
    <s v="DaVita Dialysis"/>
    <s v="543 10th St"/>
    <s v="Floresville"/>
    <s v="TX"/>
    <n v="1.27"/>
    <n v="1995"/>
    <n v="4152"/>
    <n v="79926"/>
    <n v="19.25"/>
    <d v="2024-08-31T00:00:00"/>
    <n v="3.021917808219178"/>
    <s v="NN"/>
    <s v="2% annually in base; 3% annually at each option"/>
    <s v="3, 5yr"/>
    <m/>
    <s v=" "/>
    <s v=" "/>
    <x v="330"/>
    <x v="414"/>
    <s v="PH: Peranich Huffman "/>
    <x v="279"/>
    <s v="Individual"/>
    <m/>
    <m/>
    <n v="1000000"/>
    <n v="0.079926"/>
    <s v=" "/>
    <n v="1000000"/>
    <n v="0.079926"/>
    <s v=" "/>
    <s v="No"/>
    <d v="2021-07-21T00:00:00"/>
    <n v="34"/>
  </r>
  <r>
    <s v="DaVita Dialysis"/>
    <s v="543 10th St"/>
    <s v="Floresville"/>
    <s v="TX"/>
    <n v="1.27"/>
    <n v="1995"/>
    <n v="4450"/>
    <n v="79900"/>
    <n v="17.95505617977528"/>
    <d v="2024-08-31T00:00:00"/>
    <n v="3.021917808219178"/>
    <s v="NN"/>
    <s v="FMV at each option"/>
    <s v="3, 5yr"/>
    <n v="1000000"/>
    <n v="224.7191011235955"/>
    <n v="0.0799"/>
    <x v="330"/>
    <x v="415"/>
    <s v="PH: Peranich &amp; Huffman"/>
    <x v="280"/>
    <s v="Individual"/>
    <m/>
    <m/>
    <m/>
    <s v=" "/>
    <s v=" "/>
    <m/>
    <s v=" "/>
    <s v=" "/>
    <s v=" "/>
    <m/>
    <s v=" "/>
  </r>
  <r>
    <s v="DaVita Dialysis"/>
    <s v="W175N11056 Stonewood Dr"/>
    <s v="Germantown"/>
    <s v="WI"/>
    <n v="0.9"/>
    <n v="2006"/>
    <n v="7152"/>
    <n v="108056"/>
    <n v="15.10850111856823"/>
    <d v="2032-02-28T00:00:00"/>
    <n v="10.52328767123288"/>
    <s v="Gross"/>
    <s v="3% Annually"/>
    <s v="2, 5yr"/>
    <n v="1879241"/>
    <n v="262.7574105145414"/>
    <n v="0.05749980976362266"/>
    <x v="331"/>
    <x v="416"/>
    <m/>
    <x v="121"/>
    <s v="Fund"/>
    <m/>
    <m/>
    <m/>
    <s v=" "/>
    <s v=" "/>
    <m/>
    <s v=" "/>
    <s v=" "/>
    <s v=" "/>
    <m/>
    <s v=" "/>
  </r>
  <r>
    <s v="DaVita | Big O Tires- Portfolio of 5"/>
    <s v="5115 E Thomas Rd"/>
    <s v="Phoenix"/>
    <s v="AZ"/>
    <n v="1.07"/>
    <n v="2013"/>
    <n v="8591"/>
    <m/>
    <s v=" "/>
    <m/>
    <s v=" "/>
    <m/>
    <m/>
    <m/>
    <n v="3967166"/>
    <n v="461.7816319404027"/>
    <s v=" "/>
    <x v="331"/>
    <x v="416"/>
    <m/>
    <x v="121"/>
    <s v="Fund"/>
    <m/>
    <m/>
    <m/>
    <s v=" "/>
    <s v=" "/>
    <m/>
    <s v=" "/>
    <s v=" "/>
    <s v=" "/>
    <m/>
    <s v=" "/>
  </r>
  <r>
    <s v="Southwest Kidney Institute - Portfolio of 5"/>
    <s v="2610 N 3rd St"/>
    <s v="Phoenix"/>
    <s v="AZ"/>
    <n v="1"/>
    <n v="1979"/>
    <n v="10150"/>
    <m/>
    <s v=" "/>
    <m/>
    <s v=" "/>
    <m/>
    <m/>
    <m/>
    <n v="4464102"/>
    <n v="439.8130049261084"/>
    <s v=" "/>
    <x v="331"/>
    <x v="416"/>
    <m/>
    <x v="121"/>
    <s v="Fund"/>
    <m/>
    <m/>
    <m/>
    <s v=" "/>
    <s v=" "/>
    <m/>
    <s v=" "/>
    <s v=" "/>
    <s v=" "/>
    <m/>
    <s v=" "/>
  </r>
  <r>
    <s v="DaVita | Southwest Kidney Institute - Portfolio of 5"/>
    <s v="14620 W Encanto Blvd"/>
    <s v="Goodyear"/>
    <s v="AZ"/>
    <n v="2.63"/>
    <m/>
    <n v="14256"/>
    <m/>
    <s v=" "/>
    <m/>
    <s v=" "/>
    <m/>
    <m/>
    <m/>
    <n v="7418366"/>
    <n v="520.3679854096521"/>
    <s v=" "/>
    <x v="331"/>
    <x v="416"/>
    <m/>
    <x v="121"/>
    <s v="Fund"/>
    <m/>
    <m/>
    <m/>
    <s v=" "/>
    <s v=" "/>
    <m/>
    <s v=" "/>
    <s v=" "/>
    <s v=" "/>
    <m/>
    <s v=" "/>
  </r>
  <r>
    <s v="DaVita | Southwest Kidney Institute - Portfolio of 5"/>
    <s v="14671 W Mountain View Blvd"/>
    <s v="Surprise"/>
    <s v="AZ"/>
    <n v="2.92"/>
    <n v="2019"/>
    <n v="20000"/>
    <m/>
    <s v=" "/>
    <m/>
    <s v=" "/>
    <m/>
    <m/>
    <m/>
    <n v="7537385"/>
    <n v="376.86925"/>
    <s v=" "/>
    <x v="331"/>
    <x v="416"/>
    <m/>
    <x v="121"/>
    <s v="Fund"/>
    <m/>
    <m/>
    <m/>
    <s v=" "/>
    <s v=" "/>
    <m/>
    <s v=" "/>
    <s v=" "/>
    <s v=" "/>
    <m/>
    <s v=" "/>
  </r>
  <r>
    <s v="DaVita | Southwest Kidney Institute - Portfolio of 5"/>
    <s v="301 S Power Rd"/>
    <s v="Mesa"/>
    <s v="AZ"/>
    <n v="1.88"/>
    <n v="2011"/>
    <n v="21145"/>
    <m/>
    <s v=" "/>
    <m/>
    <s v=" "/>
    <m/>
    <m/>
    <m/>
    <n v="8336231"/>
    <n v="394.2412390636084"/>
    <s v=" "/>
    <x v="331"/>
    <x v="416"/>
    <m/>
    <x v="121"/>
    <s v="Fund"/>
    <m/>
    <m/>
    <m/>
    <s v=" "/>
    <s v=" "/>
    <m/>
    <s v=" "/>
    <s v=" "/>
    <s v=" "/>
    <m/>
    <s v=" "/>
  </r>
  <r>
    <s v="Kidney Clinic of Athens"/>
    <s v="385 Hawthorne Ln"/>
    <s v="Athens"/>
    <s v="GA"/>
    <n v="0.68"/>
    <n v="2010"/>
    <n v="5830"/>
    <n v="72000"/>
    <n v="12.34991423670669"/>
    <d v="2026-11-30T00:00:00"/>
    <n v="5.282191780821917"/>
    <s v="Absolute NNN"/>
    <s v="-"/>
    <s v="-"/>
    <n v="1275000"/>
    <n v="218.696397941681"/>
    <n v="0.05647058823529412"/>
    <x v="332"/>
    <x v="417"/>
    <s v="Elrod; NAI "/>
    <x v="281"/>
    <s v="Individual"/>
    <m/>
    <m/>
    <n v="1300000"/>
    <n v="0.05538461538461539"/>
    <n v="0.9807692307692307"/>
    <n v="1300000"/>
    <n v="0.05538461538461539"/>
    <n v="0.001085972850678733"/>
    <s v="No"/>
    <d v="2021-05-26T00:00:00"/>
    <n v="86"/>
  </r>
  <r>
    <s v="DaVita Dialysis"/>
    <s v="998 NW 9th Ct"/>
    <s v="Boca Raton"/>
    <s v="FL"/>
    <n v="0.62"/>
    <n v="1979"/>
    <n v="4632"/>
    <m/>
    <s v=" "/>
    <m/>
    <s v=" "/>
    <m/>
    <m/>
    <m/>
    <n v="2352516"/>
    <n v="507.8834196891192"/>
    <s v=" "/>
    <x v="332"/>
    <x v="13"/>
    <m/>
    <x v="0"/>
    <s v="Individual"/>
    <m/>
    <m/>
    <m/>
    <s v=" "/>
    <s v=" "/>
    <m/>
    <s v=" "/>
    <s v=" "/>
    <s v=" "/>
    <m/>
    <s v=" "/>
  </r>
  <r>
    <s v="Fresenius Medical Care"/>
    <s v="275 Health Center Dr"/>
    <s v="Clanton"/>
    <s v="AL"/>
    <n v="0.58"/>
    <n v="2002"/>
    <n v="10500"/>
    <n v="182624"/>
    <n v="17.3927619047619"/>
    <d v="2038-02-01T00:00:00"/>
    <n v="16.46575342465754"/>
    <s v="NNN"/>
    <s v="CPI annually"/>
    <s v="3, 5yr"/>
    <n v="3413536"/>
    <n v="325.0986666666666"/>
    <n v="0.05349994844056134"/>
    <x v="333"/>
    <x v="351"/>
    <s v="M&amp;M; Glass"/>
    <x v="282"/>
    <s v="Individual"/>
    <m/>
    <m/>
    <n v="3413536"/>
    <n v="0.05349994844056134"/>
    <n v="1"/>
    <n v="3413536"/>
    <n v="0.05349994844056134"/>
    <n v="0"/>
    <s v="No"/>
    <d v="2021-02-04T00:00:00"/>
    <n v="196"/>
  </r>
  <r>
    <s v="New Renality"/>
    <s v="109 Parker Dr"/>
    <s v="Lagrange"/>
    <s v="GA"/>
    <n v="0.88"/>
    <n v="1996"/>
    <n v="4827"/>
    <n v="173897.5"/>
    <n v="36.02599958566397"/>
    <m/>
    <s v=" "/>
    <m/>
    <m/>
    <m/>
    <n v="2615000"/>
    <n v="541.7443546716387"/>
    <n v="0.0665"/>
    <x v="333"/>
    <x v="418"/>
    <s v="KW; Cook"/>
    <x v="283"/>
    <s v="Individual"/>
    <m/>
    <m/>
    <n v="2750075"/>
    <n v="0.06323372998918211"/>
    <n v="0.9508831577320619"/>
    <n v="2750075"/>
    <n v="0.06323372998918211"/>
    <n v="0.00326627001081789"/>
    <s v="No"/>
    <d v="2021-04-02T00:00:00"/>
    <n v="139"/>
  </r>
  <r>
    <s v="DaVita Dialysis"/>
    <s v="1930 Olympic Hwy N"/>
    <s v="Shelton"/>
    <s v="WA"/>
    <n v="0.55"/>
    <n v="2020"/>
    <n v="6060"/>
    <n v="227250"/>
    <n v="37.5"/>
    <d v="2036-08-31T00:00:00"/>
    <n v="15.06027397260274"/>
    <s v="NN"/>
    <s v="10% every 5 years"/>
    <s v="3, 5yr"/>
    <n v="4412621"/>
    <n v="728.1552805280528"/>
    <n v="0.05150000419251959"/>
    <x v="334"/>
    <x v="419"/>
    <s v="CBRE, Marcus &amp; Millichap"/>
    <x v="284"/>
    <s v="Fund"/>
    <m/>
    <m/>
    <m/>
    <s v=" "/>
    <s v=" "/>
    <m/>
    <s v=" "/>
    <s v=" "/>
    <s v=" "/>
    <m/>
    <s v=" "/>
  </r>
  <r>
    <s v="Fresenius Medical Care"/>
    <s v="1815 Jackson St"/>
    <s v="Anderson"/>
    <s v="IN"/>
    <n v="1.39"/>
    <n v="2011"/>
    <n v="10750"/>
    <m/>
    <s v=" "/>
    <m/>
    <s v=" "/>
    <m/>
    <m/>
    <m/>
    <n v="3167411"/>
    <n v="294.6428837209302"/>
    <s v=" "/>
    <x v="334"/>
    <x v="420"/>
    <s v="Newmark"/>
    <x v="64"/>
    <s v="Fund"/>
    <m/>
    <m/>
    <m/>
    <s v=" "/>
    <s v=" "/>
    <m/>
    <s v=" "/>
    <s v=" "/>
    <s v=" "/>
    <m/>
    <s v=" "/>
  </r>
  <r>
    <s v="Fresenius Medical Care"/>
    <s v="1168 Cleveland Ave"/>
    <s v="Amherst"/>
    <s v="OH"/>
    <n v="0.32"/>
    <n v="2001"/>
    <n v="14038"/>
    <n v="187702"/>
    <n v="13.37099301894857"/>
    <d v="2022-10-31T00:00:00"/>
    <n v="1.216438356164384"/>
    <s v="NN"/>
    <s v="Flat"/>
    <s v="None"/>
    <n v="1500000"/>
    <n v="106.8528280381821"/>
    <n v="0.1251346666666667"/>
    <x v="334"/>
    <x v="421"/>
    <s v="Matthews: Moreno "/>
    <x v="285"/>
    <s v="Individual"/>
    <m/>
    <m/>
    <n v="1500000"/>
    <n v="0.1251346666666667"/>
    <n v="1"/>
    <n v="1500000"/>
    <n v="0.1251346666666667"/>
    <n v="0"/>
    <s v="No"/>
    <d v="2021-02-04T00:00:00"/>
    <n v="190"/>
  </r>
  <r>
    <s v="DaVita Dialysis"/>
    <s v="5010 Wiseman Blvd"/>
    <s v="San Antonio"/>
    <s v="TX"/>
    <n v="2"/>
    <n v="2017"/>
    <n v="9775"/>
    <n v="292030"/>
    <n v="29.87519181585678"/>
    <d v="2034-01-31T00:00:00"/>
    <n v="12.47945205479452"/>
    <s v="NN"/>
    <s v="10% every 5 years"/>
    <s v="2, 5yr"/>
    <n v="5500000"/>
    <n v="562.6598465473146"/>
    <n v="0.05309636363636364"/>
    <x v="335"/>
    <x v="422"/>
    <s v="Alamo Capital; Wiegand"/>
    <x v="286"/>
    <s v="Individual"/>
    <m/>
    <m/>
    <n v="5510000"/>
    <n v="0.053"/>
    <n v="0.9981851179673321"/>
    <n v="5510000"/>
    <n v="0.053"/>
    <n v="9.636363636363748e-05"/>
    <s v="No"/>
    <d v="2021-03-28T00:00:00"/>
    <n v="137"/>
  </r>
  <r>
    <s v="Fresenius Medical Care"/>
    <s v="275 Health Center Dr"/>
    <s v="Clanton"/>
    <s v="AL"/>
    <n v="0.58"/>
    <n v="2002"/>
    <n v="4516"/>
    <n v="182624"/>
    <n v="40.43932683790965"/>
    <d v="2037-12-31T00:00:00"/>
    <n v="16.4027397260274"/>
    <s v="Absolute NNN"/>
    <s v="CPI based"/>
    <s v="3, 5yr"/>
    <n v="3413536"/>
    <n v="755.8759964570417"/>
    <n v="0.05349994844056134"/>
    <x v="336"/>
    <x v="351"/>
    <s v="M&amp;M; Glass"/>
    <x v="287"/>
    <s v="Individual"/>
    <m/>
    <m/>
    <n v="3413536"/>
    <n v="0.05349994844056134"/>
    <n v="1"/>
    <n v="3413536"/>
    <n v="0.05349994844056134"/>
    <n v="0"/>
    <s v="No"/>
    <d v="2021-02-03T00:00:00"/>
    <n v="188"/>
  </r>
  <r>
    <s v="DaVita Dialysis"/>
    <s v="1065 E Franklin St"/>
    <s v="Hartwell"/>
    <s v="GA"/>
    <n v="0.64"/>
    <n v="2000"/>
    <n v="9540"/>
    <m/>
    <s v=" "/>
    <m/>
    <s v=" "/>
    <m/>
    <m/>
    <m/>
    <n v="1540900"/>
    <n v="161.5199161425577"/>
    <s v=" "/>
    <x v="336"/>
    <x v="69"/>
    <s v="Colliers: Patel"/>
    <x v="288"/>
    <s v="Individual"/>
    <m/>
    <m/>
    <m/>
    <s v=" "/>
    <s v=" "/>
    <m/>
    <s v=" "/>
    <s v=" "/>
    <s v=" "/>
    <m/>
    <s v=" "/>
  </r>
  <r>
    <s v="Fresenius Medical Care"/>
    <s v="2995 Race St"/>
    <s v="Jackson "/>
    <s v="LA"/>
    <n v="1.03"/>
    <n v="2001"/>
    <n v="6083"/>
    <n v="92125"/>
    <n v="15.14466546112116"/>
    <d v="2022-12-31T00:00:00"/>
    <n v="1.402739726027397"/>
    <s v="NN"/>
    <s v="0.75% annually"/>
    <s v="1, 5yr"/>
    <n v="1150000"/>
    <n v="189.0514548742397"/>
    <n v="0.08010869565217392"/>
    <x v="337"/>
    <x v="250"/>
    <s v="SJC; Powell"/>
    <x v="289"/>
    <s v="Individual"/>
    <m/>
    <m/>
    <n v="1016078"/>
    <n v="0.09066725192357279"/>
    <n v="1.131802873401451"/>
    <n v="1228440"/>
    <n v="0.07499348767542574"/>
    <n v="0.005115207976748179"/>
    <s v="Yes"/>
    <d v="2020-02-24T00:00:00"/>
    <n v="529"/>
  </r>
  <r>
    <s v="DaVita Platte Valley Dialysis"/>
    <s v="1321 S 4th Ave"/>
    <s v="Brighton"/>
    <s v="CO"/>
    <n v="1.0393"/>
    <n v="2016"/>
    <n v="9444"/>
    <n v="176338"/>
    <n v="18.6719610334604"/>
    <m/>
    <s v=" "/>
    <m/>
    <m/>
    <m/>
    <n v="3066747"/>
    <n v="324.7296696315121"/>
    <n v="0.05750001548872469"/>
    <x v="337"/>
    <x v="423"/>
    <s v="M&amp;M; Rodgers"/>
    <x v="290"/>
    <s v="Individual"/>
    <s v="M&amp;M; Roti"/>
    <m/>
    <n v="3175861"/>
    <n v="0.05552447037197157"/>
    <n v="0.9656427028764798"/>
    <n v="3175861"/>
    <n v="0.05552447037197157"/>
    <n v="0.001975545116753123"/>
    <s v="No"/>
    <d v="2021-05-19T00:00:00"/>
    <n v="79"/>
  </r>
  <r>
    <s v="Fresenius Medical Care"/>
    <s v="2319 N Kansas Ave"/>
    <s v="Liberal"/>
    <s v="KS"/>
    <n v="2.29"/>
    <n v="1983"/>
    <n v="12265"/>
    <n v="437951"/>
    <n v="35.70737871993477"/>
    <d v="2038-02-01T00:00:00"/>
    <n v="16.5041095890411"/>
    <s v="Absolute NNN"/>
    <s v="CPI annually"/>
    <s v="3, 5yr"/>
    <m/>
    <s v=" "/>
    <s v=" "/>
    <x v="338"/>
    <x v="351"/>
    <s v="M&amp;M: Glass"/>
    <x v="0"/>
    <s v="Individual"/>
    <m/>
    <m/>
    <n v="7962740"/>
    <n v="0.05500003767547352"/>
    <s v=" "/>
    <n v="7962740"/>
    <n v="0.05500003767547352"/>
    <s v=" "/>
    <s v="No"/>
    <d v="2021-02-03T00:00:00"/>
    <n v="183"/>
  </r>
  <r>
    <s v="U.S. Renal Care"/>
    <s v="2066 Fremont St"/>
    <s v="Monterey"/>
    <s v="CA"/>
    <n v="0.97"/>
    <n v="1948"/>
    <n v="7029"/>
    <n v="262783"/>
    <n v="37.3855455968132"/>
    <d v="2024-05-30T00:00:00"/>
    <n v="2.821917808219178"/>
    <s v="NN"/>
    <s v="CPI annually"/>
    <s v="1, 7yr"/>
    <n v="4042000"/>
    <n v="575.046237018068"/>
    <n v="0.06501311232063335"/>
    <x v="339"/>
    <x v="424"/>
    <s v="Mahoney; Edwards"/>
    <x v="291"/>
    <s v="Individual"/>
    <s v="Cushman &amp; Wakefield; Sheldon"/>
    <s v="-"/>
    <n v="4150000"/>
    <n v="0.06332120481927711"/>
    <n v="0.9739759036144578"/>
    <n v="4150000"/>
    <n v="0.06332120481927711"/>
    <n v="0.001691907501356241"/>
    <s v="No"/>
    <d v="2021-04-21T00:00:00"/>
    <n v="105"/>
  </r>
  <r>
    <s v="Fresenius Medical Care"/>
    <s v="200 E Frontage Rd"/>
    <s v="Sardis"/>
    <s v="MS"/>
    <n v="1.8"/>
    <n v="1999"/>
    <n v="5727"/>
    <n v="128055"/>
    <n v="22.35987427972761"/>
    <d v="2038-02-01T00:00:00"/>
    <n v="16.50684931506849"/>
    <s v="Absolute NNN"/>
    <s v="CPI annually"/>
    <s v="3, 5yr"/>
    <n v="2328281"/>
    <n v="406.5446132355509"/>
    <n v="0.05499980457685305"/>
    <x v="339"/>
    <x v="351"/>
    <s v="M&amp;M; Glass"/>
    <x v="0"/>
    <s v="Individual"/>
    <s v="CP; Webb"/>
    <m/>
    <n v="2328281"/>
    <n v="0.05499980457685305"/>
    <n v="1"/>
    <n v="2328281"/>
    <n v="0.05499980457685305"/>
    <n v="0"/>
    <s v="No"/>
    <d v="2021-02-03T00:00:00"/>
    <n v="182"/>
  </r>
  <r>
    <s v="DaVita Dialysis"/>
    <s v="18000 E Warren Ave"/>
    <s v="Detroit"/>
    <s v="MI"/>
    <n v="0.26"/>
    <n v="1960"/>
    <n v="13700"/>
    <m/>
    <s v=" "/>
    <m/>
    <s v=" "/>
    <m/>
    <m/>
    <m/>
    <m/>
    <s v=" "/>
    <s v=" "/>
    <x v="340"/>
    <x v="13"/>
    <m/>
    <x v="0"/>
    <s v="Individual"/>
    <m/>
    <m/>
    <m/>
    <s v=" "/>
    <s v=" "/>
    <m/>
    <s v=" "/>
    <s v=" "/>
    <s v=" "/>
    <m/>
    <s v=" "/>
  </r>
  <r>
    <s v="DaVita Dialysis"/>
    <s v="798 Generations Dr"/>
    <s v="New Braunfels"/>
    <s v="TX"/>
    <n v="1.65"/>
    <n v="2015"/>
    <n v="10649"/>
    <n v="231400"/>
    <n v="21.72973988167903"/>
    <d v="2031-06-30T00:00:00"/>
    <n v="9.926027397260274"/>
    <s v="NN"/>
    <s v="10% every 5"/>
    <s v="2, 5 yr"/>
    <m/>
    <s v=" "/>
    <s v=" "/>
    <x v="341"/>
    <x v="425"/>
    <s v="Alamo Capital; Wiegand"/>
    <x v="267"/>
    <s v="Fund"/>
    <m/>
    <m/>
    <n v="3560000"/>
    <n v="0.065"/>
    <s v=" "/>
    <n v="3560000"/>
    <n v="0.065"/>
    <s v=" "/>
    <s v="No"/>
    <d v="2021-02-06T00:00:00"/>
    <n v="173"/>
  </r>
  <r>
    <s v="DaVita Dialysis"/>
    <s v="902 S Persimmon Ave"/>
    <s v="Sanford"/>
    <s v="FL"/>
    <n v="1.29"/>
    <n v="2021"/>
    <n v="5952"/>
    <n v="167846"/>
    <n v="28.19993279569892"/>
    <d v="2036-03-18T00:00:00"/>
    <n v="14.64657534246575"/>
    <s v="NN"/>
    <s v="10% every 5 years"/>
    <s v="3, 5yr"/>
    <n v="3356928"/>
    <n v="564"/>
    <n v="0.04999988084343781"/>
    <x v="341"/>
    <x v="66"/>
    <s v="SJC; Briggs"/>
    <x v="292"/>
    <s v="Individual"/>
    <m/>
    <m/>
    <n v="3356928"/>
    <n v="0.04999988084343781"/>
    <n v="1"/>
    <n v="3356928"/>
    <n v="0.04999988084343781"/>
    <n v="0"/>
    <s v="No"/>
    <m/>
    <s v=" "/>
  </r>
  <r>
    <s v="DaVita Dialysis"/>
    <s v="1800 SW 8th St"/>
    <s v="Miami"/>
    <s v="FL"/>
    <n v="0.4269"/>
    <n v="2017"/>
    <n v="12367"/>
    <m/>
    <s v=" "/>
    <m/>
    <s v=" "/>
    <m/>
    <m/>
    <m/>
    <n v="8525000"/>
    <n v="689.3345192851945"/>
    <s v=" "/>
    <x v="342"/>
    <x v="426"/>
    <s v="Colliers; Patel"/>
    <x v="293"/>
    <s v="Individual"/>
    <m/>
    <m/>
    <m/>
    <s v=" "/>
    <s v=" "/>
    <m/>
    <s v=" "/>
    <s v=" "/>
    <s v=" "/>
    <m/>
    <s v=" "/>
  </r>
  <r>
    <s v="Fresenius Medical Care"/>
    <s v="5399 Mancuso Ln"/>
    <s v="Baton Rouge"/>
    <s v="LA"/>
    <n v="2"/>
    <n v="2016"/>
    <n v="12737"/>
    <m/>
    <s v=" "/>
    <m/>
    <s v=" "/>
    <m/>
    <m/>
    <m/>
    <n v="6250000"/>
    <n v="490.6963963256654"/>
    <s v=" "/>
    <x v="342"/>
    <x v="427"/>
    <m/>
    <x v="294"/>
    <s v="Fund"/>
    <m/>
    <m/>
    <m/>
    <s v=" "/>
    <s v=" "/>
    <m/>
    <s v=" "/>
    <s v=" "/>
    <s v=" "/>
    <m/>
    <s v=" "/>
  </r>
  <r>
    <s v="DaVita Dialysis"/>
    <s v="2511 Crockett"/>
    <s v="Brownwood"/>
    <s v="TX"/>
    <n v="1.06"/>
    <n v="2015"/>
    <n v="7005"/>
    <n v="145751"/>
    <n v="20.80670949321913"/>
    <d v="2031-07-31T00:00:00"/>
    <n v="10.02739726027397"/>
    <s v="NN"/>
    <m/>
    <m/>
    <m/>
    <s v=" "/>
    <s v=" "/>
    <x v="343"/>
    <x v="73"/>
    <s v="NAI; Johnson"/>
    <x v="295"/>
    <s v="User"/>
    <m/>
    <m/>
    <m/>
    <s v=" "/>
    <s v=" "/>
    <m/>
    <s v=" "/>
    <s v=" "/>
    <s v=" "/>
    <d v="2021-02-04T00:00:00"/>
    <n v="169"/>
  </r>
  <r>
    <s v="Fresenius Medical Care - Condo"/>
    <s v="25567 Tobacco Rd"/>
    <s v="Hephzibah"/>
    <s v="GA"/>
    <n v="1.37"/>
    <n v="2004"/>
    <n v="12000"/>
    <m/>
    <s v=" "/>
    <m/>
    <s v=" "/>
    <m/>
    <m/>
    <m/>
    <n v="1200000"/>
    <n v="100"/>
    <s v=" "/>
    <x v="343"/>
    <x v="428"/>
    <s v="Colliers; Patel"/>
    <x v="0"/>
    <s v="Individual"/>
    <m/>
    <m/>
    <m/>
    <s v=" "/>
    <s v=" "/>
    <m/>
    <s v=" "/>
    <s v=" "/>
    <s v=" "/>
    <m/>
    <s v=" "/>
  </r>
  <r>
    <s v="DaVita / Optum"/>
    <s v="1501 &amp; 1525 W Commonwealth Ave"/>
    <s v="Fullerton"/>
    <s v="CA"/>
    <n v="1.34"/>
    <n v="1962"/>
    <n v="17156"/>
    <n v="312750"/>
    <n v="18.22977384005596"/>
    <d v="2030-01-14T00:00:00"/>
    <n v="8.487671232876712"/>
    <s v="NNN"/>
    <m/>
    <m/>
    <n v="6255000"/>
    <n v="364.5954768011192"/>
    <n v="0.05"/>
    <x v="344"/>
    <x v="429"/>
    <s v="Lee &amp; Assoc; Pham"/>
    <x v="296"/>
    <s v="Individual"/>
    <m/>
    <m/>
    <n v="6995000"/>
    <n v="0.04471050750536097"/>
    <n v="0.8942101501072195"/>
    <n v="6900000"/>
    <n v="0.04532608695652174"/>
    <n v="0.004673913043478264"/>
    <s v="Yes"/>
    <d v="2020-01-07T00:00:00"/>
    <n v="562"/>
  </r>
  <r>
    <s v="Fresenius Medical Care"/>
    <s v="10000 Industrial Dr"/>
    <s v="Minden"/>
    <s v="LA"/>
    <n v="1"/>
    <n v="1999"/>
    <n v="8750"/>
    <n v="119913"/>
    <n v="13.70434285714286"/>
    <d v="2026-11-30T00:00:00"/>
    <n v="5.361643835616438"/>
    <s v="NN"/>
    <s v="2.5% annually"/>
    <s v="2, 5yr"/>
    <n v="1710625"/>
    <n v="195.5"/>
    <n v="0.07009894044574351"/>
    <x v="344"/>
    <x v="430"/>
    <s v="PH: Peranich &amp; Huffman"/>
    <x v="297"/>
    <s v="Individual"/>
    <m/>
    <m/>
    <n v="1790000"/>
    <n v="0.06699050279329609"/>
    <n v="0.9556564245810056"/>
    <n v="1790000"/>
    <n v="0.06699050279329609"/>
    <n v="0.003108437652447421"/>
    <s v="No"/>
    <d v="2021-05-11T00:00:00"/>
    <n v="72"/>
  </r>
  <r>
    <s v="DaVita Dialysis"/>
    <s v="805-815 N Beckley Ave"/>
    <s v="Dallas"/>
    <s v="TX"/>
    <n v="1.29"/>
    <n v="2007"/>
    <n v="7954"/>
    <n v="170500"/>
    <n v="21.43575559466935"/>
    <d v="2027-02-28T00:00:00"/>
    <n v="5.608219178082192"/>
    <s v="NNN"/>
    <m/>
    <m/>
    <m/>
    <s v=" "/>
    <s v=" "/>
    <x v="344"/>
    <x v="431"/>
    <s v="Stark; Capital Pacific"/>
    <x v="214"/>
    <s v="Fund"/>
    <m/>
    <s v="The Mitchell Companies"/>
    <n v="3196255"/>
    <n v="0.05334367877406528"/>
    <s v=" "/>
    <n v="3196255"/>
    <n v="0.05334367877406528"/>
    <s v=" "/>
    <s v="No"/>
    <d v="2021-04-01T00:00:00"/>
    <n v="112"/>
  </r>
  <r>
    <s v="Fresenius Medical Care"/>
    <s v="150 Stonecrest Rd"/>
    <s v="Shelbyville"/>
    <s v="KY"/>
    <n v="1.5"/>
    <n v="1989"/>
    <n v="7236"/>
    <m/>
    <s v=" "/>
    <m/>
    <s v=" "/>
    <m/>
    <m/>
    <m/>
    <n v="2630000"/>
    <n v="363.4604754007739"/>
    <s v=" "/>
    <x v="345"/>
    <x v="432"/>
    <s v="JLL"/>
    <x v="64"/>
    <s v="Fund"/>
    <m/>
    <m/>
    <m/>
    <s v=" "/>
    <s v=" "/>
    <m/>
    <s v=" "/>
    <s v=" "/>
    <s v=" "/>
    <m/>
    <s v=" "/>
  </r>
  <r>
    <s v="DaVita Dialysis"/>
    <s v="7949 S Western Ave"/>
    <s v="Chicago"/>
    <s v="IL"/>
    <n v="0.187"/>
    <n v="2020"/>
    <n v="7449"/>
    <n v="202538"/>
    <n v="27.18995838367566"/>
    <d v="2036-02-20T00:00:00"/>
    <n v="14.6"/>
    <s v="NNN"/>
    <s v="10% every 5 years"/>
    <s v="2, 5yr"/>
    <n v="3790757"/>
    <n v="508.894750973285"/>
    <n v="0.0534294337516227"/>
    <x v="345"/>
    <x v="433"/>
    <s v="SJC; Harf"/>
    <x v="298"/>
    <s v="Individual"/>
    <m/>
    <m/>
    <n v="3785757"/>
    <n v="0.05350000013207398"/>
    <n v="1.001320739815049"/>
    <n v="3785757"/>
    <n v="0.05350000013207398"/>
    <n v="-7.056638045128266e-05"/>
    <s v="No"/>
    <d v="2021-02-17T00:00:00"/>
    <n v="152"/>
  </r>
  <r>
    <s v="DaVita Dialysis"/>
    <s v="1720 E Whitestone Blvd"/>
    <s v="Cedar Park"/>
    <s v="TX"/>
    <n v="1.742"/>
    <n v="2007"/>
    <n v="6966"/>
    <m/>
    <s v=" "/>
    <m/>
    <s v=" "/>
    <m/>
    <m/>
    <m/>
    <m/>
    <s v=" "/>
    <s v=" "/>
    <x v="346"/>
    <x v="434"/>
    <m/>
    <x v="267"/>
    <s v="Fund"/>
    <m/>
    <m/>
    <m/>
    <s v=" "/>
    <s v=" "/>
    <m/>
    <s v=" "/>
    <s v=" "/>
    <s v=" "/>
    <m/>
    <s v=" "/>
  </r>
  <r>
    <s v="DaVita Dialysis"/>
    <s v="3100 W 2nd St"/>
    <s v="Taylor"/>
    <s v="TX"/>
    <n v="1.11"/>
    <n v="2008"/>
    <n v="5856"/>
    <m/>
    <s v=" "/>
    <m/>
    <s v=" "/>
    <m/>
    <m/>
    <m/>
    <m/>
    <s v=" "/>
    <s v=" "/>
    <x v="346"/>
    <x v="434"/>
    <m/>
    <x v="267"/>
    <s v="Fund"/>
    <m/>
    <m/>
    <m/>
    <s v=" "/>
    <s v=" "/>
    <m/>
    <s v=" "/>
    <s v=" "/>
    <s v=" "/>
    <m/>
    <s v=" "/>
  </r>
  <r>
    <s v="Fresenius Medical Care"/>
    <s v="9126 Eastex Fwy"/>
    <s v="Houston"/>
    <s v="TX"/>
    <n v="1.06"/>
    <n v="2015"/>
    <n v="6750"/>
    <m/>
    <s v=" "/>
    <m/>
    <s v=" "/>
    <m/>
    <m/>
    <m/>
    <m/>
    <s v=" "/>
    <s v=" "/>
    <x v="347"/>
    <x v="435"/>
    <m/>
    <x v="299"/>
    <s v="Individual"/>
    <m/>
    <m/>
    <m/>
    <s v=" "/>
    <s v=" "/>
    <m/>
    <s v=" "/>
    <s v=" "/>
    <s v=" "/>
    <m/>
    <s v=" "/>
  </r>
  <r>
    <s v="DaVita Dialysis"/>
    <s v="1503 E 10th St"/>
    <s v="Rolla"/>
    <s v="MO"/>
    <n v="1.46"/>
    <n v="2010"/>
    <n v="6250"/>
    <n v="203188"/>
    <n v="32.51008"/>
    <d v="2032-09-30T00:00:00"/>
    <n v="11.23561643835616"/>
    <m/>
    <s v="10% in year 7"/>
    <s v="3, 5yr"/>
    <n v="3473000"/>
    <n v="555.6799999999999"/>
    <n v="0.05850503887129283"/>
    <x v="348"/>
    <x v="436"/>
    <s v="PH: Peranich &amp; Huffman"/>
    <x v="188"/>
    <s v="Fund"/>
    <s v="KPI Brokers"/>
    <m/>
    <n v="3473000"/>
    <n v="0.05850503887129283"/>
    <n v="1"/>
    <n v="3473000"/>
    <n v="0.05850503887129283"/>
    <n v="0"/>
    <s v="No"/>
    <d v="2020-11-19T00:00:00"/>
    <n v="232"/>
  </r>
  <r>
    <s v="Davita Singleton Farms Dialysis"/>
    <s v="4031 Austin Peay Hwy"/>
    <s v="Memphis"/>
    <s v="TN"/>
    <n v="1.0183"/>
    <n v="2018"/>
    <n v="7939"/>
    <m/>
    <s v=" "/>
    <m/>
    <s v=" "/>
    <m/>
    <m/>
    <m/>
    <n v="3908000"/>
    <n v="492.2534324222194"/>
    <s v=" "/>
    <x v="348"/>
    <x v="437"/>
    <m/>
    <x v="300"/>
    <s v="Individual"/>
    <m/>
    <m/>
    <m/>
    <s v=" "/>
    <s v=" "/>
    <m/>
    <s v=" "/>
    <s v=" "/>
    <s v=" "/>
    <m/>
    <s v=" "/>
  </r>
  <r>
    <s v="DaVita Dialysis - MT"/>
    <s v="402 N Carrier Pkwy"/>
    <s v="Grand Prairie"/>
    <s v="TX"/>
    <n v="0.88"/>
    <n v="2013"/>
    <n v="8054"/>
    <m/>
    <s v=" "/>
    <d v="2023-10-31T00:00:00"/>
    <n v="2.312328767123287"/>
    <m/>
    <m/>
    <m/>
    <m/>
    <s v=" "/>
    <s v=" "/>
    <x v="348"/>
    <x v="438"/>
    <m/>
    <x v="301"/>
    <s v="Individual"/>
    <m/>
    <m/>
    <m/>
    <s v=" "/>
    <s v=" "/>
    <m/>
    <s v=" "/>
    <s v=" "/>
    <s v=" "/>
    <m/>
    <s v=" "/>
  </r>
  <r>
    <s v="US Renal (Multi-Tenant)"/>
    <s v="1457 W Southern Ave"/>
    <s v="Mesa"/>
    <s v="AZ"/>
    <m/>
    <m/>
    <m/>
    <m/>
    <s v=" "/>
    <m/>
    <s v=" "/>
    <m/>
    <m/>
    <m/>
    <m/>
    <s v=" "/>
    <s v=" "/>
    <x v="348"/>
    <x v="439"/>
    <m/>
    <x v="302"/>
    <s v="Individual"/>
    <m/>
    <m/>
    <m/>
    <s v=" "/>
    <s v=" "/>
    <m/>
    <s v=" "/>
    <s v=" "/>
    <s v=" "/>
    <m/>
    <s v=" "/>
  </r>
  <r>
    <s v="Fresenius Medical Care"/>
    <s v="1210 Fox Meadows Blvd"/>
    <s v="Sevierville"/>
    <s v="TN"/>
    <n v="4.2"/>
    <n v="2008"/>
    <n v="9620"/>
    <n v="209524"/>
    <n v="21.78004158004158"/>
    <d v="2025-09-18T00:00:00"/>
    <n v="4.2"/>
    <s v="NN"/>
    <s v="-"/>
    <s v="-"/>
    <n v="2825000"/>
    <n v="293.6590436590437"/>
    <n v="0.07416778761061947"/>
    <x v="349"/>
    <x v="440"/>
    <s v="M&amp;M; Pfeiffer"/>
    <x v="303"/>
    <s v="Individual"/>
    <m/>
    <m/>
    <n v="2890000"/>
    <n v="0.07249965397923876"/>
    <n v="0.9775086505190311"/>
    <m/>
    <s v=" "/>
    <s v=" "/>
    <s v=" "/>
    <d v="2021-02-19T00:00:00"/>
    <n v="139"/>
  </r>
  <r>
    <s v="Fresenius Medical Care"/>
    <s v="308 Hwy 8 W"/>
    <s v="Aberdeen"/>
    <s v="MS"/>
    <n v="2.01"/>
    <n v="1994"/>
    <n v="8236"/>
    <n v="180624"/>
    <n v="21.93103448275862"/>
    <d v="2038-02-01T00:00:00"/>
    <n v="16.58904109589041"/>
    <s v="Absolute NNN"/>
    <s v="CPI annually"/>
    <s v="3, 5yr"/>
    <n v="3824081"/>
    <n v="464.3128946090335"/>
    <n v="0.04723330912708178"/>
    <x v="350"/>
    <x v="351"/>
    <s v="M&amp;M; Glass"/>
    <x v="0"/>
    <s v="Individual"/>
    <s v="CP; Webb"/>
    <m/>
    <n v="3284081"/>
    <n v="0.05499986145286916"/>
    <n v="1.164429561877432"/>
    <n v="3284081"/>
    <n v="0.05499986145286916"/>
    <n v="-0.007766552325787379"/>
    <s v="No"/>
    <d v="2021-02-04T00:00:00"/>
    <n v="151"/>
  </r>
  <r>
    <s v="Davita Dialysis"/>
    <s v="3601 Manor Rd"/>
    <s v="Austin"/>
    <s v="TX"/>
    <n v="1.43"/>
    <n v="1964"/>
    <n v="13538"/>
    <m/>
    <s v=" "/>
    <m/>
    <s v=" "/>
    <m/>
    <m/>
    <m/>
    <m/>
    <s v=" "/>
    <s v=" "/>
    <x v="351"/>
    <x v="441"/>
    <m/>
    <x v="304"/>
    <s v="Individual"/>
    <s v="The Kucera Co"/>
    <m/>
    <m/>
    <s v=" "/>
    <s v=" "/>
    <m/>
    <s v=" "/>
    <s v=" "/>
    <s v=" "/>
    <m/>
    <s v=" "/>
  </r>
  <r>
    <s v="DaVita Dialysis"/>
    <s v="3723 Gulfway Dr"/>
    <s v="Port Arthur"/>
    <s v="TX"/>
    <n v="3.8"/>
    <n v="1978"/>
    <n v="35004"/>
    <n v="308250"/>
    <n v="8.806136441549537"/>
    <d v="2031-06-30T00:00:00"/>
    <n v="10.00547945205479"/>
    <s v="NN"/>
    <s v="10% every 5 years"/>
    <s v="3, 5yr"/>
    <n v="4500000"/>
    <n v="128.5567363729859"/>
    <n v="0.06850000000000001"/>
    <x v="352"/>
    <x v="66"/>
    <s v="AY; Kropfl"/>
    <x v="305"/>
    <s v="Fund"/>
    <m/>
    <m/>
    <m/>
    <s v=" "/>
    <s v=" "/>
    <m/>
    <s v=" "/>
    <s v=" "/>
    <s v=" "/>
    <d v="2018-11-04T00:00:00"/>
    <n v="969"/>
  </r>
  <r>
    <s v="DaVita Dialysis"/>
    <s v="13015 New Halls Ferry Rd"/>
    <s v="Florissant"/>
    <s v="MO"/>
    <n v="0.83"/>
    <n v="2020"/>
    <n v="9000"/>
    <n v="230000"/>
    <n v="25.55555555555556"/>
    <d v="2035-09-30T00:00:00"/>
    <n v="14.26027397260274"/>
    <s v="NN"/>
    <s v="10% every 5 years"/>
    <s v="3, 5yr"/>
    <n v="4380952"/>
    <n v="486.7724444444444"/>
    <n v="0.05250000456521779"/>
    <x v="352"/>
    <x v="167"/>
    <s v="Colliers; Patel"/>
    <x v="306"/>
    <s v="Individual"/>
    <s v="NAI; Mitchell"/>
    <m/>
    <m/>
    <s v=" "/>
    <s v=" "/>
    <m/>
    <s v=" "/>
    <s v=" "/>
    <s v=" "/>
    <m/>
    <s v=" "/>
  </r>
  <r>
    <s v="Fresenius Medical Care"/>
    <s v="1680 Osceola Elementary Road"/>
    <s v="Saint Augustine"/>
    <s v="FL"/>
    <n v="1.96"/>
    <n v="2001"/>
    <n v="9206"/>
    <n v="153000"/>
    <n v="16.61959591570715"/>
    <d v="2026-10-30T00:00:00"/>
    <n v="5.336986301369863"/>
    <s v="NN"/>
    <s v="Flat"/>
    <s v="1, 5 yr"/>
    <n v="2200000"/>
    <n v="238.9745817944818"/>
    <n v="0.06954545454545455"/>
    <x v="352"/>
    <x v="442"/>
    <s v="KW: Cook"/>
    <x v="307"/>
    <s v="Individual"/>
    <m/>
    <m/>
    <n v="2349000"/>
    <n v="0.06513409961685823"/>
    <n v="0.9365687526607067"/>
    <n v="2349000"/>
    <n v="0.06513409961685823"/>
    <n v="0.004411354928596317"/>
    <s v="No"/>
    <d v="2020-12-16T00:00:00"/>
    <n v="196"/>
  </r>
  <r>
    <s v="Fresenius Medical Care"/>
    <s v="801 W Broadway St"/>
    <s v="West Plains"/>
    <s v="MO"/>
    <n v="0.59"/>
    <n v="2014"/>
    <n v="8000"/>
    <n v="332326"/>
    <n v="41.54075"/>
    <d v="2029-07-31T00:00:00"/>
    <n v="8.104109589041096"/>
    <s v="NN"/>
    <s v="1.7% annually"/>
    <s v="3, 5 yr"/>
    <m/>
    <s v=" "/>
    <s v=" "/>
    <x v="353"/>
    <x v="443"/>
    <m/>
    <x v="308"/>
    <s v="Individual"/>
    <m/>
    <m/>
    <n v="4747513"/>
    <n v="0.07000001895729406"/>
    <s v=" "/>
    <n v="4747513"/>
    <n v="0.07000001895729406"/>
    <s v=" "/>
    <s v="No"/>
    <d v="2021-03-04T00:00:00"/>
    <n v="113"/>
  </r>
  <r>
    <s v="DaVita Dialysis"/>
    <s v="1650 Maxey Dr"/>
    <s v="Leeds"/>
    <s v="AL"/>
    <n v="1.28"/>
    <n v="2012"/>
    <n v="5995"/>
    <n v="87500.00000000001"/>
    <n v="14.5954962468724"/>
    <d v="2026-01-24T00:00:00"/>
    <n v="4.586301369863014"/>
    <s v="NN"/>
    <s v="2% annually"/>
    <s v="2, 5r"/>
    <n v="1217000"/>
    <n v="203.0025020850709"/>
    <n v="0.07189811010682007"/>
    <x v="353"/>
    <x v="444"/>
    <s v="SJC; Wilkins"/>
    <x v="309"/>
    <s v="Individual"/>
    <m/>
    <m/>
    <n v="1250000"/>
    <n v="0.07000000000000001"/>
    <n v="0.9736"/>
    <n v="1250000"/>
    <n v="0.07000000000000001"/>
    <n v="0.001898110106820061"/>
    <s v="No"/>
    <d v="2021-03-03T00:00:00"/>
    <n v="114"/>
  </r>
  <r>
    <s v="DaVita Dialysis"/>
    <s v="8080 Augusta Rd"/>
    <s v="Piedmont"/>
    <s v="SC"/>
    <n v="2.57"/>
    <m/>
    <n v="7040"/>
    <m/>
    <s v=" "/>
    <m/>
    <s v=" "/>
    <m/>
    <m/>
    <m/>
    <n v="2750000"/>
    <n v="390.625"/>
    <s v=" "/>
    <x v="354"/>
    <x v="445"/>
    <m/>
    <x v="193"/>
    <s v="Fund"/>
    <m/>
    <s v="Istvan Bognar"/>
    <m/>
    <s v=" "/>
    <s v=" "/>
    <m/>
    <s v=" "/>
    <s v=" "/>
    <s v=" "/>
    <m/>
    <s v=" "/>
  </r>
  <r>
    <s v="Davita Dialysis"/>
    <s v="8604 S Coulter St"/>
    <s v="Amarillo"/>
    <s v="TX"/>
    <n v="1.414141"/>
    <n v="2003"/>
    <n v="11786"/>
    <n v="282865"/>
    <n v="24.00008484642797"/>
    <m/>
    <s v=" "/>
    <s v="Absolute NNN"/>
    <s v="2% annually"/>
    <s v="3, 5yr"/>
    <n v="5115000"/>
    <n v="433.9894790429323"/>
    <n v="0.0553010752688172"/>
    <x v="355"/>
    <x v="446"/>
    <s v="Colliers International"/>
    <x v="310"/>
    <s v="Individual"/>
    <m/>
    <m/>
    <m/>
    <s v=" "/>
    <s v=" "/>
    <m/>
    <s v=" "/>
    <s v=" "/>
    <s v=" "/>
    <m/>
    <s v=" "/>
  </r>
  <r>
    <s v="Fresenius Medical Care"/>
    <s v="1115 Herrington Rd"/>
    <s v="Lawrenceville"/>
    <s v="GA"/>
    <n v="1.6"/>
    <n v="2005"/>
    <n v="7347"/>
    <m/>
    <s v=" "/>
    <m/>
    <s v=" "/>
    <m/>
    <m/>
    <m/>
    <n v="3428000"/>
    <n v="466.5850006805499"/>
    <s v=" "/>
    <x v="355"/>
    <x v="385"/>
    <m/>
    <x v="64"/>
    <s v="Fund"/>
    <m/>
    <m/>
    <m/>
    <s v=" "/>
    <s v=" "/>
    <m/>
    <s v=" "/>
    <s v=" "/>
    <s v=" "/>
    <m/>
    <s v=" "/>
  </r>
  <r>
    <s v="Fresenius Medical Care"/>
    <s v="27 Sterling Dr"/>
    <s v="Rochester"/>
    <s v="NH"/>
    <n v="2.880005"/>
    <n v="2009"/>
    <n v="10332"/>
    <n v="262500"/>
    <n v="25.40650406504065"/>
    <d v="2027-09-30T00:00:00"/>
    <n v="6.279452054794521"/>
    <s v="NN"/>
    <s v="1.7% annually"/>
    <s v="3, 5yr"/>
    <n v="4375000"/>
    <n v="423.4417344173442"/>
    <n v="0.06"/>
    <x v="356"/>
    <x v="73"/>
    <s v="Block &amp; Co Real Estate"/>
    <x v="311"/>
    <s v="Individual"/>
    <m/>
    <m/>
    <m/>
    <s v=" "/>
    <s v=" "/>
    <m/>
    <s v=" "/>
    <s v=" "/>
    <s v=" "/>
    <m/>
    <s v=" "/>
  </r>
  <r>
    <s v="DaVita Dialysis"/>
    <s v="851 Best Drive Dr"/>
    <s v="Seguin"/>
    <s v="TX"/>
    <n v="1.32"/>
    <n v="2020"/>
    <n v="9770"/>
    <n v="261040"/>
    <n v="26.71852610030706"/>
    <d v="2036-02-28T00:00:00"/>
    <n v="14.70684931506849"/>
    <s v="NN"/>
    <s v="10% every 5 years"/>
    <s v="2, 5yr"/>
    <m/>
    <s v=" "/>
    <s v=" "/>
    <x v="357"/>
    <x v="425"/>
    <s v="Alamo Capital; Wiegand"/>
    <x v="294"/>
    <s v="Fund"/>
    <m/>
    <m/>
    <n v="5020000"/>
    <n v="0.052"/>
    <s v=" "/>
    <n v="4673120"/>
    <n v="0.0558598966001301"/>
    <s v=" "/>
    <s v="Yes"/>
    <d v="2021-02-08T00:00:00"/>
    <n v="130"/>
  </r>
  <r>
    <s v="Fresenius Medical Care"/>
    <s v="208 Ashley Ave"/>
    <s v="West Springfield"/>
    <s v="MA"/>
    <n v="3.54"/>
    <n v="1996"/>
    <n v="16862"/>
    <m/>
    <s v=" "/>
    <m/>
    <s v=" "/>
    <m/>
    <m/>
    <m/>
    <n v="4285000"/>
    <n v="254.1216937492587"/>
    <s v=" "/>
    <x v="358"/>
    <x v="447"/>
    <m/>
    <x v="111"/>
    <s v="Fund"/>
    <m/>
    <m/>
    <m/>
    <s v=" "/>
    <s v=" "/>
    <m/>
    <s v=" "/>
    <s v=" "/>
    <s v=" "/>
    <m/>
    <s v=" "/>
  </r>
  <r>
    <s v="DaVita Dialysis - MT"/>
    <s v="10655 Lomond Dr"/>
    <s v="Manassas"/>
    <s v="VA"/>
    <n v="2"/>
    <n v="2001"/>
    <n v="10000"/>
    <m/>
    <s v=" "/>
    <m/>
    <s v=" "/>
    <m/>
    <m/>
    <m/>
    <n v="5500000"/>
    <n v="550"/>
    <s v=" "/>
    <x v="358"/>
    <x v="448"/>
    <m/>
    <x v="312"/>
    <s v="Individual"/>
    <m/>
    <m/>
    <m/>
    <s v=" "/>
    <s v=" "/>
    <m/>
    <s v=" "/>
    <s v=" "/>
    <s v=" "/>
    <m/>
    <s v=" "/>
  </r>
  <r>
    <s v="Fresenius Medical Care"/>
    <s v="1899 N Helm Ave"/>
    <s v="Fresno"/>
    <s v="CA"/>
    <n v="0.99"/>
    <n v="1974"/>
    <n v="16058"/>
    <n v="398369"/>
    <n v="24.80813301781044"/>
    <d v="2030-05-31T00:00:00"/>
    <n v="8.95890410958904"/>
    <s v="NN"/>
    <s v="1.7% annually"/>
    <s v="3, 5yr"/>
    <n v="6987500"/>
    <n v="435.1413625607174"/>
    <n v="0.05701166368515206"/>
    <x v="358"/>
    <x v="449"/>
    <s v="Sage; Meyers"/>
    <x v="313"/>
    <s v="Individual"/>
    <m/>
    <m/>
    <m/>
    <s v=" "/>
    <s v=" "/>
    <m/>
    <s v=" "/>
    <s v=" "/>
    <s v=" "/>
    <m/>
    <s v=" "/>
  </r>
  <r>
    <s v="Fresenius Medical Care"/>
    <s v="2841 Deans Bridge Rd"/>
    <s v="Augusta"/>
    <s v="GA"/>
    <n v="1.37"/>
    <n v="2005"/>
    <n v="6710"/>
    <n v="167750"/>
    <n v="25"/>
    <d v="2026-01-31T00:00:00"/>
    <n v="4.63013698630137"/>
    <s v="NN"/>
    <s v="2.5% annually"/>
    <s v="3, 5yr"/>
    <n v="2400000"/>
    <n v="357.6751117734725"/>
    <n v="0.06989583333333334"/>
    <x v="359"/>
    <x v="450"/>
    <s v="Shelby; SVN"/>
    <x v="314"/>
    <s v="Individual"/>
    <s v="Ruble:; M&amp;M"/>
    <m/>
    <n v="2450000"/>
    <n v="0.06846938775510204"/>
    <n v="0.9795918367346939"/>
    <n v="2450000"/>
    <n v="0.06846938775510204"/>
    <n v="0.001426445578231295"/>
    <s v="No"/>
    <d v="2021-03-09T00:00:00"/>
    <n v="99"/>
  </r>
  <r>
    <s v="DaVita Dialysis"/>
    <s v="666 West Ave"/>
    <s v="Norwalk"/>
    <s v="CT"/>
    <n v="0.8"/>
    <n v="2020"/>
    <n v="12000"/>
    <n v="480210"/>
    <n v="40.0175"/>
    <d v="2035-05-05T12:00:00"/>
    <n v="13.9"/>
    <s v="NN"/>
    <s v="10% every 5 years"/>
    <s v="3, 5yr"/>
    <n v="7675000"/>
    <n v="639.5833333333334"/>
    <n v="0.06256807817589577"/>
    <x v="360"/>
    <x v="451"/>
    <s v="Hovarth; Brockwell"/>
    <x v="315"/>
    <s v="Individual"/>
    <m/>
    <m/>
    <n v="7683360"/>
    <n v="0.0625"/>
    <n v="0.9989119343620499"/>
    <m/>
    <s v=" "/>
    <s v=" "/>
    <s v=" "/>
    <d v="2020-12-01T00:00:00"/>
    <n v="195"/>
  </r>
  <r>
    <s v="Fresenius Medical Care"/>
    <s v="160 Jack Burton Dr"/>
    <s v="Cleburne"/>
    <s v="TX"/>
    <n v="3.5"/>
    <n v="2002"/>
    <n v="7000"/>
    <n v="132020"/>
    <n v="18.86"/>
    <d v="2029-06-30T00:00:00"/>
    <n v="8.049315068493151"/>
    <s v="NN"/>
    <s v="Lesser of FMV or CPI"/>
    <s v="3, 5yr"/>
    <n v="2336637"/>
    <n v="333.8052857142857"/>
    <n v="0.05650000406567216"/>
    <x v="360"/>
    <x v="452"/>
    <s v="SJC; Briggs"/>
    <x v="316"/>
    <s v="Individual"/>
    <m/>
    <m/>
    <n v="2336637"/>
    <n v="0.05650000406567216"/>
    <n v="1"/>
    <n v="2336637"/>
    <n v="0.05650000406567216"/>
    <n v="0"/>
    <s v="No"/>
    <m/>
    <s v=" "/>
  </r>
  <r>
    <s v="DaVita Dialysis"/>
    <s v="101 Christian Dr"/>
    <s v="Brandon"/>
    <s v="MS"/>
    <n v="1.07"/>
    <n v="1999"/>
    <n v="6138"/>
    <m/>
    <s v=" "/>
    <m/>
    <s v=" "/>
    <m/>
    <m/>
    <m/>
    <n v="1300000"/>
    <n v="211.7953730856957"/>
    <s v=" "/>
    <x v="361"/>
    <x v="453"/>
    <s v="Marcus &amp; Millichap"/>
    <x v="317"/>
    <s v="Individual"/>
    <s v="Marcus &amp; Millichap"/>
    <m/>
    <m/>
    <s v=" "/>
    <s v=" "/>
    <m/>
    <s v=" "/>
    <s v=" "/>
    <s v=" "/>
    <m/>
    <s v=" "/>
  </r>
  <r>
    <s v="American Renal Associates"/>
    <s v="465 N Shawnee Ln"/>
    <s v="Chillicothe"/>
    <s v="OH"/>
    <n v="1"/>
    <n v="2005"/>
    <n v="8103"/>
    <n v="95943"/>
    <n v="11.84042947056646"/>
    <d v="2027-04-30T00:00:00"/>
    <n v="5.890410958904109"/>
    <s v="NNN"/>
    <s v="10% year 2022"/>
    <s v="2, 5yr"/>
    <n v="1312500"/>
    <n v="161.9770455386894"/>
    <n v="0.07309942857142857"/>
    <x v="362"/>
    <x v="454"/>
    <s v="M&amp;M"/>
    <x v="318"/>
    <s v="Individual"/>
    <m/>
    <m/>
    <n v="1342500"/>
    <n v="0.0714659217877095"/>
    <n v="0.9776536312849162"/>
    <n v="1342500"/>
    <n v="0.0714659217877095"/>
    <n v="0.001633506783719069"/>
    <s v="No"/>
    <d v="2020-11-10T00:00:00"/>
    <n v="212"/>
  </r>
  <r>
    <s v="DaVita Dialysis"/>
    <s v="3636 E Melby St"/>
    <s v="Chippewa Falls"/>
    <s v="WI"/>
    <n v="1.7"/>
    <n v="1996"/>
    <n v="5540"/>
    <n v="69250"/>
    <n v="12.5"/>
    <d v="2025-04-30T00:00:00"/>
    <n v="3.89041095890411"/>
    <s v="NN"/>
    <s v="5% per Option"/>
    <s v="1, 5yr"/>
    <n v="1051000"/>
    <n v="189.7111913357401"/>
    <n v="0.06588962892483349"/>
    <x v="362"/>
    <x v="455"/>
    <s v="KW; Cook"/>
    <x v="49"/>
    <s v="REIT"/>
    <m/>
    <m/>
    <n v="1051000"/>
    <n v="0.06588962892483349"/>
    <n v="1"/>
    <n v="1051000"/>
    <n v="0.06588962892483349"/>
    <n v="0"/>
    <s v="No"/>
    <d v="2020-10-15T00:00:00"/>
    <n v="238"/>
  </r>
  <r>
    <s v="DaVita Dialysis"/>
    <s v="3636 Melby St"/>
    <s v="Eau Claire"/>
    <s v="WI"/>
    <n v="1.66"/>
    <n v="1996"/>
    <n v="5540"/>
    <n v="66508"/>
    <n v="12.00505415162455"/>
    <d v="2025-05-31T00:00:00"/>
    <n v="3.978082191780822"/>
    <s v="NN"/>
    <s v="2% annually"/>
    <s v="2, 5yr"/>
    <n v="1051000"/>
    <n v="189.7111913357401"/>
    <n v="0.06328068506184586"/>
    <x v="363"/>
    <x v="455"/>
    <s v="KW; Cook"/>
    <x v="49"/>
    <s v="REIT"/>
    <m/>
    <m/>
    <m/>
    <s v=" "/>
    <s v=" "/>
    <m/>
    <s v=" "/>
    <s v=" "/>
    <s v=" "/>
    <m/>
    <s v=" "/>
  </r>
  <r>
    <s v="Fresenius Medical Care"/>
    <s v="3982 Front St"/>
    <s v="Winnsboro"/>
    <s v="LA"/>
    <n v="1"/>
    <n v="1998"/>
    <n v="4536"/>
    <n v="46644"/>
    <n v="10.28306878306878"/>
    <d v="2027-12-31T00:00:00"/>
    <n v="6.564383561643836"/>
    <s v="NN"/>
    <s v="2% annually starting 2023"/>
    <s v="2, 5yr"/>
    <n v="643000"/>
    <n v="141.7548500881834"/>
    <n v="0.07254121306376361"/>
    <x v="363"/>
    <x v="13"/>
    <s v="Biuso; M&amp;M"/>
    <x v="319"/>
    <s v="Individual"/>
    <s v="Biuso; M&amp;M"/>
    <m/>
    <n v="690000"/>
    <n v="0.06759999999999999"/>
    <n v="0.9318840579710145"/>
    <n v="690000"/>
    <n v="0.06759999999999999"/>
    <n v="0.004941213063763619"/>
    <s v="No"/>
    <d v="2021-03-24T00:00:00"/>
    <n v="77"/>
  </r>
  <r>
    <s v="Fresenius Medical Care"/>
    <s v="138 Youngsville Hwy"/>
    <s v="Lafayette"/>
    <s v="LA"/>
    <n v="1.75"/>
    <n v="2020"/>
    <n v="10915"/>
    <n v="172222"/>
    <n v="15.77846999541915"/>
    <d v="2035-11-30T00:00:00"/>
    <n v="14.48767123287671"/>
    <s v="NN"/>
    <s v="1.7% annually"/>
    <s v="3, 5yr"/>
    <n v="3000000"/>
    <n v="274.8511223087494"/>
    <n v="0.05740733333333333"/>
    <x v="364"/>
    <x v="456"/>
    <s v="Biuso; M&amp;M"/>
    <x v="320"/>
    <s v="Individual"/>
    <s v="Biuso; M&amp;M"/>
    <m/>
    <n v="3444440"/>
    <n v="0.05"/>
    <n v="0.8709688657662784"/>
    <n v="3444440"/>
    <n v="0.05"/>
    <n v="0.007407333333333328"/>
    <s v="No"/>
    <d v="2021-02-24T00:00:00"/>
    <n v="104"/>
  </r>
  <r>
    <s v="DaVita Dialysis"/>
    <s v="6035 University Ave"/>
    <s v="San Diego"/>
    <s v="CA"/>
    <n v="1.11"/>
    <n v="2020"/>
    <n v="15000"/>
    <n v="576413"/>
    <n v="38.42753333333334"/>
    <d v="2035-05-06T00:00:00"/>
    <n v="13.91780821917808"/>
    <s v="NN"/>
    <s v="2.5% annually"/>
    <s v="3, 5yr"/>
    <n v="12160500"/>
    <n v="810.7"/>
    <n v="0.04740043583734221"/>
    <x v="364"/>
    <x v="5"/>
    <s v="Mansour; Mansour Group"/>
    <x v="321"/>
    <s v="Individual"/>
    <m/>
    <s v="Centres Inc"/>
    <n v="13000000"/>
    <n v="0.04433946153846154"/>
    <n v="0.9354230769230769"/>
    <n v="13000000"/>
    <n v="0.04433946153846154"/>
    <n v="0.003060974298880678"/>
    <s v="No"/>
    <m/>
    <s v=" "/>
  </r>
  <r>
    <s v="DaVita Dialysis"/>
    <s v="1719 New Hope Road"/>
    <s v="Lawrenceville"/>
    <s v="GA"/>
    <n v="2.4"/>
    <n v="2020"/>
    <n v="6928"/>
    <n v="255709"/>
    <n v="36.90949769053118"/>
    <d v="2035-08-26T00:00:00"/>
    <n v="14.23561643835616"/>
    <s v="NN"/>
    <s v="10% every 5 years"/>
    <s v="3, 5yr"/>
    <n v="4779607"/>
    <n v="689.897084295612"/>
    <n v="0.05350000533516668"/>
    <x v="365"/>
    <x v="66"/>
    <s v="SJC; Briggs"/>
    <x v="322"/>
    <s v="Individual"/>
    <m/>
    <m/>
    <n v="4870648"/>
    <n v="0.05249999589377019"/>
    <n v="0.9813082366042465"/>
    <n v="4870648"/>
    <n v="0.05249999589377019"/>
    <n v="0.001000009441396485"/>
    <s v="No"/>
    <d v="2021-02-02T00:00:00"/>
    <n v="122"/>
  </r>
  <r>
    <s v="Fresenius Medical Care"/>
    <s v="4353 Groom Rd"/>
    <s v="Baker"/>
    <s v="LA"/>
    <n v="3.6"/>
    <n v="2013"/>
    <n v="9000"/>
    <m/>
    <s v=" "/>
    <m/>
    <s v=" "/>
    <m/>
    <m/>
    <m/>
    <n v="2700000"/>
    <n v="300"/>
    <s v=" "/>
    <x v="365"/>
    <x v="457"/>
    <m/>
    <x v="64"/>
    <s v="Fund"/>
    <m/>
    <m/>
    <m/>
    <s v=" "/>
    <s v=" "/>
    <m/>
    <s v=" "/>
    <s v=" "/>
    <s v=" "/>
    <m/>
    <s v=" "/>
  </r>
  <r>
    <s v="Fresenius Medical Care"/>
    <s v="13063 Rosecrans Ave"/>
    <s v="Santa Fe Springs"/>
    <s v="CA"/>
    <n v="1.491116"/>
    <n v="2005"/>
    <n v="9240"/>
    <m/>
    <s v=" "/>
    <m/>
    <s v=" "/>
    <m/>
    <m/>
    <m/>
    <n v="5400000"/>
    <n v="584.4155844155844"/>
    <s v=" "/>
    <x v="365"/>
    <x v="458"/>
    <s v="Matthews™"/>
    <x v="323"/>
    <s v="Individual"/>
    <m/>
    <m/>
    <m/>
    <s v=" "/>
    <s v=" "/>
    <m/>
    <s v=" "/>
    <s v=" "/>
    <s v=" "/>
    <m/>
    <s v=" "/>
  </r>
  <r>
    <s v="Fresenius Medical Care"/>
    <s v="1370 West Liberty Street"/>
    <s v="Farmington"/>
    <s v="MO"/>
    <n v="1.15"/>
    <n v="2006"/>
    <n v="7836"/>
    <n v="189216.48"/>
    <n v="24.14707503828484"/>
    <d v="2031-06-01T00:00:00"/>
    <n v="10"/>
    <s v="NN"/>
    <s v="2% annually"/>
    <s v="3, 5yr"/>
    <n v="3304000"/>
    <n v="421.6436957631445"/>
    <n v="0.05726891041162228"/>
    <x v="366"/>
    <x v="459"/>
    <s v="SJC; Briggs"/>
    <x v="111"/>
    <s v="Fund"/>
    <m/>
    <m/>
    <n v="3348964"/>
    <n v="0.05650000418039729"/>
    <n v="0.9865737583324276"/>
    <n v="3348964"/>
    <n v="0.05650000418039729"/>
    <n v="0.0007689062312249903"/>
    <s v="No"/>
    <m/>
    <s v=" "/>
  </r>
  <r>
    <s v="DaVita Dialysis - MT"/>
    <s v="16506 Lakewood Blvd"/>
    <s v="Bellflower"/>
    <s v="CA"/>
    <n v="0.59"/>
    <n v="2009"/>
    <n v="14233"/>
    <m/>
    <s v=" "/>
    <m/>
    <s v=" "/>
    <m/>
    <m/>
    <m/>
    <n v="6000000"/>
    <n v="421.5555399423874"/>
    <s v=" "/>
    <x v="366"/>
    <x v="460"/>
    <s v="Phillips; Inco Commercial"/>
    <x v="324"/>
    <s v="Individual"/>
    <m/>
    <m/>
    <n v="6200000"/>
    <s v=" "/>
    <n v="0.967741935483871"/>
    <n v="6200000"/>
    <s v=" "/>
    <s v=" "/>
    <s v="No"/>
    <d v="2020-10-14T00:00:00"/>
    <n v="232"/>
  </r>
  <r>
    <s v="DaVita Dialysis"/>
    <s v="1612 Noble St"/>
    <s v="Anniston"/>
    <s v="AL"/>
    <n v="0.6267"/>
    <n v="2013"/>
    <n v="5657"/>
    <m/>
    <s v=" "/>
    <m/>
    <s v=" "/>
    <m/>
    <m/>
    <m/>
    <n v="1415000"/>
    <n v="250.132579105533"/>
    <s v=" "/>
    <x v="367"/>
    <x v="461"/>
    <m/>
    <x v="325"/>
    <s v="Individual"/>
    <m/>
    <m/>
    <m/>
    <s v=" "/>
    <s v=" "/>
    <m/>
    <s v=" "/>
    <s v=" "/>
    <s v=" "/>
    <m/>
    <s v=" "/>
  </r>
  <r>
    <s v="American Renal (MT)"/>
    <s v="640 North Ave"/>
    <s v="Macon"/>
    <s v="GA"/>
    <n v="2.65"/>
    <n v="1985"/>
    <n v="19783"/>
    <n v="208840"/>
    <n v="10.55653844209675"/>
    <m/>
    <s v=" "/>
    <m/>
    <m/>
    <m/>
    <n v="2300000"/>
    <n v="116.2614365869686"/>
    <n v="0.09080000000000001"/>
    <x v="368"/>
    <x v="462"/>
    <s v="Scott Wilson"/>
    <x v="326"/>
    <s v="Individual"/>
    <m/>
    <m/>
    <n v="2458000"/>
    <n v="0.08496338486574451"/>
    <n v="0.935720097640358"/>
    <n v="2458000"/>
    <n v="0.08496338486574451"/>
    <n v="0.005836615134255499"/>
    <s v="No"/>
    <d v="2021-02-20T00:00:00"/>
    <n v="101"/>
  </r>
  <r>
    <s v="Fresenius Medical Care"/>
    <s v="40865 Merchants Lane"/>
    <s v="Leonardtown"/>
    <s v="MD"/>
    <n v="1"/>
    <n v="1994"/>
    <n v="7656"/>
    <m/>
    <s v=" "/>
    <m/>
    <s v=" "/>
    <m/>
    <m/>
    <m/>
    <n v="1000000"/>
    <n v="130.6165099268547"/>
    <s v=" "/>
    <x v="369"/>
    <x v="463"/>
    <m/>
    <x v="327"/>
    <s v="Individual"/>
    <m/>
    <m/>
    <n v="1399000"/>
    <s v=" "/>
    <n v="0.7147962830593281"/>
    <n v="1399000"/>
    <s v=" "/>
    <s v=" "/>
    <s v="No"/>
    <d v="2020-12-15T00:00:00"/>
    <n v="167"/>
  </r>
  <r>
    <s v="DaVita Dialysis"/>
    <s v="4040 Lone Tree Way"/>
    <s v="Antioch"/>
    <s v="CA"/>
    <n v="1.3"/>
    <n v="2016"/>
    <n v="11530"/>
    <n v="413237"/>
    <n v="35.84015611448395"/>
    <d v="2031-09-20T00:00:00"/>
    <n v="10.32054794520548"/>
    <s v="NN"/>
    <s v="10% every 5 years; 95% of FMV in options"/>
    <s v="2, 5yr"/>
    <n v="7750000"/>
    <n v="672.1595836947095"/>
    <n v="0.05332090322580645"/>
    <x v="370"/>
    <x v="464"/>
    <s v="C&amp;W; Bogardus"/>
    <x v="328"/>
    <s v="Individual"/>
    <m/>
    <m/>
    <n v="8265000"/>
    <n v="0.04999842710223835"/>
    <n v="0.9376890502117362"/>
    <n v="8265000"/>
    <n v="0.04999842710223835"/>
    <n v="0.003322476123568098"/>
    <s v="No"/>
    <d v="2021-01-04T00:00:00"/>
    <n v="144"/>
  </r>
  <r>
    <s v="Davita Dialysis"/>
    <s v="4078 Golf Course Rd"/>
    <s v="Antioch"/>
    <s v="CA"/>
    <n v="0.7460055"/>
    <n v="2016"/>
    <n v="11530"/>
    <m/>
    <s v=" "/>
    <m/>
    <s v=" "/>
    <m/>
    <m/>
    <m/>
    <n v="7750000"/>
    <n v="672.1595836947095"/>
    <s v=" "/>
    <x v="371"/>
    <x v="465"/>
    <s v="C&amp;W; "/>
    <x v="329"/>
    <s v="Individual"/>
    <m/>
    <m/>
    <m/>
    <s v=" "/>
    <s v=" "/>
    <m/>
    <s v=" "/>
    <s v=" "/>
    <s v=" "/>
    <m/>
    <s v=" "/>
  </r>
  <r>
    <s v="Fresenius Medical Care"/>
    <s v="4016 Saint Stephens Rd"/>
    <s v="Whistler"/>
    <s v="AL"/>
    <n v="2.4"/>
    <n v="2010"/>
    <n v="8113"/>
    <n v="194626"/>
    <n v="23.98939972883027"/>
    <d v="2038-02-01T00:00:00"/>
    <n v="16.6986301369863"/>
    <s v="Absolute NNN"/>
    <s v="CPI annually"/>
    <s v="3, 5yr"/>
    <m/>
    <s v=" "/>
    <s v=" "/>
    <x v="371"/>
    <x v="466"/>
    <m/>
    <x v="330"/>
    <s v="Fund"/>
    <m/>
    <s v="Malkove &amp; Associates"/>
    <n v="3637875"/>
    <n v="0.05349991409820293"/>
    <s v=" "/>
    <n v="3637875"/>
    <n v="0.05349991409820293"/>
    <s v=" "/>
    <s v="No"/>
    <d v="2021-02-03T00:00:00"/>
    <n v="112"/>
  </r>
  <r>
    <s v="Fresenius Medical Care"/>
    <s v="3533 S County Line Rd"/>
    <s v="Andrews"/>
    <s v="SC"/>
    <n v="1.1"/>
    <n v="2000"/>
    <n v="4026"/>
    <m/>
    <s v=" "/>
    <m/>
    <s v=" "/>
    <m/>
    <m/>
    <m/>
    <m/>
    <s v=" "/>
    <s v=" "/>
    <x v="372"/>
    <x v="13"/>
    <m/>
    <x v="0"/>
    <s v="Individual"/>
    <m/>
    <m/>
    <m/>
    <s v=" "/>
    <s v=" "/>
    <m/>
    <s v=" "/>
    <s v=" "/>
    <s v=" "/>
    <m/>
    <s v=" "/>
  </r>
  <r>
    <s v="Total Renal Care"/>
    <s v="2611 N Dixie Hwy"/>
    <s v="West Palm Beach"/>
    <s v="FL"/>
    <n v="0.32"/>
    <n v="1973"/>
    <n v="5128"/>
    <n v="109158"/>
    <n v="21.28666146645866"/>
    <d v="2027-04-30T00:00:00"/>
    <n v="5.936986301369863"/>
    <s v="NNN"/>
    <s v="-"/>
    <s v="3, 5yr"/>
    <n v="1825000"/>
    <n v="355.8892355694228"/>
    <n v="0.05981260273972603"/>
    <x v="373"/>
    <x v="467"/>
    <s v="Reichel; Reichel Realty"/>
    <x v="331"/>
    <s v="Individual"/>
    <m/>
    <m/>
    <n v="2079200"/>
    <n v="0.0525"/>
    <n v="0.8777414390150058"/>
    <n v="1900000"/>
    <n v="0.05745157894736842"/>
    <n v="0.002361023792357607"/>
    <s v="Yes"/>
    <d v="2021-03-12T00:00:00"/>
    <n v="73"/>
  </r>
  <r>
    <s v="Fresenius Medical Care"/>
    <s v="4016 Saint Stephens Rd"/>
    <s v="Mobile "/>
    <s v="AL"/>
    <n v="2.4"/>
    <n v="2010"/>
    <n v="8113"/>
    <n v="194626"/>
    <n v="23.98939972883027"/>
    <d v="2038-02-01T00:00:00"/>
    <n v="16.71232876712329"/>
    <s v="Absolute NNN"/>
    <s v="CPI annually"/>
    <s v="3, 5yr"/>
    <n v="3707168"/>
    <n v="456.9416985085665"/>
    <n v="0.05249991368073958"/>
    <x v="374"/>
    <x v="351"/>
    <s v="M&amp;M; Glass"/>
    <x v="332"/>
    <s v="Individual"/>
    <m/>
    <m/>
    <n v="3637875"/>
    <n v="0.05349991409820293"/>
    <n v="1.019047658317012"/>
    <n v="3637875"/>
    <n v="0.05349991409820293"/>
    <n v="-0.00100000041746335"/>
    <s v="No"/>
    <d v="2021-02-03T00:00:00"/>
    <n v="107"/>
  </r>
  <r>
    <s v="Fresenius Medical Care"/>
    <s v="61 Dewey St"/>
    <s v="Prestonsburg"/>
    <s v="KY"/>
    <n v="0.9399999999999999"/>
    <n v="1993"/>
    <n v="5128"/>
    <n v="109459"/>
    <n v="21.34535881435258"/>
    <d v="2038-02-01T00:00:00"/>
    <n v="16.71232876712329"/>
    <s v="Absolute NNN"/>
    <s v="CPI annually"/>
    <s v="3, 5yr"/>
    <n v="2084935"/>
    <n v="406.5785881435257"/>
    <n v="0.05249995803226479"/>
    <x v="374"/>
    <x v="351"/>
    <m/>
    <x v="0"/>
    <s v="Individual"/>
    <m/>
    <m/>
    <n v="2084935"/>
    <n v="0.05249995803226479"/>
    <n v="1"/>
    <n v="2084935"/>
    <n v="0.05249995803226479"/>
    <n v="0"/>
    <s v="No"/>
    <d v="2021-02-03T00:00:00"/>
    <n v="107"/>
  </r>
  <r>
    <s v="Fresenius Medical Care"/>
    <s v="2260 S Sycamore St"/>
    <s v="Palestine"/>
    <s v="TX"/>
    <n v="1.17"/>
    <n v="2003"/>
    <n v="10544"/>
    <n v="170252"/>
    <n v="16.14681335356601"/>
    <d v="2038-02-01T00:00:00"/>
    <n v="16.71232876712329"/>
    <s v="Absolute NNN"/>
    <s v="CPI annually"/>
    <s v="3, 5yr"/>
    <n v="3405034"/>
    <n v="322.9356980273141"/>
    <n v="0.05000008810484712"/>
    <x v="374"/>
    <x v="351"/>
    <s v="M&amp;M; Glass"/>
    <x v="0"/>
    <s v="Individual"/>
    <m/>
    <m/>
    <n v="3405034"/>
    <n v="0.05000008810484712"/>
    <n v="1"/>
    <n v="3405034"/>
    <n v="0.05000008810484712"/>
    <n v="0"/>
    <s v="No"/>
    <d v="2021-02-03T00:00:00"/>
    <n v="107"/>
  </r>
  <r>
    <s v="Fresenius Medical Care"/>
    <s v="692 Covered Bridge Pky"/>
    <s v="Prattville"/>
    <s v="AL"/>
    <n v="1.25"/>
    <n v="2010"/>
    <n v="6920"/>
    <n v="211642"/>
    <n v="30.58410404624277"/>
    <d v="2038-02-01T00:00:00"/>
    <n v="16.71232876712329"/>
    <s v="Absolute NNN"/>
    <s v="CPI annually"/>
    <s v="3, 5yr"/>
    <m/>
    <s v=" "/>
    <s v=" "/>
    <x v="374"/>
    <x v="351"/>
    <s v="M&amp;M; Glass"/>
    <x v="0"/>
    <s v="Individual"/>
    <m/>
    <m/>
    <n v="4031266"/>
    <n v="0.05250013271265156"/>
    <s v=" "/>
    <n v="4031266"/>
    <n v="0.05250013271265156"/>
    <s v=" "/>
    <s v="No"/>
    <d v="2021-02-03T00:00:00"/>
    <n v="107"/>
  </r>
  <r>
    <s v="Fresenius Medical Care"/>
    <s v="605 Hickory St NW"/>
    <s v="Albany"/>
    <s v="OR"/>
    <n v="0.9399999999999999"/>
    <n v="2016"/>
    <n v="12986"/>
    <n v="508585"/>
    <n v="39.16409979978438"/>
    <d v="2031-03-31T00:00:00"/>
    <n v="9.868493150684932"/>
    <s v="NN"/>
    <s v="1.7% annually"/>
    <s v="3, 5 yr"/>
    <n v="9240000"/>
    <n v="711.5354997689819"/>
    <n v="0.05504166666666667"/>
    <x v="375"/>
    <x v="468"/>
    <s v="CBRE; Lightfoot"/>
    <x v="294"/>
    <s v="Fund"/>
    <m/>
    <m/>
    <n v="9247000"/>
    <n v="0.055"/>
    <n v="0.9992429977289932"/>
    <n v="9247000"/>
    <n v="0.055"/>
    <n v="4.166666666666902e-05"/>
    <s v="No"/>
    <d v="2020-06-15T00:00:00"/>
    <n v="339"/>
  </r>
  <r>
    <s v="Fresenius Medical Care"/>
    <s v="4016 Saint Stephens Rd"/>
    <s v="Prichard"/>
    <s v="AL"/>
    <n v="1.6528"/>
    <n v="2010"/>
    <n v="9375"/>
    <m/>
    <s v=" "/>
    <m/>
    <s v=" "/>
    <m/>
    <m/>
    <m/>
    <n v="3707168"/>
    <n v="395.4312533333334"/>
    <s v=" "/>
    <x v="376"/>
    <x v="351"/>
    <s v="M&amp;M; Glass"/>
    <x v="333"/>
    <s v="Individual"/>
    <s v="M&amp;M;"/>
    <m/>
    <m/>
    <s v=" "/>
    <s v=" "/>
    <m/>
    <s v=" "/>
    <s v=" "/>
    <s v=" "/>
    <m/>
    <s v=" "/>
  </r>
  <r>
    <s v="DaVita Dialysis - MT"/>
    <s v="1751 Deckner Ave"/>
    <s v="Green Bay"/>
    <s v="WI"/>
    <n v="0.9399999999999999"/>
    <n v="1991"/>
    <n v="14600"/>
    <n v="171931"/>
    <n v="11.77609589041096"/>
    <d v="2029-03-01T00:00:00"/>
    <n v="7.791780821917809"/>
    <s v="NN"/>
    <s v="2.5% annually"/>
    <s v="2, 5yr"/>
    <n v="2290000"/>
    <n v="156.8493150684932"/>
    <n v="0.07507903930131005"/>
    <x v="377"/>
    <x v="469"/>
    <s v="CBRE; Pike"/>
    <x v="334"/>
    <s v="Individual"/>
    <m/>
    <m/>
    <n v="2547126"/>
    <n v="0.06749999803700327"/>
    <n v="0.8990525007400497"/>
    <n v="2319131"/>
    <n v="0.07413595868452451"/>
    <n v="0.0009430806167855382"/>
    <s v="Yes"/>
    <d v="2018-03-20T00:00:00"/>
    <n v="1155"/>
  </r>
  <r>
    <s v="Fresenius Medical Care"/>
    <s v="703 N Houston Rd"/>
    <s v="Warner Robins"/>
    <s v="GA"/>
    <n v="1"/>
    <n v="1994"/>
    <n v="6300"/>
    <n v="101654.8955817845"/>
    <n v="16.13569771139437"/>
    <d v="2029-09-30T00:00:00"/>
    <n v="8.375342465753425"/>
    <s v="NN"/>
    <s v="1.7% annually"/>
    <s v="2, 5yr"/>
    <n v="1735000"/>
    <n v="275.3968253968254"/>
    <n v="0.05859071791457322"/>
    <x v="377"/>
    <x v="470"/>
    <s v="Matthews; Blalock"/>
    <x v="335"/>
    <s v="Individual"/>
    <m/>
    <m/>
    <m/>
    <s v=" "/>
    <s v=" "/>
    <m/>
    <s v=" "/>
    <s v=" "/>
    <s v=" "/>
    <m/>
    <s v=" "/>
  </r>
  <r>
    <s v="Davita Dialysis"/>
    <s v="148 Hector Ave"/>
    <s v="Gretna"/>
    <s v="LA"/>
    <n v="0.9399999999999999"/>
    <m/>
    <n v="7902"/>
    <m/>
    <s v=" "/>
    <m/>
    <s v=" "/>
    <m/>
    <m/>
    <m/>
    <n v="2500000"/>
    <n v="316.3756011136421"/>
    <s v=" "/>
    <x v="378"/>
    <x v="359"/>
    <m/>
    <x v="336"/>
    <s v="Individual"/>
    <m/>
    <m/>
    <m/>
    <s v=" "/>
    <s v=" "/>
    <m/>
    <s v=" "/>
    <s v=" "/>
    <s v=" "/>
    <m/>
    <s v=" "/>
  </r>
  <r>
    <s v="DaVita Dialysis"/>
    <s v="7236 Medical Center Dr"/>
    <s v="Texas City"/>
    <s v="TX"/>
    <n v="3.71"/>
    <n v="2018"/>
    <n v="7860"/>
    <n v="150000"/>
    <n v="19.08396946564886"/>
    <m/>
    <s v=" "/>
    <s v="NN"/>
    <m/>
    <m/>
    <n v="2400000"/>
    <n v="305.3435114503817"/>
    <n v="0.0625"/>
    <x v="379"/>
    <x v="73"/>
    <s v="CBRE; Pike"/>
    <x v="0"/>
    <s v="Individual"/>
    <m/>
    <m/>
    <n v="2500000"/>
    <n v="0.06"/>
    <n v="0.96"/>
    <n v="2500000"/>
    <n v="0.06"/>
    <n v="0.002500000000000002"/>
    <s v="No"/>
    <d v="2020-12-31T00:00:00"/>
    <n v="133"/>
  </r>
  <r>
    <s v="Fresenius Medical Care"/>
    <s v="3302 W Golf Course Rd"/>
    <s v="Midland"/>
    <s v="TX"/>
    <n v="1.74"/>
    <n v="2011"/>
    <n v="3800"/>
    <m/>
    <s v=" "/>
    <m/>
    <s v=" "/>
    <m/>
    <m/>
    <m/>
    <m/>
    <s v=" "/>
    <s v=" "/>
    <x v="380"/>
    <x v="471"/>
    <m/>
    <x v="267"/>
    <s v="Fund"/>
    <m/>
    <m/>
    <m/>
    <s v=" "/>
    <s v=" "/>
    <m/>
    <s v=" "/>
    <s v=" "/>
    <s v=" "/>
    <m/>
    <s v=" "/>
  </r>
  <r>
    <s v="Fresenius Medical Care"/>
    <s v="6541 Saint Johns Ave"/>
    <s v="Palatka"/>
    <s v="FL"/>
    <n v="2.92"/>
    <n v="2001"/>
    <n v="9574"/>
    <n v="207765"/>
    <n v="21.70096093586798"/>
    <d v="2026-04-30T00:00:00"/>
    <n v="4.96986301369863"/>
    <s v="NN"/>
    <s v="2% annually"/>
    <s v="2, 5yr"/>
    <n v="3050000"/>
    <n v="318.5711301441404"/>
    <n v="0.06811967213114754"/>
    <x v="380"/>
    <x v="41"/>
    <s v="PH: Peranich &amp; Huffman"/>
    <x v="337"/>
    <s v="Individual"/>
    <m/>
    <m/>
    <n v="3078000"/>
    <n v="0.0675"/>
    <n v="0.99090318388564"/>
    <n v="3078000"/>
    <n v="0.0675"/>
    <n v="0.0006196721311475389"/>
    <s v="No"/>
    <d v="2021-02-23T00:00:00"/>
    <n v="78"/>
  </r>
  <r>
    <s v="Fresenius Medical Care"/>
    <s v="7112 Stuebner Airline Rd"/>
    <s v="Houston"/>
    <s v="TX"/>
    <n v="1"/>
    <n v="2003"/>
    <n v="13599"/>
    <n v="305375"/>
    <n v="22.45569527171115"/>
    <d v="2033-01-31T00:00:00"/>
    <n v="11.73424657534247"/>
    <s v="NN"/>
    <s v="2.5% annually"/>
    <s v="2, 5yr"/>
    <m/>
    <s v=" "/>
    <s v=" "/>
    <x v="381"/>
    <x v="472"/>
    <s v="PH: Peranich &amp; Huffman"/>
    <x v="294"/>
    <s v="Fund"/>
    <m/>
    <m/>
    <n v="5247000"/>
    <n v="0.0581999237659615"/>
    <s v=" "/>
    <n v="5247000"/>
    <n v="0.0581999237659615"/>
    <s v=" "/>
    <s v="No"/>
    <d v="2021-02-24T00:00:00"/>
    <n v="76"/>
  </r>
  <r>
    <s v="Fresenius Medical Care"/>
    <s v="10614 Lem Turner Rd"/>
    <s v="Jacksonville"/>
    <s v="FL"/>
    <n v="0.77"/>
    <n v="1999"/>
    <n v="10000"/>
    <n v="187520"/>
    <n v="18.752"/>
    <d v="2025-12-31T00:00:00"/>
    <n v="4.654794520547945"/>
    <s v="NN"/>
    <s v="FMV at each option"/>
    <s v="1, 5yr"/>
    <n v="3000000"/>
    <n v="300"/>
    <n v="0.06250666666666667"/>
    <x v="382"/>
    <x v="473"/>
    <s v="SVN; Snyder"/>
    <x v="338"/>
    <s v="Individual"/>
    <m/>
    <m/>
    <n v="3250000"/>
    <n v="0.05769846153846154"/>
    <n v="0.9230769230769231"/>
    <n v="3250000"/>
    <n v="0.05769846153846154"/>
    <n v="0.00480820512820513"/>
    <s v="No"/>
    <d v="2020-11-23T00:00:00"/>
    <n v="165"/>
  </r>
  <r>
    <s v="DaVita Dialysis"/>
    <s v="831-871 W Eisenhower Rd"/>
    <s v="Lansing"/>
    <s v="KS"/>
    <n v="4.76"/>
    <n v="2020"/>
    <n v="23760"/>
    <n v="247484"/>
    <n v="10.41599326599327"/>
    <d v="2030-12-30T00:00:00"/>
    <n v="9.657534246575343"/>
    <s v="NN"/>
    <s v="10% every 5 years"/>
    <s v="3, 5yr"/>
    <n v="3050000"/>
    <n v="128.3670033670034"/>
    <n v="0.08114229508196721"/>
    <x v="383"/>
    <x v="474"/>
    <s v="CP; Andreini"/>
    <x v="339"/>
    <s v="Fund"/>
    <m/>
    <m/>
    <n v="3300000"/>
    <n v="0.07499515151515151"/>
    <n v="0.9242424242424242"/>
    <n v="3300000"/>
    <n v="0.07499515151515151"/>
    <n v="0.006147143566815699"/>
    <s v="No"/>
    <d v="2020-09-08T00:00:00"/>
    <n v="240"/>
  </r>
  <r>
    <s v="Fresenius Medical Care"/>
    <s v="9300-9324 Conant St"/>
    <s v="Hamtramck"/>
    <s v="MI"/>
    <n v="1"/>
    <n v="2001"/>
    <n v="18183"/>
    <m/>
    <s v=" "/>
    <m/>
    <s v=" "/>
    <m/>
    <m/>
    <m/>
    <n v="1470000"/>
    <n v="80.84474509156905"/>
    <s v=" "/>
    <x v="384"/>
    <x v="475"/>
    <s v="CubeSmart"/>
    <x v="340"/>
    <s v="Individual"/>
    <s v="Pilot Property Group, Inc."/>
    <m/>
    <m/>
    <s v=" "/>
    <s v=" "/>
    <m/>
    <s v=" "/>
    <s v=" "/>
    <s v=" "/>
    <m/>
    <s v=" "/>
  </r>
  <r>
    <s v="Fresenius Medical Care"/>
    <s v="199 Prospect St"/>
    <s v="Akron"/>
    <s v="OH"/>
    <n v="0.1894"/>
    <m/>
    <n v="10865"/>
    <m/>
    <s v=" "/>
    <m/>
    <s v=" "/>
    <m/>
    <m/>
    <m/>
    <n v="2462500"/>
    <n v="226.6451909802117"/>
    <n v="0.0658"/>
    <x v="384"/>
    <x v="13"/>
    <s v="Marcus &amp; Millichap"/>
    <x v="341"/>
    <s v="Individual"/>
    <s v="Marcus &amp; Millichap"/>
    <m/>
    <m/>
    <s v=" "/>
    <s v=" "/>
    <m/>
    <s v=" "/>
    <s v=" "/>
    <s v=" "/>
    <m/>
    <s v=" "/>
  </r>
  <r>
    <s v="DaVita"/>
    <s v="2325 Trinity Blvd"/>
    <s v="Texarkana"/>
    <s v="AR"/>
    <n v="1.59"/>
    <n v="2021"/>
    <n v="7800"/>
    <n v="185953.6475"/>
    <n v="23.84021121794872"/>
    <d v="2035-04-30T00:00:00"/>
    <n v="13.9972602739726"/>
    <s v="NN"/>
    <s v="10% every 5 years"/>
    <s v="3, 5yr"/>
    <n v="3291215"/>
    <n v="421.950641025641"/>
    <n v="0.05649999999999999"/>
    <x v="385"/>
    <x v="66"/>
    <s v="SJC; Briggs"/>
    <x v="111"/>
    <s v="Fund"/>
    <m/>
    <m/>
    <m/>
    <s v=" "/>
    <s v=" "/>
    <m/>
    <s v=" "/>
    <s v=" "/>
    <s v=" "/>
    <m/>
    <s v=" "/>
  </r>
  <r>
    <s v="Fresenius Medical Care"/>
    <s v="219 Mills Ave"/>
    <s v="Ruston"/>
    <s v="LA"/>
    <n v="1.22"/>
    <n v="1999"/>
    <n v="10481"/>
    <n v="138553"/>
    <n v="13.21944470947429"/>
    <d v="2038-02-01T00:00:00"/>
    <n v="16.75890410958904"/>
    <s v="Absolute NNN"/>
    <s v="CPI annually"/>
    <s v="3, 5yr"/>
    <n v="2639111"/>
    <n v="251.7995420284324"/>
    <n v="0.05249987590518171"/>
    <x v="385"/>
    <x v="351"/>
    <s v="M&amp;M; Glass"/>
    <x v="342"/>
    <s v="Individual"/>
    <s v="Silver; Silver Group"/>
    <m/>
    <n v="2639111"/>
    <n v="0.05249987590518171"/>
    <n v="1"/>
    <n v="2639111"/>
    <n v="0.05249987590518171"/>
    <n v="0"/>
    <s v="No"/>
    <d v="2021-02-04T00:00:00"/>
    <n v="89"/>
  </r>
  <r>
    <s v="DaVita Dialysis"/>
    <s v="1185 Monroe St"/>
    <s v="Dearborn"/>
    <s v="MI"/>
    <n v="0.8"/>
    <n v="1954"/>
    <n v="10250"/>
    <n v="217547.64"/>
    <n v="21.22416"/>
    <d v="2028-07-14T00:00:00"/>
    <n v="7.2"/>
    <s v="NN"/>
    <s v="2% annually"/>
    <s v="3, 5yr"/>
    <n v="3624794"/>
    <n v="353.6384390243903"/>
    <n v="0.06001655266478592"/>
    <x v="385"/>
    <x v="476"/>
    <s v="SJC; Briggs"/>
    <x v="343"/>
    <s v="Individual"/>
    <m/>
    <m/>
    <n v="3923891"/>
    <n v="0.05544181527978224"/>
    <n v="0.923775405585935"/>
    <n v="3923891"/>
    <n v="0.05544181527978224"/>
    <n v="0.004574737385003684"/>
    <s v="No"/>
    <d v="2020-11-20T00:00:00"/>
    <n v="165"/>
  </r>
  <r>
    <s v="Fresenius Medical Care"/>
    <s v="1000 New Stone Ridge Rd"/>
    <s v="Ripley"/>
    <s v="WV"/>
    <n v="1.3"/>
    <n v="2007"/>
    <n v="6372"/>
    <n v="130250"/>
    <n v="20.44099183929692"/>
    <d v="2038-02-01T00:00:00"/>
    <n v="16.76164383561644"/>
    <s v="Absolute NNN"/>
    <s v="CPI annually"/>
    <s v="3, 5yr"/>
    <m/>
    <s v=" "/>
    <s v=" "/>
    <x v="386"/>
    <x v="351"/>
    <s v="M&amp;M; Glass"/>
    <x v="0"/>
    <s v="Individual"/>
    <m/>
    <m/>
    <n v="2483230"/>
    <n v="0.05245184698960628"/>
    <s v=" "/>
    <n v="2483230"/>
    <n v="0.05245184698960628"/>
    <s v=" "/>
    <s v="No"/>
    <d v="2021-02-04T00:00:00"/>
    <n v="88"/>
  </r>
  <r>
    <s v="Fresenius Medical Care"/>
    <s v="505 E Airport Ave"/>
    <s v="Baton Rouge"/>
    <s v="LA"/>
    <n v="1.53"/>
    <n v="2018"/>
    <n v="11856"/>
    <n v="322127"/>
    <n v="27.16995614035088"/>
    <d v="2028-09-24T00:00:00"/>
    <n v="7.408219178082192"/>
    <s v="NN"/>
    <s v="2% annually"/>
    <s v="3, 5yr"/>
    <n v="5090000"/>
    <n v="429.3184885290149"/>
    <n v="0.06328624754420432"/>
    <x v="387"/>
    <x v="477"/>
    <m/>
    <x v="344"/>
    <s v="In"/>
    <m/>
    <m/>
    <m/>
    <s v=" "/>
    <s v=" "/>
    <m/>
    <s v=" "/>
    <s v=" "/>
    <s v=" "/>
    <m/>
    <s v=" "/>
  </r>
  <r>
    <s v="Fresenius Medical Care"/>
    <s v="41501 Corporate Way"/>
    <s v="Palm Desert"/>
    <s v="CA"/>
    <n v="1.23"/>
    <n v="1987"/>
    <n v="7000"/>
    <n v="171067"/>
    <n v="24.43814285714286"/>
    <d v="2027-10-30T00:00:00"/>
    <n v="6.504109589041096"/>
    <s v="NN"/>
    <s v="2% annuallly"/>
    <s v="1, 5yr"/>
    <n v="3050000"/>
    <n v="435.7142857142857"/>
    <n v="0.05608754098360656"/>
    <x v="387"/>
    <x v="478"/>
    <s v="SVN; Snyder"/>
    <x v="345"/>
    <s v="Individual"/>
    <s v="David Tran; Transmerical"/>
    <m/>
    <n v="3250000"/>
    <n v="0.052636"/>
    <n v="0.9384615384615385"/>
    <n v="3250000"/>
    <n v="0.052636"/>
    <n v="0.003451540983606553"/>
    <s v="No"/>
    <d v="2020-11-13T00:00:00"/>
    <n v="168"/>
  </r>
  <r>
    <s v="DaVita Dialysis"/>
    <s v="5180 Yelm Hwy"/>
    <s v="Lacey"/>
    <s v="WA"/>
    <m/>
    <n v="2020"/>
    <n v="10320"/>
    <n v="371250"/>
    <n v="35.97383720930232"/>
    <d v="2036-09-29T00:00:00"/>
    <n v="15.43013698630137"/>
    <s v="NN"/>
    <s v="10% every 5 years"/>
    <m/>
    <n v="7000000"/>
    <n v="678.2945736434109"/>
    <n v="0.05303571428571428"/>
    <x v="388"/>
    <x v="479"/>
    <m/>
    <x v="346"/>
    <s v="Individual"/>
    <m/>
    <m/>
    <m/>
    <s v=" "/>
    <s v=" "/>
    <m/>
    <s v=" "/>
    <s v=" "/>
    <s v=" "/>
    <m/>
    <s v=" "/>
  </r>
  <r>
    <s v="Fresenius Medical Care"/>
    <s v="1125 3rd St"/>
    <s v="Corpus Christi"/>
    <s v="TX"/>
    <n v="0.89"/>
    <n v="1990"/>
    <m/>
    <m/>
    <s v=" "/>
    <m/>
    <s v=" "/>
    <m/>
    <m/>
    <m/>
    <m/>
    <s v=" "/>
    <s v=" "/>
    <x v="388"/>
    <x v="480"/>
    <s v="Marcus &amp; Millichap"/>
    <x v="347"/>
    <s v="Individual"/>
    <m/>
    <m/>
    <m/>
    <s v=" "/>
    <s v=" "/>
    <m/>
    <s v=" "/>
    <s v=" "/>
    <s v=" "/>
    <m/>
    <s v=" "/>
  </r>
  <r>
    <s v="DaVita Dialysis"/>
    <s v="2737 NE Martin Luther King Blvd"/>
    <s v="Portland"/>
    <s v="OR"/>
    <n v="0.68"/>
    <n v="1955"/>
    <n v="11194"/>
    <n v="291295"/>
    <n v="26.0224227264606"/>
    <d v="2027-05-30T00:00:00"/>
    <n v="6.090410958904109"/>
    <s v="NN"/>
    <s v="2.5% annually"/>
    <s v="3, 5yr"/>
    <n v="4900000"/>
    <n v="437.734500625335"/>
    <n v="0.05944795918367347"/>
    <x v="389"/>
    <x v="481"/>
    <s v="CP; Sasser"/>
    <x v="348"/>
    <s v="Individual"/>
    <m/>
    <m/>
    <n v="5120000"/>
    <n v="0.0568935546875"/>
    <n v="0.95703125"/>
    <n v="5120000"/>
    <n v="0.0568935546875"/>
    <n v="0.002554404496173467"/>
    <s v="No"/>
    <d v="2020-06-24T00:00:00"/>
    <n v="308"/>
  </r>
  <r>
    <s v="Fresenius Medical Care"/>
    <s v="4407 Yoakum Blvd"/>
    <s v="Houston"/>
    <s v="TX"/>
    <n v="0.77"/>
    <n v="1972"/>
    <n v="10603"/>
    <n v="334282"/>
    <n v="31.52711496746204"/>
    <d v="2038-02-01T00:00:00"/>
    <n v="16.77534246575343"/>
    <s v="Absolute NNN"/>
    <s v="CPI annually"/>
    <s v="3, 5yr"/>
    <m/>
    <s v=" "/>
    <s v=" "/>
    <x v="389"/>
    <x v="351"/>
    <s v="M&amp;M; Glass"/>
    <x v="214"/>
    <s v="Fund"/>
    <m/>
    <m/>
    <n v="6685630"/>
    <n v="0.05000007478726762"/>
    <s v=" "/>
    <n v="6685630"/>
    <n v="0.05000007478726762"/>
    <s v=" "/>
    <s v="No"/>
    <d v="2021-02-04T00:00:00"/>
    <n v="83"/>
  </r>
  <r>
    <s v="Fresenius Medical Care"/>
    <s v="107 Saraland Loop"/>
    <s v="Saraland"/>
    <s v="AL"/>
    <n v="1.54"/>
    <n v="2017"/>
    <n v="7440"/>
    <m/>
    <s v=" "/>
    <m/>
    <s v=" "/>
    <m/>
    <m/>
    <m/>
    <n v="2797000"/>
    <n v="375.9408602150538"/>
    <s v=" "/>
    <x v="390"/>
    <x v="482"/>
    <m/>
    <x v="267"/>
    <s v="Fund"/>
    <m/>
    <m/>
    <m/>
    <s v=" "/>
    <s v=" "/>
    <m/>
    <s v=" "/>
    <s v=" "/>
    <s v=" "/>
    <m/>
    <s v=" "/>
  </r>
  <r>
    <s v="Fresenius Medical Care"/>
    <s v="65 N Catherine St"/>
    <s v="Mobile"/>
    <s v="AL"/>
    <n v="1.96"/>
    <n v="2013"/>
    <n v="13843"/>
    <m/>
    <s v=" "/>
    <m/>
    <s v=" "/>
    <m/>
    <m/>
    <m/>
    <n v="3044000"/>
    <n v="219.8945315321823"/>
    <s v=" "/>
    <x v="390"/>
    <x v="482"/>
    <m/>
    <x v="267"/>
    <s v="Fund"/>
    <m/>
    <m/>
    <m/>
    <s v=" "/>
    <s v=" "/>
    <m/>
    <s v=" "/>
    <s v=" "/>
    <s v=" "/>
    <m/>
    <s v=" "/>
  </r>
  <r>
    <s v="Fresenius Medical Care"/>
    <s v="12401 Scopelos Rd"/>
    <s v="Grand Bay"/>
    <s v="AL"/>
    <n v="1.92"/>
    <n v="2013"/>
    <n v="9612"/>
    <m/>
    <s v=" "/>
    <m/>
    <s v=" "/>
    <m/>
    <m/>
    <m/>
    <n v="3064000"/>
    <n v="318.7682064086558"/>
    <s v=" "/>
    <x v="390"/>
    <x v="482"/>
    <m/>
    <x v="267"/>
    <s v="Fund"/>
    <m/>
    <m/>
    <m/>
    <s v=" "/>
    <s v=" "/>
    <m/>
    <s v=" "/>
    <s v=" "/>
    <s v=" "/>
    <m/>
    <s v=" "/>
  </r>
  <r>
    <s v="DaVita Dialysis"/>
    <s v="2751 Killarney Dr"/>
    <s v="Woodbridge"/>
    <s v="VA"/>
    <n v="1.4"/>
    <n v="1999"/>
    <n v="9784"/>
    <m/>
    <s v=" "/>
    <m/>
    <s v=" "/>
    <m/>
    <m/>
    <m/>
    <n v="3600000"/>
    <n v="367.9476696647588"/>
    <s v=" "/>
    <x v="391"/>
    <x v="483"/>
    <s v="CBRE"/>
    <x v="0"/>
    <s v="Individual"/>
    <m/>
    <m/>
    <m/>
    <s v=" "/>
    <s v=" "/>
    <m/>
    <s v=" "/>
    <s v=" "/>
    <s v=" "/>
    <m/>
    <s v=" "/>
  </r>
  <r>
    <s v="DaVita Dialysis"/>
    <s v="2895 Shiloh Rd"/>
    <s v="Tyler"/>
    <s v="TX"/>
    <n v="1.221"/>
    <n v="2008"/>
    <n v="10021"/>
    <m/>
    <s v=" "/>
    <m/>
    <s v=" "/>
    <m/>
    <m/>
    <m/>
    <m/>
    <s v=" "/>
    <s v=" "/>
    <x v="392"/>
    <x v="484"/>
    <s v=": "/>
    <x v="109"/>
    <s v="Fund"/>
    <m/>
    <m/>
    <m/>
    <s v=" "/>
    <s v=" "/>
    <m/>
    <s v=" "/>
    <s v=" "/>
    <s v=" "/>
    <m/>
    <s v=" "/>
  </r>
  <r>
    <s v="Fresenius Medical Care"/>
    <s v="1971 Thompson Rd"/>
    <s v="Coos Bay"/>
    <s v="OR"/>
    <n v="1.77"/>
    <n v="2009"/>
    <n v="10144"/>
    <n v="466624"/>
    <n v="46"/>
    <d v="2024-09-30T00:00:00"/>
    <n v="3.446575342465753"/>
    <s v="NN"/>
    <s v="3% annually; FMV at each option"/>
    <s v="2, 5yr"/>
    <n v="6400000"/>
    <n v="630.9148264984227"/>
    <n v="0.07291"/>
    <x v="393"/>
    <x v="73"/>
    <s v="M&amp;M; Logan"/>
    <x v="349"/>
    <s v="REIT"/>
    <m/>
    <m/>
    <n v="7394200"/>
    <n v="0.06310675935192449"/>
    <n v="0.8655432636390684"/>
    <n v="7394200"/>
    <n v="0.06310675935192449"/>
    <n v="0.009803240648075515"/>
    <s v="No"/>
    <d v="2020-07-10T00:00:00"/>
    <n v="285"/>
  </r>
  <r>
    <s v="DaVita Dialysis"/>
    <s v="15619 Nacogdoches Rd"/>
    <s v="San Antonio"/>
    <s v="TX"/>
    <n v="1.35"/>
    <n v="2018"/>
    <n v="9770"/>
    <n v="236115"/>
    <n v="24.16734902763562"/>
    <d v="2034-01-31T00:00:00"/>
    <n v="12.78904109589041"/>
    <s v="NNN"/>
    <s v="10% every 5 years"/>
    <s v="2, 5yr"/>
    <m/>
    <s v=" "/>
    <s v=" "/>
    <x v="393"/>
    <x v="425"/>
    <s v="Alamo Capital; Wiegand"/>
    <x v="350"/>
    <s v="Individual"/>
    <m/>
    <m/>
    <n v="4455000"/>
    <n v="0.053"/>
    <s v=" "/>
    <n v="4455000"/>
    <n v="0.053"/>
    <s v=" "/>
    <s v="No"/>
    <d v="2021-02-05T00:00:00"/>
    <n v="75"/>
  </r>
  <r>
    <s v="DaVita Dialysis"/>
    <s v="4525 Rowe Avenue"/>
    <s v="Farmington"/>
    <s v="NM"/>
    <n v="1.55"/>
    <n v="2019"/>
    <n v="10083"/>
    <n v="233556"/>
    <n v="23.16334424278488"/>
    <d v="2034-04-12T00:00:00"/>
    <n v="12.98630136986301"/>
    <s v="NN"/>
    <s v="10% every 5 years"/>
    <s v="3, 5yr"/>
    <n v="4300500"/>
    <n v="426.5099672716453"/>
    <n v="0.0543090338332752"/>
    <x v="394"/>
    <x v="66"/>
    <s v="SJC; Briggs"/>
    <x v="111"/>
    <s v="Fund"/>
    <m/>
    <m/>
    <n v="4133743"/>
    <n v="0.05649988400343224"/>
    <n v="1.04034043722602"/>
    <n v="4133743"/>
    <n v="0.05649988400343224"/>
    <n v="-0.002190850170157042"/>
    <s v="No"/>
    <d v="2020-01-02T00:00:00"/>
    <n v="474"/>
  </r>
  <r>
    <s v="Fresenius Medical Care"/>
    <s v="1104 Walters Ave"/>
    <s v="Baltimore"/>
    <s v="MD"/>
    <n v="0.977"/>
    <n v="2017"/>
    <n v="9075"/>
    <n v="324120"/>
    <n v="35.71570247933884"/>
    <m/>
    <s v=" "/>
    <m/>
    <m/>
    <m/>
    <n v="3500000"/>
    <n v="385.6749311294766"/>
    <n v="0.09260571428571429"/>
    <x v="394"/>
    <x v="485"/>
    <s v="Matthews; "/>
    <x v="294"/>
    <s v="Fund"/>
    <m/>
    <m/>
    <m/>
    <s v=" "/>
    <s v=" "/>
    <m/>
    <s v=" "/>
    <s v=" "/>
    <s v=" "/>
    <m/>
    <s v=" "/>
  </r>
  <r>
    <s v="Fresenius Medical Care"/>
    <s v="200 S Park Pl"/>
    <s v="Selma"/>
    <s v="AL"/>
    <n v="2.163338"/>
    <n v="2003"/>
    <n v="8983"/>
    <n v="196806.324"/>
    <n v="21.90875253256151"/>
    <d v="2029-10-31T00:00:00"/>
    <n v="8.536986301369863"/>
    <s v="NN"/>
    <s v="1.7% annually"/>
    <s v="2, 5 yr"/>
    <n v="2981914"/>
    <n v="331.9507959479016"/>
    <n v="0.066"/>
    <x v="394"/>
    <x v="486"/>
    <s v="KW; Cook"/>
    <x v="269"/>
    <s v="Fund"/>
    <s v="M&amp;M;"/>
    <m/>
    <m/>
    <s v=" "/>
    <s v=" "/>
    <m/>
    <s v=" "/>
    <s v=" "/>
    <s v=" "/>
    <m/>
    <s v=" "/>
  </r>
  <r>
    <s v="Fresenius Medical Care"/>
    <s v="229 Camden Bypass"/>
    <s v="Camden"/>
    <s v="AL"/>
    <n v="1.722016"/>
    <n v="1998"/>
    <n v="6503"/>
    <n v="156063.138"/>
    <n v="23.99863724434876"/>
    <m/>
    <s v=" "/>
    <m/>
    <m/>
    <m/>
    <n v="2364593"/>
    <n v="363.6157158234661"/>
    <n v="0.066"/>
    <x v="394"/>
    <x v="486"/>
    <s v="KW; Cook"/>
    <x v="269"/>
    <s v="Fund"/>
    <s v="M&amp;M;"/>
    <m/>
    <m/>
    <s v=" "/>
    <s v=" "/>
    <m/>
    <s v=" "/>
    <s v=" "/>
    <s v=" "/>
    <m/>
    <s v=" "/>
  </r>
  <r>
    <s v="Fresenius Medical Care"/>
    <s v="905 Medical Center Pkwy"/>
    <s v="Selma"/>
    <s v="AL"/>
    <n v="1.463338"/>
    <n v="1998"/>
    <n v="11305"/>
    <n v="303830.538"/>
    <n v="26.87576629809819"/>
    <m/>
    <s v=" "/>
    <m/>
    <m/>
    <m/>
    <n v="4603493"/>
    <n v="407.208580274215"/>
    <n v="0.066"/>
    <x v="394"/>
    <x v="486"/>
    <s v="KW; Cook"/>
    <x v="269"/>
    <s v="Fund"/>
    <s v="M&amp;M;"/>
    <m/>
    <m/>
    <s v=" "/>
    <s v=" "/>
    <m/>
    <s v=" "/>
    <s v=" "/>
    <s v=" "/>
    <m/>
    <s v=" "/>
  </r>
  <r>
    <s v="DaVita Dialysis (MT)"/>
    <s v="930-932 Furman Dr"/>
    <s v="Waupaca"/>
    <s v="WI"/>
    <n v="1.5"/>
    <n v="2000"/>
    <n v="6171"/>
    <n v="124047.5"/>
    <n v="20.10168530222006"/>
    <d v="2026-01-28T00:00:00"/>
    <n v="4.778082191780822"/>
    <s v="Gross"/>
    <s v="2% annually1, 5yr"/>
    <s v="3, 5yr"/>
    <n v="1475000"/>
    <n v="239.0212283260412"/>
    <n v="0.08409999999999999"/>
    <x v="394"/>
    <x v="487"/>
    <s v="SJC; Feller"/>
    <x v="351"/>
    <s v="Individual"/>
    <m/>
    <m/>
    <n v="1595000"/>
    <n v="0.07777272727272727"/>
    <n v="0.9247648902821317"/>
    <n v="1595000"/>
    <n v="0.07777272727272727"/>
    <n v="0.006327272727272723"/>
    <s v="No"/>
    <d v="2021-01-26T00:00:00"/>
    <n v="84"/>
  </r>
  <r>
    <s v="Fresenius Medical Care"/>
    <s v="1208 E Hartford"/>
    <s v="Ponca City"/>
    <s v="OK"/>
    <n v="0.35"/>
    <n v="2001"/>
    <n v="4080"/>
    <n v="84702"/>
    <n v="20.76029411764706"/>
    <d v="2038-02-01T00:00:00"/>
    <n v="16.7972602739726"/>
    <s v="Absolute NNN"/>
    <s v="CPI annually"/>
    <s v="3, 5yr"/>
    <n v="1600000"/>
    <n v="392.1568627450981"/>
    <n v="0.05293875"/>
    <x v="394"/>
    <x v="351"/>
    <s v="M&amp;M; Glass"/>
    <x v="352"/>
    <s v="Individual"/>
    <m/>
    <m/>
    <n v="1613365"/>
    <n v="0.05250020919010887"/>
    <n v="0.9917160716886755"/>
    <n v="1613365"/>
    <n v="0.05250020919010887"/>
    <n v="0.0004385408098911275"/>
    <s v="No"/>
    <d v="2021-02-03T00:00:00"/>
    <n v="76"/>
  </r>
  <r>
    <s v="Fresenius (Portfolio of 3)"/>
    <m/>
    <m/>
    <s v="AL"/>
    <m/>
    <m/>
    <n v="29377"/>
    <n v="652687"/>
    <n v="22.21761922592504"/>
    <m/>
    <s v=" "/>
    <m/>
    <m/>
    <m/>
    <n v="9950000"/>
    <n v="338.7003438063791"/>
    <n v="0.06559668341708542"/>
    <x v="394"/>
    <x v="488"/>
    <m/>
    <x v="0"/>
    <s v="Individual"/>
    <m/>
    <m/>
    <m/>
    <s v=" "/>
    <s v=" "/>
    <m/>
    <s v=" "/>
    <s v=" "/>
    <s v=" "/>
    <m/>
    <s v=" "/>
  </r>
  <r>
    <s v="DaVita Dialysis"/>
    <s v="1675 Alex Dr"/>
    <s v="Wilmington"/>
    <s v="OH"/>
    <n v="1.36"/>
    <n v="2001"/>
    <n v="5963"/>
    <n v="89964"/>
    <n v="15.08703672647996"/>
    <d v="2023-08-30T00:00:00"/>
    <n v="2.372602739726027"/>
    <s v="NN"/>
    <s v="2% annually"/>
    <s v="3, 5yr"/>
    <n v="945000"/>
    <n v="158.477276538655"/>
    <n v="0.09520000000000001"/>
    <x v="395"/>
    <x v="489"/>
    <s v="M&amp;Ml Gould"/>
    <x v="105"/>
    <s v="Individual"/>
    <m/>
    <m/>
    <m/>
    <s v=" "/>
    <s v=" "/>
    <m/>
    <s v=" "/>
    <s v=" "/>
    <s v=" "/>
    <m/>
    <s v=" "/>
  </r>
  <r>
    <s v="Fresenius Medical Care"/>
    <s v="916 Mall Dr E"/>
    <s v="Lansing"/>
    <s v="MI"/>
    <n v="2.73"/>
    <n v="2011"/>
    <n v="10005"/>
    <m/>
    <s v=" "/>
    <m/>
    <s v=" "/>
    <m/>
    <m/>
    <m/>
    <n v="2709844"/>
    <n v="270.8489755122439"/>
    <s v=" "/>
    <x v="396"/>
    <x v="490"/>
    <s v="NAI; Valhakis"/>
    <x v="275"/>
    <s v="Individual"/>
    <m/>
    <m/>
    <m/>
    <s v=" "/>
    <s v=" "/>
    <m/>
    <s v=" "/>
    <s v=" "/>
    <s v=" "/>
    <m/>
    <s v=" "/>
  </r>
  <r>
    <s v="Fresenius Medical Care"/>
    <s v="401 Whitmer St"/>
    <s v="Central City"/>
    <s v="KY"/>
    <n v="1.5"/>
    <n v="2016"/>
    <n v="8530"/>
    <n v="232443"/>
    <n v="27.25005861664713"/>
    <d v="2031-02-28T00:00:00"/>
    <n v="9.901369863013699"/>
    <s v="NN"/>
    <s v="10% every 5 years"/>
    <s v="3, 5yr"/>
    <m/>
    <s v=" "/>
    <s v=" "/>
    <x v="397"/>
    <x v="491"/>
    <m/>
    <x v="353"/>
    <s v="Individual"/>
    <m/>
    <m/>
    <m/>
    <s v=" "/>
    <s v=" "/>
    <m/>
    <s v=" "/>
    <s v=" "/>
    <s v=" "/>
    <m/>
    <s v=" "/>
  </r>
  <r>
    <s v="Fresenius Medical Care"/>
    <s v="6001 Industrial Blvd"/>
    <s v="Century"/>
    <s v="FL"/>
    <n v="1.71"/>
    <n v="1992"/>
    <n v="4940"/>
    <n v="115239"/>
    <n v="23.32773279352227"/>
    <d v="2038-02-01T00:00:00"/>
    <n v="16.83835616438356"/>
    <s v="Absolute NNN"/>
    <s v="CPI annually"/>
    <s v="3, 5r"/>
    <m/>
    <s v=" "/>
    <s v=" "/>
    <x v="398"/>
    <x v="351"/>
    <s v="M&amp;M; Glass"/>
    <x v="354"/>
    <s v="Individual"/>
    <m/>
    <s v="Renal Care Group of Southeast/Bryan Mello"/>
    <n v="2195029"/>
    <n v="0.05249998974956595"/>
    <s v=" "/>
    <n v="2195029"/>
    <n v="0.05249998974956595"/>
    <s v=" "/>
    <s v="No"/>
    <d v="2021-02-03T00:00:00"/>
    <n v="61"/>
  </r>
  <r>
    <s v="Fresenius Medical Care"/>
    <s v="7465 W Azure - G"/>
    <s v="Las Vegas"/>
    <s v="NV"/>
    <n v="0.28"/>
    <n v="2007"/>
    <n v="10973"/>
    <m/>
    <s v=" "/>
    <m/>
    <s v=" "/>
    <m/>
    <m/>
    <m/>
    <n v="3400000"/>
    <n v="309.8514535678484"/>
    <s v=" "/>
    <x v="399"/>
    <x v="492"/>
    <m/>
    <x v="355"/>
    <s v="Individual"/>
    <m/>
    <s v="Tenya Village Invester, LLC/James Riggs"/>
    <m/>
    <s v=" "/>
    <s v=" "/>
    <m/>
    <s v=" "/>
    <s v=" "/>
    <s v=" "/>
    <m/>
    <s v=" "/>
  </r>
  <r>
    <s v="U.S. Renal Care"/>
    <s v="4705 N Armenia Ave"/>
    <s v="Tampa"/>
    <s v="FL"/>
    <n v="1.8"/>
    <n v="1965"/>
    <n v="13065"/>
    <m/>
    <s v=" "/>
    <d v="2036-06-30T00:00:00"/>
    <n v="15.25479452054794"/>
    <s v="NN"/>
    <s v="10% ever 5"/>
    <s v="3, 5 yr"/>
    <n v="2750000"/>
    <n v="210.4860313815538"/>
    <s v=" "/>
    <x v="399"/>
    <x v="493"/>
    <m/>
    <x v="356"/>
    <s v="Individual"/>
    <m/>
    <m/>
    <m/>
    <s v=" "/>
    <s v=" "/>
    <m/>
    <s v=" "/>
    <s v=" "/>
    <s v=" "/>
    <m/>
    <s v=" "/>
  </r>
  <r>
    <s v="Fresenius Medical Care"/>
    <s v="450 S Gilbert Rd"/>
    <s v="Chandler"/>
    <s v="AZ"/>
    <n v="2.01"/>
    <n v="2019"/>
    <n v="13416"/>
    <n v="475590"/>
    <n v="35.4494633273703"/>
    <d v="2034-11-30T00:00:00"/>
    <n v="13.67671232876712"/>
    <s v="NN"/>
    <s v="1.7% annually"/>
    <s v="3, 5yr"/>
    <n v="9500000"/>
    <n v="708.1097197376267"/>
    <n v="0.05006210526315789"/>
    <x v="400"/>
    <x v="494"/>
    <s v="C&amp;W; Trautvetter"/>
    <x v="357"/>
    <s v="Individual"/>
    <s v="Jason Maier; SJC"/>
    <s v="MGB Development Group"/>
    <n v="9511800"/>
    <n v="0.05"/>
    <n v="0.9987594356483526"/>
    <n v="9511800"/>
    <n v="0.05"/>
    <n v="6.210526315789111e-05"/>
    <s v="No"/>
    <d v="2020-08-12T00:00:00"/>
    <n v="231"/>
  </r>
  <r>
    <s v="Fresenius Medical Care"/>
    <s v="1144 W 15th St"/>
    <s v="Auburn"/>
    <s v="IN"/>
    <n v="1.8"/>
    <n v="2002"/>
    <n v="7176"/>
    <n v="138034"/>
    <n v="19.23550724637681"/>
    <d v="2028-05-31T00:00:00"/>
    <n v="7.172602739726027"/>
    <s v="Absolute NNN"/>
    <s v="2% annually starting 2025"/>
    <s v="1, 5yr"/>
    <n v="2030000"/>
    <n v="282.8874024526198"/>
    <n v="0.06799704433497537"/>
    <x v="400"/>
    <x v="495"/>
    <s v="Hanley; Asher"/>
    <x v="358"/>
    <s v="Individual"/>
    <m/>
    <m/>
    <n v="2225000"/>
    <n v="0.06203775280898877"/>
    <n v="0.9123595505617977"/>
    <n v="2225000"/>
    <n v="0.06203775280898877"/>
    <n v="0.005959291525986607"/>
    <s v="No"/>
    <d v="2020-12-07T00:00:00"/>
    <n v="114"/>
  </r>
  <r>
    <s v="Fresenius Medical Care"/>
    <s v="1797 W Kem Rd"/>
    <s v="Marion"/>
    <s v="IN"/>
    <n v="1.5"/>
    <n v="1998"/>
    <n v="9300"/>
    <n v="146874"/>
    <n v="15.79290322580645"/>
    <d v="2029-02-28T00:00:00"/>
    <n v="7.920547945205479"/>
    <s v="Absolute NNN"/>
    <s v="Yes"/>
    <s v="1, 5yr"/>
    <n v="2208000"/>
    <n v="237.4193548387097"/>
    <n v="0.06651902173913044"/>
    <x v="400"/>
    <x v="495"/>
    <s v="Hanley; Asher"/>
    <x v="359"/>
    <s v="Individual"/>
    <m/>
    <m/>
    <n v="2775000"/>
    <n v="0.05292756756756756"/>
    <n v="0.7956756756756757"/>
    <n v="2775000"/>
    <n v="0.05292756756756756"/>
    <n v="0.01359145417156287"/>
    <s v="No"/>
    <d v="2020-12-07T00:00:00"/>
    <n v="114"/>
  </r>
  <r>
    <s v="DaVita Dialysis"/>
    <s v="1345 N Lansing Ave"/>
    <s v="Tulsa"/>
    <s v="OK"/>
    <n v="2.06"/>
    <n v="2005"/>
    <n v="4200"/>
    <n v="80370"/>
    <n v="19.13571428571429"/>
    <m/>
    <s v=" "/>
    <s v="NN"/>
    <m/>
    <m/>
    <n v="950000"/>
    <n v="226.1904761904762"/>
    <n v="0.08459999999999999"/>
    <x v="401"/>
    <x v="496"/>
    <s v="Coulter; Coulter"/>
    <x v="360"/>
    <s v="Individual"/>
    <m/>
    <m/>
    <n v="1100000"/>
    <n v="0.07306363636363636"/>
    <n v="0.8636363636363636"/>
    <n v="1100000"/>
    <n v="0.07306363636363636"/>
    <n v="0.01153636363636364"/>
    <s v="No"/>
    <d v="2020-12-14T00:00:00"/>
    <n v="106"/>
  </r>
  <r>
    <s v="DaVita Dialysis"/>
    <s v="2111 N Garey Ave"/>
    <s v="Pomona"/>
    <s v="CA"/>
    <n v="0.85"/>
    <n v="2010"/>
    <n v="12438"/>
    <n v="437693"/>
    <n v="35.18998231226885"/>
    <d v="2030-05-31T00:00:00"/>
    <n v="9.175342465753424"/>
    <s v="NN"/>
    <s v="10% 2025; FMV at option"/>
    <s v="1, 5yr"/>
    <n v="8359500"/>
    <n v="672.0935841775205"/>
    <n v="0.05235875351396615"/>
    <x v="401"/>
    <x v="497"/>
    <s v="FarisLee: Riley"/>
    <x v="361"/>
    <s v="Individual"/>
    <m/>
    <m/>
    <n v="8754000"/>
    <n v="0.04999920036554718"/>
    <n v="0.9549348869088417"/>
    <n v="8754000"/>
    <n v="0.04999920036554718"/>
    <n v="0.002359553148418972"/>
    <s v="No"/>
    <d v="2020-08-12T00:00:00"/>
    <n v="230"/>
  </r>
  <r>
    <s v="DaVita Dialysis"/>
    <s v="764 Locust Ave"/>
    <s v="Washington"/>
    <s v="PA"/>
    <n v="0.8"/>
    <n v="1995"/>
    <n v="5589"/>
    <n v="115912"/>
    <n v="20.73930935766684"/>
    <d v="2035-09-30T00:00:00"/>
    <n v="14.51506849315068"/>
    <s v="NN"/>
    <s v="10% every 5 years"/>
    <s v="3, 5yr"/>
    <n v="1949519"/>
    <n v="348.8135623546252"/>
    <n v="0.05945671727231178"/>
    <x v="402"/>
    <x v="498"/>
    <m/>
    <x v="362"/>
    <s v="Individual"/>
    <m/>
    <s v="Dr. Subramoniam Jayakumar"/>
    <n v="2107491"/>
    <n v="0.05499999762751063"/>
    <n v="0.9250426217715758"/>
    <n v="2107491"/>
    <n v="0.05499999762751063"/>
    <n v="0.004456719644801155"/>
    <s v="No"/>
    <d v="2020-12-15T00:00:00"/>
    <n v="104"/>
  </r>
  <r>
    <s v="DaVita Dialysis"/>
    <s v="32 Steubenville Pike"/>
    <s v="Burgettstown"/>
    <s v="PA"/>
    <n v="1"/>
    <n v="1995"/>
    <n v="5514"/>
    <n v="115884"/>
    <n v="21.01632208922742"/>
    <d v="2035-09-30T00:00:00"/>
    <n v="14.51506849315068"/>
    <s v="NN"/>
    <s v="10% every 5 years"/>
    <s v="3, 5yr"/>
    <n v="2021485"/>
    <n v="366.6095393543707"/>
    <n v="0.05732617358031349"/>
    <x v="402"/>
    <x v="66"/>
    <s v="SJC; Briggs"/>
    <x v="362"/>
    <s v="Individual"/>
    <m/>
    <m/>
    <n v="2051044"/>
    <n v="0.05650000682579213"/>
    <n v="0.9855883150239585"/>
    <n v="2051044"/>
    <n v="0.05650000682579213"/>
    <n v="0.0008261667545213514"/>
    <s v="No"/>
    <d v="2020-12-09T00:00:00"/>
    <n v="110"/>
  </r>
  <r>
    <s v="Fresenius Medical Care"/>
    <s v="10204 Dupont Circle Dr"/>
    <s v="Fort Wayne"/>
    <s v="IN"/>
    <n v="1.59"/>
    <n v="2001"/>
    <n v="7580"/>
    <n v="169347"/>
    <n v="22.34129287598945"/>
    <d v="2027-09-30T00:00:00"/>
    <n v="6.517808219178082"/>
    <s v="Absolute NNN"/>
    <s v="2% annually"/>
    <s v="1, 5yr"/>
    <n v="2605000"/>
    <n v="343.6675461741425"/>
    <n v="0.0650084452975048"/>
    <x v="403"/>
    <x v="495"/>
    <s v="Hanley; Asher"/>
    <x v="294"/>
    <s v="Fund"/>
    <m/>
    <m/>
    <n v="2775000"/>
    <n v="0.06102594594594594"/>
    <n v="0.9387387387387387"/>
    <n v="2775000"/>
    <n v="0.06102594594594594"/>
    <n v="0.003982499351558852"/>
    <s v="No"/>
    <d v="2020-12-07T00:00:00"/>
    <n v="109"/>
  </r>
  <r>
    <s v="Fresenius Medical Care"/>
    <s v="230 Bellemeade Ave"/>
    <s v="Evansville"/>
    <s v="IN"/>
    <n v="0.65"/>
    <n v="1993"/>
    <n v="5304"/>
    <n v="72453"/>
    <n v="13.66006787330317"/>
    <d v="2038-02-01T00:00:00"/>
    <n v="16.86575342465753"/>
    <s v="Absolute NNN"/>
    <s v="CPI annually"/>
    <s v="3, 5yr"/>
    <n v="1449062"/>
    <n v="273.2017345399698"/>
    <n v="0.04999993098984033"/>
    <x v="403"/>
    <x v="351"/>
    <s v="M&amp;M; Glass"/>
    <x v="363"/>
    <s v="Individual"/>
    <m/>
    <m/>
    <n v="1380062"/>
    <n v="0.05249981522569276"/>
    <n v="1.049997753724108"/>
    <n v="1380062"/>
    <n v="0.05249981522569276"/>
    <n v="-0.002499884235852436"/>
    <s v="No"/>
    <d v="2021-02-03T00:00:00"/>
    <n v="51"/>
  </r>
  <r>
    <s v="Fresenius Medical Care"/>
    <s v="181 Upper Riverdale Rd SW"/>
    <s v="Riverdale"/>
    <s v="GA"/>
    <n v="2.24"/>
    <n v="2007"/>
    <n v="11088"/>
    <m/>
    <s v=" "/>
    <m/>
    <s v=" "/>
    <m/>
    <m/>
    <m/>
    <n v="6589700"/>
    <n v="594.3091630591631"/>
    <s v=" "/>
    <x v="404"/>
    <x v="499"/>
    <m/>
    <x v="64"/>
    <s v="Fund"/>
    <m/>
    <m/>
    <m/>
    <s v=" "/>
    <s v=" "/>
    <m/>
    <s v=" "/>
    <s v=" "/>
    <s v=" "/>
    <m/>
    <s v=" "/>
  </r>
  <r>
    <s v="DaVita Dialysis"/>
    <s v="9310 Spring Rd"/>
    <s v="Ocala"/>
    <s v="FL"/>
    <n v="4.73"/>
    <n v="2012"/>
    <n v="8782"/>
    <n v="178628.9"/>
    <n v="20.34034388521977"/>
    <m/>
    <s v=" "/>
    <m/>
    <m/>
    <m/>
    <n v="2515900"/>
    <n v="286.4837166932361"/>
    <n v="0.07099999999999999"/>
    <x v="404"/>
    <x v="500"/>
    <s v="Remax"/>
    <x v="364"/>
    <s v="Individual"/>
    <m/>
    <m/>
    <m/>
    <s v=" "/>
    <s v=" "/>
    <m/>
    <s v=" "/>
    <s v=" "/>
    <s v=" "/>
    <m/>
    <s v=" "/>
  </r>
  <r>
    <s v="Fresenius Medical Care"/>
    <s v="55 Malibu Dr"/>
    <s v="Garner"/>
    <s v="NC"/>
    <n v="1.06"/>
    <n v="2020"/>
    <n v="6844"/>
    <m/>
    <s v=" "/>
    <m/>
    <s v=" "/>
    <m/>
    <m/>
    <m/>
    <n v="2548000"/>
    <n v="372.2969023962595"/>
    <s v=" "/>
    <x v="404"/>
    <x v="501"/>
    <m/>
    <x v="365"/>
    <s v="Individual"/>
    <m/>
    <m/>
    <m/>
    <s v=" "/>
    <s v=" "/>
    <m/>
    <s v=" "/>
    <s v=" "/>
    <s v=" "/>
    <m/>
    <s v=" "/>
  </r>
  <r>
    <s v="DaVita Dialysis"/>
    <s v="8037 Dixie Hwy"/>
    <s v="Louisville"/>
    <s v="KY"/>
    <n v="0.73"/>
    <m/>
    <n v="7172"/>
    <m/>
    <s v=" "/>
    <m/>
    <s v=" "/>
    <m/>
    <m/>
    <m/>
    <n v="1305000"/>
    <n v="181.957612939208"/>
    <s v=" "/>
    <x v="404"/>
    <x v="502"/>
    <m/>
    <x v="366"/>
    <s v="Individual"/>
    <m/>
    <m/>
    <m/>
    <s v=" "/>
    <s v=" "/>
    <m/>
    <s v=" "/>
    <s v=" "/>
    <s v=" "/>
    <m/>
    <s v=" "/>
  </r>
  <r>
    <s v="Fresenius Medical Care"/>
    <s v="181 Upper Riverdale Rd SW"/>
    <s v="Riverdale"/>
    <s v="GA"/>
    <n v="2.24"/>
    <n v="2007"/>
    <n v="11088"/>
    <m/>
    <s v=" "/>
    <m/>
    <s v=" "/>
    <m/>
    <m/>
    <m/>
    <n v="5900000"/>
    <n v="532.1067821067821"/>
    <s v=" "/>
    <x v="404"/>
    <x v="192"/>
    <m/>
    <x v="193"/>
    <s v="Fund"/>
    <m/>
    <m/>
    <m/>
    <s v=" "/>
    <s v=" "/>
    <m/>
    <s v=" "/>
    <s v=" "/>
    <s v=" "/>
    <m/>
    <s v=" "/>
  </r>
  <r>
    <s v="DaVita Dialysis"/>
    <s v="541 Main St"/>
    <s v="Woodbridge"/>
    <s v="NJ"/>
    <n v="1.04"/>
    <n v="2013"/>
    <n v="10211"/>
    <n v="233425"/>
    <n v="22.86015081774557"/>
    <d v="2028-06-30T00:00:00"/>
    <n v="7.273972602739726"/>
    <s v="NN"/>
    <s v="10% in year 11"/>
    <s v="2, 5yr"/>
    <n v="3600000"/>
    <n v="352.560963666634"/>
    <n v="0.06484027777777777"/>
    <x v="405"/>
    <x v="503"/>
    <s v="CBRE: Gorman"/>
    <x v="35"/>
    <s v="REIT"/>
    <m/>
    <m/>
    <n v="3890417"/>
    <n v="0.05999999485916292"/>
    <n v="0.9253506757758873"/>
    <n v="3890417"/>
    <n v="0.05999999485916292"/>
    <n v="0.004840282918614859"/>
    <s v="No"/>
    <d v="2020-10-16T00:00:00"/>
    <n v="159"/>
  </r>
  <r>
    <s v="Dialysis Clinic, Inc"/>
    <s v="2821 Warm Springs Road"/>
    <s v="Columbus"/>
    <s v="GA"/>
    <n v="0.31"/>
    <n v="2011"/>
    <n v="4657"/>
    <n v="96290"/>
    <n v="20.67640111659867"/>
    <d v="2039-12-31T00:00:00"/>
    <n v="18.78356164383561"/>
    <s v="NNN"/>
    <s v="5% every 5 years"/>
    <s v="2, 5yr"/>
    <n v="1540700"/>
    <n v="330.8353016963711"/>
    <n v="0.06249756604140975"/>
    <x v="405"/>
    <x v="504"/>
    <s v="Colliers; Patel"/>
    <x v="367"/>
    <s v="Individual"/>
    <m/>
    <m/>
    <n v="1674609"/>
    <n v="0.05749998954979939"/>
    <n v="0.9200356620560382"/>
    <n v="1604834"/>
    <n v="0.05999997507530374"/>
    <n v="0.002497590966106009"/>
    <s v="Yes"/>
    <d v="2020-03-04T00:00:00"/>
    <n v="385"/>
  </r>
  <r>
    <s v="DaVita Dialysis - MT"/>
    <s v="375 Westgate Dr"/>
    <s v="Brockton"/>
    <s v="MA"/>
    <n v="1.33"/>
    <n v="1968"/>
    <n v="20400"/>
    <n v="135000"/>
    <n v="6.617647058823529"/>
    <m/>
    <s v=" "/>
    <m/>
    <m/>
    <m/>
    <n v="1500000"/>
    <n v="73.52941176470588"/>
    <n v="0.09"/>
    <x v="406"/>
    <x v="505"/>
    <s v="M&amp;J Associates: Shair"/>
    <x v="368"/>
    <s v="Individual"/>
    <m/>
    <m/>
    <n v="1600000"/>
    <n v="0.08437500000000001"/>
    <n v="0.9375"/>
    <n v="1600000"/>
    <n v="0.08437500000000001"/>
    <n v="0.005624999999999991"/>
    <s v="No"/>
    <d v="2020-11-13T00:00:00"/>
    <n v="130"/>
  </r>
  <r>
    <s v="Fresenius Medical Care"/>
    <s v="6020 Enterprise Pkwy"/>
    <s v="Solon"/>
    <s v="OH"/>
    <n v="1.503007"/>
    <n v="1995"/>
    <n v="8340"/>
    <n v="139086.05"/>
    <n v="16.67698441247003"/>
    <d v="2026-11-11T00:00:00"/>
    <n v="5.641095890410959"/>
    <s v="NN"/>
    <s v="3% annually"/>
    <s v="2, 5yr"/>
    <n v="1925000"/>
    <n v="230.8153477218225"/>
    <n v="0.07225249350649351"/>
    <x v="406"/>
    <x v="506"/>
    <s v="M&amp;M;"/>
    <x v="369"/>
    <s v="REIT"/>
    <s v="M&amp;M;"/>
    <m/>
    <m/>
    <s v=" "/>
    <s v=" "/>
    <m/>
    <s v=" "/>
    <s v=" "/>
    <s v=" "/>
    <m/>
    <s v=" "/>
  </r>
  <r>
    <s v="Fresenius Medical Care"/>
    <s v="5320 W 12th St"/>
    <s v="Little Rock"/>
    <s v="AR"/>
    <n v="0.9600092"/>
    <m/>
    <n v="7125"/>
    <m/>
    <s v=" "/>
    <m/>
    <s v=" "/>
    <m/>
    <m/>
    <m/>
    <n v="2300000"/>
    <n v="322.8070175438597"/>
    <s v=" "/>
    <x v="406"/>
    <x v="506"/>
    <s v="M&amp;M;"/>
    <x v="369"/>
    <s v="REIT"/>
    <s v="M&amp;M;"/>
    <m/>
    <m/>
    <s v=" "/>
    <s v=" "/>
    <m/>
    <s v=" "/>
    <s v=" "/>
    <s v=" "/>
    <m/>
    <s v=" "/>
  </r>
  <r>
    <s v="DaVita Dialysis"/>
    <s v="622 Roxbury Rd"/>
    <s v="Rockford"/>
    <s v="IL"/>
    <n v="1.57298"/>
    <m/>
    <n v="9920"/>
    <n v="200310"/>
    <n v="20.19254032258064"/>
    <m/>
    <s v=" "/>
    <m/>
    <m/>
    <m/>
    <n v="3300000"/>
    <n v="332.6612903225807"/>
    <n v="0.0607"/>
    <x v="406"/>
    <x v="507"/>
    <s v="M&amp;M;"/>
    <x v="369"/>
    <s v="REIT"/>
    <s v="M&amp;M;"/>
    <m/>
    <m/>
    <s v=" "/>
    <s v=" "/>
    <m/>
    <s v=" "/>
    <s v=" "/>
    <s v=" "/>
    <m/>
    <s v=" "/>
  </r>
  <r>
    <s v="Fresenius Medical Care"/>
    <s v="2601 S Harlem Ave"/>
    <s v="Berwyn"/>
    <s v="IL"/>
    <n v="0.93"/>
    <n v="1962"/>
    <n v="11918"/>
    <n v="268650"/>
    <n v="22.54153381439839"/>
    <d v="2025-10-31T00:00:00"/>
    <n v="4.610958904109589"/>
    <s v="NN"/>
    <s v="2.5% annually"/>
    <s v="2, 5yr"/>
    <n v="3980000"/>
    <n v="333.9486491021984"/>
    <n v="0.0675"/>
    <x v="406"/>
    <x v="506"/>
    <s v="M&amp;M;"/>
    <x v="369"/>
    <s v="REIT"/>
    <s v="M&amp;M;"/>
    <m/>
    <m/>
    <s v=" "/>
    <s v=" "/>
    <m/>
    <s v=" "/>
    <s v=" "/>
    <s v=" "/>
    <m/>
    <s v=" "/>
  </r>
  <r>
    <s v="Fresenius Medical Care - Condo"/>
    <s v="700 W Lea Blvd Ste G2"/>
    <s v="Wilmington"/>
    <s v="DE"/>
    <n v="6.57"/>
    <n v="1969"/>
    <n v="7340"/>
    <n v="187390"/>
    <n v="25.5299727520436"/>
    <d v="2023-12-31T00:00:00"/>
    <n v="2.775342465753424"/>
    <s v="Absolute NNN"/>
    <s v="2% annually"/>
    <s v="2, 5yr remaining"/>
    <n v="2100000"/>
    <n v="286.1035422343325"/>
    <n v="0.08923333333333333"/>
    <x v="406"/>
    <x v="13"/>
    <m/>
    <x v="0"/>
    <s v="Individual"/>
    <m/>
    <m/>
    <n v="2204590"/>
    <n v="0.08499993196013771"/>
    <n v="0.9525580720224622"/>
    <n v="2204590"/>
    <n v="0.08499993196013771"/>
    <n v="0.004233401373195625"/>
    <s v="No"/>
    <d v="2020-11-23T00:00:00"/>
    <n v="120"/>
  </r>
  <r>
    <s v="Fresenius Medical Care"/>
    <s v="2125 Adams Grove Rd"/>
    <s v="Columbia"/>
    <s v="SC"/>
    <n v="1.41"/>
    <n v="1999"/>
    <n v="10520"/>
    <n v="189360"/>
    <n v="18"/>
    <d v="2029-12-31T00:00:00"/>
    <n v="8.791780821917808"/>
    <s v="NN"/>
    <s v="1.25% annually"/>
    <s v="2, 5yr"/>
    <n v="2675000"/>
    <n v="254.277566539924"/>
    <n v="0.07078878504672897"/>
    <x v="407"/>
    <x v="508"/>
    <m/>
    <x v="370"/>
    <s v="Individual"/>
    <m/>
    <m/>
    <n v="2913000"/>
    <n v="0.06500514933058703"/>
    <n v="0.9182972880192242"/>
    <n v="2913000"/>
    <n v="0.06500514933058703"/>
    <n v="0.005783635716141947"/>
    <s v="No"/>
    <d v="2020-10-07T00:00:00"/>
    <n v="163"/>
  </r>
  <r>
    <s v="Fresenius Medical Care"/>
    <s v="9540 Pkwy East"/>
    <s v="Birmingham"/>
    <s v="AL"/>
    <n v="1.29"/>
    <n v="1979"/>
    <n v="9943"/>
    <n v="142092"/>
    <n v="14.29065674343759"/>
    <d v="2026-01-31T00:00:00"/>
    <n v="4.873972602739726"/>
    <s v="NNN"/>
    <s v="10% every 5 years"/>
    <s v="3, 5yr"/>
    <n v="1651835"/>
    <n v="166.1304435281102"/>
    <n v="0.08602069819322147"/>
    <x v="407"/>
    <x v="13"/>
    <m/>
    <x v="0"/>
    <s v="Individual"/>
    <m/>
    <m/>
    <n v="2428571"/>
    <n v="0.05850848091326134"/>
    <n v="0.6801674729707305"/>
    <n v="2428571"/>
    <n v="0.05850848091326134"/>
    <n v="0.02751221727996014"/>
    <s v="No"/>
    <d v="2020-10-07T00:00:00"/>
    <n v="163"/>
  </r>
  <r>
    <s v="DaVita Dialysis"/>
    <s v="1014 Keith Drive"/>
    <s v="Perry"/>
    <s v="GA"/>
    <n v="1"/>
    <n v="2020"/>
    <n v="5928"/>
    <n v="126148"/>
    <n v="21.28002699055331"/>
    <d v="2035-10-30T00:00:00"/>
    <n v="14.62739726027397"/>
    <s v="NN"/>
    <s v="10% every 5 years"/>
    <s v="3, 5-year"/>
    <n v="2336874"/>
    <n v="394.2095141700405"/>
    <n v="0.05398151547751398"/>
    <x v="408"/>
    <x v="66"/>
    <s v="SJC; Briggs"/>
    <x v="371"/>
    <s v="Individual"/>
    <m/>
    <m/>
    <n v="2362319"/>
    <n v="0.0534000700159462"/>
    <n v="0.9892288044078721"/>
    <n v="2362319"/>
    <n v="0.0534000700159462"/>
    <n v="0.0005814454615677839"/>
    <s v="No"/>
    <m/>
    <s v=" "/>
  </r>
  <r>
    <s v="Fresenius Medical Care"/>
    <s v="664 University Blvd"/>
    <s v="Mobile"/>
    <s v="AL"/>
    <n v="1.58"/>
    <n v="1998"/>
    <n v="12070"/>
    <m/>
    <s v=" "/>
    <d v="2035-11-30T00:00:00"/>
    <n v="14.71232876712329"/>
    <s v="NN"/>
    <s v="1.7% annually"/>
    <s v="3, 5 yr"/>
    <n v="3181860"/>
    <n v="263.6172328086164"/>
    <s v=" "/>
    <x v="408"/>
    <x v="509"/>
    <s v="PH: Peranich &amp; Huffman"/>
    <x v="64"/>
    <s v="Fund"/>
    <s v="JRW Investments"/>
    <m/>
    <m/>
    <s v=" "/>
    <s v=" "/>
    <m/>
    <s v=" "/>
    <s v=" "/>
    <s v=" "/>
    <m/>
    <s v=" "/>
  </r>
  <r>
    <s v="DaVita Dialysis"/>
    <s v="201 SW L St"/>
    <s v="Grants Pass"/>
    <s v="OR"/>
    <n v="0.4"/>
    <n v="1994"/>
    <n v="4828"/>
    <n v="116290"/>
    <n v="24.08657829328915"/>
    <m/>
    <s v=" "/>
    <m/>
    <m/>
    <m/>
    <n v="1450000"/>
    <n v="300.3314001657001"/>
    <n v="0.08019999999999999"/>
    <x v="408"/>
    <x v="510"/>
    <s v="Merit; King"/>
    <x v="372"/>
    <s v="Individual"/>
    <m/>
    <m/>
    <n v="1525000"/>
    <n v="0.07625573770491803"/>
    <n v="0.9508196721311475"/>
    <n v="1525000"/>
    <n v="0.07625573770491803"/>
    <n v="0.003944262295081963"/>
    <s v="No"/>
    <d v="2020-04-10T00:00:00"/>
    <n v="342"/>
  </r>
  <r>
    <s v="5 Nielson Street"/>
    <s v="5 Nielson St"/>
    <s v="Watsonville"/>
    <s v="CA"/>
    <n v="1.15"/>
    <n v="2021"/>
    <n v="11424"/>
    <m/>
    <s v=" "/>
    <m/>
    <s v=" "/>
    <m/>
    <m/>
    <m/>
    <n v="6650000"/>
    <n v="582.1078431372549"/>
    <s v=" "/>
    <x v="408"/>
    <x v="511"/>
    <s v="Hanley; Asher"/>
    <x v="373"/>
    <s v="Individual"/>
    <s v="Cushman &amp; Wakefield"/>
    <m/>
    <m/>
    <s v=" "/>
    <s v=" "/>
    <m/>
    <s v=" "/>
    <s v=" "/>
    <s v=" "/>
    <m/>
    <s v=" "/>
  </r>
  <r>
    <s v="DaVita Dialysis"/>
    <s v="407 E South St"/>
    <s v="Weimar"/>
    <s v="TX"/>
    <n v="1.15"/>
    <n v="2017"/>
    <n v="3053"/>
    <n v="48843"/>
    <n v="15.99836226662299"/>
    <d v="2027-02-28T00:00:00"/>
    <n v="5.953424657534247"/>
    <s v="NNN"/>
    <s v="10% every 5 years"/>
    <s v="2, 5yr"/>
    <m/>
    <s v=" "/>
    <s v=" "/>
    <x v="408"/>
    <x v="512"/>
    <s v="Greene; Kurmadas"/>
    <x v="0"/>
    <s v="Individual"/>
    <m/>
    <m/>
    <n v="779000"/>
    <n v="0.06269961489088575"/>
    <s v=" "/>
    <n v="779000"/>
    <n v="0.06269961489088575"/>
    <s v=" "/>
    <s v="No"/>
    <d v="2020-02-24T00:00:00"/>
    <n v="388"/>
  </r>
  <r>
    <s v="Fresenius Medical Care"/>
    <s v="401 W Nippersink Rd"/>
    <s v="Round Lake"/>
    <s v="IL"/>
    <m/>
    <n v="1960"/>
    <n v="6500"/>
    <m/>
    <s v=" "/>
    <m/>
    <s v=" "/>
    <m/>
    <m/>
    <m/>
    <n v="2140500"/>
    <n v="329.3076923076923"/>
    <s v=" "/>
    <x v="409"/>
    <x v="404"/>
    <m/>
    <x v="64"/>
    <s v="Fund"/>
    <m/>
    <m/>
    <m/>
    <s v=" "/>
    <s v=" "/>
    <m/>
    <s v=" "/>
    <s v=" "/>
    <s v=" "/>
    <m/>
    <s v=" "/>
  </r>
  <r>
    <s v="DaVita Dialysis - MT"/>
    <s v="1601-1613 E Peoria St"/>
    <s v="Paola"/>
    <s v="KS"/>
    <n v="1.2"/>
    <n v="2008"/>
    <n v="9600"/>
    <m/>
    <s v=" "/>
    <m/>
    <s v=" "/>
    <m/>
    <m/>
    <m/>
    <m/>
    <s v=" "/>
    <s v=" "/>
    <x v="409"/>
    <x v="513"/>
    <s v="Block: Mesmer"/>
    <x v="374"/>
    <s v="Individual"/>
    <m/>
    <m/>
    <n v="1881429"/>
    <s v=" "/>
    <s v=" "/>
    <n v="1881429"/>
    <s v=" "/>
    <s v=" "/>
    <s v="No"/>
    <d v="2020-06-09T00:00:00"/>
    <n v="279"/>
  </r>
  <r>
    <s v="DaVita Dialysis"/>
    <s v="9535 Regency Square Blvd"/>
    <s v="Jacksonville"/>
    <s v="FL"/>
    <n v="0.93"/>
    <n v="2005"/>
    <n v="6141"/>
    <n v="126708"/>
    <n v="20.63312164142648"/>
    <d v="2027-05-30T00:00:00"/>
    <n v="6.219178082191781"/>
    <s v="NN"/>
    <s v="2.5% annually"/>
    <s v="2, 5yr"/>
    <n v="2110000"/>
    <n v="343.5922488194105"/>
    <n v="0.06005118483412322"/>
    <x v="410"/>
    <x v="514"/>
    <s v="M&amp;M: Shiebler"/>
    <x v="375"/>
    <s v="Individual"/>
    <m/>
    <m/>
    <m/>
    <m/>
    <m/>
    <m/>
    <m/>
    <m/>
    <m/>
    <m/>
    <m/>
  </r>
  <r>
    <s v="DaVita Dialysis"/>
    <s v="2001 Bench Rd"/>
    <s v="Pocatello"/>
    <s v="ID"/>
    <n v="1.06"/>
    <n v="1999"/>
    <n v="6711"/>
    <n v="133588"/>
    <n v="19.90582625540158"/>
    <d v="2025-01-31T00:00:00"/>
    <n v="3.917808219178082"/>
    <s v="NN"/>
    <s v="3% annually"/>
    <s v="2, 5 yr"/>
    <m/>
    <s v=" "/>
    <s v=" "/>
    <x v="411"/>
    <x v="515"/>
    <s v="Colliers; McFayden"/>
    <x v="376"/>
    <s v="Individual"/>
    <s v="C&amp;W; O'Brien"/>
    <m/>
    <n v="2362272"/>
    <n v="0.05655064277102721"/>
    <s v=" "/>
    <n v="2362272"/>
    <n v="0.05655064277102721"/>
    <s v=" "/>
    <s v="No"/>
    <d v="2020-03-02T00:00:00"/>
    <n v="366"/>
  </r>
  <r>
    <s v="Fresenius Medical Care"/>
    <s v="3214 Venture Park Dr"/>
    <s v="Lake Charles"/>
    <s v="LA"/>
    <n v="3.14"/>
    <n v="2018"/>
    <n v="9670"/>
    <n v="241595"/>
    <n v="24.98397104446742"/>
    <d v="2033-11-30T00:00:00"/>
    <n v="12.75616438356164"/>
    <s v="NN"/>
    <s v="10% every 5 years"/>
    <s v="3, 5yr"/>
    <n v="4050000"/>
    <n v="418.8210961737332"/>
    <n v="0.05965308641975309"/>
    <x v="412"/>
    <x v="516"/>
    <s v="M&amp;M: Biuso"/>
    <x v="35"/>
    <s v="REIT"/>
    <m/>
    <m/>
    <n v="4200000"/>
    <n v="0.05752261904761904"/>
    <n v="0.9642857142857143"/>
    <n v="4200000"/>
    <n v="0.05752261904761904"/>
    <n v="0.002130467372134043"/>
    <s v="No"/>
    <d v="2020-06-10T00:00:00"/>
    <n v="265"/>
  </r>
  <r>
    <s v="Fresenius Medical Care"/>
    <s v="760 S Farmerville St"/>
    <s v="Ruston"/>
    <s v="LA"/>
    <n v="1.06"/>
    <n v="1995"/>
    <n v="7000"/>
    <n v="86910.72"/>
    <n v="12.41581714285714"/>
    <d v="2024-06-30T00:00:00"/>
    <n v="3.342465753424658"/>
    <s v="Modified Gross"/>
    <s v="2% annually"/>
    <s v="1, 5yr"/>
    <n v="895735"/>
    <n v="127.9621428571429"/>
    <n v="0.09702726810942969"/>
    <x v="413"/>
    <x v="517"/>
    <s v="Matthews; Moreno"/>
    <x v="169"/>
    <s v="Individual"/>
    <m/>
    <m/>
    <n v="927350"/>
    <n v="0.09371943710573138"/>
    <n v="0.9659082331374347"/>
    <n v="927350"/>
    <n v="0.09371943710573138"/>
    <n v="0.003307831003698303"/>
    <s v="No"/>
    <d v="2020-11-13T00:00:00"/>
    <n v="105"/>
  </r>
  <r>
    <s v="DaVita Dialysis"/>
    <s v="1059 SE 82nd St"/>
    <s v="Oklahoma City"/>
    <s v="OK"/>
    <n v="0.76"/>
    <n v="2009"/>
    <n v="7000"/>
    <n v="142240"/>
    <n v="20.32"/>
    <d v="2031-11-30T00:00:00"/>
    <n v="10.76438356164384"/>
    <s v="NN"/>
    <s v="10% every 5"/>
    <s v="3, 5 yr"/>
    <n v="2425000"/>
    <n v="346.4285714285714"/>
    <n v="0.05865567010309278"/>
    <x v="413"/>
    <x v="518"/>
    <s v="PH: Peranich &amp; Huffman"/>
    <x v="377"/>
    <s v="Individual"/>
    <m/>
    <m/>
    <n v="2431000"/>
    <n v="0.05851090086384204"/>
    <n v="0.9975318798848211"/>
    <n v="2431000"/>
    <n v="0.05851090086384204"/>
    <n v="0.0001447692392507471"/>
    <s v="No"/>
    <d v="2021-01-07T00:00:00"/>
    <n v="50"/>
  </r>
  <r>
    <s v="DaVita Dialysis"/>
    <s v="6220 Harney Road"/>
    <s v="Tampa"/>
    <s v="FL"/>
    <n v="1.75"/>
    <n v="2018"/>
    <n v="10000"/>
    <n v="257200"/>
    <n v="25.72"/>
    <d v="2029-02-16T00:00:00"/>
    <n v="7.980821917808219"/>
    <s v="NN"/>
    <s v="-"/>
    <s v="3, 5yr"/>
    <n v="4675844"/>
    <n v="467.5844"/>
    <n v="0.05500611226550758"/>
    <x v="414"/>
    <x v="66"/>
    <s v="SJC; Briggs"/>
    <x v="378"/>
    <s v="Individual"/>
    <m/>
    <m/>
    <n v="5043137"/>
    <n v="0.05100000257776063"/>
    <n v="0.9271697358211763"/>
    <n v="5043137"/>
    <n v="0.05100000257776063"/>
    <n v="0.00400610968774695"/>
    <s v="No"/>
    <d v="2019-10-09T00:00:00"/>
    <n v="505"/>
  </r>
  <r>
    <s v="Lehigh Kidney Care (MT)"/>
    <s v="3227 Lee Blvd"/>
    <s v="Lehigh Acres"/>
    <s v="FL"/>
    <n v="1.3"/>
    <n v="2008"/>
    <n v="11910"/>
    <n v="196000"/>
    <n v="16.45675902602855"/>
    <m/>
    <s v=" "/>
    <m/>
    <m/>
    <m/>
    <n v="2800000"/>
    <n v="235.0965575146935"/>
    <n v="0.07000000000000001"/>
    <x v="414"/>
    <x v="519"/>
    <s v="LandQwest; Palmer"/>
    <x v="379"/>
    <s v="Individual"/>
    <m/>
    <m/>
    <m/>
    <s v=" "/>
    <s v=" "/>
    <m/>
    <s v=" "/>
    <s v=" "/>
    <s v=" "/>
    <m/>
    <s v=" "/>
  </r>
  <r>
    <s v="Fresenius Medical Care"/>
    <s v="1525 Long Beach Blvd"/>
    <s v="Long Beach"/>
    <s v="CA"/>
    <n v="0.58"/>
    <n v="2020"/>
    <n v="11800"/>
    <n v="428063"/>
    <n v="36.27652542372881"/>
    <m/>
    <s v=" "/>
    <m/>
    <s v="10% every 5 years"/>
    <m/>
    <n v="7995000"/>
    <n v="677.542372881356"/>
    <n v="0.05354133833646029"/>
    <x v="415"/>
    <x v="520"/>
    <s v="M&amp;M; Mansour"/>
    <x v="380"/>
    <s v="Individual"/>
    <m/>
    <m/>
    <n v="8988000"/>
    <n v="0.04762605696484201"/>
    <n v="0.8895193591455274"/>
    <n v="8561260"/>
    <n v="0.05"/>
    <n v="0.003541338336460288"/>
    <s v="Yes"/>
    <d v="2020-04-07T00:00:00"/>
    <n v="317"/>
  </r>
  <r>
    <s v="Fresenius Medical Care (MT)"/>
    <s v="1720 Powder Springs Rd SW"/>
    <s v="Marietta "/>
    <s v="GA"/>
    <n v="2.07"/>
    <n v="2007"/>
    <n v="13400"/>
    <n v="201537"/>
    <n v="15.04007462686567"/>
    <d v="2026-08-31T00:00:00"/>
    <n v="5.53972602739726"/>
    <s v="NN"/>
    <s v="2% annualy"/>
    <m/>
    <n v="2625000"/>
    <n v="195.8955223880597"/>
    <n v="0.076776"/>
    <x v="416"/>
    <x v="521"/>
    <s v="M&amp;M; Munn"/>
    <x v="381"/>
    <s v="Individual"/>
    <m/>
    <m/>
    <n v="2875000"/>
    <n v="0.07009982608695652"/>
    <n v="0.9130434782608695"/>
    <n v="2875000"/>
    <n v="0.07009982608695652"/>
    <n v="0.006676173913043482"/>
    <s v="No"/>
    <d v="2020-06-30T00:00:00"/>
    <n v="231"/>
  </r>
  <r>
    <s v="DaVita Dialysis"/>
    <s v="302 Ruby St"/>
    <s v="Walterboro"/>
    <s v="SC"/>
    <n v="1"/>
    <n v="2001"/>
    <n v="8000"/>
    <n v="161920"/>
    <n v="20.24"/>
    <d v="2026-03-23T00:00:00"/>
    <n v="5.101369863013699"/>
    <s v="NN"/>
    <s v="10% every 5 years"/>
    <s v="2, 5yr"/>
    <n v="2150000"/>
    <n v="268.75"/>
    <n v="0.07531162790697675"/>
    <x v="417"/>
    <x v="522"/>
    <s v="SJC; Briggs"/>
    <x v="267"/>
    <s v="Fund"/>
    <m/>
    <m/>
    <n v="2434887"/>
    <n v="0.06650000595510182"/>
    <n v="0.8829978557526489"/>
    <n v="2434887"/>
    <n v="0.06650000595510182"/>
    <n v="0.008811621951874932"/>
    <s v="No"/>
    <d v="2020-11-02T00:00:00"/>
    <n v="105"/>
  </r>
  <r>
    <s v="DaVita Dialysis"/>
    <s v="1241 Boundary St W"/>
    <s v="Fairfax"/>
    <s v="SC"/>
    <n v="3.49"/>
    <n v="2013"/>
    <n v="7360"/>
    <n v="118282.56"/>
    <n v="16.071"/>
    <d v="2028-05-31T00:00:00"/>
    <n v="7.293150684931507"/>
    <s v="NN"/>
    <s v="10% every 5 years"/>
    <s v="2, 5yr"/>
    <n v="1675000"/>
    <n v="227.5815217391304"/>
    <n v="0.07061645373134329"/>
    <x v="417"/>
    <x v="522"/>
    <s v="SJC; Briggs"/>
    <x v="267"/>
    <s v="Fund"/>
    <m/>
    <m/>
    <n v="1896076"/>
    <n v="0.06238281587868841"/>
    <n v="0.8834034078802748"/>
    <n v="1896076"/>
    <n v="0.06238281587868841"/>
    <n v="0.008233637852654879"/>
    <s v="No"/>
    <d v="2020-10-16T00:00:00"/>
    <n v="122"/>
  </r>
  <r>
    <s v="Fresenius Medical Care"/>
    <s v="2225 Union Ave"/>
    <s v="Memphis"/>
    <s v="TN"/>
    <n v="0.89"/>
    <n v="1967"/>
    <n v="14925"/>
    <n v="186829"/>
    <n v="12.51785594639866"/>
    <d v="2027-07-31T00:00:00"/>
    <n v="6.471232876712329"/>
    <s v="NN"/>
    <s v="2.5% annually"/>
    <s v="-"/>
    <n v="2600000"/>
    <n v="174.2043551088777"/>
    <n v="0.07185730769230769"/>
    <x v="418"/>
    <x v="523"/>
    <s v="Encore: Bistolarides"/>
    <x v="382"/>
    <s v="Individual"/>
    <m/>
    <m/>
    <n v="3462000"/>
    <n v="0.05396562680531485"/>
    <n v="0.7510109763142692"/>
    <n v="3462000"/>
    <n v="0.05396562680531485"/>
    <n v="0.01789168088699285"/>
    <s v="No"/>
    <d v="2020-08-06T00:00:00"/>
    <n v="188"/>
  </r>
  <r>
    <s v="Fresenius Medical Care"/>
    <s v="1276 Kitson St"/>
    <s v="Sturgis"/>
    <s v="MI"/>
    <n v="1.23"/>
    <n v="2008"/>
    <n v="6500"/>
    <n v="82849"/>
    <n v="12.746"/>
    <d v="2026-08-31T00:00:00"/>
    <n v="5.556164383561644"/>
    <s v="NNN"/>
    <s v="2% annually starting 2022"/>
    <s v="3, 5yr"/>
    <m/>
    <s v=" "/>
    <s v=" "/>
    <x v="418"/>
    <x v="222"/>
    <s v="PH: Peranich &amp; Huffman"/>
    <x v="383"/>
    <s v="Individual"/>
    <s v="Landmark; Lippitt"/>
    <m/>
    <n v="1120000"/>
    <n v="0.07397232142857142"/>
    <s v=" "/>
    <n v="1120000"/>
    <n v="0.07397232142857142"/>
    <s v=" "/>
    <s v="No"/>
    <d v="2020-10-07T00:00:00"/>
    <n v="126"/>
  </r>
  <r>
    <s v="Fresenius Medical Care"/>
    <s v="3300 N Main St"/>
    <s v="East Peoria"/>
    <s v="IL"/>
    <n v="3.52"/>
    <n v="1997"/>
    <n v="10280"/>
    <n v="166697"/>
    <n v="16.21566147859922"/>
    <d v="2037-12-31T00:00:00"/>
    <n v="16.9013698630137"/>
    <s v="Absolute NNN"/>
    <s v="CPI annually"/>
    <s v="3, 5yr"/>
    <n v="3245000"/>
    <n v="315.6614785992218"/>
    <n v="0.05137041602465332"/>
    <x v="419"/>
    <x v="524"/>
    <s v="CP; Webb"/>
    <x v="384"/>
    <s v="Individual"/>
    <s v="CP; Peters"/>
    <m/>
    <n v="3333391"/>
    <n v="0.05000823485753696"/>
    <n v="0.9734831587413538"/>
    <n v="3333391"/>
    <n v="0.05000823485753696"/>
    <n v="0.001362181167116353"/>
    <s v="No"/>
    <d v="2020-03-13T00:00:00"/>
    <n v="333"/>
  </r>
  <r>
    <s v="DaVita Dialysis"/>
    <s v="2301 S Frontage Rd"/>
    <s v="Plant City"/>
    <s v="FL"/>
    <n v="2"/>
    <n v="2019"/>
    <n v="7190"/>
    <n v="182913.6"/>
    <n v="25.44"/>
    <d v="2034-09-13T00:00:00"/>
    <n v="13.6027397260274"/>
    <s v="NN"/>
    <s v="10% every 5 years"/>
    <s v="3, 5yr"/>
    <n v="3480000"/>
    <n v="484.0055632823366"/>
    <n v="0.05256137931034483"/>
    <x v="420"/>
    <x v="66"/>
    <s v="SJC; Briggs"/>
    <x v="385"/>
    <s v="Individual"/>
    <m/>
    <m/>
    <n v="3484069"/>
    <n v="0.05249999354203375"/>
    <n v="0.9988321126820393"/>
    <n v="3484069"/>
    <n v="0.05249999354203375"/>
    <n v="6.138576831107856e-05"/>
    <s v="No"/>
    <d v="2020-08-18T00:00:00"/>
    <n v="174"/>
  </r>
  <r>
    <s v="DaVita Dialysis"/>
    <s v="22 SW 11th St"/>
    <s v="Hallandale Beach"/>
    <s v="FL"/>
    <n v="0.7650138"/>
    <n v="2007"/>
    <n v="9986"/>
    <n v="328245"/>
    <n v="32.8705187262167"/>
    <d v="2027-11-30T00:00:00"/>
    <n v="6.824657534246575"/>
    <s v="NN"/>
    <s v="2% annually"/>
    <s v="2, 5 yr"/>
    <n v="5925000"/>
    <n v="593.3306629280993"/>
    <n v="0.0554"/>
    <x v="421"/>
    <x v="232"/>
    <s v="SJC; Harf"/>
    <x v="386"/>
    <s v="Individual"/>
    <m/>
    <m/>
    <n v="6564900"/>
    <n v="0.05"/>
    <n v="0.9025270758122743"/>
    <n v="6252285.714285715"/>
    <n v="0.0525"/>
    <n v="0.0029"/>
    <s v="Yes"/>
    <d v="2020-01-24T00:00:00"/>
    <n v="376"/>
  </r>
  <r>
    <s v="Fresenius Medical Care"/>
    <s v="100 Stamford Dr"/>
    <s v="Cary"/>
    <s v="NC"/>
    <n v="2.91"/>
    <n v="2017"/>
    <n v="7275"/>
    <n v="224095"/>
    <n v="30.80343642611684"/>
    <d v="2032-01-31T00:00:00"/>
    <n v="11.01095890410959"/>
    <s v="NN"/>
    <s v="1.7% annually"/>
    <s v="3, 5yr"/>
    <n v="3931500"/>
    <n v="540.4123711340206"/>
    <n v="0.05699987282207809"/>
    <x v="422"/>
    <x v="525"/>
    <s v="PH: Peranich &amp; Huffman"/>
    <x v="64"/>
    <s v="Fund"/>
    <s v="JRW Investments"/>
    <m/>
    <m/>
    <s v=" "/>
    <s v=" "/>
    <m/>
    <s v=" "/>
    <s v=" "/>
    <s v=" "/>
    <m/>
    <s v=" "/>
  </r>
  <r>
    <s v="Fresenius Medical Care"/>
    <s v="4909 Route 873"/>
    <s v="Schnecksville"/>
    <s v="PA"/>
    <n v="3.52"/>
    <n v="2018"/>
    <n v="8538"/>
    <n v="228738"/>
    <n v="26.79058327477161"/>
    <d v="2034-03-31T00:00:00"/>
    <n v="13.17534246575342"/>
    <s v="NN"/>
    <s v="Yes"/>
    <s v="2, 6yr"/>
    <n v="3519046"/>
    <n v="412.1628015928789"/>
    <n v="0.06500000284167926"/>
    <x v="422"/>
    <x v="526"/>
    <s v="SJC; Brett"/>
    <x v="265"/>
    <s v="REIT"/>
    <m/>
    <m/>
    <n v="3812300"/>
    <n v="0.06"/>
    <n v="0.9230768827217165"/>
    <n v="3812300"/>
    <n v="0.06"/>
    <n v="0.005000002841679257"/>
    <s v="No"/>
    <d v="2020-05-19T00:00:00"/>
    <n v="255"/>
  </r>
  <r>
    <s v="DaVita Dialysis"/>
    <s v="2227 Sherman Drive"/>
    <s v="Princeton"/>
    <s v="IN"/>
    <n v="2"/>
    <n v="2001"/>
    <n v="5458"/>
    <n v="74794"/>
    <n v="13.70355441553683"/>
    <d v="2030-02-27T00:00:00"/>
    <n v="9.084931506849315"/>
    <s v="Absolute NNN"/>
    <s v="2% annually"/>
    <s v="2, 5yr"/>
    <n v="1350000"/>
    <n v="247.3433492121656"/>
    <n v="0.05540296296296297"/>
    <x v="422"/>
    <x v="527"/>
    <s v="SJC; Byerly"/>
    <x v="387"/>
    <s v="Individual"/>
    <m/>
    <m/>
    <n v="1452000"/>
    <n v="0.05151101928374656"/>
    <n v="0.9297520661157025"/>
    <n v="1425000"/>
    <n v="0.05248701754385965"/>
    <n v="0.002915945419103318"/>
    <s v="Yes"/>
    <d v="2019-07-15T00:00:00"/>
    <n v="564"/>
  </r>
  <r>
    <s v="U.S. Renal Care"/>
    <s v="2721 S Queen St"/>
    <s v="York"/>
    <s v="PA"/>
    <n v="1.29"/>
    <n v="2001"/>
    <n v="6406"/>
    <n v="192600"/>
    <n v="30.0655635341867"/>
    <d v="2031-10-31T00:00:00"/>
    <n v="10.76164383561644"/>
    <s v="Absolute NNN"/>
    <s v="10% every 5 years in base; FMV at each option"/>
    <s v="2, 5yr"/>
    <n v="2994928"/>
    <n v="467.5192007492975"/>
    <n v="0.06430872461708595"/>
    <x v="423"/>
    <x v="528"/>
    <s v="CBRE: Gorman"/>
    <x v="388"/>
    <s v="Individual"/>
    <m/>
    <m/>
    <n v="3210000"/>
    <n v="0.06"/>
    <n v="0.9329993769470405"/>
    <n v="3210000"/>
    <n v="0.06"/>
    <n v="0.004308724617085952"/>
    <s v="No"/>
    <d v="2020-05-21T00:00:00"/>
    <n v="252"/>
  </r>
  <r>
    <s v="Fresenius Medical Care"/>
    <s v="3 Windcrest National"/>
    <s v="Magnolia"/>
    <s v="TX"/>
    <n v="1.05"/>
    <n v="2015"/>
    <n v="5686"/>
    <m/>
    <s v=" "/>
    <m/>
    <s v=" "/>
    <m/>
    <m/>
    <m/>
    <m/>
    <s v=" "/>
    <s v=" "/>
    <x v="424"/>
    <x v="254"/>
    <m/>
    <x v="389"/>
    <s v="Individual"/>
    <m/>
    <m/>
    <m/>
    <s v=" "/>
    <s v=" "/>
    <m/>
    <s v=" "/>
    <s v=" "/>
    <s v=" "/>
    <m/>
    <s v=" "/>
  </r>
  <r>
    <s v="Fresenius Medical Care"/>
    <s v="3 Windcrest National"/>
    <s v="Magnolia"/>
    <s v="TX"/>
    <n v="1.0502"/>
    <n v="2015"/>
    <n v="5686"/>
    <m/>
    <s v=" "/>
    <m/>
    <s v=" "/>
    <m/>
    <m/>
    <m/>
    <m/>
    <s v=" "/>
    <s v=" "/>
    <x v="424"/>
    <x v="529"/>
    <m/>
    <x v="390"/>
    <s v="Individual"/>
    <m/>
    <m/>
    <m/>
    <s v=" "/>
    <s v=" "/>
    <m/>
    <s v=" "/>
    <s v=" "/>
    <s v=" "/>
    <m/>
    <s v=" "/>
  </r>
  <r>
    <s v="DaVita Dialysis"/>
    <s v="4530 Callaghan Rd"/>
    <s v="San Antonio"/>
    <s v="TX"/>
    <n v="1.33"/>
    <n v="2010"/>
    <n v="8568"/>
    <n v="170000"/>
    <n v="19.84126984126984"/>
    <d v="2026-03-31T00:00:00"/>
    <n v="5.18082191780822"/>
    <s v="NN"/>
    <s v="10% every 5 years"/>
    <s v="2, 5yr"/>
    <n v="2125000"/>
    <n v="248.015873015873"/>
    <n v="0.08"/>
    <x v="425"/>
    <x v="530"/>
    <s v="M&amp;M; Mansour"/>
    <x v="380"/>
    <s v="Individual"/>
    <m/>
    <m/>
    <n v="2428571"/>
    <n v="0.07000001235294336"/>
    <n v="0.8750001544117919"/>
    <n v="2428571"/>
    <n v="0.07000001235294336"/>
    <n v="0.009999987647056646"/>
    <s v="No"/>
    <d v="2020-10-07T00:00:00"/>
    <n v="110"/>
  </r>
  <r>
    <s v="Fresenius Medical Care - Ground Lease"/>
    <s v="700 Lomas Blvd NE"/>
    <s v="Albuquerque"/>
    <s v="NM"/>
    <n v="0.67"/>
    <m/>
    <n v="29185"/>
    <n v="34185"/>
    <n v="1.171320884015762"/>
    <d v="2040-05-31T00:00:00"/>
    <n v="19.36712328767123"/>
    <s v="Absolute NNN"/>
    <s v="CPI annually"/>
    <s v="2, 5yr"/>
    <m/>
    <s v=" "/>
    <s v=" "/>
    <x v="426"/>
    <x v="531"/>
    <s v="NAI: Flanagan"/>
    <x v="391"/>
    <s v="Individual"/>
    <m/>
    <m/>
    <n v="651000"/>
    <n v="0.05251152073732719"/>
    <s v=" "/>
    <n v="651000"/>
    <n v="0.05251152073732719"/>
    <s v=" "/>
    <s v="No"/>
    <d v="2020-10-28T00:00:00"/>
    <n v="86"/>
  </r>
  <r>
    <s v="Fresenius Medical Care"/>
    <s v="1003 N Cleveland"/>
    <s v="Dayton"/>
    <s v="TX"/>
    <n v="2.14"/>
    <n v="2018"/>
    <n v="5931"/>
    <m/>
    <s v=" "/>
    <d v="2033-12-31T00:00:00"/>
    <n v="12.95068493150685"/>
    <s v="NN"/>
    <s v="10% every 5 years"/>
    <s v="2, 5yr"/>
    <m/>
    <s v=" "/>
    <s v=" "/>
    <x v="427"/>
    <x v="532"/>
    <m/>
    <x v="392"/>
    <s v="Individual"/>
    <m/>
    <m/>
    <n v="2850000"/>
    <s v=" "/>
    <s v=" "/>
    <n v="2850000"/>
    <s v=" "/>
    <s v=" "/>
    <s v="No"/>
    <m/>
    <s v=" "/>
  </r>
  <r>
    <s v="Fresenius Medical Care"/>
    <s v="204 Ross Blvd"/>
    <s v="Dodge City"/>
    <s v="KS"/>
    <n v="0.46"/>
    <n v="2000"/>
    <n v="4150"/>
    <n v="78850"/>
    <n v="19"/>
    <d v="2025-11-30T00:00:00"/>
    <n v="4.863013698630137"/>
    <s v="NN"/>
    <s v="2% annually"/>
    <s v="2, 5yr"/>
    <n v="1065000"/>
    <n v="256.6265060240964"/>
    <n v="0.07403755868544601"/>
    <x v="428"/>
    <x v="533"/>
    <s v="PH: Peranich &amp; Huffman"/>
    <x v="393"/>
    <s v="Individual"/>
    <m/>
    <m/>
    <n v="1065000"/>
    <n v="0.07403755868544601"/>
    <n v="1"/>
    <m/>
    <s v=" "/>
    <s v=" "/>
    <s v=" "/>
    <m/>
    <s v=" "/>
  </r>
  <r>
    <s v="DaVita Dialysis"/>
    <s v="1221 Briarville Rd"/>
    <s v="Madison"/>
    <s v="TN"/>
    <n v="0.82"/>
    <n v="1998"/>
    <n v="6855"/>
    <n v="98026.5"/>
    <n v="14.3"/>
    <d v="2026-11-30T00:00:00"/>
    <n v="5.863013698630137"/>
    <s v="NN"/>
    <s v="10% every 5 years"/>
    <s v="3, 5yr"/>
    <n v="1530000"/>
    <n v="223.1947483588621"/>
    <n v="0.06406960784313726"/>
    <x v="428"/>
    <x v="534"/>
    <s v="SJC; Briggs"/>
    <x v="394"/>
    <s v="Individual"/>
    <m/>
    <m/>
    <n v="1568424"/>
    <n v="0.0625"/>
    <n v="0.9755015225474744"/>
    <n v="1568424"/>
    <n v="0.0625"/>
    <n v="0.001569607843137255"/>
    <s v="No"/>
    <d v="2020-06-29T00:00:00"/>
    <n v="205"/>
  </r>
  <r>
    <s v="DaVita Dialysis"/>
    <s v="7950 SW 30th St"/>
    <s v="Davie"/>
    <s v="FL"/>
    <n v="0.5758"/>
    <n v="2003"/>
    <n v="8125"/>
    <m/>
    <s v=" "/>
    <m/>
    <s v=" "/>
    <m/>
    <m/>
    <m/>
    <n v="2975000"/>
    <n v="366.1538461538461"/>
    <s v=" "/>
    <x v="429"/>
    <x v="312"/>
    <s v="PH: Peranich &amp; Huffman"/>
    <x v="395"/>
    <s v="Individual"/>
    <m/>
    <m/>
    <m/>
    <s v=" "/>
    <s v=" "/>
    <m/>
    <s v=" "/>
    <s v=" "/>
    <s v=" "/>
    <m/>
    <s v=" "/>
  </r>
  <r>
    <s v="DaVita Dialysis"/>
    <s v="621 McNeil Cir"/>
    <s v="Thomson"/>
    <s v="GA"/>
    <n v="1.72"/>
    <n v="2013"/>
    <n v="6520"/>
    <n v="117401"/>
    <n v="18.00628834355828"/>
    <d v="2028-01-01T00:00:00"/>
    <n v="6.967123287671233"/>
    <s v="NNN"/>
    <s v="10% every 5 years"/>
    <s v="2, 5yr"/>
    <n v="1675000"/>
    <n v="256.9018404907976"/>
    <n v="0.07009014925373135"/>
    <x v="430"/>
    <x v="69"/>
    <m/>
    <x v="151"/>
    <s v="Individual"/>
    <m/>
    <m/>
    <n v="1739274"/>
    <n v="0.06750000287476268"/>
    <n v="0.963045500593926"/>
    <n v="1739274"/>
    <n v="0.06750000287476268"/>
    <n v="0.002590146378968664"/>
    <s v="No"/>
    <d v="2020-11-09T00:00:00"/>
    <n v="66"/>
  </r>
  <r>
    <s v="DaVita Dialysis"/>
    <s v="133 Limestone Rd"/>
    <s v="Kenansville"/>
    <s v="NC"/>
    <n v="1.68"/>
    <n v="2020"/>
    <n v="8538"/>
    <n v="148504"/>
    <n v="17.39330053876786"/>
    <d v="2035-05-27T00:00:00"/>
    <n v="14.37260273972603"/>
    <s v="NN"/>
    <s v="10% every 5 years"/>
    <s v="3, 5 year"/>
    <n v="2538530"/>
    <n v="297.3213867416257"/>
    <n v="0.05849999803035615"/>
    <x v="430"/>
    <x v="66"/>
    <s v="SJC; Briggs"/>
    <x v="396"/>
    <s v="Individual"/>
    <m/>
    <m/>
    <n v="2582678"/>
    <n v="0.05750000580792495"/>
    <n v="0.9829061152803408"/>
    <n v="2582678"/>
    <n v="0.05750000580792495"/>
    <n v="0.0009999922224312036"/>
    <s v="No"/>
    <m/>
    <s v=" "/>
  </r>
  <r>
    <s v="Fresenius Medical Care"/>
    <s v="2405 Ludington St"/>
    <s v="Escanaba"/>
    <s v="MI"/>
    <n v="1.5"/>
    <n v="2006"/>
    <n v="9180"/>
    <n v="133314"/>
    <n v="14.52222222222222"/>
    <d v="2035-03-05T00:00:00"/>
    <n v="14.14794520547945"/>
    <s v="NN"/>
    <s v="$0.60psf annually"/>
    <m/>
    <n v="2221500"/>
    <n v="241.9934640522876"/>
    <n v="0.06001080351114112"/>
    <x v="431"/>
    <x v="535"/>
    <s v="Landmark CRE; Lippitt"/>
    <x v="397"/>
    <s v="Individual"/>
    <m/>
    <m/>
    <n v="2359540"/>
    <n v="0.05649999576188579"/>
    <n v="0.9414970714630818"/>
    <n v="2359540"/>
    <n v="0.05649999576188579"/>
    <n v="0.003510807749255336"/>
    <s v="No"/>
    <d v="2020-08-14T00:00:00"/>
    <n v="152"/>
  </r>
  <r>
    <s v="DaVita Dialysis"/>
    <s v="248 Elm Drive"/>
    <s v="Waynesburg"/>
    <s v="PA"/>
    <n v="0.88"/>
    <n v="2016"/>
    <n v="5679"/>
    <n v="73827"/>
    <n v="13"/>
    <d v="2031-11-30T00:00:00"/>
    <n v="10.9013698630137"/>
    <s v="NNN"/>
    <s v="10% every 5 years"/>
    <s v="2, 5yr"/>
    <n v="1200000"/>
    <n v="211.3048071843635"/>
    <n v="0.0615225"/>
    <x v="432"/>
    <x v="351"/>
    <s v="M&amp;M; Glass"/>
    <x v="398"/>
    <s v="Individual"/>
    <s v="M&amp;M; Gutierrez"/>
    <m/>
    <n v="1230450"/>
    <n v="0.06"/>
    <n v="0.9752529562355235"/>
    <n v="1230450"/>
    <n v="0.06"/>
    <n v="0.001522500000000003"/>
    <s v="No"/>
    <d v="2019-12-06T00:00:00"/>
    <n v="390"/>
  </r>
  <r>
    <s v="DaVita Dialysis"/>
    <s v="1090 W McKinley Ave"/>
    <s v="Decatur"/>
    <s v="IL"/>
    <n v="1.82"/>
    <n v="2016"/>
    <n v="10589"/>
    <n v="190602"/>
    <n v="18"/>
    <d v="2031-11-30T00:00:00"/>
    <n v="10.9013698630137"/>
    <s v="NN"/>
    <s v="10% every 5 years"/>
    <s v="2, 5yr"/>
    <n v="3100000"/>
    <n v="292.7566342430824"/>
    <n v="0.06148451612903226"/>
    <x v="432"/>
    <x v="351"/>
    <s v="M&amp;M; Glass"/>
    <x v="398"/>
    <s v="Individual"/>
    <s v="M&amp;M; Gutierrez"/>
    <m/>
    <n v="3176700"/>
    <n v="0.06"/>
    <n v="0.9758554474769415"/>
    <n v="3176700"/>
    <n v="0.06"/>
    <n v="0.001484516129032262"/>
    <s v="No"/>
    <d v="2019-12-06T00:00:00"/>
    <n v="378"/>
  </r>
  <r>
    <s v="Fresenius Medical Care"/>
    <s v="1041 N Arizola Rd"/>
    <s v="Casa Grande"/>
    <s v="AZ"/>
    <n v="1.91"/>
    <n v="1999"/>
    <n v="11982"/>
    <m/>
    <s v=" "/>
    <m/>
    <s v=" "/>
    <m/>
    <m/>
    <m/>
    <n v="4900000"/>
    <n v="408.9467534635286"/>
    <s v=" "/>
    <x v="433"/>
    <x v="536"/>
    <s v="Matthews; Moreno"/>
    <x v="267"/>
    <s v="Fund"/>
    <m/>
    <m/>
    <m/>
    <s v=" "/>
    <s v=" "/>
    <m/>
    <s v=" "/>
    <s v=" "/>
    <s v=" "/>
    <m/>
    <s v=" "/>
  </r>
  <r>
    <s v="Fresenius Medical Care"/>
    <s v="704 Belle Terre Blvd"/>
    <s v="La Place"/>
    <s v="LA"/>
    <n v="1.147796"/>
    <m/>
    <n v="7090"/>
    <n v="279127"/>
    <n v="39.36911142454161"/>
    <m/>
    <s v=" "/>
    <m/>
    <m/>
    <m/>
    <n v="4691210"/>
    <n v="661.6657263751763"/>
    <n v="0.0595000010658231"/>
    <x v="434"/>
    <x v="537"/>
    <s v="Colliers International"/>
    <x v="188"/>
    <s v="Fund"/>
    <s v="KPI Brokers"/>
    <m/>
    <m/>
    <s v=" "/>
    <s v=" "/>
    <m/>
    <s v=" "/>
    <s v=" "/>
    <s v=" "/>
    <m/>
    <s v=" "/>
  </r>
  <r>
    <s v="DaVita Dialysis"/>
    <s v="260 6th Ave NW"/>
    <s v="Jasper"/>
    <s v="AL"/>
    <n v="1.9"/>
    <n v="2014"/>
    <n v="6155"/>
    <n v="136889"/>
    <n v="22.24029244516653"/>
    <d v="2029-05-19T00:00:00"/>
    <n v="8.386301369863014"/>
    <s v="NNN"/>
    <s v="10% every 5 years"/>
    <s v="2, 5yr"/>
    <n v="1900000"/>
    <n v="308.6921202274573"/>
    <n v="0.07204684210526316"/>
    <x v="434"/>
    <x v="538"/>
    <m/>
    <x v="204"/>
    <s v="Individual"/>
    <m/>
    <m/>
    <n v="1955964"/>
    <n v="0.06998543940481522"/>
    <n v="0.9713880214564277"/>
    <n v="1955964"/>
    <n v="0.06998543940481522"/>
    <n v="0.00206140270044794"/>
    <s v="No"/>
    <d v="2020-10-05T00:00:00"/>
    <n v="87"/>
  </r>
  <r>
    <s v="Fresenius Medical Care"/>
    <s v="2721 Irvin Way"/>
    <s v="Decatur"/>
    <s v="GA"/>
    <n v="2.4"/>
    <n v="2006"/>
    <n v="9174"/>
    <n v="217975"/>
    <n v="23.76008284281665"/>
    <d v="2026-07-31T00:00:00"/>
    <n v="5.586301369863014"/>
    <s v="NN"/>
    <s v="1.7% annually"/>
    <s v="3, 5yr"/>
    <n v="2825000"/>
    <n v="307.9354698059734"/>
    <n v="0.07715929203539823"/>
    <x v="435"/>
    <x v="539"/>
    <s v="SJC; Powell"/>
    <x v="399"/>
    <s v="Individual"/>
    <m/>
    <m/>
    <m/>
    <s v=" "/>
    <s v=" "/>
    <m/>
    <s v=" "/>
    <s v=" "/>
    <s v=" "/>
    <d v="2020-08-03T00:00:00"/>
    <n v="149"/>
  </r>
  <r>
    <s v="DaVita Dialysis"/>
    <s v="2121 Juan Tabo Blvd NE"/>
    <s v="Albuquerque"/>
    <s v="NM"/>
    <n v="1.719008"/>
    <m/>
    <n v="9935"/>
    <m/>
    <s v=" "/>
    <m/>
    <s v=" "/>
    <m/>
    <m/>
    <m/>
    <m/>
    <s v=" "/>
    <s v=" "/>
    <x v="435"/>
    <x v="540"/>
    <s v="JLL"/>
    <x v="400"/>
    <s v="Fund"/>
    <m/>
    <m/>
    <m/>
    <s v=" "/>
    <s v=" "/>
    <m/>
    <s v=" "/>
    <s v=" "/>
    <s v=" "/>
    <m/>
    <s v=" "/>
  </r>
  <r>
    <s v="Fresenius Medical Care"/>
    <s v="1115 herrington Road"/>
    <s v="Lawrenceville"/>
    <s v="GA"/>
    <n v="1.6"/>
    <n v="2005"/>
    <n v="8659"/>
    <n v="189920"/>
    <n v="21.93324864303037"/>
    <m/>
    <s v=" "/>
    <s v="NN"/>
    <m/>
    <m/>
    <n v="2374000"/>
    <n v="274.1656080378797"/>
    <n v="0.08"/>
    <x v="435"/>
    <x v="541"/>
    <s v="SJC; Van Dresser"/>
    <x v="401"/>
    <s v="Individual"/>
    <m/>
    <m/>
    <n v="2374000"/>
    <n v="0.08"/>
    <n v="1"/>
    <n v="2374000"/>
    <n v="0.08"/>
    <n v="0"/>
    <s v="No"/>
    <d v="2020-07-08T00:00:00"/>
    <n v="175"/>
  </r>
  <r>
    <s v="Fresenius Medical Care"/>
    <s v="110 S Park Dr"/>
    <s v="Brownwood"/>
    <s v="TX"/>
    <n v="2.4"/>
    <n v="2007"/>
    <n v="11089"/>
    <n v="172890"/>
    <n v="15.59112634141942"/>
    <d v="2032-06-30T00:00:00"/>
    <n v="11.50958904109589"/>
    <s v="NN"/>
    <s v="1.7% annually"/>
    <s v="3, 5yr"/>
    <m/>
    <s v=" "/>
    <s v=" "/>
    <x v="436"/>
    <x v="202"/>
    <m/>
    <x v="402"/>
    <s v="Individual"/>
    <m/>
    <m/>
    <m/>
    <s v=" "/>
    <s v=" "/>
    <m/>
    <s v=" "/>
    <s v=" "/>
    <s v=" "/>
    <m/>
    <s v=" "/>
  </r>
  <r>
    <s v="DaVita Dialysis"/>
    <s v="14752 Northline Rd"/>
    <s v="Southgate"/>
    <s v="MI"/>
    <n v="2.75"/>
    <n v="1993"/>
    <n v="12000"/>
    <n v="271881"/>
    <n v="22.65675"/>
    <d v="2032-06-30T00:00:00"/>
    <n v="11.50958904109589"/>
    <s v="NN"/>
    <s v="2% annually"/>
    <m/>
    <n v="4350000"/>
    <n v="362.5"/>
    <n v="0.06250137931034483"/>
    <x v="436"/>
    <x v="542"/>
    <s v="SRS; Rogers"/>
    <x v="275"/>
    <s v="Individual"/>
    <m/>
    <m/>
    <n v="4531000"/>
    <n v="0.06000463473846833"/>
    <n v="0.9600529684396381"/>
    <n v="4531000"/>
    <n v="0.06000463473846833"/>
    <n v="0.0024967445718765"/>
    <s v="No"/>
    <d v="2020-10-05T00:00:00"/>
    <n v="85"/>
  </r>
  <r>
    <s v="Fresenius Medical Care"/>
    <s v="4917 Old Farm Road"/>
    <s v="Durham"/>
    <s v="NC "/>
    <n v="1.46"/>
    <n v="2020"/>
    <n v="7331"/>
    <n v="190606"/>
    <n v="26"/>
    <d v="2035-08-31T00:00:00"/>
    <n v="14.68219178082192"/>
    <s v="NN"/>
    <s v="1.5% annualy"/>
    <s v="3, 5yr"/>
    <n v="3400000"/>
    <n v="463.7839312508526"/>
    <n v="0.05606058823529412"/>
    <x v="437"/>
    <x v="543"/>
    <s v="Atlas; Adams"/>
    <x v="403"/>
    <s v="Individual"/>
    <m/>
    <m/>
    <n v="3700000"/>
    <n v="0.05151513513513514"/>
    <n v="0.918918918918919"/>
    <n v="3700000"/>
    <n v="0.05151513513513514"/>
    <n v="0.004545453100158983"/>
    <s v="No"/>
    <d v="2020-05-12T00:00:00"/>
    <n v="230"/>
  </r>
  <r>
    <s v="DaVita Dialysis"/>
    <s v="2290 Ferguson Rd"/>
    <s v="Cincinnati"/>
    <s v="OH"/>
    <m/>
    <n v="2020"/>
    <n v="6488"/>
    <n v="221490"/>
    <n v="34.13840937114674"/>
    <d v="2035-02-28T00:00:00"/>
    <n v="14.19452054794521"/>
    <s v="NNN"/>
    <s v="10% every 5 years"/>
    <s v="2, 5yr"/>
    <n v="4101675"/>
    <n v="632.1940505548705"/>
    <n v="0.05399989028872351"/>
    <x v="438"/>
    <x v="296"/>
    <s v="Colliers; Patel"/>
    <x v="404"/>
    <s v="Individual"/>
    <m/>
    <m/>
    <n v="4179065"/>
    <n v="0.05299989351685126"/>
    <n v="0.9814815036377754"/>
    <n v="4179065"/>
    <n v="0.05299989351685126"/>
    <n v="0.0009999967718722566"/>
    <s v="No"/>
    <d v="2020-07-15T00:00:00"/>
    <n v="160"/>
  </r>
  <r>
    <s v="Fresenius Medical Care"/>
    <s v="102 County Line Rd"/>
    <s v="Andrews"/>
    <s v="SC"/>
    <m/>
    <m/>
    <n v="4045"/>
    <m/>
    <s v=" "/>
    <m/>
    <s v=" "/>
    <m/>
    <m/>
    <m/>
    <n v="691676.2"/>
    <n v="170.9953522867738"/>
    <s v=" "/>
    <x v="439"/>
    <x v="544"/>
    <s v="C&amp;W"/>
    <x v="229"/>
    <s v="REIT"/>
    <m/>
    <m/>
    <m/>
    <s v=" "/>
    <s v=" "/>
    <m/>
    <s v=" "/>
    <s v=" "/>
    <s v=" "/>
    <m/>
    <s v=" "/>
  </r>
  <r>
    <s v="Fresenius Medical Care"/>
    <s v="200 Stuckey St"/>
    <s v="Johnsonville"/>
    <s v="SC"/>
    <n v="2.039991"/>
    <n v="2007"/>
    <n v="7000"/>
    <m/>
    <s v=" "/>
    <m/>
    <s v=" "/>
    <m/>
    <m/>
    <m/>
    <n v="1025954"/>
    <n v="146.5648571428571"/>
    <s v=" "/>
    <x v="439"/>
    <x v="544"/>
    <s v="C&amp;W"/>
    <x v="229"/>
    <s v="REIT"/>
    <m/>
    <m/>
    <m/>
    <s v=" "/>
    <s v=" "/>
    <m/>
    <s v=" "/>
    <s v=" "/>
    <s v=" "/>
    <m/>
    <s v=" "/>
  </r>
  <r>
    <s v="Fresenius Medical Care"/>
    <s v="289 Fairview Ave"/>
    <s v="Bishopville"/>
    <s v="SC"/>
    <n v="2"/>
    <m/>
    <n v="8200"/>
    <m/>
    <s v=" "/>
    <m/>
    <s v=" "/>
    <m/>
    <m/>
    <m/>
    <n v="1059798"/>
    <n v="129.2436585365854"/>
    <s v=" "/>
    <x v="439"/>
    <x v="544"/>
    <s v="C&amp;W"/>
    <x v="229"/>
    <s v="REIT"/>
    <m/>
    <m/>
    <m/>
    <s v=" "/>
    <s v=" "/>
    <m/>
    <s v=" "/>
    <s v=" "/>
    <s v=" "/>
    <m/>
    <s v=" "/>
  </r>
  <r>
    <s v="Davita Fountain Inn Dialysis"/>
    <s v="298 Chapman Rd"/>
    <s v="Fountain Inn"/>
    <s v="SC"/>
    <n v="2.03"/>
    <m/>
    <n v="8200"/>
    <m/>
    <s v=" "/>
    <m/>
    <s v=" "/>
    <m/>
    <m/>
    <m/>
    <n v="1177688"/>
    <n v="143.6204878048781"/>
    <s v=" "/>
    <x v="439"/>
    <x v="544"/>
    <s v="C&amp;W"/>
    <x v="229"/>
    <s v="REIT"/>
    <m/>
    <m/>
    <m/>
    <s v=" "/>
    <s v=" "/>
    <m/>
    <s v=" "/>
    <s v=" "/>
    <s v=" "/>
    <m/>
    <s v=" "/>
  </r>
  <r>
    <s v="Fresenius Medical Care"/>
    <s v="303 Village Square Dr"/>
    <s v="Batesburg"/>
    <s v="SC"/>
    <n v="0.8800046"/>
    <m/>
    <n v="8200"/>
    <m/>
    <s v=" "/>
    <m/>
    <s v=" "/>
    <m/>
    <m/>
    <m/>
    <n v="1198484"/>
    <n v="146.1565853658537"/>
    <s v=" "/>
    <x v="439"/>
    <x v="544"/>
    <s v="C&amp;W"/>
    <x v="229"/>
    <s v="REIT"/>
    <m/>
    <m/>
    <m/>
    <s v=" "/>
    <s v=" "/>
    <m/>
    <s v=" "/>
    <s v=" "/>
    <s v=" "/>
    <m/>
    <s v=" "/>
  </r>
  <r>
    <s v="Fresenius Medical Care"/>
    <s v="909 Carolina Dr"/>
    <s v="Lugoff"/>
    <s v="SC"/>
    <n v="1.103765"/>
    <m/>
    <n v="8200"/>
    <m/>
    <s v=" "/>
    <m/>
    <s v=" "/>
    <m/>
    <m/>
    <m/>
    <n v="1319457.6"/>
    <n v="160.9094634146342"/>
    <s v=" "/>
    <x v="439"/>
    <x v="544"/>
    <s v="C&amp;W"/>
    <x v="229"/>
    <s v="REIT"/>
    <m/>
    <m/>
    <m/>
    <s v=" "/>
    <s v=" "/>
    <m/>
    <s v=" "/>
    <s v=" "/>
    <s v=" "/>
    <m/>
    <s v=" "/>
  </r>
  <r>
    <s v="Fresenius Medical Care"/>
    <s v="3107 Sumter Hwy"/>
    <s v="Alcolu"/>
    <s v="SC"/>
    <n v="2.780005"/>
    <m/>
    <n v="8200"/>
    <m/>
    <s v=" "/>
    <m/>
    <s v=" "/>
    <m/>
    <m/>
    <m/>
    <n v="1402162"/>
    <n v="170.9953658536585"/>
    <s v=" "/>
    <x v="439"/>
    <x v="544"/>
    <s v="C&amp;W"/>
    <x v="229"/>
    <s v="REIT"/>
    <m/>
    <m/>
    <m/>
    <s v=" "/>
    <s v=" "/>
    <m/>
    <s v=" "/>
    <s v=" "/>
    <s v=" "/>
    <m/>
    <s v=" "/>
  </r>
  <r>
    <s v="Fresenius Medical Care"/>
    <s v="104 Grace Ln"/>
    <s v="Cheraw"/>
    <s v="SC"/>
    <m/>
    <m/>
    <n v="8200"/>
    <m/>
    <s v=" "/>
    <m/>
    <s v=" "/>
    <m/>
    <m/>
    <m/>
    <n v="1402162"/>
    <n v="170.9953658536585"/>
    <s v=" "/>
    <x v="439"/>
    <x v="544"/>
    <s v="C&amp;W"/>
    <x v="229"/>
    <s v="REIT"/>
    <m/>
    <m/>
    <m/>
    <s v=" "/>
    <s v=" "/>
    <m/>
    <s v=" "/>
    <s v=" "/>
    <s v=" "/>
    <m/>
    <s v=" "/>
  </r>
  <r>
    <s v="Fresenius Medical Care"/>
    <s v="4592 Oleander Dr"/>
    <s v="Myrtle Beach"/>
    <s v="SC"/>
    <n v="2.560009"/>
    <m/>
    <n v="10029"/>
    <m/>
    <s v=" "/>
    <m/>
    <s v=" "/>
    <m/>
    <m/>
    <m/>
    <n v="1474899.1"/>
    <n v="147.0634260644132"/>
    <s v=" "/>
    <x v="439"/>
    <x v="544"/>
    <s v="C&amp;W"/>
    <x v="229"/>
    <s v="REIT"/>
    <m/>
    <m/>
    <m/>
    <s v=" "/>
    <s v=" "/>
    <m/>
    <s v=" "/>
    <s v=" "/>
    <s v=" "/>
    <m/>
    <s v=" "/>
  </r>
  <r>
    <s v="Fresenius Medical Care"/>
    <s v="331 Elizabeth Anne Ct"/>
    <s v="Lake City"/>
    <s v="SC"/>
    <n v="1.1"/>
    <n v="2000"/>
    <n v="8040"/>
    <m/>
    <s v=" "/>
    <m/>
    <s v=" "/>
    <m/>
    <m/>
    <m/>
    <n v="1497360"/>
    <n v="186.2388059701493"/>
    <s v=" "/>
    <x v="439"/>
    <x v="544"/>
    <s v="C&amp;W"/>
    <x v="229"/>
    <s v="REIT"/>
    <m/>
    <m/>
    <m/>
    <s v=" "/>
    <s v=" "/>
    <m/>
    <s v=" "/>
    <s v=" "/>
    <s v=" "/>
    <m/>
    <s v=" "/>
  </r>
  <r>
    <s v="Fresenius Medical Care"/>
    <s v="215 N Brooks St"/>
    <s v="Kingstree"/>
    <s v="SC"/>
    <m/>
    <m/>
    <n v="10005"/>
    <m/>
    <s v=" "/>
    <m/>
    <s v=" "/>
    <m/>
    <m/>
    <m/>
    <n v="1710808.6"/>
    <n v="170.9953623188406"/>
    <s v=" "/>
    <x v="439"/>
    <x v="544"/>
    <s v="C&amp;W"/>
    <x v="229"/>
    <s v="REIT"/>
    <m/>
    <m/>
    <m/>
    <s v=" "/>
    <s v=" "/>
    <m/>
    <s v=" "/>
    <s v=" "/>
    <s v=" "/>
    <m/>
    <s v=" "/>
  </r>
  <r>
    <s v="Fresenius Medical Care"/>
    <s v="5707 Willowbrook St"/>
    <s v="Fort Lawn"/>
    <s v="SC"/>
    <n v="1.8535"/>
    <m/>
    <n v="7943"/>
    <m/>
    <s v=" "/>
    <m/>
    <s v=" "/>
    <m/>
    <m/>
    <m/>
    <n v="1832688"/>
    <n v="230.7299509001637"/>
    <s v=" "/>
    <x v="439"/>
    <x v="544"/>
    <s v="C&amp;W"/>
    <x v="229"/>
    <s v="REIT"/>
    <m/>
    <m/>
    <m/>
    <s v=" "/>
    <s v=" "/>
    <m/>
    <s v=" "/>
    <s v=" "/>
    <s v=" "/>
    <m/>
    <s v=" "/>
  </r>
  <r>
    <s v="Fresenius Medical Care"/>
    <s v="109 Merritt Ct"/>
    <s v="Marion"/>
    <s v="SC"/>
    <n v="1"/>
    <m/>
    <n v="11595"/>
    <m/>
    <s v=" "/>
    <m/>
    <s v=" "/>
    <m/>
    <m/>
    <m/>
    <n v="1982691.2"/>
    <n v="170.9953600689952"/>
    <s v=" "/>
    <x v="439"/>
    <x v="544"/>
    <s v="C&amp;W"/>
    <x v="229"/>
    <s v="REIT"/>
    <m/>
    <m/>
    <m/>
    <s v=" "/>
    <s v=" "/>
    <m/>
    <s v=" "/>
    <s v=" "/>
    <s v=" "/>
    <m/>
    <s v=" "/>
  </r>
  <r>
    <s v="Fresenius Medical Care"/>
    <s v="435 N Cashua Dr"/>
    <s v="Florence"/>
    <s v="SC"/>
    <n v="1.510009"/>
    <n v="2004"/>
    <n v="10676"/>
    <m/>
    <s v=" "/>
    <m/>
    <s v=" "/>
    <m/>
    <m/>
    <m/>
    <n v="2436739"/>
    <n v="228.2445672536531"/>
    <s v=" "/>
    <x v="439"/>
    <x v="544"/>
    <s v="C&amp;W"/>
    <x v="229"/>
    <s v="REIT"/>
    <m/>
    <m/>
    <m/>
    <s v=" "/>
    <s v=" "/>
    <m/>
    <s v=" "/>
    <s v=" "/>
    <s v=" "/>
    <m/>
    <s v=" "/>
  </r>
  <r>
    <s v="Fresenius Medical Care"/>
    <s v="1520 Freedom Blvd"/>
    <s v="Florence"/>
    <s v="SC"/>
    <n v="1.869995"/>
    <n v="2004"/>
    <n v="13005"/>
    <m/>
    <s v=" "/>
    <m/>
    <s v=" "/>
    <m/>
    <m/>
    <m/>
    <n v="2966902"/>
    <n v="228.1354863514033"/>
    <s v=" "/>
    <x v="439"/>
    <x v="544"/>
    <s v="C&amp;W"/>
    <x v="229"/>
    <s v="REIT"/>
    <m/>
    <m/>
    <m/>
    <s v=" "/>
    <s v=" "/>
    <m/>
    <s v=" "/>
    <s v=" "/>
    <s v=" "/>
    <m/>
    <s v=" "/>
  </r>
  <r>
    <s v="Fresenius Medical Care"/>
    <s v="9076 Kingston Rd"/>
    <s v="Shreveport"/>
    <s v="LA"/>
    <n v="2"/>
    <n v="2008"/>
    <n v="8562"/>
    <n v="205040"/>
    <n v="23.94767577668769"/>
    <d v="2027-06-30T00:00:00"/>
    <n v="6.534246575342466"/>
    <s v="NN"/>
    <s v="The lessor of FMV or 10% at options"/>
    <s v="2, 5yr"/>
    <n v="2800000"/>
    <n v="327.0263957019388"/>
    <n v="0.07322857142857143"/>
    <x v="439"/>
    <x v="55"/>
    <s v="SIG; Hoogesteger"/>
    <x v="405"/>
    <s v="Individual"/>
    <m/>
    <m/>
    <n v="3155000"/>
    <n v="0.06498890649762282"/>
    <n v="0.8874801901743264"/>
    <n v="3060000"/>
    <n v="0.06700653594771241"/>
    <n v="0.00622203548085902"/>
    <s v="Yes"/>
    <d v="2019-07-30T00:00:00"/>
    <n v="507"/>
  </r>
  <r>
    <s v="DaVita Dialysis"/>
    <s v="5224 Hwy 321"/>
    <s v="Gaston"/>
    <s v="SC"/>
    <n v="1.01"/>
    <n v="2012"/>
    <n v="5930"/>
    <n v="113625.64"/>
    <n v="19.16115345699831"/>
    <d v="2028-08-05T00:00:00"/>
    <n v="7.635616438356164"/>
    <s v="NNN"/>
    <s v="10% every 5 years"/>
    <s v="2, 5yr"/>
    <n v="1575000"/>
    <n v="265.5986509274874"/>
    <n v="0.07214326349206349"/>
    <x v="439"/>
    <x v="296"/>
    <s v="M&amp;M: Biuso"/>
    <x v="406"/>
    <s v="Individual"/>
    <m/>
    <m/>
    <n v="1623223"/>
    <n v="0.07000001848174897"/>
    <n v="0.9702918206555723"/>
    <n v="1623223"/>
    <d v="1899-12-30T01:40:48"/>
    <n v="0.002143245010314515"/>
    <s v="No"/>
    <n v="44109"/>
    <n v="74"/>
  </r>
  <r>
    <s v="DaVita Dialysis"/>
    <s v="16767 S 80th Ave"/>
    <s v="Tinley Park"/>
    <s v="IL"/>
    <n v="2.35551"/>
    <n v="2016"/>
    <n v="6350"/>
    <m/>
    <s v=" "/>
    <m/>
    <s v=" "/>
    <m/>
    <m/>
    <m/>
    <n v="4600000"/>
    <n v="724.4094488188977"/>
    <s v=" "/>
    <x v="439"/>
    <x v="296"/>
    <s v="Colliers International"/>
    <x v="407"/>
    <s v="Individual"/>
    <s v="M&amp;M;"/>
    <m/>
    <m/>
    <s v=" "/>
    <s v=" "/>
    <m/>
    <s v=" "/>
    <s v=" "/>
    <s v=" "/>
    <m/>
    <s v=" "/>
  </r>
  <r>
    <s v="DaVita Dialysis"/>
    <s v="501 East Almond Ave"/>
    <s v="Madera"/>
    <s v="CA"/>
    <n v="2.2"/>
    <n v="2008"/>
    <n v="9154"/>
    <n v="158212"/>
    <n v="17.28337338868254"/>
    <d v="2023-06-30T00:00:00"/>
    <n v="2.534246575342466"/>
    <s v="NNN"/>
    <s v="2% annually"/>
    <s v="-"/>
    <n v="2965000"/>
    <n v="323.9021192921127"/>
    <n v="0.05335986509274874"/>
    <x v="440"/>
    <x v="545"/>
    <s v="Visintainer Group"/>
    <x v="408"/>
    <s v="Individual"/>
    <m/>
    <m/>
    <m/>
    <s v=" "/>
    <s v=" "/>
    <m/>
    <s v=" "/>
    <s v=" "/>
    <s v=" "/>
    <m/>
    <s v=" "/>
  </r>
  <r>
    <s v="Fresenius Medical Care"/>
    <s v="2678 Omro Road"/>
    <s v="Oshkosh"/>
    <s v="WI"/>
    <n v="2.11"/>
    <n v="2020"/>
    <n v="7243"/>
    <n v="167147"/>
    <n v="23.07703990059368"/>
    <d v="2034-11-30T00:00:00"/>
    <n v="13.96164383561644"/>
    <s v="NN"/>
    <s v="1.70% annually"/>
    <s v="3, 5yr"/>
    <n v="2932403"/>
    <n v="404.8602788899627"/>
    <n v="0.05700000988950018"/>
    <x v="440"/>
    <x v="114"/>
    <s v="SRS; Frank Rogers"/>
    <x v="64"/>
    <s v="Fund"/>
    <m/>
    <m/>
    <n v="3067000"/>
    <n v="0.05449853276817737"/>
    <n v="0.9561144440821649"/>
    <n v="3067000"/>
    <n v="0.05449853276817737"/>
    <n v="0.002501477121322808"/>
    <s v="No"/>
    <d v="2020-07-15T00:00:00"/>
    <n v="155"/>
  </r>
  <r>
    <s v="Davita Saginaw Dialysis"/>
    <s v="311 Hoyt Ave"/>
    <s v="Saginaw"/>
    <s v="MI"/>
    <n v="1"/>
    <n v="2012"/>
    <n v="5994"/>
    <m/>
    <s v=" "/>
    <m/>
    <s v=" "/>
    <m/>
    <m/>
    <m/>
    <n v="1873333.6"/>
    <n v="312.5348014681348"/>
    <s v=" "/>
    <x v="441"/>
    <x v="546"/>
    <s v="Capital Real Estate Group"/>
    <x v="291"/>
    <s v="Individual"/>
    <m/>
    <m/>
    <m/>
    <s v=" "/>
    <s v=" "/>
    <m/>
    <s v=" "/>
    <s v=" "/>
    <s v=" "/>
    <m/>
    <s v=" "/>
  </r>
  <r>
    <s v="Davita Partridge Creek at Home"/>
    <s v="46360 Gratiot Ave"/>
    <s v="New Baltimore"/>
    <s v="MI"/>
    <n v="1.480005"/>
    <n v="2000"/>
    <n v="10082"/>
    <m/>
    <s v=" "/>
    <m/>
    <s v=" "/>
    <m/>
    <m/>
    <m/>
    <n v="2196473.6"/>
    <n v="217.8609006149574"/>
    <s v=" "/>
    <x v="441"/>
    <x v="546"/>
    <s v="Capital Real Estate Group"/>
    <x v="291"/>
    <s v="Individual"/>
    <m/>
    <m/>
    <m/>
    <s v=" "/>
    <s v=" "/>
    <m/>
    <s v=" "/>
    <s v=" "/>
    <s v=" "/>
    <m/>
    <s v=" "/>
  </r>
  <r>
    <s v="DaVita Dialysis - MOB"/>
    <s v="4180 S Hospital Dr"/>
    <s v="East China"/>
    <s v="MI"/>
    <n v="3.3"/>
    <n v="2015"/>
    <n v="12174"/>
    <n v="191497.02"/>
    <n v="15.73"/>
    <d v="2035-08-30T00:00:00"/>
    <n v="14.71780821917808"/>
    <s v="NN"/>
    <s v="10% every 5"/>
    <s v="3, 5 yr"/>
    <n v="2302970.5"/>
    <n v="189.1712255626746"/>
    <n v="0.08315218106354381"/>
    <x v="441"/>
    <x v="546"/>
    <s v="Capital Real Estate Group"/>
    <x v="291"/>
    <s v="Individual"/>
    <m/>
    <m/>
    <m/>
    <s v=" "/>
    <s v=" "/>
    <m/>
    <s v=" "/>
    <s v=" "/>
    <s v=" "/>
    <m/>
    <s v=" "/>
  </r>
  <r>
    <s v="Davita Dialysis"/>
    <s v="Michigan USA"/>
    <s v="Boon"/>
    <s v="MI"/>
    <m/>
    <m/>
    <n v="27924"/>
    <m/>
    <s v=" "/>
    <m/>
    <s v=" "/>
    <m/>
    <m/>
    <m/>
    <n v="8727221.9"/>
    <n v="312.5348051855035"/>
    <s v=" "/>
    <x v="441"/>
    <x v="546"/>
    <s v="Capital Real Estate Group"/>
    <x v="291"/>
    <s v="Individual"/>
    <m/>
    <m/>
    <m/>
    <s v=" "/>
    <s v=" "/>
    <m/>
    <s v=" "/>
    <s v=" "/>
    <s v=" "/>
    <m/>
    <s v=" "/>
  </r>
  <r>
    <s v="Fresenius Medical Care"/>
    <s v="4122 Partnership Way"/>
    <s v="Locust Grove"/>
    <s v="VA"/>
    <n v="1.2"/>
    <n v="2013"/>
    <n v="8584"/>
    <n v="214942"/>
    <n v="25.03984156570364"/>
    <d v="2028-10-26T00:00:00"/>
    <n v="7.882191780821918"/>
    <s v="NN"/>
    <s v="1.7% annually"/>
    <s v="3, 5yr"/>
    <n v="3085000"/>
    <n v="359.3895619757689"/>
    <n v="0.06967325769854132"/>
    <x v="442"/>
    <x v="192"/>
    <m/>
    <x v="409"/>
    <s v="Individual"/>
    <s v="PG; Lesley"/>
    <m/>
    <n v="3184323"/>
    <n v="0.0675000620226026"/>
    <n v="0.9688087546395262"/>
    <n v="3184323"/>
    <n v="0.0675000620226026"/>
    <n v="0.002173195675938724"/>
    <s v="No"/>
    <d v="2020-09-10T00:00:00"/>
    <n v="91"/>
  </r>
  <r>
    <s v="DaVita Dialysis - MT"/>
    <s v="2400 Bellevue Rd"/>
    <s v="Dublin"/>
    <s v="GA"/>
    <n v="1.83"/>
    <n v="1970"/>
    <n v="5405"/>
    <m/>
    <s v=" "/>
    <m/>
    <s v=" "/>
    <m/>
    <m/>
    <m/>
    <n v="1825000"/>
    <n v="337.6503237742831"/>
    <s v=" "/>
    <x v="443"/>
    <x v="312"/>
    <s v="PH: Peranich &amp; Huffman"/>
    <x v="337"/>
    <s v="Individual"/>
    <s v="NAI; Adams"/>
    <m/>
    <m/>
    <s v=" "/>
    <s v=" "/>
    <m/>
    <s v=" "/>
    <s v=" "/>
    <s v=" "/>
    <m/>
    <s v=" "/>
  </r>
  <r>
    <s v="Fresenius Medical Care"/>
    <s v="3326 Centennial Blvd"/>
    <s v="Colorado Springs"/>
    <s v="CO"/>
    <n v="1.6"/>
    <n v="2019"/>
    <n v="7203"/>
    <n v="242388"/>
    <n v="33.65097875885048"/>
    <d v="2034-10-31T00:00:00"/>
    <n v="13.9041095890411"/>
    <s v="NNN"/>
    <s v="2.0% Annually"/>
    <s v="3, 5yr"/>
    <n v="4900000"/>
    <n v="680.2721088435375"/>
    <n v="0.04946693877551021"/>
    <x v="444"/>
    <x v="547"/>
    <s v="SJC; Vaughen "/>
    <x v="410"/>
    <s v="Individual"/>
    <m/>
    <m/>
    <n v="5103000"/>
    <n v="0.04749911816578483"/>
    <n v="0.9602194787379973"/>
    <n v="5103000"/>
    <n v="0.04749911816578483"/>
    <n v="0.001967820609725376"/>
    <s v="No"/>
    <d v="2020-07-15T00:00:00"/>
    <n v="146"/>
  </r>
  <r>
    <s v="DaVita Healthcare"/>
    <s v="1901 W 34th St"/>
    <s v="Houston"/>
    <s v="TX"/>
    <n v="1.032"/>
    <n v="2020"/>
    <n v="10103"/>
    <m/>
    <s v=" "/>
    <m/>
    <s v=" "/>
    <m/>
    <m/>
    <m/>
    <m/>
    <s v=" "/>
    <s v=" "/>
    <x v="445"/>
    <x v="548"/>
    <s v="M&amp;M;"/>
    <x v="411"/>
    <s v="Individual"/>
    <s v="M&amp;M;"/>
    <m/>
    <m/>
    <s v=" "/>
    <s v=" "/>
    <m/>
    <s v=" "/>
    <s v=" "/>
    <s v=" "/>
    <m/>
    <s v=" "/>
  </r>
  <r>
    <s v="DaVita Dialysis"/>
    <s v="2145 Highway 2565"/>
    <s v="Louisa"/>
    <s v="KY"/>
    <n v="0.8100000000000001"/>
    <n v="2011"/>
    <n v="6240"/>
    <n v="137280"/>
    <n v="22"/>
    <d v="2021-08-15T00:00:00"/>
    <n v="0.6958904109589041"/>
    <s v="NNN"/>
    <s v="10% every 5"/>
    <s v="3, 5yr"/>
    <n v="1425000"/>
    <n v="228.3653846153846"/>
    <n v="0.09633684210526315"/>
    <x v="445"/>
    <x v="549"/>
    <s v="SRS; Frank Rogers"/>
    <x v="412"/>
    <s v="Individual"/>
    <m/>
    <m/>
    <n v="1716000"/>
    <n v="0.08"/>
    <n v="0.8304195804195804"/>
    <n v="1650000"/>
    <n v="0.0832"/>
    <n v="0.01313684210526316"/>
    <s v="Yes"/>
    <d v="2019-04-19T00:00:00"/>
    <n v="595"/>
  </r>
  <r>
    <s v="Fresenius Medical Care"/>
    <s v="7770 Stockton Blvd"/>
    <s v="Sacramento"/>
    <s v="CA"/>
    <n v="1.59"/>
    <n v="2021"/>
    <n v="13070"/>
    <m/>
    <s v=" "/>
    <m/>
    <s v=" "/>
    <m/>
    <m/>
    <m/>
    <n v="6732500"/>
    <n v="515.1109410864575"/>
    <s v=" "/>
    <x v="446"/>
    <x v="192"/>
    <m/>
    <x v="121"/>
    <s v="Fund"/>
    <m/>
    <m/>
    <m/>
    <s v=" "/>
    <s v=" "/>
    <m/>
    <s v=" "/>
    <s v=" "/>
    <s v=" "/>
    <m/>
    <s v=" "/>
  </r>
  <r>
    <s v="2940 Ginnala Dr"/>
    <s v="2940 Ginnala Dr"/>
    <s v="Loveland"/>
    <s v="CO"/>
    <m/>
    <m/>
    <n v="6971"/>
    <m/>
    <s v=" "/>
    <m/>
    <s v=" "/>
    <m/>
    <m/>
    <m/>
    <n v="1925000"/>
    <n v="276.1440252474537"/>
    <s v=" "/>
    <x v="447"/>
    <x v="550"/>
    <s v="SVN®"/>
    <x v="413"/>
    <s v="Individual"/>
    <m/>
    <m/>
    <m/>
    <s v=" "/>
    <s v=" "/>
    <m/>
    <s v=" "/>
    <s v=" "/>
    <s v=" "/>
    <m/>
    <s v=" "/>
  </r>
  <r>
    <s v="Fresenius Medical Care"/>
    <s v="925 Exchange Pkwy"/>
    <s v="Allen"/>
    <s v="TX"/>
    <n v="0.92"/>
    <n v="2008"/>
    <n v="3304"/>
    <m/>
    <s v=" "/>
    <m/>
    <s v=" "/>
    <m/>
    <m/>
    <m/>
    <m/>
    <s v=" "/>
    <s v=" "/>
    <x v="448"/>
    <x v="499"/>
    <m/>
    <x v="265"/>
    <s v="REIT"/>
    <m/>
    <m/>
    <m/>
    <s v=" "/>
    <s v=" "/>
    <m/>
    <s v=" "/>
    <s v=" "/>
    <s v=" "/>
    <m/>
    <s v=" "/>
  </r>
  <r>
    <s v="DaVita Dialysis"/>
    <s v="771 Mulberry Avenue"/>
    <s v="Selmer"/>
    <s v="TN"/>
    <n v="1.95"/>
    <n v="2019"/>
    <n v="9441"/>
    <n v="198072"/>
    <n v="20.97998093422307"/>
    <d v="2034-11-08T00:00:00"/>
    <n v="13.96438356164384"/>
    <s v="NN"/>
    <s v="10% every 5 years"/>
    <s v="3, 5 year"/>
    <n v="3328941"/>
    <n v="352.6047028916428"/>
    <n v="0.05950000315415623"/>
    <x v="449"/>
    <x v="13"/>
    <m/>
    <x v="414"/>
    <s v="Individual"/>
    <m/>
    <m/>
    <n v="3505702"/>
    <n v="0.05649995350431954"/>
    <n v="0.9495790001546053"/>
    <n v="3505702"/>
    <n v="0.05649995350431954"/>
    <n v="0.003000049649836696"/>
    <s v="No"/>
    <m/>
    <s v=" "/>
  </r>
  <r>
    <s v="DaVita Dialysis"/>
    <s v="1007 E Kearney St"/>
    <s v="Springfield"/>
    <s v="MO"/>
    <n v="1"/>
    <n v="2012"/>
    <n v="6500"/>
    <n v="100750"/>
    <n v="15.5"/>
    <d v="2023-01-22T00:00:00"/>
    <n v="2.164383561643836"/>
    <s v="NN"/>
    <s v="10% every 5 years"/>
    <s v="2, 5yr"/>
    <n v="1250000"/>
    <n v="192.3076923076923"/>
    <n v="0.0806"/>
    <x v="450"/>
    <x v="551"/>
    <s v="M&amp;M; Gould"/>
    <x v="415"/>
    <s v="Individual"/>
    <m/>
    <m/>
    <n v="1250000"/>
    <n v="0.0806"/>
    <n v="1"/>
    <n v="1250000"/>
    <n v="0.0806"/>
    <n v="0"/>
    <s v="No"/>
    <d v="2020-01-17T00:00:00"/>
    <n v="311"/>
  </r>
  <r>
    <s v="Fresenius Medical Care"/>
    <s v="105 Chinquepin St"/>
    <s v="Port Gibson"/>
    <s v="MS"/>
    <m/>
    <m/>
    <n v="5210"/>
    <m/>
    <s v=" "/>
    <m/>
    <s v=" "/>
    <m/>
    <m/>
    <m/>
    <n v="1757281.5"/>
    <n v="337.2901151631478"/>
    <s v=" "/>
    <x v="451"/>
    <x v="552"/>
    <s v="C&amp;W; "/>
    <x v="229"/>
    <s v="REIT"/>
    <m/>
    <m/>
    <m/>
    <s v=" "/>
    <s v=" "/>
    <m/>
    <s v=" "/>
    <s v=" "/>
    <s v=" "/>
    <m/>
    <s v=" "/>
  </r>
  <r>
    <s v="Fresenius Medical Care"/>
    <s v="38 Waterworks Rd"/>
    <s v="Dadeville"/>
    <s v="AL"/>
    <n v="1.601561"/>
    <m/>
    <n v="6710"/>
    <m/>
    <s v=" "/>
    <m/>
    <s v=" "/>
    <m/>
    <m/>
    <m/>
    <n v="2327383.9"/>
    <n v="346.85304023845"/>
    <s v=" "/>
    <x v="451"/>
    <x v="552"/>
    <s v="C&amp;W; "/>
    <x v="229"/>
    <s v="REIT"/>
    <m/>
    <m/>
    <m/>
    <s v=" "/>
    <s v=" "/>
    <m/>
    <s v=" "/>
    <s v=" "/>
    <s v=" "/>
    <m/>
    <s v=" "/>
  </r>
  <r>
    <s v="Fresenius Medical Care"/>
    <s v="215 Walker Springs Rd"/>
    <s v="Jackson"/>
    <s v="AL"/>
    <m/>
    <m/>
    <n v="8795"/>
    <m/>
    <s v=" "/>
    <m/>
    <s v=" "/>
    <m/>
    <m/>
    <m/>
    <n v="3050572.5"/>
    <n v="346.8530415008528"/>
    <s v=" "/>
    <x v="451"/>
    <x v="552"/>
    <s v="C&amp;W; "/>
    <x v="229"/>
    <s v="REIT"/>
    <m/>
    <m/>
    <m/>
    <s v=" "/>
    <s v=" "/>
    <m/>
    <s v=" "/>
    <s v=" "/>
    <s v=" "/>
    <m/>
    <s v=" "/>
  </r>
  <r>
    <s v="Fresenius Medical Care"/>
    <s v="121 Old Hwy 15 Loop"/>
    <s v="Newton"/>
    <s v="MS"/>
    <n v="1.1"/>
    <m/>
    <n v="9520"/>
    <m/>
    <s v=" "/>
    <m/>
    <s v=" "/>
    <m/>
    <m/>
    <m/>
    <n v="3211001.8"/>
    <n v="337.2901050420168"/>
    <s v=" "/>
    <x v="451"/>
    <x v="552"/>
    <s v="C&amp;W; "/>
    <x v="229"/>
    <s v="REIT"/>
    <m/>
    <m/>
    <m/>
    <s v=" "/>
    <s v=" "/>
    <m/>
    <s v=" "/>
    <s v=" "/>
    <s v=" "/>
    <m/>
    <s v=" "/>
  </r>
  <r>
    <s v="Fresenius Medical Care"/>
    <s v="925 Exchange Pkwy"/>
    <s v="Allen"/>
    <s v="TX"/>
    <n v="0.92"/>
    <n v="2008"/>
    <n v="3304"/>
    <m/>
    <s v=" "/>
    <m/>
    <s v=" "/>
    <m/>
    <m/>
    <m/>
    <m/>
    <s v=" "/>
    <s v=" "/>
    <x v="452"/>
    <x v="192"/>
    <m/>
    <x v="193"/>
    <s v="Fund"/>
    <m/>
    <m/>
    <m/>
    <s v=" "/>
    <s v=" "/>
    <m/>
    <s v=" "/>
    <s v=" "/>
    <s v=" "/>
    <m/>
    <s v=" "/>
  </r>
  <r>
    <s v="DaVita Dialysis"/>
    <s v="8080 Limonite Ave"/>
    <s v="Jurupa Valley "/>
    <s v="CA"/>
    <n v="0.32"/>
    <n v="2015"/>
    <n v="9600"/>
    <n v="267525"/>
    <n v="27.8671875"/>
    <d v="2030-07-03T00:00:00"/>
    <n v="9.627397260273973"/>
    <s v="NN"/>
    <s v="10% every 5 years"/>
    <s v="2, 5yr"/>
    <n v="4980000"/>
    <n v="518.75"/>
    <n v="0.05371987951807229"/>
    <x v="452"/>
    <x v="553"/>
    <s v="LA; Asmamaw"/>
    <x v="416"/>
    <s v="Individual"/>
    <m/>
    <m/>
    <n v="5125000"/>
    <n v="0.0522"/>
    <m/>
    <n v="5125000"/>
    <n v="0.0522"/>
    <n v="0.001519879518072288"/>
    <s v="No"/>
    <d v="2019-11-07T00:00:00"/>
    <n v="377"/>
  </r>
  <r>
    <s v="DaVita Dialysis"/>
    <s v="1937 Salk Ave"/>
    <s v="Tavares"/>
    <s v="FL"/>
    <n v="0.84"/>
    <n v="2013"/>
    <n v="8832"/>
    <n v="139104"/>
    <n v="15.75"/>
    <d v="2030-10-30T00:00:00"/>
    <n v="9.956164383561644"/>
    <s v="NN"/>
    <s v="10% every 5 years"/>
    <s v="3, 5yr"/>
    <n v="2600075"/>
    <n v="294.3925498188406"/>
    <n v="0.05349999519244637"/>
    <x v="453"/>
    <x v="554"/>
    <s v="SJC; Briggs"/>
    <x v="417"/>
    <s v="Individual"/>
    <m/>
    <m/>
    <n v="2529164"/>
    <n v="0.05499999209224866"/>
    <n v="1.028037327749407"/>
    <n v="2529164"/>
    <n v="0.05499999209224866"/>
    <n v="-0.001499996899802292"/>
    <s v="No"/>
    <d v="2020-03-03T00:00:00"/>
    <n v="259"/>
  </r>
  <r>
    <s v="DaVita Dialysis"/>
    <s v="1644 Gateway Blvd"/>
    <s v="Murfreesboro"/>
    <s v="TN"/>
    <n v="1.76"/>
    <n v="2019"/>
    <n v="8000"/>
    <n v="289926"/>
    <n v="36.24075"/>
    <d v="2034-11-16T00:00:00"/>
    <n v="14.01643835616438"/>
    <s v="NN"/>
    <s v="10% every 5 years"/>
    <s v="3, 5yr"/>
    <n v="5657253"/>
    <n v="707.156625"/>
    <n v="0.05124854766085236"/>
    <x v="454"/>
    <x v="66"/>
    <s v="SJC; Briggs"/>
    <x v="418"/>
    <s v="Individual"/>
    <m/>
    <m/>
    <n v="5657253"/>
    <n v="0.05124854766085236"/>
    <n v="1"/>
    <n v="5857097"/>
    <n v="0.04949994852398722"/>
    <n v="0.001748599136865134"/>
    <s v="Yes"/>
    <d v="2019-10-29T00:00:00"/>
    <n v="381"/>
  </r>
  <r>
    <s v="DaVita Dialysis"/>
    <s v="6952 Industrial Parkway"/>
    <s v="Rosenberg"/>
    <s v="TX"/>
    <n v="0.86"/>
    <n v="2011"/>
    <n v="6000"/>
    <n v="241420"/>
    <n v="40.23666666666666"/>
    <d v="2023-09-30T00:00:00"/>
    <n v="2.879452054794521"/>
    <s v="Absolute NNN"/>
    <s v="2% annually"/>
    <s v="2, 5yr"/>
    <n v="2800000"/>
    <n v="466.6666666666667"/>
    <n v="0.08622142857142857"/>
    <x v="454"/>
    <x v="555"/>
    <s v="NLRP; Bonanno"/>
    <x v="419"/>
    <s v="Individual"/>
    <m/>
    <m/>
    <n v="3800000"/>
    <n v="0.06353157894736843"/>
    <n v="0.7368421052631579"/>
    <n v="3381000"/>
    <n v="0.07140490979000295"/>
    <n v="0.01481651878142562"/>
    <s v="Yes"/>
    <d v="2018-08-08T00:00:00"/>
    <n v="828"/>
  </r>
  <r>
    <s v="Fresenius Medical Care"/>
    <s v="8060 Summit Business Pkwy"/>
    <s v="Jonesboro"/>
    <s v="GA"/>
    <n v="1.54"/>
    <n v="2000"/>
    <n v="7800"/>
    <m/>
    <s v=" "/>
    <m/>
    <s v=" "/>
    <m/>
    <m/>
    <m/>
    <n v="4030000"/>
    <n v="516.6666666666666"/>
    <s v=" "/>
    <x v="455"/>
    <x v="192"/>
    <m/>
    <x v="193"/>
    <s v="Fund"/>
    <m/>
    <m/>
    <m/>
    <s v=" "/>
    <s v=" "/>
    <m/>
    <s v=" "/>
    <s v=" "/>
    <s v=" "/>
    <m/>
    <s v=" "/>
  </r>
  <r>
    <s v="DaVita Dialysis"/>
    <s v="228 S 29th St"/>
    <s v="Chickasha"/>
    <s v="OK"/>
    <n v="1.29"/>
    <n v="2005"/>
    <n v="3900"/>
    <n v="70041"/>
    <n v="17.95923076923077"/>
    <d v="2024-11-14T00:00:00"/>
    <n v="4.016438356164383"/>
    <s v="NN"/>
    <s v="10% every 5"/>
    <s v="3, 5yr"/>
    <n v="867500"/>
    <n v="222.4358974358974"/>
    <n v="0.08073890489913545"/>
    <x v="456"/>
    <x v="556"/>
    <s v="KW; Cook"/>
    <x v="420"/>
    <s v="Individual"/>
    <m/>
    <m/>
    <n v="933893"/>
    <n v="0.07499895598318009"/>
    <n v="0.9289072731030215"/>
    <n v="933893"/>
    <n v="0.07499895598318009"/>
    <n v="0.005739948915955362"/>
    <s v="No"/>
    <d v="2020-04-30T00:00:00"/>
    <n v="193"/>
  </r>
  <r>
    <s v="Fresenius Medical Care"/>
    <s v="1135 S Claremont Ave"/>
    <s v="Independence "/>
    <s v="MO"/>
    <n v="0.51"/>
    <n v="2017"/>
    <n v="6000"/>
    <n v="86954"/>
    <n v="14.49233333333333"/>
    <d v="2027-01-31T00:00:00"/>
    <n v="6.23013698630137"/>
    <s v="NN"/>
    <s v="Yes"/>
    <s v="1, 5 yr"/>
    <n v="1180000"/>
    <n v="196.6666666666667"/>
    <n v="0.07368983050847458"/>
    <x v="456"/>
    <x v="240"/>
    <s v="Landmark CRE; Lippitt"/>
    <x v="275"/>
    <s v="Individual"/>
    <m/>
    <m/>
    <n v="1242214"/>
    <n v="0.06999921108601255"/>
    <n v="0.9499168420256091"/>
    <n v="1242214"/>
    <n v="0.06999921108601255"/>
    <n v="0.00369061942246203"/>
    <s v="No"/>
    <d v="2020-09-01T00:00:00"/>
    <n v="69"/>
  </r>
  <r>
    <s v="Fresenius Medical Care"/>
    <s v="160 Country Club Dr"/>
    <s v="South San Francisco"/>
    <s v="CA"/>
    <n v="0.45913"/>
    <n v="2020"/>
    <n v="10814"/>
    <m/>
    <s v=" "/>
    <m/>
    <s v=" "/>
    <m/>
    <m/>
    <m/>
    <n v="12403776"/>
    <n v="1147.010911781025"/>
    <s v=" "/>
    <x v="457"/>
    <x v="557"/>
    <s v="C&amp;W; "/>
    <x v="144"/>
    <s v="Individual"/>
    <m/>
    <m/>
    <m/>
    <s v=" "/>
    <s v=" "/>
    <m/>
    <s v=" "/>
    <s v=" "/>
    <s v=" "/>
    <m/>
    <s v=" "/>
  </r>
  <r>
    <s v="DaVita - Multi Tenant"/>
    <s v="2214 Osborne St"/>
    <s v="Humboldt"/>
    <s v="TN"/>
    <n v="1.04"/>
    <n v="2006"/>
    <n v="9692"/>
    <n v="97185"/>
    <n v="10.02734213784565"/>
    <d v="2030-06-09T00:00:00"/>
    <n v="9.6"/>
    <s v="NNN"/>
    <s v="2% annually"/>
    <s v="2, 5yr"/>
    <n v="1220000"/>
    <n v="125.8770119686339"/>
    <n v="0.07965983606557377"/>
    <x v="457"/>
    <x v="558"/>
    <s v="Andrus &amp; Morgan; Morgan"/>
    <x v="421"/>
    <s v="Individual"/>
    <m/>
    <m/>
    <n v="1295799"/>
    <d v="1899-12-30T01:48:00"/>
    <n v="0.9415040449946327"/>
    <n v="1138000"/>
    <n v="0.08539982425307557"/>
    <n v="-0.005739988187501807"/>
    <s v="Yes"/>
    <n v="44007"/>
    <n v="132"/>
  </r>
  <r>
    <s v="Dialysis Clinic, Inc"/>
    <s v="5990 Warm Springs Road"/>
    <s v="Columbus"/>
    <s v="GA"/>
    <n v="1.46"/>
    <n v="2017"/>
    <n v="7705"/>
    <n v="184920"/>
    <n v="24"/>
    <d v="2039-12-31T00:00:00"/>
    <n v="19.18082191780822"/>
    <s v="NNN"/>
    <s v="5% every 5 years"/>
    <s v="2, 5yr"/>
    <n v="3030000"/>
    <n v="393.2511356262168"/>
    <n v="0.06102970297029703"/>
    <x v="458"/>
    <x v="504"/>
    <s v="Colliers; Patel"/>
    <x v="422"/>
    <s v="Individual"/>
    <m/>
    <m/>
    <n v="3216000"/>
    <n v="0.0575"/>
    <n v="0.9421641791044776"/>
    <n v="3216000"/>
    <n v="0.0575"/>
    <n v="0.003529702970297026"/>
    <s v="No"/>
    <d v="2020-03-04T00:00:00"/>
    <n v="240"/>
  </r>
  <r>
    <s v="DaVita Dialysis"/>
    <s v="2102 Vadalabene Dr"/>
    <s v="Maryville"/>
    <s v="IL"/>
    <n v="2"/>
    <n v="2011"/>
    <n v="8196"/>
    <n v="155396.16"/>
    <n v="18.96"/>
    <d v="2029-12-15T00:00:00"/>
    <n v="9.150684931506849"/>
    <s v="NN"/>
    <s v="10% every 5 years"/>
    <s v="3, 5 year"/>
    <n v="2437500"/>
    <n v="297.4011713030746"/>
    <n v="0.06375227076923078"/>
    <x v="459"/>
    <x v="559"/>
    <s v="SJC; Briggs"/>
    <x v="275"/>
    <s v="Individual"/>
    <m/>
    <m/>
    <n v="2547478"/>
    <n v="0.0610000007850902"/>
    <n v="0.9568286752623575"/>
    <n v="2547478"/>
    <n v="0.0610000007850902"/>
    <n v="0.002752269984140576"/>
    <s v="No"/>
    <d v="2019-05-30T00:00:00"/>
    <n v="512"/>
  </r>
  <r>
    <s v="DaVita Dialysis"/>
    <s v="102 Coyote Lane"/>
    <s v="Robersonville"/>
    <s v="NC"/>
    <n v="2.06"/>
    <n v="2019"/>
    <n v="8100"/>
    <n v="161271"/>
    <n v="19.91"/>
    <d v="2033-12-18T00:00:00"/>
    <n v="13.16986301369863"/>
    <s v="NN"/>
    <s v="10% every 5 years"/>
    <s v="3, 5yr"/>
    <n v="2710437"/>
    <n v="334.6218518518518"/>
    <n v="0.05949999944658371"/>
    <x v="460"/>
    <x v="66"/>
    <s v="SJC; Briggs"/>
    <x v="423"/>
    <s v="Individual"/>
    <s v="Matthews; Hoover"/>
    <m/>
    <n v="2804713"/>
    <n v="0.0575000008913568"/>
    <n v="0.9663865785911072"/>
    <n v="2804713"/>
    <n v="0.0575000008913568"/>
    <n v="0.001999998555226909"/>
    <s v="No"/>
    <d v="2019-08-05T00:00:00"/>
    <n v="442"/>
  </r>
  <r>
    <s v="DaVita Dialysis"/>
    <s v="1307 Cameron Street"/>
    <s v="Mercedes"/>
    <s v="TX"/>
    <n v="1.11"/>
    <n v="2018"/>
    <n v="8967"/>
    <n v="146141"/>
    <n v="16.29764692762351"/>
    <d v="2034-01-09T00:00:00"/>
    <n v="13.23013698630137"/>
    <s v="NN"/>
    <s v="10% every 5 years"/>
    <s v="3, 5yr"/>
    <n v="2456506"/>
    <n v="273.9495929519348"/>
    <n v="0.05949140771486005"/>
    <x v="460"/>
    <x v="66"/>
    <s v="SJC; Briggs"/>
    <x v="423"/>
    <s v="Individual"/>
    <s v="Matthews; Hoover"/>
    <m/>
    <n v="2541950"/>
    <n v="0.05749168945101202"/>
    <n v="0.9663864356104566"/>
    <n v="2541950"/>
    <n v="0.05749168945101202"/>
    <n v="0.001999718263848031"/>
    <s v="No"/>
    <d v="2019-07-11T00:00:00"/>
    <n v="467"/>
  </r>
  <r>
    <s v="DaVita Dialysis"/>
    <s v="213-221 Sterling Farm Dr"/>
    <s v="Jackson"/>
    <s v="TN"/>
    <n v="2.61"/>
    <n v="2009"/>
    <n v="18437"/>
    <n v="427000.0000000001"/>
    <n v="23.15995010034171"/>
    <d v="2026-01-31T00:00:00"/>
    <n v="5.284931506849315"/>
    <s v="NN"/>
    <s v="2% annually"/>
    <s v="2, 5yr"/>
    <n v="6100000"/>
    <n v="330.8564300048815"/>
    <n v="0.07000000000000001"/>
    <x v="460"/>
    <x v="73"/>
    <m/>
    <x v="349"/>
    <s v="REIT"/>
    <m/>
    <m/>
    <m/>
    <s v=" "/>
    <s v=" "/>
    <m/>
    <s v=" "/>
    <s v=" "/>
    <s v=" "/>
    <m/>
    <s v=" "/>
  </r>
  <r>
    <s v="DaVita Dialysis"/>
    <s v="1987 Candler Rd"/>
    <s v="Decatur"/>
    <s v="GA"/>
    <n v="2.11"/>
    <n v="1998"/>
    <n v="16270"/>
    <n v="327250.0000000001"/>
    <n v="20.11370620774432"/>
    <d v="2027-03-31T00:00:00"/>
    <n v="6.446575342465754"/>
    <s v="NN"/>
    <s v="CPI annually"/>
    <s v="2, 5 yr"/>
    <n v="4675000"/>
    <n v="287.338660110633"/>
    <n v="0.07000000000000001"/>
    <x v="460"/>
    <x v="73"/>
    <m/>
    <x v="349"/>
    <s v="REIT"/>
    <m/>
    <m/>
    <m/>
    <s v=" "/>
    <s v=" "/>
    <m/>
    <s v=" "/>
    <s v=" "/>
    <s v=" "/>
    <m/>
    <s v=" "/>
  </r>
  <r>
    <s v="DaVita Dialysis"/>
    <s v="2000 Waterside rd"/>
    <s v="Prince George"/>
    <s v="VA"/>
    <n v="2.644"/>
    <n v="2019"/>
    <n v="7200"/>
    <n v="144000"/>
    <n v="20"/>
    <m/>
    <s v=" "/>
    <m/>
    <m/>
    <m/>
    <n v="2213200"/>
    <n v="307.3888888888889"/>
    <n v="0.06506416049159588"/>
    <x v="461"/>
    <x v="13"/>
    <m/>
    <x v="424"/>
    <s v="Individual"/>
    <m/>
    <m/>
    <n v="2400000"/>
    <n v="0.06"/>
    <n v="0.9221666666666667"/>
    <m/>
    <s v=" "/>
    <s v=" "/>
    <s v=" "/>
    <d v="2020-04-29T00:00:00"/>
    <n v="169"/>
  </r>
  <r>
    <s v="Fresenius Medical Care"/>
    <s v="634 Tunica Dr W"/>
    <s v="Marksville"/>
    <s v="LA"/>
    <n v="1.55"/>
    <n v="2018"/>
    <n v="6630"/>
    <n v="164850"/>
    <n v="24.86425339366516"/>
    <d v="2033-12-31T00:00:00"/>
    <n v="13.22191780821918"/>
    <s v="NN"/>
    <s v="10% every 5 years"/>
    <s v="3, 5yr"/>
    <n v="2803059"/>
    <n v="422.7841628959276"/>
    <n v="0.05881074925643734"/>
    <x v="462"/>
    <x v="516"/>
    <s v="M&amp;M; Gould"/>
    <x v="269"/>
    <s v="Fund"/>
    <m/>
    <m/>
    <n v="2850000"/>
    <n v="0.0578421052631579"/>
    <n v="0.9835294736842105"/>
    <n v="2850000"/>
    <n v="0.0578421052631579"/>
    <n v="0.000968643993279443"/>
    <s v="No"/>
    <d v="2020-06-11T00:00:00"/>
    <n v="125"/>
  </r>
  <r>
    <s v="DaVita Dialysis"/>
    <s v="8275 Bruceville Road"/>
    <s v="Sacramento "/>
    <s v="CA"/>
    <n v="2.06"/>
    <n v="2019"/>
    <n v="14820"/>
    <n v="575000"/>
    <n v="38.79892037786774"/>
    <d v="2034-05-31T00:00:00"/>
    <n v="13.63835616438356"/>
    <s v="Absolute NNN"/>
    <s v="10% in 2029"/>
    <m/>
    <n v="10421666"/>
    <n v="703.2163292847504"/>
    <n v="0.05517352024138943"/>
    <x v="463"/>
    <x v="560"/>
    <s v="CSR; Hanhan"/>
    <x v="425"/>
    <s v="Fund"/>
    <m/>
    <m/>
    <n v="11500000"/>
    <n v="0.05"/>
    <n v="0.9062318260869565"/>
    <n v="11500000"/>
    <n v="0.05"/>
    <n v="0.005173520241389423"/>
    <s v="No"/>
    <d v="2020-03-10T00:00:00"/>
    <n v="217"/>
  </r>
  <r>
    <s v="DaVita Dialysis - Condo"/>
    <s v="2575-2597 Center Road "/>
    <s v="Hinckley"/>
    <s v="OH"/>
    <s v="-"/>
    <n v="2002"/>
    <n v="8640"/>
    <n v="72637"/>
    <n v="8.407060185185186"/>
    <d v="2024-08-31T00:00:00"/>
    <n v="3.895890410958904"/>
    <s v="NNN"/>
    <m/>
    <s v="2, 5yr"/>
    <n v="975000"/>
    <n v="112.8472222222222"/>
    <n v="0.07449948717948718"/>
    <x v="464"/>
    <x v="561"/>
    <m/>
    <x v="426"/>
    <s v="Individual"/>
    <m/>
    <m/>
    <n v="1118000"/>
    <n v="0.06497048300536673"/>
    <n v="0.8720930232558139"/>
    <n v="1118000"/>
    <n v="0.06497048300536673"/>
    <n v="0.009529004174120448"/>
    <s v="No"/>
    <d v="2020-01-15T00:00:00"/>
    <n v="268"/>
  </r>
  <r>
    <s v="American Renal"/>
    <s v="4775 N Green Bay Ave"/>
    <s v="Milwaukee "/>
    <s v="WI"/>
    <n v="0.75"/>
    <n v="1959"/>
    <n v="13287"/>
    <n v="81900"/>
    <n v="6.163919620681869"/>
    <d v="2025-03-31T00:00:00"/>
    <n v="4.487671232876712"/>
    <s v="NN"/>
    <s v="2% annually"/>
    <s v="1, 5yr"/>
    <n v="885000"/>
    <n v="66.60645743960262"/>
    <n v="0.09254237288135593"/>
    <x v="465"/>
    <x v="157"/>
    <s v="SJC; Wilkins"/>
    <x v="427"/>
    <s v="Fund"/>
    <m/>
    <m/>
    <n v="1096000"/>
    <n v="0.07472627737226277"/>
    <n v="0.8074817518248175"/>
    <n v="910000"/>
    <n v="0.09"/>
    <n v="0.002542372881355934"/>
    <s v="Yes"/>
    <d v="2019-10-03T00:00:00"/>
    <n v="368"/>
  </r>
  <r>
    <s v="Fresenius Medical Care"/>
    <s v="1720 Highway 97 E"/>
    <s v="Jourdanton"/>
    <s v="TX"/>
    <n v="2.64"/>
    <n v="2006"/>
    <n v="9535"/>
    <n v="157041"/>
    <n v="16.46995280545359"/>
    <d v="2027-01-31T00:00:00"/>
    <n v="6.326027397260274"/>
    <s v="NNN"/>
    <s v="Yes"/>
    <s v="2, 5yr"/>
    <n v="2449937"/>
    <n v="256.9414787624541"/>
    <n v="0.06410001563305505"/>
    <x v="465"/>
    <x v="562"/>
    <s v="Colliers; Lewkowitz"/>
    <x v="428"/>
    <s v="Individual"/>
    <m/>
    <m/>
    <n v="2448887"/>
    <n v="0.06412749955387896"/>
    <n v="1.000428766210936"/>
    <n v="2448887"/>
    <n v="0.06412749955387896"/>
    <n v="-2.748392082391193e-05"/>
    <s v="No"/>
    <d v="2020-07-09T00:00:00"/>
    <n v="88"/>
  </r>
  <r>
    <s v="DaVita Dialysis"/>
    <s v="11515 Market St"/>
    <s v="Jacinto City"/>
    <s v="TX"/>
    <n v="0.578191"/>
    <n v="2004"/>
    <n v="6115"/>
    <n v="131289.05"/>
    <n v="21.47"/>
    <d v="2029-09-30T00:00:00"/>
    <n v="9"/>
    <s v="NN"/>
    <s v="CPI annually"/>
    <s v="2, 5yr"/>
    <n v="2120000"/>
    <n v="346.6884709730172"/>
    <n v="0.06192879716981132"/>
    <x v="466"/>
    <x v="563"/>
    <s v="PH: Peranich &amp; Huffman"/>
    <x v="423"/>
    <s v="Individual"/>
    <s v="Matthews; Hoover"/>
    <m/>
    <n v="2170000"/>
    <n v="0.060501866359447"/>
    <n v="0.9769585253456221"/>
    <n v="2170000"/>
    <n v="0.060501866359447"/>
    <n v="0.001426930810364317"/>
    <s v="No"/>
    <d v="2020-05-15T00:00:00"/>
    <n v="140"/>
  </r>
  <r>
    <s v="DaVita Dialysis"/>
    <s v="11515 Market St"/>
    <s v="Houston"/>
    <s v="TX"/>
    <n v="0.58"/>
    <n v="2004"/>
    <n v="6115"/>
    <n v="131291"/>
    <n v="21.47031888798038"/>
    <d v="2029-09-30T00:00:00"/>
    <n v="9"/>
    <s v="Absolute NNN"/>
    <s v="1% annually; FMV at each option"/>
    <s v="2, 5yr"/>
    <n v="1375000"/>
    <n v="224.8569092395748"/>
    <n v="0.09548436363636363"/>
    <x v="466"/>
    <x v="564"/>
    <s v="PH: Peranich &amp; Huffman"/>
    <x v="429"/>
    <s v="Individual"/>
    <m/>
    <m/>
    <n v="2170000"/>
    <n v="0.06050276497695853"/>
    <n v="0.6336405529953917"/>
    <n v="2170000"/>
    <n v="0.06050276497695853"/>
    <n v="0.0349815986594051"/>
    <s v="No"/>
    <d v="2020-05-19T00:00:00"/>
    <n v="136"/>
  </r>
  <r>
    <s v="Fresenius Medical Care"/>
    <s v="179 SW Prosperity Pl"/>
    <s v="Lake City"/>
    <s v="FL"/>
    <n v="1.54"/>
    <n v="2015"/>
    <n v="10300"/>
    <n v="419122.1836245318"/>
    <n v="40.69147413830406"/>
    <d v="2029-09-30T00:00:00"/>
    <n v="9.002739726027396"/>
    <s v="NN"/>
    <s v="1.7% annually"/>
    <s v="3, 5yr"/>
    <n v="7355000"/>
    <n v="714.0776699029126"/>
    <n v="0.05698466126778134"/>
    <x v="467"/>
    <x v="248"/>
    <m/>
    <x v="430"/>
    <s v="Individual"/>
    <m/>
    <m/>
    <s v="-"/>
    <s v="-"/>
    <s v="-"/>
    <s v="-"/>
    <s v="-"/>
    <s v="-"/>
    <s v="-"/>
    <s v="-"/>
    <s v="-"/>
  </r>
  <r>
    <s v="DaVita Dialysis"/>
    <s v="300 Colorado Ave"/>
    <s v="East Wenatchee"/>
    <s v="WA"/>
    <n v="1.05"/>
    <n v="2009"/>
    <n v="8500"/>
    <n v="170000"/>
    <n v="20"/>
    <d v="2030-03-31T00:00:00"/>
    <n v="9.504109589041096"/>
    <s v="NNN"/>
    <s v="10% every 5 years"/>
    <s v="3, 5yr"/>
    <n v="2881356"/>
    <n v="338.9830588235294"/>
    <n v="0.05899999861176474"/>
    <x v="468"/>
    <x v="565"/>
    <m/>
    <x v="431"/>
    <s v="Individual"/>
    <m/>
    <m/>
    <n v="2833333"/>
    <n v="0.06000000705882436"/>
    <n v="1.016949296111682"/>
    <n v="2833333"/>
    <n v="0.06000000705882436"/>
    <n v="-0.001000008447059622"/>
    <s v="No"/>
    <d v="2020-06-16T00:00:00"/>
    <n v="106"/>
  </r>
  <r>
    <s v="Fresenius Medical Care"/>
    <s v="946 W 63rd St"/>
    <s v="Chicago"/>
    <s v="IL"/>
    <n v="0.775"/>
    <n v="2018"/>
    <n v="9920"/>
    <n v="304118"/>
    <n v="30.6570564516129"/>
    <d v="2034-05-31T00:00:00"/>
    <n v="13.67671232876712"/>
    <s v="NN"/>
    <s v="2% annually "/>
    <s v="3, 5yr"/>
    <n v="5335403"/>
    <n v="537.8430443548388"/>
    <n v="0.05700000543539073"/>
    <x v="469"/>
    <x v="566"/>
    <s v="Stream Capital; Geoffrion"/>
    <x v="432"/>
    <s v="Individual"/>
    <m/>
    <m/>
    <n v="5335403"/>
    <n v="0.05700000543539073"/>
    <n v="1"/>
    <n v="5075000"/>
    <n v="0.05992472906403941"/>
    <n v="-0.002924723628648679"/>
    <s v="Yes"/>
    <d v="2020-06-11T00:00:00"/>
    <n v="110"/>
  </r>
  <r>
    <s v="Fresenius Medical Care"/>
    <s v="1702 NC Highway 86 N"/>
    <s v="Yanceyville"/>
    <s v="NC"/>
    <n v="2"/>
    <n v="2020"/>
    <n v="7199"/>
    <n v="163252"/>
    <n v="22.67703847756633"/>
    <d v="2035-03-31T00:00:00"/>
    <n v="14.50958904109589"/>
    <s v="NN"/>
    <s v="10% every 5 years"/>
    <s v="3, 5yr"/>
    <n v="2675000"/>
    <n v="371.5793860258369"/>
    <n v="0.06102878504672897"/>
    <x v="469"/>
    <x v="520"/>
    <m/>
    <x v="433"/>
    <s v="Individual"/>
    <m/>
    <m/>
    <n v="2720875"/>
    <n v="0.05999981623558598"/>
    <n v="0.9831396150135526"/>
    <n v="2720875"/>
    <n v="0.05999981623558598"/>
    <n v="0.001028968811142991"/>
    <s v="No"/>
    <d v="2020-03-20T00:00:00"/>
    <n v="193"/>
  </r>
  <r>
    <s v="Fresenius Medical Care"/>
    <s v="946 63rd St"/>
    <s v="Downers Grove"/>
    <s v="IL"/>
    <n v="4.99"/>
    <n v="2018"/>
    <n v="9920"/>
    <n v="304117"/>
    <n v="30.65695564516129"/>
    <d v="2034-05-31T00:00:00"/>
    <n v="13.67671232876712"/>
    <s v="NN"/>
    <m/>
    <m/>
    <n v="5335403"/>
    <n v="537.8430443548388"/>
    <n v="0.05699981800812422"/>
    <x v="469"/>
    <x v="566"/>
    <s v="Stream Capital "/>
    <x v="0"/>
    <s v="Individual"/>
    <m/>
    <m/>
    <n v="5335403"/>
    <n v="0.05699981800812422"/>
    <n v="1"/>
    <n v="5335403"/>
    <n v="0.05699981800812422"/>
    <n v="0"/>
    <s v="No"/>
    <d v="2020-06-23T00:00:00"/>
    <n v="98"/>
  </r>
  <r>
    <s v="DaVita Dialysis"/>
    <s v="3710 FM 1889"/>
    <s v="Corpus Christi"/>
    <s v="TX"/>
    <m/>
    <n v="2019"/>
    <n v="10328"/>
    <n v="236717.76"/>
    <n v="22.92"/>
    <d v="2034-11-08T00:00:00"/>
    <n v="14.12876712328767"/>
    <s v="NN"/>
    <s v="10% every 5 years"/>
    <s v="3, 5yr"/>
    <n v="4265184"/>
    <n v="412.9728892331526"/>
    <n v="0.05550001125391073"/>
    <x v="470"/>
    <x v="66"/>
    <s v="SJC; Briggs"/>
    <x v="418"/>
    <s v="Individual"/>
    <m/>
    <m/>
    <n v="4424631"/>
    <n v="0.05350000033901132"/>
    <n v="0.9639637746062892"/>
    <n v="4424631"/>
    <n v="0.05350000033901132"/>
    <n v="0.00200001091489941"/>
    <s v="No"/>
    <d v="2020-06-04T00:00:00"/>
    <n v="113"/>
  </r>
  <r>
    <s v="Fresenius Medical Care"/>
    <s v="204 N Triangle Dr"/>
    <s v="Ponderay"/>
    <s v="ID"/>
    <n v="1"/>
    <n v="1989"/>
    <n v="7676"/>
    <n v="185520"/>
    <n v="24.16883793642522"/>
    <d v="2021-01-31T00:00:00"/>
    <n v="0.3534246575342466"/>
    <s v="NN"/>
    <s v="FMV at each option"/>
    <s v="3, 5yr"/>
    <m/>
    <s v=" "/>
    <s v=" "/>
    <x v="471"/>
    <x v="435"/>
    <m/>
    <x v="434"/>
    <s v="Individual"/>
    <m/>
    <m/>
    <n v="1200000"/>
    <n v="0.1546"/>
    <s v=" "/>
    <n v="800000"/>
    <n v="0.2319"/>
    <s v=" "/>
    <s v="Yes"/>
    <d v="2019-04-03T00:00:00"/>
    <n v="540"/>
  </r>
  <r>
    <s v="U.S. Renal Care"/>
    <s v="8041 Spyglass Hill Rd"/>
    <s v="Viera, Melbourne"/>
    <s v="FL"/>
    <n v="0.4"/>
    <n v="2006"/>
    <n v="7000"/>
    <m/>
    <s v=" "/>
    <m/>
    <s v=" "/>
    <m/>
    <m/>
    <m/>
    <n v="2709000"/>
    <n v="387"/>
    <s v=" "/>
    <x v="472"/>
    <x v="567"/>
    <s v="Colliers International"/>
    <x v="188"/>
    <s v="Fund"/>
    <s v="KPI Brokers"/>
    <m/>
    <m/>
    <s v=" "/>
    <s v=" "/>
    <m/>
    <s v=" "/>
    <s v=" "/>
    <s v=" "/>
    <m/>
    <s v=" "/>
  </r>
  <r>
    <s v="Davita Dialysis"/>
    <s v="3524 NE Sandy Blvd"/>
    <s v="Portland"/>
    <s v="OR"/>
    <n v="0.7919421"/>
    <n v="2016"/>
    <n v="8160"/>
    <n v="259700"/>
    <n v="31.82598039215686"/>
    <m/>
    <s v=" "/>
    <m/>
    <m/>
    <m/>
    <n v="5300000"/>
    <n v="649.5098039215686"/>
    <n v="0.049"/>
    <x v="472"/>
    <x v="568"/>
    <m/>
    <x v="435"/>
    <s v="Individual"/>
    <m/>
    <m/>
    <m/>
    <s v=" "/>
    <s v=" "/>
    <m/>
    <s v=" "/>
    <s v=" "/>
    <s v=" "/>
    <m/>
    <s v=" "/>
  </r>
  <r>
    <s v="Fresenius Medical Care"/>
    <s v="6600 W Rio Grande Ave"/>
    <s v="Kennewick"/>
    <s v="WA"/>
    <n v="1.29"/>
    <n v="2017"/>
    <n v="11000"/>
    <n v="350199"/>
    <n v="31.83627272727273"/>
    <d v="2032-04-30T00:00:00"/>
    <n v="11.61369863013699"/>
    <s v="NNN"/>
    <s v="2% annually"/>
    <s v="3, 5yr"/>
    <n v="6676923"/>
    <n v="606.9930000000001"/>
    <n v="0.0524491595904281"/>
    <x v="473"/>
    <x v="569"/>
    <s v="Mayer; NRG"/>
    <x v="436"/>
    <s v="Individual"/>
    <m/>
    <s v="Paul Bedhora"/>
    <n v="6370000"/>
    <n v="0.05497629513343799"/>
    <n v="1.048182574568289"/>
    <n v="6370000"/>
    <n v="0.05497629513343799"/>
    <n v="-0.002527135543009887"/>
    <s v="No"/>
    <d v="2020-07-02T00:00:00"/>
    <n v="81"/>
  </r>
  <r>
    <s v="DaVita Dialysis"/>
    <s v="1220 Siloam Rd "/>
    <s v="Greensboro "/>
    <s v="GA"/>
    <n v="1.16"/>
    <n v="1997"/>
    <n v="4929"/>
    <n v="54076"/>
    <n v="10.97098803002637"/>
    <d v="2022-11-30T00:00:00"/>
    <n v="2.2"/>
    <s v="NN"/>
    <s v="2% annually"/>
    <s v="3, 5yr"/>
    <m/>
    <s v=" "/>
    <s v=" "/>
    <x v="474"/>
    <x v="570"/>
    <s v="Stephen Harper"/>
    <x v="0"/>
    <s v="Individual"/>
    <m/>
    <m/>
    <n v="569228"/>
    <n v="0.0949988405348999"/>
    <s v=" "/>
    <n v="569228"/>
    <n v="0.0949988405348999"/>
    <s v=" "/>
    <s v="No"/>
    <d v="2020-08-24T00:00:00"/>
    <n v="25"/>
  </r>
  <r>
    <s v="DaVita Dialysis"/>
    <s v="3683 Ohio River Road"/>
    <s v="Point Pleasant"/>
    <s v="WV"/>
    <n v="1.21"/>
    <n v="2011"/>
    <n v="6000"/>
    <n v="87033"/>
    <n v="14.5055"/>
    <d v="2021-09-15T00:00:00"/>
    <n v="0.9972602739726028"/>
    <s v="NNN"/>
    <s v="10% every 5 years"/>
    <s v="3, 5yr"/>
    <n v="1235000"/>
    <n v="205.8333333333333"/>
    <n v="0.07047206477732794"/>
    <x v="475"/>
    <x v="571"/>
    <s v="SRS; Frank Rogers"/>
    <x v="0"/>
    <s v="Individual"/>
    <m/>
    <m/>
    <n v="1460000"/>
    <n v="0.05961164383561644"/>
    <n v="0.8458904109589042"/>
    <n v="1299000"/>
    <n v="0.067"/>
    <n v="0.003472064777327935"/>
    <s v="Yes"/>
    <d v="2019-04-19T00:00:00"/>
    <n v="516"/>
  </r>
  <r>
    <s v="Fresenius Medical Care"/>
    <s v="214 Dawson Road"/>
    <s v="Columbia "/>
    <s v="SC"/>
    <n v="3.23"/>
    <n v="2019"/>
    <n v="7481"/>
    <n v="172886"/>
    <n v="23.11001203047721"/>
    <d v="2034-07-31T00:00:00"/>
    <n v="13.88219178082192"/>
    <s v="NNN"/>
    <s v="10% every 5 years"/>
    <s v="3, 5yr"/>
    <n v="2846459"/>
    <n v="380.4917791739072"/>
    <n v="0.06073721771506282"/>
    <x v="476"/>
    <x v="572"/>
    <s v="Furman; Couchell"/>
    <x v="64"/>
    <s v="Fund"/>
    <m/>
    <m/>
    <n v="3007000"/>
    <n v="0.0574945128034586"/>
    <n v="0.9466109078816096"/>
    <n v="3007000"/>
    <n v="0.0574945128034586"/>
    <n v="0.003242704911604222"/>
    <s v="No"/>
    <d v="2020-06-01T00:00:00"/>
    <n v="106"/>
  </r>
  <r>
    <s v="Fresenius Medical Care"/>
    <s v="3107 Edgewood Ave W"/>
    <s v="Jacksonville"/>
    <s v="FL"/>
    <n v="1.637"/>
    <n v="2016"/>
    <n v="8315"/>
    <n v="353196"/>
    <n v="42.47696933253157"/>
    <d v="2031-09-09T00:00:00"/>
    <n v="11"/>
    <s v="NNN"/>
    <s v="1.7% annually"/>
    <s v="3, 5yr"/>
    <n v="5361134"/>
    <n v="644.7545399879735"/>
    <n v="0.0658808378973553"/>
    <x v="477"/>
    <x v="13"/>
    <s v="KW Commercial; Rogers"/>
    <x v="0"/>
    <s v="Individual"/>
    <m/>
    <m/>
    <n v="6050000"/>
    <n v="0.05837950413223141"/>
    <n v="0.8861378512396694"/>
    <n v="6050000"/>
    <n v="0.05837950413223141"/>
    <n v="0.007501333765123894"/>
    <s v="No"/>
    <d v="2020-02-11T00:00:00"/>
    <n v="213"/>
  </r>
  <r>
    <s v="DaVita Dialysis"/>
    <s v="4223 E Anaheim St"/>
    <s v="Long Beach"/>
    <s v="CA"/>
    <n v="0.72"/>
    <n v="2020"/>
    <n v="11747"/>
    <n v="496311"/>
    <n v="42.25002128202946"/>
    <d v="2035-03-01T00:00:00"/>
    <n v="14.48493150684932"/>
    <s v="NN"/>
    <s v="2.5% annually"/>
    <s v="3, 5yr"/>
    <n v="10560000"/>
    <n v="898.952924150847"/>
    <n v="0.04699914772727273"/>
    <x v="478"/>
    <x v="5"/>
    <s v="Colliers; Patel"/>
    <x v="437"/>
    <s v="Individual"/>
    <m/>
    <m/>
    <n v="11029133"/>
    <n v="0.04500000136003438"/>
    <n v="0.9574641995884898"/>
    <n v="11029133"/>
    <n v="0.04500000136003438"/>
    <n v="0.001999146367238351"/>
    <s v="No"/>
    <d v="2020-05-20T00:00:00"/>
    <n v="111"/>
  </r>
  <r>
    <s v="DaVita Dialysis"/>
    <s v="1705 Grove Street"/>
    <s v="Columbia"/>
    <s v="TN"/>
    <n v="0.61"/>
    <n v="1988"/>
    <n v="4968"/>
    <m/>
    <s v=" "/>
    <d v="2031-11-29T00:00:00"/>
    <n v="11.26027397260274"/>
    <s v="NNN"/>
    <s v="10% every 5 years"/>
    <s v="2, 5yr"/>
    <n v="1373268"/>
    <n v="276.4227053140096"/>
    <s v=" "/>
    <x v="479"/>
    <x v="13"/>
    <m/>
    <x v="438"/>
    <s v="Individual"/>
    <m/>
    <m/>
    <n v="1373268"/>
    <s v=" "/>
    <n v="1"/>
    <n v="1373268"/>
    <s v=" "/>
    <s v=" "/>
    <s v="No"/>
    <d v="2019-12-06T00:00:00"/>
    <n v="266"/>
  </r>
  <r>
    <s v="DaVita Dialysis"/>
    <s v="1059 SE 82nd St"/>
    <s v="Oklahoma City"/>
    <s v="OK"/>
    <n v="0.76"/>
    <n v="2009"/>
    <n v="7000"/>
    <n v="142240"/>
    <n v="20.32"/>
    <d v="2021-11-30T00:00:00"/>
    <n v="1.257534246575343"/>
    <s v="NN"/>
    <s v="10% every 5"/>
    <s v="3, 5 yr"/>
    <n v="1665000"/>
    <n v="237.8571428571429"/>
    <n v="0.08542942942942942"/>
    <x v="479"/>
    <x v="573"/>
    <s v="PH: Peranich &amp; Huffman"/>
    <x v="439"/>
    <s v="Individual"/>
    <m/>
    <m/>
    <n v="1915500"/>
    <n v="0.07425737405377186"/>
    <n v="0.8692247454972593"/>
    <m/>
    <s v=" "/>
    <s v=" "/>
    <s v=" "/>
    <m/>
    <s v=" "/>
  </r>
  <r>
    <s v="Fresenius Medical Care"/>
    <s v="351 Birch St"/>
    <s v="Calexico"/>
    <s v="CA"/>
    <n v="1.54"/>
    <n v="2013"/>
    <n v="11553"/>
    <m/>
    <s v=" "/>
    <d v="2028-05-30T00:00:00"/>
    <n v="7.761643835616439"/>
    <s v="NN"/>
    <s v="1.7% annually"/>
    <s v="3, 5yr"/>
    <m/>
    <s v=" "/>
    <s v=" "/>
    <x v="480"/>
    <x v="574"/>
    <m/>
    <x v="440"/>
    <s v="Individual"/>
    <m/>
    <s v="MDG Development"/>
    <m/>
    <s v=" "/>
    <s v=" "/>
    <m/>
    <s v=" "/>
    <s v=" "/>
    <s v=" "/>
    <m/>
    <s v=" "/>
  </r>
  <r>
    <s v="DaVita Dialysis"/>
    <s v="38454 5th Street"/>
    <s v="Palmdale"/>
    <s v="CA"/>
    <n v="1.46"/>
    <n v="2016"/>
    <n v="13750"/>
    <n v="383497"/>
    <n v="27.89069090909091"/>
    <d v="2031-05-31T00:00:00"/>
    <n v="10.76438356164384"/>
    <s v="NN"/>
    <s v="10% every 5"/>
    <s v="2, 5yr"/>
    <n v="6669000"/>
    <n v="485.0181818181818"/>
    <n v="0.05750442345179187"/>
    <x v="480"/>
    <x v="575"/>
    <s v="CBRE; Martin"/>
    <x v="441"/>
    <s v="Individual"/>
    <m/>
    <m/>
    <n v="7669940"/>
    <n v="0.05"/>
    <n v="0.8694983272359367"/>
    <n v="7669940"/>
    <n v="0.05"/>
    <n v="0.007504423451791871"/>
    <s v="No"/>
    <d v="2020-02-25T00:00:00"/>
    <n v="184"/>
  </r>
  <r>
    <s v="DaVita Dialysis"/>
    <s v="2295 Flamingo Drive"/>
    <s v="Bartow"/>
    <s v="FL"/>
    <n v="1.58"/>
    <n v="2019"/>
    <n v="6493"/>
    <n v="151286.9"/>
    <n v="23.3"/>
    <d v="2034-08-24T00:00:00"/>
    <n v="14.00547945205479"/>
    <s v="NN"/>
    <s v="10% every 5 years"/>
    <s v="3, 5yr"/>
    <n v="2801276"/>
    <n v="431.430155552133"/>
    <n v="0.05400642421525047"/>
    <x v="481"/>
    <x v="66"/>
    <s v="SJC; Briggs"/>
    <x v="442"/>
    <s v="Individual"/>
    <m/>
    <m/>
    <n v="2881655"/>
    <n v="0.05250000433778505"/>
    <n v="0.9721066539887668"/>
    <n v="2881655"/>
    <n v="0.05250000433778505"/>
    <n v="0.001506419877465422"/>
    <s v="No"/>
    <d v="2020-04-09T00:00:00"/>
    <n v="138"/>
  </r>
  <r>
    <s v="Fresenius Medical Care"/>
    <s v="9540 Pkwy E"/>
    <s v="Birmingham"/>
    <s v="AL"/>
    <n v="1.32"/>
    <n v="1979"/>
    <n v="9943"/>
    <m/>
    <s v=" "/>
    <d v="2026-01-31T00:00:00"/>
    <n v="5.441095890410959"/>
    <s v="NNN"/>
    <s v="10% every 5 years"/>
    <s v="3, 5yr"/>
    <n v="1150000"/>
    <n v="115.6592577692849"/>
    <s v=" "/>
    <x v="482"/>
    <x v="576"/>
    <s v="M&amp;M;"/>
    <x v="370"/>
    <s v="Fund"/>
    <s v="M&amp;M;"/>
    <m/>
    <m/>
    <s v=" "/>
    <s v=" "/>
    <m/>
    <s v=" "/>
    <s v=" "/>
    <s v=" "/>
    <m/>
    <s v=" "/>
  </r>
  <r>
    <s v="Fresenius Medical Care"/>
    <s v="6020 Enterprise Pkwy"/>
    <s v="Solon"/>
    <s v="OH"/>
    <n v="1.5"/>
    <n v="1995"/>
    <n v="8340"/>
    <n v="135035"/>
    <n v="16.19124700239808"/>
    <d v="2026-11-11T00:00:00"/>
    <n v="6.219178082191781"/>
    <s v="NN"/>
    <s v="3% annually"/>
    <s v="2, 5yr"/>
    <n v="1800000"/>
    <n v="215.8273381294964"/>
    <n v="0.07501944444444444"/>
    <x v="482"/>
    <x v="577"/>
    <m/>
    <x v="370"/>
    <s v="Fund"/>
    <m/>
    <m/>
    <n v="2408000"/>
    <n v="0.05607765780730897"/>
    <n v="0.7475083056478405"/>
    <n v="2408000"/>
    <n v="0.05607765780730897"/>
    <n v="0.01894178663713547"/>
    <s v="No"/>
    <m/>
    <s v=" "/>
  </r>
  <r>
    <s v="Fresenius Medical Care"/>
    <s v="5320 W 12th St"/>
    <s v="Little Rock"/>
    <s v="AR"/>
    <n v="0.9600092"/>
    <m/>
    <n v="7125"/>
    <m/>
    <s v=" "/>
    <m/>
    <s v=" "/>
    <m/>
    <m/>
    <m/>
    <n v="1200000"/>
    <n v="168.421052631579"/>
    <s v=" "/>
    <x v="482"/>
    <x v="576"/>
    <s v="M&amp;M;"/>
    <x v="370"/>
    <s v="Fund"/>
    <s v="M&amp;M;"/>
    <m/>
    <m/>
    <s v=" "/>
    <s v=" "/>
    <m/>
    <s v=" "/>
    <s v=" "/>
    <s v=" "/>
    <m/>
    <s v=" "/>
  </r>
  <r>
    <s v="Fresenius Medical Care"/>
    <s v="2125 Adams Grove Rd"/>
    <s v="Columbia"/>
    <s v="SC"/>
    <n v="1.41"/>
    <n v="1999"/>
    <n v="10520"/>
    <n v="187022"/>
    <n v="17.77775665399239"/>
    <d v="2029-12-31T00:00:00"/>
    <n v="9.358904109589041"/>
    <s v="NN"/>
    <s v="1.25% annually"/>
    <s v="2, 5yr"/>
    <n v="2450000"/>
    <n v="232.8897338403042"/>
    <n v="0.07633551020408164"/>
    <x v="482"/>
    <x v="576"/>
    <s v="M&amp;M;"/>
    <x v="370"/>
    <s v="Fund"/>
    <s v="M&amp;M;"/>
    <m/>
    <m/>
    <s v=" "/>
    <s v=" "/>
    <m/>
    <s v=" "/>
    <s v=" "/>
    <s v=" "/>
    <m/>
    <s v=" "/>
  </r>
  <r>
    <s v="Fresenius Medical Care"/>
    <s v="2601 S Harlem Ave"/>
    <s v="Berwyn"/>
    <s v="IL"/>
    <n v="0.93"/>
    <n v="1962"/>
    <n v="11918"/>
    <n v="268650"/>
    <n v="22.54153381439839"/>
    <d v="2025-10-31T00:00:00"/>
    <n v="5.189041095890411"/>
    <s v="NN"/>
    <s v="2.5% annually"/>
    <s v="2, 5yr"/>
    <n v="3980000"/>
    <n v="333.9486491021984"/>
    <n v="0.0675"/>
    <x v="482"/>
    <x v="576"/>
    <s v="M&amp;M;"/>
    <x v="370"/>
    <s v="Fund"/>
    <s v="M&amp;M;"/>
    <m/>
    <m/>
    <s v=" "/>
    <s v=" "/>
    <m/>
    <s v=" "/>
    <s v=" "/>
    <s v=" "/>
    <m/>
    <s v=" "/>
  </r>
  <r>
    <s v="BlueRoad US Single Tenant Portfolio 2020"/>
    <s v="5 of 27 properties"/>
    <m/>
    <m/>
    <m/>
    <m/>
    <n v="373128"/>
    <m/>
    <s v=" "/>
    <m/>
    <s v=" "/>
    <m/>
    <m/>
    <m/>
    <m/>
    <s v=" "/>
    <s v=" "/>
    <x v="482"/>
    <x v="576"/>
    <s v="M&amp;M;"/>
    <x v="370"/>
    <s v="Fund"/>
    <s v="M&amp;M;"/>
    <m/>
    <m/>
    <s v=" "/>
    <s v=" "/>
    <m/>
    <s v=" "/>
    <s v=" "/>
    <s v=" "/>
    <m/>
    <s v=" "/>
  </r>
  <r>
    <s v="Fresenius Medical Care"/>
    <s v="2601 S Harlem Ave"/>
    <s v="Berwyn"/>
    <s v="IL"/>
    <n v="0.93"/>
    <n v="1962"/>
    <n v="11918"/>
    <n v="268888"/>
    <n v="22.56150360798792"/>
    <d v="2025-10-31T00:00:00"/>
    <n v="5.189041095890411"/>
    <s v="NN"/>
    <s v="2.5% annually"/>
    <s v="2, 5yr"/>
    <n v="3918163"/>
    <n v="328.7601107568384"/>
    <n v="0.06862603725266152"/>
    <x v="482"/>
    <x v="13"/>
    <m/>
    <x v="0"/>
    <s v="Individual"/>
    <m/>
    <m/>
    <n v="3879800"/>
    <n v="0.06930460333006856"/>
    <n v="1.009887880818599"/>
    <n v="3879800"/>
    <n v="0.06930460333006856"/>
    <n v="-0.0006785660774070446"/>
    <s v="No"/>
    <d v="2019-10-05T00:00:00"/>
    <n v="324"/>
  </r>
  <r>
    <s v="Fresenius Medical Care"/>
    <s v="125 Kinard St"/>
    <s v="Orangeburg"/>
    <s v="SC"/>
    <n v="1.4"/>
    <n v="2018"/>
    <n v="5237"/>
    <n v="200525"/>
    <n v="38.29005155623449"/>
    <d v="2033-02-19T00:00:00"/>
    <n v="12.50958904109589"/>
    <s v="NN"/>
    <s v="10% every 5 years"/>
    <s v="3, 5yr"/>
    <n v="3085000"/>
    <n v="589.0777162497614"/>
    <n v="0.065"/>
    <x v="483"/>
    <x v="578"/>
    <s v="NAI; Schmidt"/>
    <x v="443"/>
    <s v="Fund"/>
    <m/>
    <m/>
    <n v="3120000"/>
    <n v="0.06427083333333333"/>
    <n v="0.9887820512820513"/>
    <n v="3071000"/>
    <n v="0.06529632041680235"/>
    <n v="-0.0002963204168023453"/>
    <s v="Yes"/>
    <d v="2019-03-22T00:00:00"/>
    <n v="517"/>
  </r>
  <r>
    <s v="Fresenius Medical Care"/>
    <s v="5301 Hwy 321 "/>
    <s v="Gaston"/>
    <s v="SC"/>
    <n v="2.46"/>
    <n v="2019"/>
    <n v="7355"/>
    <n v="172607"/>
    <n v="23.46798096532971"/>
    <d v="2034-06-30T00:00:00"/>
    <n v="13.86849315068493"/>
    <s v="NNN"/>
    <s v="10% every 5 years"/>
    <s v="3, 5yr"/>
    <n v="2918000"/>
    <n v="396.736913664174"/>
    <n v="0.0591525017135024"/>
    <x v="483"/>
    <x v="572"/>
    <s v="Furman; Couchell"/>
    <x v="443"/>
    <s v="Fund"/>
    <m/>
    <m/>
    <n v="2877000"/>
    <n v="0.05999548140424053"/>
    <n v="1.014250955856795"/>
    <n v="2877000"/>
    <n v="0.05999548140424053"/>
    <n v="-0.0008429796907381271"/>
    <s v="No"/>
    <d v="2020-06-01T00:00:00"/>
    <n v="80"/>
  </r>
  <r>
    <s v="DaVita Dialysis"/>
    <s v="6655 N Milburn Ave"/>
    <s v="Fresno"/>
    <s v="CA"/>
    <n v="0.52"/>
    <n v="2015"/>
    <n v="6150"/>
    <n v="154330"/>
    <n v="25.09430894308943"/>
    <d v="2030-06-30T00:00:00"/>
    <n v="9.865753424657534"/>
    <s v="-"/>
    <s v="-"/>
    <s v="2, 5yr"/>
    <n v="2800000"/>
    <n v="455.2845528455285"/>
    <n v="0.05511785714285714"/>
    <x v="483"/>
    <x v="579"/>
    <s v="CBRE; Post "/>
    <x v="444"/>
    <s v="Individual"/>
    <m/>
    <m/>
    <n v="2781000"/>
    <n v="0.05549442646530025"/>
    <n v="1.00683207479324"/>
    <n v="2781000"/>
    <n v="0.05549442646530025"/>
    <n v="-0.0003765693224431071"/>
    <s v="No"/>
    <d v="2020-06-16T00:00:00"/>
    <n v="65"/>
  </r>
  <r>
    <s v="DaVita Dialysis"/>
    <s v="2410 South Adams "/>
    <s v="Tallahassee"/>
    <s v="FL"/>
    <n v="1.2"/>
    <n v="1999"/>
    <n v="6500"/>
    <n v="141180"/>
    <n v="21.72"/>
    <d v="2029-08-17T00:00:00"/>
    <n v="9.002739726027396"/>
    <s v="NN"/>
    <s v="2% annually"/>
    <s v="3, 5yr"/>
    <n v="1986700"/>
    <n v="305.6461538461538"/>
    <n v="0.07106256606432777"/>
    <x v="484"/>
    <x v="580"/>
    <s v="PH: Peranich &amp; Huffman"/>
    <x v="445"/>
    <s v="Individual"/>
    <m/>
    <m/>
    <n v="2245700"/>
    <n v="0.06286681212984815"/>
    <n v="0.8846684775348443"/>
    <n v="2245700"/>
    <n v="0.06286681212984815"/>
    <n v="0.008195753934479619"/>
    <s v="No"/>
    <d v="2019-10-21T00:00:00"/>
    <n v="302"/>
  </r>
  <r>
    <s v="DaVita Dialysis"/>
    <s v="501 Walnut Way"/>
    <s v="Fairburn-Palmetto"/>
    <s v="GA"/>
    <n v="1.62"/>
    <n v="2019"/>
    <n v="6928"/>
    <n v="185760"/>
    <n v="26.81293302540416"/>
    <d v="2034-08-15T00:00:00"/>
    <n v="14.01095890410959"/>
    <s v="NN"/>
    <s v="10% every 5 years"/>
    <s v="3, 5yr"/>
    <n v="3287803"/>
    <n v="474.5674076212471"/>
    <n v="0.05649973553768276"/>
    <x v="485"/>
    <x v="66"/>
    <s v="SJC; Briggs"/>
    <x v="446"/>
    <s v="Individual"/>
    <m/>
    <m/>
    <n v="3440016"/>
    <n v="0.05399974883837749"/>
    <n v="0.9557522406872526"/>
    <n v="3440016"/>
    <n v="0.05399974883837749"/>
    <n v="0.002499986699305269"/>
    <s v="No"/>
    <d v="2020-01-09T00:00:00"/>
    <n v="218"/>
  </r>
  <r>
    <s v="Stateline 94 Corporate Park (Building E)"/>
    <s v="11900 122nd St"/>
    <s v="Bristol"/>
    <s v="WI"/>
    <n v="48.6"/>
    <n v="2020"/>
    <n v="590525"/>
    <m/>
    <s v=" "/>
    <m/>
    <s v=" "/>
    <m/>
    <m/>
    <m/>
    <n v="54600000"/>
    <n v="92.46009906439185"/>
    <s v=" "/>
    <x v="486"/>
    <x v="581"/>
    <s v="CBRE"/>
    <x v="447"/>
    <s v="Individual"/>
    <m/>
    <m/>
    <m/>
    <s v=" "/>
    <s v=" "/>
    <m/>
    <s v=" "/>
    <s v=" "/>
    <s v=" "/>
    <m/>
    <s v=" "/>
  </r>
  <r>
    <s v="DaVita Dialysis"/>
    <s v="5657 257th St "/>
    <s v="Wyoming"/>
    <s v="MN"/>
    <n v="10.54"/>
    <n v="2013"/>
    <n v="5500"/>
    <n v="164903"/>
    <n v="29.98236363636364"/>
    <d v="2029-03-31T00:00:00"/>
    <n v="8.66027397260274"/>
    <s v="NN"/>
    <s v="10% every 5 years"/>
    <s v="2, 5 yr"/>
    <n v="2490000"/>
    <n v="452.7272727272727"/>
    <n v="0.06622610441767068"/>
    <x v="487"/>
    <x v="582"/>
    <s v="Matthews; Hoover"/>
    <x v="448"/>
    <s v="Individual"/>
    <m/>
    <m/>
    <n v="2638448"/>
    <n v="0.0625"/>
    <n v="0.943736620922603"/>
    <n v="2638448"/>
    <n v="0.0625"/>
    <n v="0.003726104417670684"/>
    <s v="No"/>
    <d v="2019-05-29T00:00:00"/>
    <n v="433"/>
  </r>
  <r>
    <s v="DaVita Dialysis"/>
    <s v="1905 Market Way"/>
    <s v="Watertown"/>
    <s v="WI"/>
    <m/>
    <n v="2019"/>
    <n v="5755"/>
    <n v="138120"/>
    <n v="24"/>
    <d v="2034-08-30T00:00:00"/>
    <n v="14.07945205479452"/>
    <s v="NN"/>
    <s v="2% annually"/>
    <s v="3, 5yr"/>
    <n v="2550000"/>
    <n v="443.0929626411816"/>
    <n v="0.05416470588235294"/>
    <x v="487"/>
    <x v="583"/>
    <s v="SJC; Fritz"/>
    <x v="449"/>
    <s v="Individual"/>
    <m/>
    <m/>
    <n v="2561500"/>
    <n v="0.05392153035330861"/>
    <n v="0.9955104430997462"/>
    <n v="2561500"/>
    <n v="0.05392153035330861"/>
    <n v="0.0002431755290443344"/>
    <s v="No"/>
    <d v="2020-05-18T00:00:00"/>
    <n v="78"/>
  </r>
  <r>
    <s v="DaVita Dialysis"/>
    <s v="4182 Oceanside Blvd"/>
    <s v="Oceanside"/>
    <s v="CA"/>
    <n v="0.25"/>
    <n v="2016"/>
    <n v="10655"/>
    <n v="389975.4901960784"/>
    <n v="36.60023371150431"/>
    <d v="2035-06-30T00:00:00"/>
    <n v="14.91506849315068"/>
    <s v="NN"/>
    <s v="2% annually"/>
    <m/>
    <n v="8371000"/>
    <n v="785.6405443453777"/>
    <n v="0.04658648789822942"/>
    <x v="488"/>
    <x v="5"/>
    <s v="M&amp;M;"/>
    <x v="450"/>
    <s v="Individual"/>
    <s v="M&amp;M;"/>
    <m/>
    <m/>
    <s v=" "/>
    <s v=" "/>
    <m/>
    <s v=" "/>
    <s v=" "/>
    <s v=" "/>
    <m/>
    <s v=" "/>
  </r>
  <r>
    <s v="US Renal Care Dialysis &amp; Medical Center"/>
    <s v="2011 E Houston St"/>
    <s v="San Antonio"/>
    <s v="TX"/>
    <n v="1.307002"/>
    <n v="1998"/>
    <n v="17719"/>
    <n v="235045"/>
    <n v="13.26513911620295"/>
    <d v="2027-12-31T00:00:00"/>
    <n v="7.419178082191781"/>
    <s v="NN"/>
    <s v="Various"/>
    <s v="Various"/>
    <n v="2901790"/>
    <n v="163.7671426152718"/>
    <n v="0.08100000344614876"/>
    <x v="489"/>
    <x v="584"/>
    <s v="SVN; Snyder"/>
    <x v="451"/>
    <s v="Individual"/>
    <s v="M&amp;M; Berookhim"/>
    <m/>
    <n v="3000000"/>
    <n v="0.07834833333333334"/>
    <n v="0.9672633333333334"/>
    <n v="3000000"/>
    <n v="0.07834833333333334"/>
    <n v="0.002651670112815419"/>
    <s v="No"/>
    <d v="2020-02-01T00:00:00"/>
    <n v="182"/>
  </r>
  <r>
    <s v="Fresenius Medical Care"/>
    <s v="602 West 1st Street"/>
    <s v="DeRidder "/>
    <s v="LA"/>
    <n v="0.63"/>
    <n v="2020"/>
    <n v="8800"/>
    <n v="148720"/>
    <n v="16.9"/>
    <d v="2035-07-31T00:00:00"/>
    <n v="15.00821917808219"/>
    <s v="NN"/>
    <s v="10% every 5 years"/>
    <s v="3, 5yr"/>
    <n v="2400000"/>
    <n v="272.7272727272727"/>
    <n v="0.06196666666666667"/>
    <x v="490"/>
    <x v="585"/>
    <s v="PH: Peranich &amp; Huffman"/>
    <x v="452"/>
    <s v="Individual"/>
    <m/>
    <m/>
    <n v="2780000"/>
    <n v="0.05349640287769784"/>
    <n v="0.8633093525179856"/>
    <n v="2656000"/>
    <n v="0.05599397590361446"/>
    <n v="0.005972690763052214"/>
    <s v="Yes"/>
    <d v="2020-04-16T00:00:00"/>
    <n v="106"/>
  </r>
  <r>
    <s v="DaVita Dialysis"/>
    <s v="432 Oak Street "/>
    <s v="Berlin"/>
    <s v="WI"/>
    <n v="1"/>
    <n v="2015"/>
    <n v="6868"/>
    <n v="164639"/>
    <n v="23.97189866045428"/>
    <d v="2030-10-31T00:00:00"/>
    <n v="10.26027397260274"/>
    <s v="NN"/>
    <s v="2.5% annually"/>
    <s v="3, 5yr"/>
    <n v="2530000"/>
    <n v="368.3750728013978"/>
    <n v="0.06507470355731225"/>
    <x v="491"/>
    <x v="586"/>
    <s v="PH: Peranich &amp; Huffman"/>
    <x v="453"/>
    <s v="Individual"/>
    <m/>
    <m/>
    <n v="2634000"/>
    <n v="0.06250531511009871"/>
    <n v="0.9605163249810175"/>
    <n v="2634000"/>
    <n v="0.06250531511009871"/>
    <n v="0.002569388447213536"/>
    <s v="No"/>
    <d v="2019-07-22T00:00:00"/>
    <n v="374"/>
  </r>
  <r>
    <s v="DaVita Dialysis - MT"/>
    <s v="2501 Reed St "/>
    <s v="Philadelphia"/>
    <s v="PA"/>
    <m/>
    <n v="2017"/>
    <n v="23642"/>
    <n v="388013"/>
    <n v="16.41202097961255"/>
    <m/>
    <s v=" "/>
    <s v="NNN"/>
    <m/>
    <m/>
    <n v="5250000"/>
    <n v="222.0624312663903"/>
    <n v="0.0739072380952381"/>
    <x v="492"/>
    <x v="587"/>
    <s v="CBRE; Gorman"/>
    <x v="454"/>
    <s v="Individual"/>
    <m/>
    <m/>
    <n v="5543057"/>
    <n v="0.06999982139819237"/>
    <n v="0.9471307980415861"/>
    <n v="5543057"/>
    <n v="0.06999982139819237"/>
    <n v="0.003907416697045724"/>
    <s v="No"/>
    <d v="2019-11-18T00:00:00"/>
    <n v="253"/>
  </r>
  <r>
    <s v="Dialysis Clinic, Inc (Portfolio of 2)"/>
    <s v="2424 Warm Springs Rd B"/>
    <s v="Columbus"/>
    <s v="GA"/>
    <n v="1"/>
    <n v="2010"/>
    <n v="9650"/>
    <n v="297060"/>
    <n v="30.78341968911917"/>
    <d v="2039-12-31T00:00:00"/>
    <n v="19.44109589041096"/>
    <s v="NN"/>
    <s v="5% every 5 years"/>
    <s v="2, 5yr"/>
    <n v="4951000"/>
    <n v="513.0569948186528"/>
    <n v="0.06"/>
    <x v="493"/>
    <x v="504"/>
    <s v="Colliers; Patel"/>
    <x v="455"/>
    <s v="Individual"/>
    <m/>
    <m/>
    <m/>
    <s v=" "/>
    <s v=" "/>
    <m/>
    <s v=" "/>
    <s v=" "/>
    <s v=" "/>
    <m/>
    <s v=" "/>
  </r>
  <r>
    <s v="Dialysis Clinic, Inc (Portfolio of 2)"/>
    <s v="1711 Boxwood Place"/>
    <s v="Columbus"/>
    <s v="GA"/>
    <n v="1.17"/>
    <n v="2006"/>
    <n v="9666"/>
    <n v="297096"/>
    <n v="30.73618870266915"/>
    <d v="2039-12-31T00:00:00"/>
    <n v="19.44657534246575"/>
    <s v="NNN"/>
    <s v="5% every 5 years"/>
    <s v="2, 5yr"/>
    <n v="4951600"/>
    <n v="512.2698117111524"/>
    <n v="0.06"/>
    <x v="494"/>
    <x v="504"/>
    <s v="Colliers; Patel"/>
    <x v="455"/>
    <s v="Individual"/>
    <m/>
    <m/>
    <n v="5166895"/>
    <n v="0.05749991048782683"/>
    <n v="0.9583318414637805"/>
    <n v="5166895"/>
    <n v="0.05749991048782683"/>
    <n v="0.002500089512173169"/>
    <s v="No"/>
    <d v="2020-03-04T00:00:00"/>
    <n v="143"/>
  </r>
  <r>
    <s v="DaVita Dialysis"/>
    <s v="1335 La Concha Lane"/>
    <s v="Houston"/>
    <s v="TX"/>
    <n v="1"/>
    <n v="1995"/>
    <n v="10000"/>
    <m/>
    <s v=" "/>
    <m/>
    <s v=" "/>
    <m/>
    <m/>
    <m/>
    <n v="3000000"/>
    <n v="300"/>
    <s v=" "/>
    <x v="495"/>
    <x v="588"/>
    <m/>
    <x v="456"/>
    <s v="Individual"/>
    <m/>
    <m/>
    <n v="3000000"/>
    <s v=" "/>
    <n v="1"/>
    <n v="3000000"/>
    <s v=" "/>
    <s v=" "/>
    <s v="No"/>
    <m/>
    <s v=" "/>
  </r>
  <r>
    <s v="DaVita Dialysis"/>
    <s v="1104 SE 30th St"/>
    <s v="Bentonville"/>
    <s v="AR"/>
    <n v="3.88"/>
    <n v="2006"/>
    <n v="7933"/>
    <n v="178044"/>
    <n v="22.4434640110929"/>
    <d v="2028-01-31T00:00:00"/>
    <n v="7.545205479452055"/>
    <s v="NNN"/>
    <s v="3% annually"/>
    <s v="2, 5yr"/>
    <n v="2460000"/>
    <n v="310.0970629018026"/>
    <n v="0.07237560975609757"/>
    <x v="496"/>
    <x v="589"/>
    <s v="C&amp;W; Imhoff"/>
    <x v="457"/>
    <s v="Individual"/>
    <m/>
    <m/>
    <n v="3165000"/>
    <n v="0.05625402843601895"/>
    <n v="0.7772511848341233"/>
    <n v="3165000"/>
    <n v="0.05625402843601895"/>
    <n v="0.01612158132007861"/>
    <s v="No"/>
    <d v="2020-02-07T00:00:00"/>
    <n v="161"/>
  </r>
  <r>
    <s v="Fresenius Medical Care"/>
    <s v="1510 Lower Dallas Hwy"/>
    <s v="Dallas"/>
    <s v="NC"/>
    <m/>
    <n v="2019"/>
    <n v="9800"/>
    <m/>
    <s v=" "/>
    <m/>
    <s v=" "/>
    <m/>
    <m/>
    <m/>
    <n v="2960000"/>
    <n v="302.0408163265306"/>
    <s v=" "/>
    <x v="496"/>
    <x v="590"/>
    <m/>
    <x v="64"/>
    <s v="Fund"/>
    <m/>
    <m/>
    <m/>
    <s v=" "/>
    <s v=" "/>
    <m/>
    <s v=" "/>
    <s v=" "/>
    <s v=" "/>
    <m/>
    <s v=" "/>
  </r>
  <r>
    <s v="DaVita Dialysis"/>
    <s v="501 Oak St"/>
    <s v="Leavenworth "/>
    <s v="KS"/>
    <n v="0.43"/>
    <n v="2006"/>
    <n v="5000"/>
    <n v="89850"/>
    <n v="17.97"/>
    <d v="2021-11-21T00:00:00"/>
    <n v="1.350684931506849"/>
    <s v="NN"/>
    <s v="2.25% annually"/>
    <s v="2, 5yr"/>
    <n v="935000"/>
    <n v="187"/>
    <n v="0.09609625668449198"/>
    <x v="497"/>
    <x v="591"/>
    <s v="KW; Cook"/>
    <x v="458"/>
    <s v="Individual"/>
    <m/>
    <m/>
    <n v="935000"/>
    <n v="0.09609625668449198"/>
    <n v="1"/>
    <n v="935000"/>
    <n v="0.09609625668449198"/>
    <n v="0"/>
    <s v="No"/>
    <d v="2019-06-07T00:00:00"/>
    <n v="405"/>
  </r>
  <r>
    <s v="Fresenius Medical Care"/>
    <s v="201 N Haley St"/>
    <s v="Hazlehurst"/>
    <s v="MS"/>
    <n v="1.12"/>
    <n v="1997"/>
    <n v="4840"/>
    <n v="58080"/>
    <n v="12"/>
    <d v="2029-12-31T00:00:00"/>
    <n v="9.468493150684932"/>
    <s v="NN"/>
    <s v="3% in '24; 10% or FMV in Options"/>
    <s v="3, 5yr"/>
    <n v="715000"/>
    <n v="147.7272727272727"/>
    <n v="0.08123076923076923"/>
    <x v="498"/>
    <x v="13"/>
    <m/>
    <x v="0"/>
    <m/>
    <m/>
    <m/>
    <m/>
    <s v=" "/>
    <s v=" "/>
    <m/>
    <s v=" "/>
    <s v=" "/>
    <s v=" "/>
    <m/>
    <s v=" "/>
  </r>
  <r>
    <s v="Fresenius Medical Care"/>
    <s v="565 Regency Blvd"/>
    <s v="Winterville"/>
    <s v="NC"/>
    <n v="2.5"/>
    <n v="2018"/>
    <n v="7617"/>
    <m/>
    <s v=" "/>
    <m/>
    <s v=" "/>
    <m/>
    <m/>
    <m/>
    <n v="2723000"/>
    <n v="357.4898253905737"/>
    <s v=" "/>
    <x v="499"/>
    <x v="592"/>
    <m/>
    <x v="64"/>
    <s v="Fund"/>
    <m/>
    <m/>
    <m/>
    <s v=" "/>
    <s v=" "/>
    <m/>
    <s v=" "/>
    <s v=" "/>
    <s v=" "/>
    <m/>
    <s v=" "/>
  </r>
  <r>
    <s v="Fresenius Medical Care"/>
    <s v="220 W Maplewood Ln"/>
    <s v="Nashville"/>
    <s v="TN"/>
    <n v="2.93"/>
    <n v="2015"/>
    <n v="12000"/>
    <m/>
    <s v=" "/>
    <m/>
    <s v=" "/>
    <m/>
    <m/>
    <m/>
    <n v="4015693"/>
    <n v="334.6410833333333"/>
    <s v=" "/>
    <x v="499"/>
    <x v="593"/>
    <m/>
    <x v="64"/>
    <s v="Fund"/>
    <m/>
    <m/>
    <m/>
    <s v=" "/>
    <s v=" "/>
    <m/>
    <s v=" "/>
    <s v=" "/>
    <s v=" "/>
    <m/>
    <s v=" "/>
  </r>
  <r>
    <s v="Fresenius Medical Care"/>
    <s v="300 Baxter Brown Way"/>
    <s v="Summerville"/>
    <s v="SC"/>
    <n v="1.05"/>
    <n v="2020"/>
    <n v="6521"/>
    <n v="191036"/>
    <n v="29.29550682410673"/>
    <d v="2036-01-31T00:00:00"/>
    <n v="15.56986301369863"/>
    <s v="NN"/>
    <s v="10% every 5 years"/>
    <s v="3, 5yr"/>
    <n v="3265570"/>
    <n v="500.7774881153197"/>
    <n v="0.05850004746491424"/>
    <x v="499"/>
    <x v="36"/>
    <s v="Trinity: Longaker"/>
    <x v="459"/>
    <s v="Individual"/>
    <m/>
    <m/>
    <m/>
    <s v=" "/>
    <s v=" "/>
    <m/>
    <s v=" "/>
    <s v=" "/>
    <s v=" "/>
    <m/>
    <s v=" "/>
  </r>
  <r>
    <s v="DaVita Dialysis"/>
    <s v="301 E Airline Rd"/>
    <s v="Victoria"/>
    <s v="TX"/>
    <n v="0.96"/>
    <n v="2011"/>
    <n v="6849"/>
    <n v="167750"/>
    <n v="24.4926266608264"/>
    <d v="2026-06-29T00:00:00"/>
    <n v="5.978082191780822"/>
    <s v="NN"/>
    <s v="$0.50/SF annually"/>
    <s v="3, 5yr"/>
    <n v="2006617"/>
    <n v="292.9795590597167"/>
    <n v="0.08359841464514653"/>
    <x v="500"/>
    <x v="594"/>
    <s v="SJC; Cornell"/>
    <x v="460"/>
    <s v="Fund"/>
    <m/>
    <m/>
    <n v="2191680"/>
    <n v="0.07653945831508249"/>
    <n v="0.9155611220616149"/>
    <n v="2237000"/>
    <n v="0.07498882431828341"/>
    <n v="0.00860959032686312"/>
    <s v="Yes"/>
    <d v="2019-08-14T00:00:00"/>
    <n v="329"/>
  </r>
  <r>
    <s v="Fresenius Medical Care"/>
    <s v="929 Falls Rd"/>
    <s v="Toccoa"/>
    <s v="GA"/>
    <n v="1.62"/>
    <n v="1994"/>
    <n v="4548"/>
    <n v="75480"/>
    <n v="16.59630606860158"/>
    <d v="2024-02-28T00:00:00"/>
    <n v="3.643835616438356"/>
    <s v="NN"/>
    <s v="FMV at each option"/>
    <s v="2, 5yr"/>
    <n v="1110000"/>
    <n v="244.0633245382586"/>
    <n v="0.068"/>
    <x v="500"/>
    <x v="595"/>
    <s v="PH: Peranich &amp; Huffman"/>
    <x v="445"/>
    <s v="Individual"/>
    <m/>
    <m/>
    <m/>
    <s v=" "/>
    <s v=" "/>
    <m/>
    <s v=" "/>
    <s v=" "/>
    <s v=" "/>
    <m/>
    <s v=" "/>
  </r>
  <r>
    <s v="DaVita Dialysis"/>
    <s v="2010 N Outer Road"/>
    <s v="Dexter "/>
    <s v="MO"/>
    <n v="0.99"/>
    <n v="2009"/>
    <n v="3808"/>
    <n v="81692"/>
    <n v="21.45273109243697"/>
    <m/>
    <s v=" "/>
    <s v="NNN"/>
    <s v="2% annually"/>
    <m/>
    <n v="960937"/>
    <n v="252.3469012605042"/>
    <n v="0.08501285724246231"/>
    <x v="501"/>
    <x v="596"/>
    <s v="M&amp;M; Gould"/>
    <x v="461"/>
    <s v="Individual"/>
    <m/>
    <m/>
    <n v="1025000"/>
    <n v="0.07969951219512195"/>
    <n v="0.937499512195122"/>
    <n v="1025000"/>
    <n v="0.07969951219512195"/>
    <n v="0.005313345047340365"/>
    <s v="No"/>
    <d v="2020-01-14T00:00:00"/>
    <n v="174"/>
  </r>
  <r>
    <s v="DaVita Dialysis"/>
    <s v="1312 Professional Blvd"/>
    <s v="Evansville"/>
    <s v="IN"/>
    <n v="1.752"/>
    <n v="2000"/>
    <n v="25480"/>
    <m/>
    <s v=" "/>
    <m/>
    <s v=" "/>
    <m/>
    <m/>
    <m/>
    <n v="4100000"/>
    <n v="160.9105180533752"/>
    <s v=" "/>
    <x v="501"/>
    <x v="597"/>
    <s v="M&amp;M;"/>
    <x v="462"/>
    <s v="Individual"/>
    <m/>
    <m/>
    <m/>
    <s v=" "/>
    <s v=" "/>
    <m/>
    <s v=" "/>
    <s v=" "/>
    <s v=" "/>
    <m/>
    <s v=" "/>
  </r>
  <r>
    <s v="DaVita Dialysis"/>
    <s v="425 MB Lane "/>
    <s v="Chilton"/>
    <s v="WI"/>
    <n v="1.1"/>
    <n v="2014"/>
    <n v="7847"/>
    <n v="168946"/>
    <n v="21.53001146935134"/>
    <d v="2029-12-31T00:00:00"/>
    <n v="9.504109589041096"/>
    <s v="NN"/>
    <s v="2.5% annual"/>
    <s v="3, 5yr"/>
    <n v="2485000"/>
    <n v="316.6815343443354"/>
    <n v="0.06798631790744467"/>
    <x v="502"/>
    <x v="586"/>
    <s v="PH: Peranich &amp; Huffman"/>
    <x v="463"/>
    <s v="Individual"/>
    <m/>
    <m/>
    <n v="2693000"/>
    <n v="0.06273523950984032"/>
    <n v="0.9227627181581879"/>
    <n v="2600000"/>
    <n v="0.06497923076923078"/>
    <n v="0.00300708713821389"/>
    <s v="Yes"/>
    <d v="2019-07-22T00:00:00"/>
    <n v="346"/>
  </r>
  <r>
    <s v="DaVita Dialysis"/>
    <s v="2950 W 26th St"/>
    <s v="Chicago"/>
    <s v="IL"/>
    <n v="0.26"/>
    <n v="2019"/>
    <n v="7000"/>
    <n v="217062"/>
    <n v="31.00885714285714"/>
    <d v="2034-10-31T00:00:00"/>
    <n v="14.34520547945205"/>
    <s v="NNN"/>
    <s v="10% increases every 5 years"/>
    <s v="3, 5yr"/>
    <n v="3742400"/>
    <n v="534.6285714285714"/>
    <n v="0.05800074818298418"/>
    <x v="503"/>
    <x v="598"/>
    <s v="C&amp;W; Aicale"/>
    <x v="464"/>
    <s v="Individual"/>
    <m/>
    <m/>
    <n v="4096000"/>
    <n v="0.05299365234375"/>
    <n v="0.913671875"/>
    <n v="4096000"/>
    <n v="0.05299365234375"/>
    <n v="0.005007095839234178"/>
    <s v="No"/>
    <d v="2019-07-11T00:00:00"/>
    <n v="355"/>
  </r>
  <r>
    <s v="Fresenius Medical Care"/>
    <s v="8770 Tallon Ln NE"/>
    <s v="Lacey"/>
    <s v="WA"/>
    <n v="0.9865473"/>
    <n v="2004"/>
    <n v="9600"/>
    <n v="272000"/>
    <n v="28.33333333333333"/>
    <m/>
    <s v=" "/>
    <m/>
    <m/>
    <m/>
    <n v="3700000"/>
    <n v="385.4166666666667"/>
    <n v="0.07351351351351351"/>
    <x v="503"/>
    <x v="599"/>
    <s v="CP; "/>
    <x v="465"/>
    <s v="Individual"/>
    <s v="Capital Pacific"/>
    <m/>
    <m/>
    <s v=" "/>
    <s v=" "/>
    <m/>
    <s v=" "/>
    <s v=" "/>
    <s v=" "/>
    <m/>
    <s v=" "/>
  </r>
  <r>
    <s v="DaVita Dialysis"/>
    <s v="1595 Old Lebanon Rd"/>
    <s v="Campbellsville"/>
    <s v="KY"/>
    <n v="1.5"/>
    <n v="2015"/>
    <n v="7125"/>
    <n v="170023"/>
    <n v="23.86287719298246"/>
    <d v="2030-12-11T00:00:00"/>
    <n v="10.45753424657534"/>
    <s v="NNN"/>
    <s v="2% annually"/>
    <s v="2, 5yr"/>
    <n v="2380000"/>
    <n v="334.0350877192982"/>
    <n v="0.07143823529411765"/>
    <x v="504"/>
    <x v="600"/>
    <m/>
    <x v="0"/>
    <s v="Individual"/>
    <m/>
    <s v="Oman Bond"/>
    <n v="2428900"/>
    <n v="0.07000000000000001"/>
    <n v="0.9798674297006875"/>
    <n v="2428900"/>
    <n v="0.07000000000000001"/>
    <n v="0.001438235294117643"/>
    <s v="No"/>
    <d v="2020-03-31T00:00:00"/>
    <n v="90"/>
  </r>
  <r>
    <s v="DaVita Dialysis"/>
    <s v="195 Bunting Dr"/>
    <s v="Ozark"/>
    <s v="AL"/>
    <n v="1.72"/>
    <n v="2015"/>
    <n v="7576"/>
    <n v="220898"/>
    <n v="29.15760295670539"/>
    <d v="2030-10-04T00:00:00"/>
    <n v="10.27945205479452"/>
    <s v="NN"/>
    <s v="10% every 5 years"/>
    <s v="2, 5yr"/>
    <n v="3350000"/>
    <n v="442.1858500527983"/>
    <n v="0.06593970149253732"/>
    <x v="505"/>
    <x v="601"/>
    <s v="KW; Cook"/>
    <x v="466"/>
    <s v="Individual"/>
    <m/>
    <m/>
    <n v="3398431"/>
    <n v="0.06499999558619846"/>
    <n v="0.9857490118233974"/>
    <n v="3398431"/>
    <n v="0.06499999558619846"/>
    <n v="0.0009397059063388641"/>
    <s v="No"/>
    <d v="2020-03-14T00:00:00"/>
    <n v="104"/>
  </r>
  <r>
    <s v="DaVita Dialysis"/>
    <s v="6800 N Ridge Rd"/>
    <s v="Madison"/>
    <s v="OH"/>
    <n v="1.97"/>
    <n v="2014"/>
    <n v="6349"/>
    <n v="147594.79"/>
    <n v="23.24693495038589"/>
    <d v="2029-12-09T00:00:00"/>
    <n v="9.46027397260274"/>
    <s v="NN"/>
    <s v="10% every 5 years"/>
    <s v="2, 5yr"/>
    <n v="1980000"/>
    <n v="311.8601354544023"/>
    <n v="0.07454282323232324"/>
    <x v="505"/>
    <x v="296"/>
    <s v="C&amp;W; Jay Patel"/>
    <x v="467"/>
    <s v="Individual"/>
    <m/>
    <m/>
    <n v="2108497"/>
    <n v="0.07000000000000001"/>
    <n v="0.9390575371935554"/>
    <n v="2108497"/>
    <n v="0.07000000000000001"/>
    <n v="0.004542823232323231"/>
    <s v="No"/>
    <d v="2020-03-31T00:00:00"/>
    <n v="87"/>
  </r>
  <r>
    <s v="Fresenius Medical Care"/>
    <s v="3150 Glynn Ave"/>
    <s v="Brunswick"/>
    <s v="GA"/>
    <n v="1.5"/>
    <n v="2018"/>
    <n v="8212"/>
    <n v="205148"/>
    <n v="24.98149050170482"/>
    <d v="2032-11-15T00:00:00"/>
    <n v="12.4"/>
    <m/>
    <m/>
    <m/>
    <n v="3465000"/>
    <n v="421.9434973209937"/>
    <n v="0.059205772005772"/>
    <x v="506"/>
    <x v="602"/>
    <s v="M&amp;M; Garavaglia"/>
    <x v="468"/>
    <s v="Individual"/>
    <m/>
    <m/>
    <n v="3730000"/>
    <n v="0.05499946380697051"/>
    <n v="0.9289544235924933"/>
    <m/>
    <s v=" "/>
    <s v=" "/>
    <s v=" "/>
    <d v="2018-10-29T00:00:00"/>
    <n v="605"/>
  </r>
  <r>
    <s v="DaVita Dialysis"/>
    <s v="2860 SE 1st Ave "/>
    <s v="Ocala"/>
    <s v="FL"/>
    <n v="0.19"/>
    <n v="1995"/>
    <n v="17542"/>
    <n v="342456"/>
    <n v="19.52206133850188"/>
    <d v="2029-07-29T00:00:00"/>
    <n v="9.098630136986301"/>
    <s v="NN"/>
    <s v="2% annually"/>
    <s v="3, 5yr"/>
    <n v="4945000"/>
    <n v="281.8948808573709"/>
    <n v="0.06925298281092013"/>
    <x v="506"/>
    <x v="603"/>
    <s v="PH: Peranich &amp; Huffman"/>
    <x v="469"/>
    <s v="Individual"/>
    <m/>
    <m/>
    <n v="5036000"/>
    <n v="0.06800158856235107"/>
    <n v="0.9819301032565528"/>
    <n v="5036000"/>
    <n v="0.06800158856235107"/>
    <n v="0.001251394248569057"/>
    <s v="No"/>
    <d v="2020-04-06T00:00:00"/>
    <n v="80"/>
  </r>
  <r>
    <s v="DaVita Dialysis"/>
    <s v="1265 Rock Canyon Dr"/>
    <s v="Katy"/>
    <s v="TX"/>
    <n v="0.58"/>
    <n v="2000"/>
    <n v="5525"/>
    <n v="101260"/>
    <n v="18.32760180995475"/>
    <d v="2031-11-30T00:00:00"/>
    <n v="11.44109589041096"/>
    <s v="NN"/>
    <s v="10% every 5 years"/>
    <s v="2, 5yr"/>
    <m/>
    <s v=" "/>
    <s v=" "/>
    <x v="507"/>
    <x v="351"/>
    <s v="M&amp;M; Glass"/>
    <x v="470"/>
    <s v="Individual"/>
    <m/>
    <m/>
    <m/>
    <s v=" "/>
    <s v=" "/>
    <m/>
    <s v=" "/>
    <s v=" "/>
    <s v=" "/>
    <m/>
    <s v=" "/>
  </r>
  <r>
    <s v="DaVita Dialysis"/>
    <s v="722 W 1st St"/>
    <s v="Tustin"/>
    <s v="CA"/>
    <n v="1.7"/>
    <n v="1981"/>
    <n v="10398"/>
    <n v="435960"/>
    <n v="41.92729371032891"/>
    <d v="2030-07-31T00:00:00"/>
    <n v="10.11232876712329"/>
    <s v="NN"/>
    <s v="2.5% annually"/>
    <s v="2, 5yr"/>
    <n v="8400000"/>
    <n v="807.8476630121177"/>
    <n v="0.0519"/>
    <x v="508"/>
    <x v="604"/>
    <s v="CBRE"/>
    <x v="471"/>
    <s v="Individual"/>
    <m/>
    <m/>
    <m/>
    <s v=" "/>
    <s v=" "/>
    <m/>
    <s v=" "/>
    <s v=" "/>
    <s v=" "/>
    <m/>
    <s v=" "/>
  </r>
  <r>
    <s v="DaVita Dialysis"/>
    <s v="9272 S US Highway 301"/>
    <s v="Kenly"/>
    <s v="NC"/>
    <n v="1.31"/>
    <n v="2019"/>
    <n v="8850"/>
    <n v="205497"/>
    <n v="23.22"/>
    <d v="2034-09-17T00:00:00"/>
    <n v="14.24657534246575"/>
    <s v="NN"/>
    <s v="10% every 5 years"/>
    <s v="3, 5yr"/>
    <n v="3379885"/>
    <n v="381.9079096045198"/>
    <n v="0.06079999763305556"/>
    <x v="508"/>
    <x v="66"/>
    <s v="SJC; Briggs"/>
    <x v="159"/>
    <s v="Individual"/>
    <s v="David Hanson"/>
    <m/>
    <n v="3669589"/>
    <n v="0.05600000436016132"/>
    <n v="0.9210527391487167"/>
    <n v="3669589"/>
    <n v="0.05600000436016132"/>
    <n v="0.004799993272894244"/>
    <s v="No"/>
    <d v="2020-04-23T00:00:00"/>
    <n v="60"/>
  </r>
  <r>
    <s v="Fresenius Medical Care"/>
    <s v="470 Galiffa Dr"/>
    <s v="Donora"/>
    <s v="PA"/>
    <n v="1.64"/>
    <n v="1998"/>
    <n v="15600"/>
    <n v="159359"/>
    <n v="10.21532051282051"/>
    <d v="2024-05-31T00:00:00"/>
    <n v="3.950684931506849"/>
    <s v="NN"/>
    <s v="2% annually"/>
    <s v="1, 5yr"/>
    <n v="1708000"/>
    <n v="109.4871794871795"/>
    <n v="0.09330152224824356"/>
    <x v="509"/>
    <x v="232"/>
    <s v="SJC; Rotuno"/>
    <x v="23"/>
    <s v="Individual"/>
    <m/>
    <m/>
    <n v="1825000"/>
    <n v="0.08731999999999999"/>
    <n v="0.9358904109589041"/>
    <n v="1825000"/>
    <n v="0.08731999999999999"/>
    <n v="0.005981522248243568"/>
    <s v="No"/>
    <d v="2019-08-26T00:00:00"/>
    <n v="298"/>
  </r>
  <r>
    <s v="Fresenius Medical Care"/>
    <s v="3107 Edgewood Ave"/>
    <s v="Jacksonville"/>
    <s v="FL"/>
    <n v="1.64"/>
    <n v="2016"/>
    <n v="7305"/>
    <n v="318451"/>
    <n v="43.59356605065024"/>
    <d v="2031-02-28T00:00:00"/>
    <n v="10.7013698630137"/>
    <s v="NN"/>
    <s v="1.7% annually"/>
    <s v="3, 5yr"/>
    <n v="5361134"/>
    <n v="733.8992470910335"/>
    <n v="0.05939993292463871"/>
    <x v="509"/>
    <x v="605"/>
    <s v="C&amp;W; Gibbon"/>
    <x v="265"/>
    <s v="REIT"/>
    <m/>
    <m/>
    <n v="6050000"/>
    <n v="0.05263652892561983"/>
    <n v="0.8861378512396694"/>
    <n v="6050000"/>
    <n v="0.05263652892561983"/>
    <n v="0.006763403999018876"/>
    <s v="No"/>
    <d v="2020-02-12T00:00:00"/>
    <n v="128"/>
  </r>
  <r>
    <s v="Fresenius Medical Care"/>
    <s v="1211 Saint Johns Bluff Rd N"/>
    <s v="Jacksonville"/>
    <s v="FL"/>
    <n v="1.4"/>
    <n v="2016"/>
    <n v="7200"/>
    <n v="283635"/>
    <n v="39.39375"/>
    <d v="2031-12-31T00:00:00"/>
    <n v="11.53972602739726"/>
    <s v="NNN"/>
    <s v="1.7% annually"/>
    <s v="3, 5yr"/>
    <n v="4231164"/>
    <n v="587.6616666666666"/>
    <n v="0.06703474504888017"/>
    <x v="509"/>
    <x v="605"/>
    <s v="C&amp;W; Gibbon"/>
    <x v="265"/>
    <s v="REIT"/>
    <m/>
    <m/>
    <n v="4950000"/>
    <n v="0.0573"/>
    <n v="0.854780606060606"/>
    <n v="4950000"/>
    <n v="0.0573"/>
    <n v="0.009734745048880174"/>
    <s v="No"/>
    <d v="2020-02-12T00:00:00"/>
    <n v="128"/>
  </r>
  <r>
    <s v="Dialysis "/>
    <s v="103 AB Jacks Rd"/>
    <s v="Clinton"/>
    <s v="SC"/>
    <m/>
    <n v="1992"/>
    <n v="7500"/>
    <n v="86625"/>
    <n v="11.55"/>
    <m/>
    <s v=" "/>
    <m/>
    <m/>
    <m/>
    <n v="1155000"/>
    <n v="154"/>
    <n v="0.075"/>
    <x v="509"/>
    <x v="606"/>
    <m/>
    <x v="139"/>
    <s v="Individual"/>
    <m/>
    <m/>
    <m/>
    <s v=" "/>
    <s v=" "/>
    <m/>
    <s v=" "/>
    <s v=" "/>
    <s v=" "/>
    <m/>
    <s v=" "/>
  </r>
  <r>
    <s v="Davita Dialysis"/>
    <s v="721 W 1st St"/>
    <s v="Tustin"/>
    <s v="CA"/>
    <n v="1.679982"/>
    <n v="2015"/>
    <n v="10389"/>
    <m/>
    <s v=" "/>
    <m/>
    <s v=" "/>
    <m/>
    <m/>
    <m/>
    <n v="8400000"/>
    <n v="808.5475021657522"/>
    <s v=" "/>
    <x v="510"/>
    <x v="607"/>
    <s v="CBRE"/>
    <x v="472"/>
    <s v="Individual"/>
    <m/>
    <m/>
    <m/>
    <s v=" "/>
    <s v=" "/>
    <m/>
    <s v=" "/>
    <s v=" "/>
    <s v=" "/>
    <m/>
    <s v=" "/>
  </r>
  <r>
    <s v="Triangle Capital Group Office FL Portfolio 2020"/>
    <s v="1 of 2 properties"/>
    <m/>
    <m/>
    <m/>
    <m/>
    <n v="15446"/>
    <m/>
    <s v=" "/>
    <m/>
    <s v=" "/>
    <m/>
    <m/>
    <m/>
    <m/>
    <s v=" "/>
    <s v=" "/>
    <x v="510"/>
    <x v="605"/>
    <m/>
    <x v="265"/>
    <s v="REIT"/>
    <m/>
    <m/>
    <m/>
    <s v=" "/>
    <s v=" "/>
    <m/>
    <s v=" "/>
    <s v=" "/>
    <s v=" "/>
    <m/>
    <s v=" "/>
  </r>
  <r>
    <s v="Fresenius Medical Care"/>
    <s v="41551 Kalmia St"/>
    <s v="Murrieta"/>
    <s v="CA"/>
    <n v="2.16"/>
    <n v="2020"/>
    <n v="13058"/>
    <n v="378682"/>
    <n v="29"/>
    <d v="2035-09-30T00:00:00"/>
    <n v="15.3013698630137"/>
    <s v="NN"/>
    <s v="10% every 5 years"/>
    <m/>
    <n v="7528500"/>
    <n v="576.5431153315975"/>
    <n v="0.0502997941156937"/>
    <x v="511"/>
    <x v="520"/>
    <s v="M&amp;M; Mansour"/>
    <x v="473"/>
    <s v="Individual"/>
    <m/>
    <m/>
    <n v="7573640"/>
    <n v="0.05"/>
    <n v="0.9940398540199956"/>
    <n v="7573640"/>
    <n v="0.05"/>
    <n v="0.0002997941156936967"/>
    <s v="No"/>
    <d v="2020-04-13T00:00:00"/>
    <n v="63"/>
  </r>
  <r>
    <s v="DaVita Dialysis - Condo"/>
    <s v="4952-4964 Parkside Ave"/>
    <s v="Philadelphia"/>
    <s v="PA"/>
    <n v="0.92"/>
    <n v="2019"/>
    <n v="11898"/>
    <m/>
    <s v=" "/>
    <d v="2029-04-30T00:00:00"/>
    <n v="8.887671232876713"/>
    <m/>
    <m/>
    <m/>
    <n v="5237813"/>
    <n v="440.2263405614389"/>
    <s v=" "/>
    <x v="512"/>
    <x v="608"/>
    <s v="M&amp;M; Dougherty"/>
    <x v="474"/>
    <s v="Individual"/>
    <m/>
    <m/>
    <m/>
    <s v=" "/>
    <s v=" "/>
    <m/>
    <s v=" "/>
    <s v=" "/>
    <s v=" "/>
    <d v="2019-09-18T00:00:00"/>
    <n v="268"/>
  </r>
  <r>
    <s v="U.S. Renal Care"/>
    <s v="240 Indian River Road"/>
    <s v="Orange "/>
    <s v="CT"/>
    <n v="6"/>
    <n v="1995"/>
    <n v="9900"/>
    <m/>
    <s v=" "/>
    <m/>
    <s v=" "/>
    <m/>
    <m/>
    <m/>
    <n v="990837"/>
    <n v="100.0845454545454"/>
    <s v=" "/>
    <x v="512"/>
    <x v="609"/>
    <m/>
    <x v="475"/>
    <s v="Fund"/>
    <m/>
    <m/>
    <m/>
    <s v=" "/>
    <s v=" "/>
    <m/>
    <s v=" "/>
    <s v=" "/>
    <s v=" "/>
    <m/>
    <s v=" "/>
  </r>
  <r>
    <s v="Dialysis Care of Weatherford Davita"/>
    <s v="2107 Fort Worth Hwy"/>
    <s v="Weatherford"/>
    <s v="TX"/>
    <n v="1.49"/>
    <n v="2005"/>
    <n v="10246"/>
    <m/>
    <s v=" "/>
    <m/>
    <s v=" "/>
    <m/>
    <m/>
    <m/>
    <m/>
    <s v=" "/>
    <s v=" "/>
    <x v="513"/>
    <x v="610"/>
    <m/>
    <x v="476"/>
    <s v="Individual"/>
    <m/>
    <m/>
    <m/>
    <s v=" "/>
    <s v=" "/>
    <m/>
    <s v=" "/>
    <s v=" "/>
    <s v=" "/>
    <m/>
    <s v=" "/>
  </r>
  <r>
    <s v="Fresenius Medical Care"/>
    <s v="350 N Expy"/>
    <s v="Brownsville"/>
    <s v="TX"/>
    <n v="1.85"/>
    <n v="2018"/>
    <n v="19176"/>
    <n v="347105"/>
    <n v="18.10101168126825"/>
    <d v="2033-12-31T00:00:00"/>
    <n v="13.56986301369863"/>
    <s v="NN"/>
    <s v="1.7% annually"/>
    <s v="3, 5yr"/>
    <m/>
    <s v=" "/>
    <s v=" "/>
    <x v="514"/>
    <x v="611"/>
    <s v="Embree; lewis"/>
    <x v="294"/>
    <s v="Fund"/>
    <m/>
    <m/>
    <n v="5940000"/>
    <n v="0.05843518518518519"/>
    <s v=" "/>
    <n v="6311000"/>
    <n v="0.055"/>
    <s v=" "/>
    <s v="Yes"/>
    <d v="2018-11-20T00:00:00"/>
    <n v="567"/>
  </r>
  <r>
    <s v="Fresenius Medical Care"/>
    <s v="14 Roving Road"/>
    <s v="Cartersville"/>
    <s v="GA"/>
    <n v="1.29"/>
    <n v="2003"/>
    <n v="8563"/>
    <n v="150000"/>
    <n v="17.51722527151699"/>
    <m/>
    <s v=" "/>
    <m/>
    <m/>
    <m/>
    <n v="2036000"/>
    <n v="237.7671376853906"/>
    <n v="0.07367387033398821"/>
    <x v="515"/>
    <x v="612"/>
    <s v="Blackstone; Willingham"/>
    <x v="477"/>
    <s v="Individual"/>
    <m/>
    <m/>
    <n v="2500000"/>
    <n v="0.06"/>
    <n v="0.8144"/>
    <n v="2500000"/>
    <n v="0.06"/>
    <n v="0.01367387033398822"/>
    <s v="No"/>
    <m/>
    <s v=" "/>
  </r>
  <r>
    <s v="Fresenius Medical Care"/>
    <s v="570 Deerfield Dr"/>
    <s v="Forest"/>
    <s v="MS"/>
    <n v="3.53"/>
    <n v="2018"/>
    <n v="9913"/>
    <n v="292433"/>
    <n v="29.49994956118229"/>
    <d v="2033-05-30T00:00:00"/>
    <n v="12.98904109589041"/>
    <s v="NN"/>
    <s v="10% every 5 years"/>
    <m/>
    <n v="4755000"/>
    <n v="479.6731564612126"/>
    <n v="0.06150010515247108"/>
    <x v="516"/>
    <x v="613"/>
    <s v="Duckworth: Holtmann"/>
    <x v="478"/>
    <s v="Individual"/>
    <m/>
    <m/>
    <n v="4873891"/>
    <n v="0.0599999056195553"/>
    <n v="0.9756065533677302"/>
    <n v="4678936"/>
    <n v="0.06249989313809806"/>
    <n v="-0.0009997879856269778"/>
    <s v="Yes"/>
    <d v="2019-12-05T00:00:00"/>
    <n v="184"/>
  </r>
  <r>
    <s v="DaVita Dialysis"/>
    <s v="8630 Halsey St"/>
    <s v="Lenexa"/>
    <s v="KS"/>
    <n v="1"/>
    <n v="2000"/>
    <n v="8439"/>
    <n v="130804"/>
    <n v="15.49994075127385"/>
    <d v="2029-09-30T00:00:00"/>
    <n v="9.326027397260274"/>
    <s v="NN"/>
    <s v="2.5% annually"/>
    <s v="2, 5yr"/>
    <n v="2060000"/>
    <n v="244.1047517478374"/>
    <n v="0.06349708737864078"/>
    <x v="517"/>
    <x v="614"/>
    <s v="SIG; Stockton"/>
    <x v="479"/>
    <s v="Individual"/>
    <m/>
    <m/>
    <n v="2180075"/>
    <n v="0.05999977065009231"/>
    <n v="0.9449216196690481"/>
    <n v="2180075"/>
    <n v="0.05999977065009231"/>
    <n v="0.003497316728548465"/>
    <s v="No"/>
    <d v="2020-03-26T00:00:00"/>
    <n v="71"/>
  </r>
  <r>
    <s v="U.S. Renal Care"/>
    <s v="8119 S Flores St"/>
    <s v="San Antonio"/>
    <s v="TX"/>
    <n v="1.35"/>
    <n v="2015"/>
    <n v="16212"/>
    <m/>
    <s v=" "/>
    <m/>
    <s v=" "/>
    <m/>
    <m/>
    <m/>
    <n v="6215000"/>
    <n v="383.3580064150012"/>
    <s v=" "/>
    <x v="518"/>
    <x v="344"/>
    <m/>
    <x v="480"/>
    <s v="Individual"/>
    <m/>
    <m/>
    <m/>
    <s v=" "/>
    <s v=" "/>
    <m/>
    <s v=" "/>
    <s v=" "/>
    <s v=" "/>
    <m/>
    <s v=" "/>
  </r>
  <r>
    <s v="Fresenius Medical Care"/>
    <s v="525 West St"/>
    <s v="Wind Gap"/>
    <s v="PA"/>
    <n v="1.74"/>
    <n v="1998"/>
    <n v="5100"/>
    <n v="70125"/>
    <n v="13.75"/>
    <d v="2024-03-31T00:00:00"/>
    <n v="3.835616438356164"/>
    <s v="NNN"/>
    <s v="2% annually"/>
    <s v="1, 5yr"/>
    <n v="815000"/>
    <n v="159.8039215686275"/>
    <n v="0.08604294478527608"/>
    <x v="519"/>
    <x v="615"/>
    <s v="Matthews; Hoover"/>
    <x v="190"/>
    <s v="Individual"/>
    <m/>
    <m/>
    <n v="999000"/>
    <n v="0.0701951951951952"/>
    <n v="0.8158158158158159"/>
    <m/>
    <s v=" "/>
    <s v=" "/>
    <s v=" "/>
    <d v="2019-04-11T00:00:00"/>
    <n v="416"/>
  </r>
  <r>
    <s v="Fresenius Medical Care"/>
    <s v="5815 U S Hwy 301 S"/>
    <s v="Four Oaks"/>
    <s v="NC"/>
    <n v="1.230005"/>
    <n v="2005"/>
    <n v="6792"/>
    <n v="141285"/>
    <n v="20.80167844522968"/>
    <d v="2020-12-31T00:00:00"/>
    <n v="0.5917808219178082"/>
    <s v="NN"/>
    <s v="Flat"/>
    <s v="2, 5yr"/>
    <n v="2020000"/>
    <n v="297.4087161366313"/>
    <n v="0.0699430693069307"/>
    <x v="520"/>
    <x v="73"/>
    <s v="JLL; Berman"/>
    <x v="112"/>
    <s v="Fund"/>
    <m/>
    <m/>
    <m/>
    <s v=" "/>
    <s v=" "/>
    <m/>
    <s v=" "/>
    <s v=" "/>
    <s v=" "/>
    <m/>
    <s v=" "/>
  </r>
  <r>
    <s v="Fresenius Medical Care"/>
    <s v="2349 US Hwy 74 W"/>
    <s v="Wadesboro"/>
    <s v="NC"/>
    <n v="1.57"/>
    <n v="2009"/>
    <n v="7765"/>
    <n v="181186.5"/>
    <n v="23.33374114616871"/>
    <d v="2022-06-30T00:00:00"/>
    <n v="2.087671232876712"/>
    <s v="NN"/>
    <s v="Options"/>
    <s v="2, 5yr"/>
    <n v="2290000"/>
    <n v="294.9130714745654"/>
    <n v="0.0791207423580786"/>
    <x v="520"/>
    <x v="73"/>
    <s v="JLL; Berman"/>
    <x v="112"/>
    <s v="Fund"/>
    <m/>
    <m/>
    <m/>
    <s v=" "/>
    <s v=" "/>
    <m/>
    <s v=" "/>
    <s v=" "/>
    <s v=" "/>
    <m/>
    <s v=" "/>
  </r>
  <r>
    <s v="Fresenius Medical Care"/>
    <s v="10 E Moreland Ave"/>
    <s v="Philadelphia"/>
    <s v="PA"/>
    <n v="0.93"/>
    <n v="1939"/>
    <n v="24745"/>
    <m/>
    <s v=" "/>
    <d v="2026-02-28T00:00:00"/>
    <n v="5.756164383561644"/>
    <s v="NN"/>
    <s v="10% every 5"/>
    <s v="2, 5 yr"/>
    <n v="7950000"/>
    <n v="321.2770256617499"/>
    <s v=" "/>
    <x v="520"/>
    <x v="73"/>
    <s v="JLL; Berman"/>
    <x v="112"/>
    <s v="Fund"/>
    <m/>
    <m/>
    <m/>
    <s v=" "/>
    <s v=" "/>
    <m/>
    <s v=" "/>
    <s v=" "/>
    <s v=" "/>
    <m/>
    <s v=" "/>
  </r>
  <r>
    <s v="DaVita Dialysis"/>
    <s v="301 Callowhill St"/>
    <s v="Philadelphia"/>
    <s v="PA"/>
    <n v="0.59"/>
    <n v="1979"/>
    <n v="12500"/>
    <n v="225500"/>
    <n v="18.04"/>
    <d v="2023-09-30T00:00:00"/>
    <n v="3.33972602739726"/>
    <s v="NN"/>
    <s v="Yes"/>
    <s v="-"/>
    <n v="4250000"/>
    <n v="340"/>
    <n v="0.05305882352941176"/>
    <x v="520"/>
    <x v="616"/>
    <s v="Barry Bernsten"/>
    <x v="0"/>
    <s v="Individual"/>
    <m/>
    <m/>
    <n v="6750000"/>
    <n v="0.03340740740740741"/>
    <n v="0.6296296296296297"/>
    <n v="5500000"/>
    <n v="0.041"/>
    <n v="0.01205882352941176"/>
    <s v="Yes"/>
    <d v="2017-09-06T00:00:00"/>
    <n v="996"/>
  </r>
  <r>
    <s v="DaVita Dialysis - MT"/>
    <s v="2545 Flintridge Rd"/>
    <s v="Gainesville"/>
    <s v="GA"/>
    <n v="1.26"/>
    <n v="1999"/>
    <n v="12500"/>
    <m/>
    <s v=" "/>
    <m/>
    <s v=" "/>
    <m/>
    <m/>
    <m/>
    <n v="2000000"/>
    <n v="160"/>
    <s v=" "/>
    <x v="521"/>
    <x v="617"/>
    <m/>
    <x v="481"/>
    <s v="Individual"/>
    <m/>
    <m/>
    <m/>
    <s v=" "/>
    <s v=" "/>
    <m/>
    <s v=" "/>
    <s v=" "/>
    <s v=" "/>
    <m/>
    <s v=" "/>
  </r>
  <r>
    <s v="Fresenius Medical Care"/>
    <s v="12245 Rojas Dr"/>
    <s v="El Paso"/>
    <s v="TX"/>
    <n v="1.5"/>
    <n v="2006"/>
    <n v="9690"/>
    <m/>
    <s v=" "/>
    <d v="2024-09-30T00:00:00"/>
    <n v="4.347945205479452"/>
    <m/>
    <m/>
    <m/>
    <m/>
    <s v=" "/>
    <s v=" "/>
    <x v="521"/>
    <x v="73"/>
    <s v="JLL; Berman"/>
    <x v="112"/>
    <s v="Fund"/>
    <m/>
    <m/>
    <m/>
    <s v=" "/>
    <s v=" "/>
    <m/>
    <s v=" "/>
    <s v=" "/>
    <s v=" "/>
    <m/>
    <s v=" "/>
  </r>
  <r>
    <s v="Fresenius Medical Care"/>
    <s v="5610 SE Grouper Ave"/>
    <s v="Stuart"/>
    <s v="FL"/>
    <n v="1.27"/>
    <n v="2020"/>
    <n v="6088"/>
    <n v="161332"/>
    <n v="26.5"/>
    <d v="2035-01-31T00:00:00"/>
    <n v="14.7041095890411"/>
    <s v="NN"/>
    <s v="1.7% annually"/>
    <s v="3, 5yr"/>
    <n v="2881000"/>
    <n v="473.2260183968463"/>
    <n v="0.05599861159319681"/>
    <x v="522"/>
    <x v="618"/>
    <s v="C&amp;W; Patel"/>
    <x v="482"/>
    <s v="Individual"/>
    <m/>
    <m/>
    <n v="3163373"/>
    <n v="0.05099999272927979"/>
    <n v="0.910736735756422"/>
    <n v="3163373"/>
    <n v="0.05099999272927979"/>
    <n v="0.004998618863917018"/>
    <s v="No"/>
    <d v="2019-10-17T00:00:00"/>
    <n v="218"/>
  </r>
  <r>
    <s v="Fresenius Medical Care"/>
    <s v="1787 FM 3009"/>
    <s v="Schertz"/>
    <s v="TX"/>
    <n v="1.5"/>
    <n v="2020"/>
    <n v="10705"/>
    <n v="280533"/>
    <n v="26.20579168612798"/>
    <m/>
    <s v=" "/>
    <m/>
    <s v="10% every 5 years"/>
    <m/>
    <n v="4900000"/>
    <n v="457.7300326950023"/>
    <n v="0.05725163265306123"/>
    <x v="522"/>
    <x v="520"/>
    <s v="M&amp;M; Mansour"/>
    <x v="483"/>
    <s v="Individual"/>
    <m/>
    <m/>
    <n v="5100600"/>
    <n v="0.055"/>
    <n v="0.9606712935733051"/>
    <n v="5100600"/>
    <n v="0.055"/>
    <n v="0.002251632653061227"/>
    <s v="No"/>
    <d v="2019-12-17T00:00:00"/>
    <n v="157"/>
  </r>
  <r>
    <s v="Fresenius Medical Care"/>
    <s v="5610 SE Grouper Ave"/>
    <s v="Stuart"/>
    <s v="FL"/>
    <n v="1.27"/>
    <n v="2019"/>
    <n v="5985"/>
    <m/>
    <s v=" "/>
    <m/>
    <s v=" "/>
    <m/>
    <m/>
    <m/>
    <n v="2880929"/>
    <n v="481.3582289055973"/>
    <s v=" "/>
    <x v="522"/>
    <x v="618"/>
    <m/>
    <x v="0"/>
    <s v="Individual"/>
    <m/>
    <m/>
    <m/>
    <s v=" "/>
    <s v=" "/>
    <m/>
    <s v=" "/>
    <s v=" "/>
    <s v=" "/>
    <m/>
    <s v=" "/>
  </r>
  <r>
    <s v="Fresenius Medical Care"/>
    <s v="5476 Mobile Hwy"/>
    <s v="Bellview, Pensacola"/>
    <s v="FL"/>
    <n v="1.03"/>
    <n v="2017"/>
    <n v="6803"/>
    <m/>
    <s v=" "/>
    <m/>
    <s v=" "/>
    <m/>
    <m/>
    <m/>
    <m/>
    <s v=" "/>
    <s v=" "/>
    <x v="523"/>
    <x v="619"/>
    <s v="Colliers International"/>
    <x v="305"/>
    <s v="Fund"/>
    <m/>
    <m/>
    <m/>
    <s v=" "/>
    <s v=" "/>
    <m/>
    <s v=" "/>
    <s v=" "/>
    <s v=" "/>
    <m/>
    <s v=" "/>
  </r>
  <r>
    <s v="Fresenius Medical Care"/>
    <s v="315 Green Acres Rd"/>
    <s v="Fort Walton Beach"/>
    <s v="FL"/>
    <n v="1"/>
    <n v="2018"/>
    <n v="7888"/>
    <m/>
    <s v=" "/>
    <m/>
    <s v=" "/>
    <m/>
    <m/>
    <m/>
    <m/>
    <s v=" "/>
    <s v=" "/>
    <x v="523"/>
    <x v="619"/>
    <s v="Colliers International"/>
    <x v="305"/>
    <s v="Fund"/>
    <m/>
    <m/>
    <m/>
    <s v=" "/>
    <s v=" "/>
    <m/>
    <s v=" "/>
    <s v=" "/>
    <s v=" "/>
    <m/>
    <s v=" "/>
  </r>
  <r>
    <s v="Salt&amp;Water FL MOB Portfolio 2020"/>
    <s v="3 of 3 properties"/>
    <m/>
    <m/>
    <m/>
    <m/>
    <n v="35224"/>
    <m/>
    <s v=" "/>
    <m/>
    <s v=" "/>
    <m/>
    <m/>
    <m/>
    <m/>
    <s v=" "/>
    <s v=" "/>
    <x v="523"/>
    <x v="619"/>
    <s v="Colliers International"/>
    <x v="305"/>
    <s v="Fund"/>
    <m/>
    <m/>
    <m/>
    <s v=" "/>
    <s v=" "/>
    <m/>
    <s v=" "/>
    <s v=" "/>
    <s v=" "/>
    <m/>
    <s v=" "/>
  </r>
  <r>
    <s v="U.S. Renal Care"/>
    <s v="200 W 2 Mile Rd"/>
    <s v="Mission "/>
    <s v="TX"/>
    <n v="1.11"/>
    <n v="2017"/>
    <n v="9093"/>
    <n v="154916"/>
    <n v="17.03684152644892"/>
    <d v="2027-10-31T00:00:00"/>
    <n v="7.484931506849315"/>
    <s v="Absolute NNN"/>
    <s v="2.5% annually"/>
    <s v="2, 5yr"/>
    <n v="2380000"/>
    <n v="261.7397998460354"/>
    <n v="0.06509075630252101"/>
    <x v="524"/>
    <x v="73"/>
    <s v="SJC; Briggs"/>
    <x v="484"/>
    <s v="Individual"/>
    <m/>
    <m/>
    <n v="2458990"/>
    <n v="0.0629998495317183"/>
    <n v="0.9678770552137259"/>
    <n v="2458990"/>
    <n v="0.0629998495317183"/>
    <n v="0.002090906770802703"/>
    <s v="No"/>
    <d v="2020-02-11T00:00:00"/>
    <n v="87"/>
  </r>
  <r>
    <s v="Fresenius Medical Care"/>
    <s v="112 Village Walk"/>
    <s v="Dallas"/>
    <s v="GA"/>
    <n v="0.74"/>
    <n v="2018"/>
    <n v="5574"/>
    <n v="139432"/>
    <n v="25.01471115895228"/>
    <d v="2034-02-28T00:00:00"/>
    <n v="13.82191780821918"/>
    <s v="NN"/>
    <s v="1.7% annually; FMV at each option"/>
    <s v="3, 5yr"/>
    <n v="2320000"/>
    <n v="416.2181557229997"/>
    <n v="0.0601"/>
    <x v="525"/>
    <x v="620"/>
    <s v="Kase; Abusharkh"/>
    <x v="485"/>
    <s v="Individual"/>
    <m/>
    <m/>
    <n v="2320000"/>
    <n v="0.0601"/>
    <n v="1"/>
    <n v="2320000"/>
    <n v="0.0601"/>
    <n v="0"/>
    <s v="No"/>
    <d v="2020-02-07T00:00:00"/>
    <n v="90"/>
  </r>
  <r>
    <s v="DaVita Dialysis"/>
    <s v="1117 Arlington Ave N"/>
    <s v="Saint Petersburg"/>
    <s v="FL"/>
    <n v="0.64"/>
    <n v="1948"/>
    <n v="7042"/>
    <n v="119714"/>
    <n v="17"/>
    <d v="2025-12-31T00:00:00"/>
    <n v="5.66027397260274"/>
    <s v="NN"/>
    <s v="10% every 5 years"/>
    <s v="2, 5yr"/>
    <n v="1700000"/>
    <n v="241.4086907128656"/>
    <n v="0.07042"/>
    <x v="526"/>
    <x v="621"/>
    <s v="SVN; Jamison"/>
    <x v="486"/>
    <s v="Individual"/>
    <m/>
    <m/>
    <n v="1777500"/>
    <n v="0.06734964838255977"/>
    <n v="0.9563994374120957"/>
    <n v="1777500"/>
    <n v="0.06734964838255977"/>
    <n v="0.003070351617440223"/>
    <s v="No"/>
    <d v="2020-01-08T00:00:00"/>
    <n v="118"/>
  </r>
  <r>
    <s v="U.S. Renal Care"/>
    <s v="Portfolio of 11"/>
    <s v="Dallas"/>
    <s v="TX"/>
    <m/>
    <m/>
    <n v="99039"/>
    <m/>
    <s v=" "/>
    <m/>
    <s v=" "/>
    <m/>
    <m/>
    <m/>
    <n v="26922700"/>
    <n v="271.8393764072739"/>
    <s v=" "/>
    <x v="526"/>
    <x v="622"/>
    <s v="JLL"/>
    <x v="487"/>
    <s v="Individual"/>
    <m/>
    <m/>
    <m/>
    <s v=" "/>
    <s v=" "/>
    <m/>
    <s v=" "/>
    <s v=" "/>
    <s v=" "/>
    <m/>
    <s v=" "/>
  </r>
  <r>
    <s v="DaVita Dialysis"/>
    <s v="22555 Alessandro Blvd"/>
    <s v="Moreno Valley"/>
    <s v="CA"/>
    <n v="1.510009"/>
    <n v="2007"/>
    <n v="14616"/>
    <m/>
    <s v=" "/>
    <m/>
    <s v=" "/>
    <m/>
    <m/>
    <m/>
    <n v="7000000"/>
    <n v="478.9272030651341"/>
    <s v=" "/>
    <x v="527"/>
    <x v="623"/>
    <s v="CBRE"/>
    <x v="488"/>
    <s v="Individual"/>
    <s v="Berkshire Hathaway Real Estate Services"/>
    <m/>
    <m/>
    <s v=" "/>
    <s v=" "/>
    <m/>
    <s v=" "/>
    <s v=" "/>
    <s v=" "/>
    <m/>
    <s v=" "/>
  </r>
  <r>
    <s v="US Renal Care"/>
    <m/>
    <s v="Portfolio of 11"/>
    <s v="TX"/>
    <n v="10.96"/>
    <m/>
    <n v="98887"/>
    <m/>
    <s v=" "/>
    <m/>
    <s v=" "/>
    <m/>
    <m/>
    <m/>
    <n v="26922700"/>
    <n v="272.2572228907743"/>
    <s v=" "/>
    <x v="527"/>
    <x v="624"/>
    <m/>
    <x v="487"/>
    <s v="Fund"/>
    <m/>
    <m/>
    <m/>
    <s v=" "/>
    <s v=" "/>
    <m/>
    <s v=" "/>
    <s v=" "/>
    <s v=" "/>
    <m/>
    <s v=" "/>
  </r>
  <r>
    <s v="DaVita Dialysis"/>
    <s v="400 Centre View Blvd"/>
    <s v="Crestview Hills"/>
    <s v="KY"/>
    <n v="1.89"/>
    <n v="2016"/>
    <n v="7700"/>
    <n v="130900"/>
    <n v="17"/>
    <d v="2031-11-30T00:00:00"/>
    <n v="11.61095890410959"/>
    <s v="NNN"/>
    <s v="10% every 5 years"/>
    <s v="2, 5yr"/>
    <m/>
    <s v=" "/>
    <s v=" "/>
    <x v="528"/>
    <x v="351"/>
    <s v="M&amp;M; Glass"/>
    <x v="489"/>
    <s v="Individual"/>
    <m/>
    <m/>
    <n v="2276522"/>
    <n v="0.05749999341100152"/>
    <s v=" "/>
    <n v="2276522"/>
    <n v="0.05749999341100152"/>
    <s v=" "/>
    <s v="No"/>
    <d v="2019-12-06T00:00:00"/>
    <n v="139"/>
  </r>
  <r>
    <s v="Fresenius Medical Care"/>
    <s v="701 Tiffin Street"/>
    <s v="Bucyrus"/>
    <s v="OH"/>
    <n v="0.66"/>
    <n v="1996"/>
    <n v="4782"/>
    <n v="95022"/>
    <n v="19.87076537013802"/>
    <d v="2033-12-31T00:00:00"/>
    <n v="13.7013698630137"/>
    <s v="Absolute NNN"/>
    <s v="Annual CPI Increases (Capped at 2%)"/>
    <s v="3, 5yr"/>
    <m/>
    <s v=" "/>
    <s v=" "/>
    <x v="529"/>
    <x v="351"/>
    <s v="M&amp;M; Glass"/>
    <x v="490"/>
    <s v="Individual"/>
    <m/>
    <m/>
    <n v="1624278"/>
    <n v="0.05850106939821878"/>
    <s v=" "/>
    <n v="1652659"/>
    <n v="0.05749643453368179"/>
    <s v=" "/>
    <s v="Yes"/>
    <d v="2019-04-25T00:00:00"/>
    <n v="363"/>
  </r>
  <r>
    <s v="DaVita Dialysis"/>
    <s v="1704 Wayne Memorial Drive"/>
    <s v="Goldsboro"/>
    <s v="NC"/>
    <n v="1.66"/>
    <n v="2016"/>
    <n v="5960"/>
    <n v="125160"/>
    <n v="21"/>
    <d v="2032-09-30T00:00:00"/>
    <n v="12.46301369863014"/>
    <s v="NNN"/>
    <s v="10% every 5 years"/>
    <s v="2, 5yr"/>
    <n v="2086000"/>
    <n v="350"/>
    <n v="0.06"/>
    <x v="530"/>
    <x v="351"/>
    <s v="M&amp;M; Glass"/>
    <x v="491"/>
    <s v="Individual"/>
    <m/>
    <m/>
    <n v="2086000"/>
    <n v="0.06"/>
    <n v="1"/>
    <n v="2086000"/>
    <n v="0.06"/>
    <n v="0"/>
    <s v="No"/>
    <d v="2019-12-09T00:00:00"/>
    <n v="130"/>
  </r>
  <r>
    <s v="Fresenius Medical Care"/>
    <s v="2735 E Tudor Rd"/>
    <s v="Anchorage"/>
    <s v="AK"/>
    <n v="1.02"/>
    <n v="2019"/>
    <n v="17890"/>
    <m/>
    <s v=" "/>
    <m/>
    <s v=" "/>
    <m/>
    <m/>
    <m/>
    <m/>
    <s v=" "/>
    <s v=" "/>
    <x v="530"/>
    <x v="73"/>
    <m/>
    <x v="492"/>
    <s v="Fund"/>
    <m/>
    <m/>
    <m/>
    <s v=" "/>
    <s v=" "/>
    <m/>
    <s v=" "/>
    <s v=" "/>
    <s v=" "/>
    <m/>
    <s v=" "/>
  </r>
  <r>
    <s v="DaVita Dialysis"/>
    <s v="5933 N Broad St"/>
    <s v="Philadelphia"/>
    <s v="PA"/>
    <n v="0.43"/>
    <n v="1925"/>
    <n v="11526"/>
    <n v="230520"/>
    <n v="20"/>
    <d v="2031-11-29T00:00:00"/>
    <n v="11.62465753424657"/>
    <s v="NN"/>
    <s v="10% every 5 years"/>
    <s v="3, 5yr"/>
    <n v="3842000"/>
    <n v="333.3333333333333"/>
    <n v="0.06"/>
    <x v="530"/>
    <x v="351"/>
    <s v="M&amp;M; Glass"/>
    <x v="493"/>
    <s v="Individual"/>
    <m/>
    <m/>
    <n v="3842000"/>
    <n v="0.06"/>
    <n v="1"/>
    <n v="3842000"/>
    <n v="0.06"/>
    <n v="0"/>
    <s v="No"/>
    <d v="2019-12-06T00:00:00"/>
    <n v="133"/>
  </r>
  <r>
    <s v="DaVita Dialysis"/>
    <s v="10211 Long Beach Blvd"/>
    <s v="Lynwood"/>
    <s v="CA"/>
    <n v="0.8775712"/>
    <n v="2019"/>
    <n v="11468"/>
    <m/>
    <s v=" "/>
    <d v="2035-04-30T00:00:00"/>
    <n v="15.05205479452055"/>
    <s v="NN"/>
    <s v="10% every 5"/>
    <s v="3, 5yr"/>
    <n v="10781000"/>
    <n v="940.0941750959191"/>
    <s v=" "/>
    <x v="531"/>
    <x v="5"/>
    <s v="CBRE; Smyth &amp; Colliers; Patel"/>
    <x v="494"/>
    <s v="Individual"/>
    <s v="M&amp;M;"/>
    <m/>
    <m/>
    <s v=" "/>
    <s v=" "/>
    <m/>
    <s v=" "/>
    <s v=" "/>
    <s v=" "/>
    <m/>
    <s v=" "/>
  </r>
  <r>
    <s v="Fresenius Medical Care"/>
    <s v="861 W James Campbell Blvd"/>
    <s v="Columbia"/>
    <s v="TN"/>
    <n v="1.93"/>
    <n v="2007"/>
    <n v="14514"/>
    <n v="254402.5000000001"/>
    <n v="17.52807634008544"/>
    <d v="2025-02-28T00:00:00"/>
    <n v="4.890410958904109"/>
    <s v="NN"/>
    <s v="10% every 5"/>
    <s v="3, 5 yr"/>
    <n v="3450000"/>
    <n v="237.7015295576685"/>
    <n v="0.07373985507246379"/>
    <x v="532"/>
    <x v="625"/>
    <s v="M&amp;M;"/>
    <x v="267"/>
    <s v="Fund"/>
    <m/>
    <m/>
    <m/>
    <s v=" "/>
    <s v=" "/>
    <m/>
    <s v=" "/>
    <s v=" "/>
    <s v=" "/>
    <m/>
    <s v=" "/>
  </r>
  <r>
    <s v="Fresenius Medical Care"/>
    <s v="716 Grand Ave"/>
    <s v="Yazoo City"/>
    <s v="MS"/>
    <n v="0.66"/>
    <n v="1992"/>
    <n v="5650"/>
    <n v="81359"/>
    <n v="14.39982300884956"/>
    <d v="2022-10-01T00:00:00"/>
    <n v="2.484931506849315"/>
    <s v="NN"/>
    <s v="3% after second year"/>
    <s v="2, 5yr"/>
    <n v="929817"/>
    <n v="164.5693805309735"/>
    <n v="0.08750001344350555"/>
    <x v="533"/>
    <x v="626"/>
    <s v="M&amp;M; Davis"/>
    <x v="105"/>
    <s v="Individual"/>
    <m/>
    <m/>
    <n v="1050000"/>
    <n v="0.0774847619047619"/>
    <n v="0.88554"/>
    <n v="990000"/>
    <n v="0.08218080808080808"/>
    <n v="0.005319205362697477"/>
    <s v="Yes"/>
    <d v="2019-07-08T00:00:00"/>
    <n v="274"/>
  </r>
  <r>
    <s v="DaVita Dialysis"/>
    <s v="805-815 N Beckley Ave"/>
    <s v="Dallas"/>
    <s v="TX"/>
    <n v="1.29"/>
    <n v="2007"/>
    <n v="8000"/>
    <m/>
    <s v=" "/>
    <m/>
    <s v=" "/>
    <m/>
    <m/>
    <m/>
    <n v="2082687.8"/>
    <n v="260.335975"/>
    <s v=" "/>
    <x v="533"/>
    <x v="627"/>
    <s v="AY;"/>
    <x v="495"/>
    <s v="Individual"/>
    <m/>
    <s v="The Mitchell Companies"/>
    <m/>
    <s v=" "/>
    <s v=" "/>
    <m/>
    <s v=" "/>
    <s v=" "/>
    <s v=" "/>
    <m/>
    <s v=" "/>
  </r>
  <r>
    <s v="Sherry Trust TX Medical Office Portfolio 2020"/>
    <s v="3 of 3 properties"/>
    <m/>
    <m/>
    <m/>
    <m/>
    <n v="23820"/>
    <m/>
    <s v=" "/>
    <m/>
    <s v=" "/>
    <m/>
    <m/>
    <m/>
    <n v="8100000"/>
    <n v="340.0503778337531"/>
    <s v=" "/>
    <x v="533"/>
    <x v="627"/>
    <s v="AY;"/>
    <x v="495"/>
    <s v="Individual"/>
    <m/>
    <m/>
    <m/>
    <s v=" "/>
    <s v=" "/>
    <m/>
    <s v=" "/>
    <s v=" "/>
    <s v=" "/>
    <m/>
    <s v=" "/>
  </r>
  <r>
    <s v="Fresenius Medical Care"/>
    <s v="2915 Saulsbury Dr"/>
    <s v="Temple"/>
    <s v="TX"/>
    <n v="1.07"/>
    <n v="1999"/>
    <n v="6000"/>
    <n v="0"/>
    <s v=" "/>
    <d v="2019-07-31T00:00:00"/>
    <n v="-0.673972602739726"/>
    <s v="NN"/>
    <s v="1.7% annually"/>
    <s v="2, 5 yr"/>
    <m/>
    <s v=" "/>
    <s v=" "/>
    <x v="534"/>
    <x v="628"/>
    <s v="PH: Peranich &amp; Huffman"/>
    <x v="496"/>
    <s v="Individual"/>
    <m/>
    <m/>
    <m/>
    <s v=" "/>
    <s v=" "/>
    <m/>
    <s v=" "/>
    <s v=" "/>
    <s v=" "/>
    <m/>
    <s v=" "/>
  </r>
  <r>
    <s v="DaVita Dialysis"/>
    <s v="1117 Hazel Street"/>
    <s v="Pella"/>
    <s v="IA"/>
    <n v="1"/>
    <n v="2017"/>
    <n v="5427"/>
    <n v="156578.9975"/>
    <n v="28.85185139119219"/>
    <d v="2033-01-27T00:00:00"/>
    <n v="12.83561643835616"/>
    <s v="NN"/>
    <s v="10% every 5 years"/>
    <s v="2, 5yr"/>
    <n v="2609657"/>
    <n v="480.8654873779252"/>
    <n v="0.05999983810132902"/>
    <x v="535"/>
    <x v="66"/>
    <s v="SJC; Briggs"/>
    <x v="497"/>
    <s v="Individual"/>
    <m/>
    <m/>
    <n v="2723113"/>
    <n v="0.0575"/>
    <n v="0.9583359192218611"/>
    <n v="2723113"/>
    <n v="0.0575"/>
    <n v="0.002499838101329019"/>
    <s v="No"/>
    <d v="2019-02-05T00:00:00"/>
    <n v="420"/>
  </r>
  <r>
    <s v="DaVita Dialysis"/>
    <s v="1625 Unity Way NW"/>
    <s v="Winter Haven"/>
    <s v="FL"/>
    <m/>
    <n v="2016"/>
    <n v="6416"/>
    <n v="127800"/>
    <n v="19.91895261845386"/>
    <d v="2031-11-30T00:00:00"/>
    <n v="11.67397260273973"/>
    <s v="NNN"/>
    <s v="10% every 5 years"/>
    <s v="2, 5yr"/>
    <n v="2130000"/>
    <n v="331.9825436408977"/>
    <n v="0.06"/>
    <x v="535"/>
    <x v="351"/>
    <s v="M&amp;M; Glass"/>
    <x v="410"/>
    <s v="Individual"/>
    <m/>
    <m/>
    <n v="2130000"/>
    <n v="0.06"/>
    <n v="1"/>
    <n v="2130000"/>
    <n v="0.06"/>
    <n v="0"/>
    <s v="No"/>
    <d v="2019-12-11T00:00:00"/>
    <n v="111"/>
  </r>
  <r>
    <s v="Fresenius Medical Care"/>
    <s v="1338 E Sunset Dr"/>
    <s v="Monroe"/>
    <s v="NC"/>
    <n v="1.71"/>
    <n v="2000"/>
    <n v="16160"/>
    <n v="249456.6835275149"/>
    <n v="15.43667596086107"/>
    <d v="2024-09-30T00:00:00"/>
    <n v="4.50958904109589"/>
    <s v="NN"/>
    <s v="1.7% annually"/>
    <s v="3, 5 yr"/>
    <n v="3810000"/>
    <n v="235.7673267326733"/>
    <n v="0.06547419515157871"/>
    <x v="536"/>
    <x v="73"/>
    <s v="JLL; Bowman"/>
    <x v="112"/>
    <s v="Fund"/>
    <m/>
    <m/>
    <m/>
    <s v=" "/>
    <s v=" "/>
    <m/>
    <s v=" "/>
    <s v=" "/>
    <s v=" "/>
    <m/>
    <s v=" "/>
  </r>
  <r>
    <s v="DaVita Dialysis"/>
    <s v="481 Shiloh Rd"/>
    <s v="Plano"/>
    <s v="TX"/>
    <n v="1.29"/>
    <n v="2008"/>
    <n v="8436"/>
    <n v="204000"/>
    <n v="24.18207681365576"/>
    <d v="2022-10-31T00:00:00"/>
    <n v="2.597260273972603"/>
    <s v="NNN"/>
    <m/>
    <m/>
    <n v="3382027"/>
    <n v="400.9041014698909"/>
    <n v="0.06031885611794347"/>
    <x v="537"/>
    <x v="629"/>
    <s v="AY; Barnes"/>
    <x v="498"/>
    <s v="Individual"/>
    <m/>
    <m/>
    <n v="3400000"/>
    <n v="0.06"/>
    <n v="0.9947138235294117"/>
    <n v="3400000"/>
    <n v="0.06"/>
    <n v="0.0003188561179434737"/>
    <s v="No"/>
    <d v="2019-09-13T00:00:00"/>
    <n v="196"/>
  </r>
  <r>
    <s v="DaVita Dialysis"/>
    <s v="776 E Centerville Rd"/>
    <s v="Garland"/>
    <s v="TX"/>
    <n v="0.8"/>
    <n v="1992"/>
    <n v="7400"/>
    <n v="170500"/>
    <n v="23.04054054054054"/>
    <d v="2026-11-30T00:00:00"/>
    <n v="6.682191780821918"/>
    <s v="NNN"/>
    <s v="3% annually"/>
    <s v="4, 5yr"/>
    <n v="2553498"/>
    <n v="345.0672972972973"/>
    <n v="0.06677115079001432"/>
    <x v="537"/>
    <x v="629"/>
    <s v="AY; Barnes"/>
    <x v="498"/>
    <s v="Individual"/>
    <m/>
    <m/>
    <n v="3100000"/>
    <n v="0.055"/>
    <n v="0.8237090322580645"/>
    <n v="3100000"/>
    <n v="0.055"/>
    <n v="0.01177115079001432"/>
    <s v="No"/>
    <d v="2019-09-13T00:00:00"/>
    <n v="196"/>
  </r>
  <r>
    <s v="DaVita Dialysis"/>
    <s v="805-815 N Beckley Ave"/>
    <s v="Dallas"/>
    <s v="TX"/>
    <n v="1.29"/>
    <n v="2007"/>
    <n v="7954"/>
    <n v="170500"/>
    <n v="21.43575559466935"/>
    <d v="2027-02-28T00:00:00"/>
    <n v="6.928767123287671"/>
    <s v="NNN"/>
    <s v="-"/>
    <s v="-"/>
    <n v="2164475"/>
    <n v="272.1240885089263"/>
    <n v="0.07877198858845678"/>
    <x v="537"/>
    <x v="629"/>
    <s v="AY; Barnes"/>
    <x v="498"/>
    <s v="Individual"/>
    <m/>
    <m/>
    <n v="3100000"/>
    <n v="0.055"/>
    <n v="0.6982177419354839"/>
    <n v="3100000"/>
    <n v="0.055"/>
    <n v="0.02377198858845678"/>
    <s v="No"/>
    <d v="2019-09-13T00:00:00"/>
    <n v="196"/>
  </r>
  <r>
    <s v="DaVita Dialysis"/>
    <s v="2000 S Llewellyn Ave"/>
    <s v="Dallas"/>
    <s v="TX"/>
    <n v="1.07"/>
    <n v="2004"/>
    <n v="6000"/>
    <m/>
    <s v=" "/>
    <m/>
    <s v=" "/>
    <m/>
    <m/>
    <m/>
    <n v="9000000"/>
    <n v="1500"/>
    <s v=" "/>
    <x v="537"/>
    <x v="630"/>
    <s v="AY; Barnes"/>
    <x v="0"/>
    <s v="Individual"/>
    <m/>
    <m/>
    <m/>
    <s v=" "/>
    <s v=" "/>
    <m/>
    <s v=" "/>
    <s v=" "/>
    <s v=" "/>
    <m/>
    <s v=" "/>
  </r>
  <r>
    <s v="American Renal"/>
    <s v="3511 Medical Drive"/>
    <s v="Columbia"/>
    <s v="SC"/>
    <n v="1.43"/>
    <n v="2001"/>
    <n v="8342"/>
    <n v="124500"/>
    <n v="14.92447854231599"/>
    <d v="2030-05-31T00:00:00"/>
    <n v="10.18630136986301"/>
    <s v="NN"/>
    <s v="2% annually"/>
    <m/>
    <n v="1725000"/>
    <n v="206.7849436585951"/>
    <n v="0.07217391304347825"/>
    <x v="538"/>
    <x v="631"/>
    <s v="NAI; Adams"/>
    <x v="499"/>
    <s v="Individual"/>
    <m/>
    <m/>
    <n v="1915384"/>
    <n v="0.06500002088354084"/>
    <n v="0.900602698988819"/>
    <n v="1778571"/>
    <n v="0.07000001686747394"/>
    <n v="0.002173896176004317"/>
    <s v="Yes"/>
    <d v="2019-09-24T00:00:00"/>
    <n v="184"/>
  </r>
  <r>
    <s v="DaVita Dialysis"/>
    <s v="200 Burley Ave"/>
    <s v="Hopkinsville"/>
    <s v="KY"/>
    <n v="0.76"/>
    <n v="2001"/>
    <n v="5132"/>
    <n v="85800"/>
    <n v="16.71862821512081"/>
    <d v="2024-01-31T00:00:00"/>
    <n v="3.854794520547945"/>
    <s v="NN"/>
    <s v="2% annually"/>
    <s v="3, 5 yr"/>
    <n v="1250000"/>
    <n v="243.5697583787997"/>
    <n v="0.06864000000000001"/>
    <x v="539"/>
    <x v="632"/>
    <s v="SVN; Snyder "/>
    <x v="500"/>
    <s v="Individual"/>
    <s v="Lee; Naples"/>
    <m/>
    <n v="1300000"/>
    <n v="0.066"/>
    <n v="0.9615384615384616"/>
    <n v="1300000"/>
    <n v="0.066"/>
    <n v="0.002640000000000003"/>
    <s v="No"/>
    <d v="2019-07-22T00:00:00"/>
    <n v="247"/>
  </r>
  <r>
    <s v="Fresenius Medical Care"/>
    <s v="1946 Grand Ave"/>
    <s v="Granite City"/>
    <s v="IL"/>
    <n v="0.41"/>
    <n v="2020"/>
    <n v="5742"/>
    <n v="160275"/>
    <n v="27.91274817136886"/>
    <m/>
    <s v=" "/>
    <m/>
    <m/>
    <m/>
    <n v="2900000"/>
    <n v="505.050505050505"/>
    <n v="0.05526724137931034"/>
    <x v="540"/>
    <x v="633"/>
    <s v="M&amp;M; Mansour"/>
    <x v="501"/>
    <s v="Individual"/>
    <m/>
    <m/>
    <n v="2914000"/>
    <n v="0.05500171585449554"/>
    <n v="0.9951956074124915"/>
    <n v="2914000"/>
    <n v="0.05500171585449554"/>
    <n v="0.0002655255248148053"/>
    <s v="No"/>
    <d v="2019-12-17T00:00:00"/>
    <n v="98"/>
  </r>
  <r>
    <s v="Fresenius Medical Care"/>
    <s v="503 Cagan View Rd"/>
    <s v="Clermont"/>
    <s v="FL"/>
    <m/>
    <n v="2019"/>
    <n v="14515"/>
    <m/>
    <s v=" "/>
    <m/>
    <s v=" "/>
    <m/>
    <m/>
    <m/>
    <n v="5712000"/>
    <n v="393.5239407509473"/>
    <s v=" "/>
    <x v="541"/>
    <x v="634"/>
    <s v="JLL"/>
    <x v="502"/>
    <s v="Individual"/>
    <m/>
    <m/>
    <m/>
    <s v=" "/>
    <s v=" "/>
    <m/>
    <s v=" "/>
    <s v=" "/>
    <s v=" "/>
    <m/>
    <s v=" "/>
  </r>
  <r>
    <s v="Fresenius Medical Care"/>
    <s v="107 Ridgewood Circle"/>
    <s v="Kosciusko"/>
    <s v="MS"/>
    <n v="1.01"/>
    <n v="1995"/>
    <n v="7101"/>
    <n v="85993"/>
    <n v="12.10998450922405"/>
    <d v="2029-05-30T00:00:00"/>
    <n v="9.191780821917808"/>
    <s v="NN"/>
    <s v="10% every 5 years"/>
    <s v="2, 5yr"/>
    <n v="1280000"/>
    <n v="180.2563019293057"/>
    <n v="0.06718203125"/>
    <x v="541"/>
    <x v="254"/>
    <s v="PH: Peranich &amp; Huffman"/>
    <x v="503"/>
    <s v="Individual"/>
    <m/>
    <m/>
    <n v="1323000"/>
    <n v="0.06499848828420257"/>
    <n v="0.9674981103552532"/>
    <n v="1323000"/>
    <n v="0.06499848828420257"/>
    <n v="0.002183542965797425"/>
    <s v="No"/>
    <d v="2020-01-06T00:00:00"/>
    <n v="77"/>
  </r>
  <r>
    <s v="Fresenius Medical Care - Condo"/>
    <s v="3943 New Bern Ave"/>
    <s v="Raleigh"/>
    <s v="NC"/>
    <s v="-"/>
    <n v="1987"/>
    <n v="18100"/>
    <n v="179190"/>
    <n v="9.9"/>
    <d v="2025-01-31T00:00:00"/>
    <n v="4.871232876712329"/>
    <s v="NN"/>
    <s v="10% every 5 years"/>
    <s v="2, 5yr"/>
    <n v="2400000"/>
    <n v="132.5966850828729"/>
    <n v="0.07466250000000001"/>
    <x v="542"/>
    <x v="635"/>
    <s v="Jack Farritor"/>
    <x v="504"/>
    <s v="Individual"/>
    <s v="PH: Peranich &amp; Huffman"/>
    <m/>
    <n v="2559857"/>
    <n v="0.07000000390646821"/>
    <n v="0.9375523710894789"/>
    <n v="2559857"/>
    <n v="0.07000000390646821"/>
    <n v="0.004662496093531796"/>
    <s v="No"/>
    <d v="2019-12-13T00:00:00"/>
    <n v="98"/>
  </r>
  <r>
    <s v="Fresenius Medical Care"/>
    <s v="1946 Grand Ave"/>
    <s v="Granite City"/>
    <s v="IL"/>
    <n v="0.4132231"/>
    <n v="2019"/>
    <n v="5742"/>
    <n v="160275"/>
    <n v="27.91274817136886"/>
    <m/>
    <s v=" "/>
    <m/>
    <m/>
    <m/>
    <n v="2900000"/>
    <n v="505.050505050505"/>
    <n v="0.05526724137931034"/>
    <x v="543"/>
    <x v="636"/>
    <s v="M&amp;M;"/>
    <x v="505"/>
    <s v="Individual"/>
    <s v="M&amp;M;"/>
    <m/>
    <m/>
    <s v=" "/>
    <s v=" "/>
    <m/>
    <s v=" "/>
    <s v=" "/>
    <s v=" "/>
    <m/>
    <s v=" "/>
  </r>
  <r>
    <s v="Fresenius Medical Care"/>
    <s v="122 Hospital Drive"/>
    <s v="Tarboro"/>
    <s v="NC"/>
    <n v="2.3"/>
    <n v="2017"/>
    <n v="10984"/>
    <n v="284632"/>
    <n v="25.91332847778587"/>
    <d v="2032-04-30T00:00:00"/>
    <n v="12.13150684931507"/>
    <s v="NN"/>
    <s v="10% every 5 years"/>
    <s v="3, 5yr"/>
    <n v="4358500"/>
    <n v="396.8044428259286"/>
    <n v="0.06530503613628542"/>
    <x v="544"/>
    <x v="637"/>
    <s v="PH: Peranich &amp; Huffman"/>
    <x v="506"/>
    <s v="Individual"/>
    <m/>
    <m/>
    <n v="4590838"/>
    <n v="0.06200000958430683"/>
    <n v="0.9493909390834527"/>
    <n v="4590838"/>
    <n v="0.06200000958430683"/>
    <n v="0.003305026551978597"/>
    <s v="No"/>
    <d v="2020-01-08T00:00:00"/>
    <n v="68"/>
  </r>
  <r>
    <s v="Fresenius Medical Care"/>
    <s v="278 Industrial Park Rd"/>
    <s v="Pottsville"/>
    <s v="PA"/>
    <n v="1.15"/>
    <m/>
    <n v="11400"/>
    <n v="162500"/>
    <n v="14.25438596491228"/>
    <m/>
    <s v=" "/>
    <m/>
    <m/>
    <m/>
    <n v="1250000"/>
    <n v="109.6491228070175"/>
    <n v="0.13"/>
    <x v="544"/>
    <x v="638"/>
    <s v="Matthews; Hoover"/>
    <x v="507"/>
    <s v="Individual"/>
    <m/>
    <m/>
    <m/>
    <s v=" "/>
    <s v=" "/>
    <m/>
    <s v=" "/>
    <s v=" "/>
    <s v=" "/>
    <m/>
    <s v=" "/>
  </r>
  <r>
    <s v="DaVita Dialysis"/>
    <s v="231 Hillcrest Drive "/>
    <s v="Clarksville"/>
    <s v="TN"/>
    <n v="0.72"/>
    <n v="2016"/>
    <n v="4968"/>
    <n v="99360"/>
    <n v="20"/>
    <d v="2031-11-30T00:00:00"/>
    <n v="11.71506849315069"/>
    <s v="NNN"/>
    <s v="10% every 5 years"/>
    <s v="2, 5yr"/>
    <n v="1656000"/>
    <n v="333.3333333333333"/>
    <n v="0.06"/>
    <x v="544"/>
    <x v="351"/>
    <s v="M&amp;M; Glass"/>
    <x v="508"/>
    <s v="Individual"/>
    <m/>
    <m/>
    <n v="1656000"/>
    <n v="0.06"/>
    <n v="1"/>
    <n v="1656000"/>
    <n v="0.06"/>
    <n v="0"/>
    <s v="No"/>
    <d v="2019-12-06T00:00:00"/>
    <n v="101"/>
  </r>
  <r>
    <s v="Fresenius Medical Care"/>
    <s v="725 N Seminary St"/>
    <s v="Galesburg"/>
    <s v="IL"/>
    <n v="1.36"/>
    <n v="2018"/>
    <n v="10094"/>
    <n v="187550"/>
    <n v="18.58034475926293"/>
    <d v="2034-01-31T00:00:00"/>
    <n v="13.88767123287671"/>
    <s v="NN"/>
    <s v="3, 5yr"/>
    <s v="3% annually"/>
    <n v="3550000"/>
    <n v="351.6940756885278"/>
    <n v="0.05283098591549296"/>
    <x v="544"/>
    <x v="639"/>
    <s v="M&amp;M; Gould"/>
    <x v="509"/>
    <s v="Individual"/>
    <m/>
    <m/>
    <n v="3675000"/>
    <n v="0.05103401360544218"/>
    <n v="0.9659863945578231"/>
    <n v="3675000"/>
    <n v="0.05103401360544218"/>
    <n v="0.001796972310050778"/>
    <s v="No"/>
    <d v="2019-11-08T00:00:00"/>
    <n v="129"/>
  </r>
  <r>
    <s v="DaVita Dialysis"/>
    <s v="105 Michael Martin Road"/>
    <s v="Mount Olive"/>
    <s v="NC"/>
    <n v="1.02"/>
    <n v="2016"/>
    <n v="7307"/>
    <n v="109605"/>
    <n v="15"/>
    <d v="2031-11-30T00:00:00"/>
    <n v="11.71506849315069"/>
    <s v="NNN"/>
    <s v="10% every 5 years"/>
    <s v="2, 5yr"/>
    <n v="1826750"/>
    <n v="250"/>
    <n v="0.06"/>
    <x v="544"/>
    <x v="351"/>
    <s v="M&amp;M; Glass"/>
    <x v="0"/>
    <s v="Individual"/>
    <m/>
    <m/>
    <n v="1826750"/>
    <n v="0.06"/>
    <n v="1"/>
    <n v="1826750"/>
    <n v="0.06"/>
    <n v="0"/>
    <s v="No"/>
    <d v="2019-12-11T00:00:00"/>
    <n v="96"/>
  </r>
  <r>
    <s v="Sanderling Dialysis Center"/>
    <s v="2102 Main St"/>
    <s v="Ramona"/>
    <s v="CA"/>
    <n v="1.34"/>
    <n v="1999"/>
    <n v="11338"/>
    <m/>
    <s v=" "/>
    <m/>
    <s v=" "/>
    <m/>
    <m/>
    <m/>
    <n v="4100000"/>
    <n v="361.615805256659"/>
    <s v=" "/>
    <x v="545"/>
    <x v="640"/>
    <m/>
    <x v="510"/>
    <s v="REIT"/>
    <m/>
    <m/>
    <m/>
    <s v=" "/>
    <s v=" "/>
    <m/>
    <s v=" "/>
    <s v=" "/>
    <s v=" "/>
    <m/>
    <s v=" "/>
  </r>
  <r>
    <s v="DaVita Dialysis"/>
    <s v="312 Medical Arts Dr "/>
    <s v="Edenton "/>
    <s v="NC"/>
    <n v="1.37"/>
    <n v="2014"/>
    <n v="7887"/>
    <n v="143760"/>
    <n v="18.22746291365538"/>
    <d v="2030-12-30T00:00:00"/>
    <n v="10.80547945205479"/>
    <s v="NNN"/>
    <s v="10% every 5 Years"/>
    <s v="2, 5yr"/>
    <n v="2100000"/>
    <n v="266.2609357170027"/>
    <n v="0.06845714285714286"/>
    <x v="545"/>
    <x v="632"/>
    <s v="SVN; Snyder "/>
    <x v="511"/>
    <s v="Individual"/>
    <s v="REMAX; Forster"/>
    <m/>
    <n v="2395000"/>
    <n v="0.06002505219206681"/>
    <n v="0.8768267223382046"/>
    <n v="2395000"/>
    <n v="0.06002505219206681"/>
    <n v="0.008432090665076046"/>
    <s v="No"/>
    <d v="2019-07-22T00:00:00"/>
    <n v="235"/>
  </r>
  <r>
    <s v="Fresenius Medical Care"/>
    <s v="3050 Tucker Rd"/>
    <s v="Poplar Bluff"/>
    <s v="MO"/>
    <n v="1.189991"/>
    <n v="2015"/>
    <n v="10368"/>
    <m/>
    <s v=" "/>
    <m/>
    <s v=" "/>
    <m/>
    <m/>
    <m/>
    <m/>
    <s v=" "/>
    <s v=" "/>
    <x v="546"/>
    <x v="641"/>
    <s v="M&amp;M;"/>
    <x v="512"/>
    <s v="Individual"/>
    <m/>
    <m/>
    <m/>
    <s v=" "/>
    <s v=" "/>
    <m/>
    <s v=" "/>
    <s v=" "/>
    <s v=" "/>
    <m/>
    <s v=" "/>
  </r>
  <r>
    <s v="Fresenius Medical Care"/>
    <s v="605 Tilghman Dr"/>
    <s v="Dunn"/>
    <s v="NC"/>
    <n v="3.12"/>
    <n v="1992"/>
    <n v="8874"/>
    <n v="153750"/>
    <n v="17.32589587559162"/>
    <d v="2029-09-30T00:00:00"/>
    <n v="9.564383561643835"/>
    <s v="NNN"/>
    <s v="2, 5yr"/>
    <s v="FMV at option"/>
    <n v="2325000"/>
    <n v="262.001352265044"/>
    <n v="0.06612903225806452"/>
    <x v="546"/>
    <x v="642"/>
    <s v="NAI; Gatylord"/>
    <x v="151"/>
    <s v="Individual"/>
    <m/>
    <m/>
    <n v="2500000"/>
    <n v="0.0615"/>
    <n v="0.93"/>
    <n v="2500000"/>
    <n v="0.0615"/>
    <n v="0.004629032258064519"/>
    <s v="No"/>
    <d v="2019-09-11T00:00:00"/>
    <n v="181"/>
  </r>
  <r>
    <s v="DaVita Ace Dialysis"/>
    <s v="14512 Lee Rd"/>
    <s v="Houston"/>
    <s v="TX"/>
    <n v="1.6041"/>
    <n v="2013"/>
    <n v="7055"/>
    <m/>
    <s v=" "/>
    <m/>
    <s v=" "/>
    <m/>
    <m/>
    <m/>
    <m/>
    <s v=" "/>
    <s v=" "/>
    <x v="547"/>
    <x v="192"/>
    <m/>
    <x v="229"/>
    <s v="REIT"/>
    <m/>
    <m/>
    <m/>
    <s v=" "/>
    <s v=" "/>
    <m/>
    <s v=" "/>
    <s v=" "/>
    <s v=" "/>
    <m/>
    <s v=" "/>
  </r>
  <r>
    <s v="DaVita Dialysis"/>
    <s v="14512 Lee Road"/>
    <s v="Humble "/>
    <s v="TX"/>
    <n v="1.61"/>
    <n v="2013"/>
    <n v="6648"/>
    <m/>
    <s v=" "/>
    <m/>
    <s v=" "/>
    <m/>
    <m/>
    <m/>
    <m/>
    <s v=" "/>
    <s v=" "/>
    <x v="547"/>
    <x v="192"/>
    <m/>
    <x v="229"/>
    <s v="REIT"/>
    <m/>
    <m/>
    <m/>
    <s v=" "/>
    <s v=" "/>
    <m/>
    <s v=" "/>
    <s v=" "/>
    <s v=" "/>
    <m/>
    <s v=" "/>
  </r>
  <r>
    <s v="Fresenius Medical Care"/>
    <s v="820 Veterans Dr"/>
    <s v="Jackson"/>
    <s v="OH"/>
    <n v="1.62"/>
    <n v="2008"/>
    <n v="8134"/>
    <n v="124400"/>
    <n v="15.29382837472338"/>
    <d v="2023-06-30T00:00:00"/>
    <n v="3.326027397260274"/>
    <s v="NN"/>
    <s v="1.7% annually"/>
    <s v="3, 5 yr"/>
    <n v="1350000"/>
    <n v="165.9700024588149"/>
    <n v="0.09214814814814815"/>
    <x v="548"/>
    <x v="643"/>
    <s v="Matthews; Moreno"/>
    <x v="513"/>
    <s v="Individual"/>
    <m/>
    <m/>
    <n v="1493000"/>
    <n v="0.08332217012726055"/>
    <n v="0.9042196918955124"/>
    <n v="1493000"/>
    <n v="0.08332217012726055"/>
    <n v="0.008825978020887595"/>
    <s v="No"/>
    <d v="2019-08-30T00:00:00"/>
    <n v="186"/>
  </r>
  <r>
    <s v="Fresenius Medical Care"/>
    <s v="6301 Walker Mill Rd"/>
    <s v="Capitol Heights"/>
    <s v="MD"/>
    <n v="2.24"/>
    <n v="2019"/>
    <n v="10123"/>
    <m/>
    <s v=" "/>
    <m/>
    <s v=" "/>
    <m/>
    <m/>
    <m/>
    <n v="6385000"/>
    <n v="630.7418749382595"/>
    <s v=" "/>
    <x v="549"/>
    <x v="644"/>
    <m/>
    <x v="188"/>
    <s v="Fund"/>
    <s v="KPI Brokers"/>
    <m/>
    <m/>
    <s v=" "/>
    <s v=" "/>
    <m/>
    <s v=" "/>
    <s v=" "/>
    <s v=" "/>
    <m/>
    <s v=" "/>
  </r>
  <r>
    <s v="Fresenius Medical Care"/>
    <s v="6301 Walker Mill Rd"/>
    <s v="District Heights"/>
    <s v="MD"/>
    <n v="2.138453"/>
    <n v="2019"/>
    <n v="10041"/>
    <m/>
    <s v=" "/>
    <m/>
    <s v=" "/>
    <m/>
    <m/>
    <m/>
    <n v="6385000"/>
    <n v="635.8928393586297"/>
    <s v=" "/>
    <x v="549"/>
    <x v="494"/>
    <s v="M&amp;M;"/>
    <x v="188"/>
    <s v="Fund"/>
    <s v="KPI Brokers"/>
    <m/>
    <m/>
    <s v=" "/>
    <s v=" "/>
    <m/>
    <s v=" "/>
    <s v=" "/>
    <s v=" "/>
    <m/>
    <s v=" "/>
  </r>
  <r>
    <s v="DaVita Dialysis"/>
    <s v="418 Decatur St SE"/>
    <s v="Atlanta"/>
    <s v="GA"/>
    <n v="0.9399999999999999"/>
    <n v="1989"/>
    <n v="11041"/>
    <n v="253920"/>
    <n v="22.9979168553573"/>
    <d v="2035-02-24T00:00:00"/>
    <n v="15"/>
    <s v="NN"/>
    <s v="10% every 5 years"/>
    <s v="3, 5yr"/>
    <n v="3850000"/>
    <n v="348.7002988859705"/>
    <n v="0.06595324675324675"/>
    <x v="549"/>
    <x v="66"/>
    <s v="AY; kropfl"/>
    <x v="514"/>
    <s v="Individual"/>
    <s v="NAI; Lal"/>
    <m/>
    <n v="4420000"/>
    <n v="0.05744796380090498"/>
    <n v="0.8710407239819005"/>
    <n v="3900000"/>
    <n v="0.06510769230769231"/>
    <n v="0.0008455544455544389"/>
    <s v="Yes"/>
    <d v="2018-10-09T00:00:00"/>
    <n v="507"/>
  </r>
  <r>
    <s v="DaVita Dialysis"/>
    <s v="1880 E US Highway 36"/>
    <s v="Urbana"/>
    <s v="OH"/>
    <n v="1.62"/>
    <n v="2008"/>
    <n v="4524"/>
    <n v="81000"/>
    <n v="17.90450928381963"/>
    <d v="2023-06-30T00:00:00"/>
    <n v="3.33972602739726"/>
    <s v="NN"/>
    <s v="2, 5yr"/>
    <s v="Yes"/>
    <n v="925000"/>
    <n v="204.4650751547303"/>
    <n v="0.08756756756756756"/>
    <x v="550"/>
    <x v="242"/>
    <m/>
    <x v="515"/>
    <s v="Individual"/>
    <m/>
    <m/>
    <n v="953000"/>
    <n v="0.08499475341028331"/>
    <n v="0.9706190975865687"/>
    <n v="953000"/>
    <n v="0.08499475341028331"/>
    <n v="0.002572814157284248"/>
    <s v="No"/>
    <d v="2019-11-05T00:00:00"/>
    <n v="114"/>
  </r>
  <r>
    <s v="DaVita Dialysis"/>
    <s v="3814 MacArthur Blvd"/>
    <s v="Oakland"/>
    <s v="CA"/>
    <n v="0.4"/>
    <n v="2019"/>
    <n v="17821"/>
    <n v="680302"/>
    <n v="38.17417653330341"/>
    <d v="2034-06-11T00:00:00"/>
    <n v="14.3013698630137"/>
    <s v="NN"/>
    <s v="10% every 5 years"/>
    <s v="3, 5yr"/>
    <n v="14275000"/>
    <n v="801.021267044498"/>
    <n v="0.0476568826619965"/>
    <x v="551"/>
    <x v="66"/>
    <s v="SJC; Briggs"/>
    <x v="516"/>
    <s v="Individual"/>
    <m/>
    <m/>
    <n v="14262096"/>
    <n v="0.04770000145841116"/>
    <n v="1.000904775847814"/>
    <n v="14262096"/>
    <n v="0.04770000145841116"/>
    <n v="-4.311879641466509e-05"/>
    <s v="No"/>
    <d v="2019-06-17T00:00:00"/>
    <n v="253"/>
  </r>
  <r>
    <s v="Fresenius Medical Care"/>
    <s v="1121 Overcash Dr"/>
    <s v="Dunedin"/>
    <s v="FL"/>
    <n v="0.9121901"/>
    <n v="1996"/>
    <n v="9642"/>
    <m/>
    <s v=" "/>
    <m/>
    <s v=" "/>
    <m/>
    <m/>
    <m/>
    <n v="3490000"/>
    <n v="361.9580999792574"/>
    <s v=" "/>
    <x v="552"/>
    <x v="645"/>
    <s v="C&amp;W; "/>
    <x v="517"/>
    <s v="Individual"/>
    <m/>
    <m/>
    <m/>
    <s v=" "/>
    <s v=" "/>
    <m/>
    <s v=" "/>
    <s v=" "/>
    <s v=" "/>
    <m/>
    <s v=" "/>
  </r>
  <r>
    <s v="Davita Dialysis"/>
    <s v="7912 Cameron Road"/>
    <s v="Austin"/>
    <s v="TX"/>
    <n v="1"/>
    <n v="2019"/>
    <n v="8024"/>
    <n v="238633"/>
    <n v="29.73990528414756"/>
    <d v="2035-04-30T00:00:00"/>
    <n v="15.2027397260274"/>
    <s v="NNN"/>
    <s v="2% annually"/>
    <s v="3, 5yr"/>
    <n v="4546000"/>
    <n v="566.5503489531405"/>
    <n v="0.05249296084469864"/>
    <x v="552"/>
    <x v="646"/>
    <s v="SJC; Scrivner"/>
    <x v="518"/>
    <s v="Fund"/>
    <m/>
    <m/>
    <n v="4546000"/>
    <n v="0.05249296084469864"/>
    <n v="1"/>
    <n v="4546000"/>
    <n v="0.05249296084469864"/>
    <n v="0"/>
    <s v="No"/>
    <d v="2019-11-11T00:00:00"/>
    <n v="100"/>
  </r>
  <r>
    <s v="DaVita Dialysis"/>
    <s v="118 W Main Street"/>
    <s v="Perry"/>
    <s v="FL"/>
    <n v="0.38"/>
    <n v="1947"/>
    <n v="6080"/>
    <n v="85486"/>
    <n v="14.06019736842105"/>
    <m/>
    <s v=" "/>
    <m/>
    <m/>
    <m/>
    <n v="1058000"/>
    <n v="174.0131578947368"/>
    <n v="0.08079962192816635"/>
    <x v="553"/>
    <x v="647"/>
    <s v="Encore; Bistolarides "/>
    <x v="519"/>
    <s v="Individual"/>
    <m/>
    <m/>
    <n v="1180000"/>
    <n v="0.07244576271186441"/>
    <n v="0.8966101694915254"/>
    <n v="1180000"/>
    <n v="0.07244576271186441"/>
    <n v="0.00835385921630194"/>
    <s v="No"/>
    <d v="2019-11-01T00:00:00"/>
    <n v="109"/>
  </r>
  <r>
    <s v="DaVita Dialysis"/>
    <s v="1607 Physicians Drive"/>
    <s v="Tallahassee"/>
    <s v="FL"/>
    <n v="1"/>
    <n v="1990"/>
    <n v="5600"/>
    <n v="100800"/>
    <n v="18"/>
    <d v="2030-03-31T00:00:00"/>
    <n v="10.12054794520548"/>
    <s v="NN"/>
    <s v="2% annually"/>
    <s v="3, 5yr"/>
    <n v="1453523"/>
    <n v="259.5576785714286"/>
    <n v="0.06934874783543157"/>
    <x v="553"/>
    <x v="580"/>
    <s v="PH: Peranich &amp; Huffman"/>
    <x v="520"/>
    <s v="Individual"/>
    <m/>
    <m/>
    <n v="1483000"/>
    <n v="0.06797033041132838"/>
    <n v="0.9801233985165205"/>
    <n v="1483000"/>
    <n v="0.06797033041132838"/>
    <n v="0.00137841742410319"/>
    <s v="No"/>
    <d v="2019-10-21T00:00:00"/>
    <n v="120"/>
  </r>
  <r>
    <s v="DaVita Dialysis - Condo"/>
    <s v="9441 Corkscrew Palms Circle"/>
    <s v="Estero"/>
    <s v="FL"/>
    <n v="0.27"/>
    <n v="2019"/>
    <n v="7228"/>
    <n v="180962"/>
    <n v="25.03624792473713"/>
    <m/>
    <s v=" "/>
    <s v="NN"/>
    <s v="10% every 5 years"/>
    <s v="3, 5yr"/>
    <n v="3479597"/>
    <n v="481.4052296624239"/>
    <n v="0.05200659731572363"/>
    <x v="554"/>
    <x v="66"/>
    <s v="SJC; Briggs"/>
    <x v="521"/>
    <s v="Individual"/>
    <m/>
    <m/>
    <n v="3548275"/>
    <n v="0.05099999295432288"/>
    <n v="0.9806446794569192"/>
    <n v="3548275"/>
    <n v="0.05099999295432288"/>
    <n v="0.001006604361400751"/>
    <s v="No"/>
    <m/>
    <s v=" "/>
  </r>
  <r>
    <s v="DaVita Dialysis"/>
    <s v="195 Parkwood Cir"/>
    <s v="Carrollton"/>
    <s v="GA"/>
    <n v="1.48"/>
    <n v="1990"/>
    <n v="8219"/>
    <n v="113966"/>
    <n v="13.86616376688162"/>
    <d v="2020-09-30T00:00:00"/>
    <n v="0.6328767123287671"/>
    <s v="NN"/>
    <s v="Yes"/>
    <s v="3, 5yr"/>
    <n v="965000"/>
    <n v="117.4108772356734"/>
    <n v="0.118099481865285"/>
    <x v="555"/>
    <x v="648"/>
    <s v="Encore; Bistolarides "/>
    <x v="522"/>
    <s v="Individual"/>
    <m/>
    <m/>
    <n v="1246000"/>
    <n v="0.09146548956661316"/>
    <n v="0.7744783306581059"/>
    <n v="1246000"/>
    <n v="0.09146548956661316"/>
    <n v="0.02663399229867182"/>
    <s v="No"/>
    <d v="2019-10-23T00:00:00"/>
    <n v="112"/>
  </r>
  <r>
    <s v="Fresenius Medical Care (MT)"/>
    <s v="2450 Fire Mesa St"/>
    <s v="Las Vegas"/>
    <s v="NV"/>
    <n v="4.39"/>
    <n v="2020"/>
    <n v="55323"/>
    <n v="1411819"/>
    <n v="25.51956690707301"/>
    <d v="2028-09-01T00:00:00"/>
    <n v="8.561643835616438"/>
    <s v="NN"/>
    <m/>
    <m/>
    <n v="20912513"/>
    <n v="378.007573703523"/>
    <n v="0.06751072910271472"/>
    <x v="556"/>
    <x v="649"/>
    <s v="PH: Peranich &amp; Huffman"/>
    <x v="492"/>
    <s v="Fund"/>
    <m/>
    <m/>
    <n v="22956000"/>
    <n v="0.06150108903990242"/>
    <n v="0.9109824446767729"/>
    <n v="22956000"/>
    <n v="0.06150108903990242"/>
    <n v="0.006009640062812294"/>
    <s v="No"/>
    <d v="2019-06-03T00:00:00"/>
    <n v="253"/>
  </r>
  <r>
    <s v="DaVita Dialysis - Condo"/>
    <s v="2900 Dowining St, 1st Floor"/>
    <s v="Denver"/>
    <s v="CO"/>
    <s v="-"/>
    <n v="2002"/>
    <n v="6088"/>
    <n v="136800"/>
    <n v="22.47043363994744"/>
    <d v="2025-02-10T00:00:00"/>
    <n v="5.002739726027397"/>
    <s v="NNN"/>
    <s v="2% annually"/>
    <s v="3, 5yr"/>
    <n v="2400000"/>
    <n v="394.2181340341656"/>
    <n v="0.057"/>
    <x v="556"/>
    <x v="650"/>
    <m/>
    <x v="523"/>
    <s v="Individual"/>
    <m/>
    <m/>
    <n v="2600000"/>
    <n v="0.05261538461538461"/>
    <n v="0.9230769230769231"/>
    <n v="2600000"/>
    <n v="0.05261538461538461"/>
    <n v="0.00438461538461539"/>
    <s v="No"/>
    <d v="2019-10-22T00:00:00"/>
    <n v="112"/>
  </r>
  <r>
    <s v="DCI Big Sky Dialysis"/>
    <s v="2411 Village Ln"/>
    <s v="Billings"/>
    <s v="MT"/>
    <n v="0.904"/>
    <n v="1995"/>
    <n v="8120"/>
    <n v="156250"/>
    <n v="19.24261083743842"/>
    <m/>
    <s v=" "/>
    <m/>
    <m/>
    <m/>
    <m/>
    <s v=" "/>
    <s v=" "/>
    <x v="557"/>
    <x v="111"/>
    <m/>
    <x v="524"/>
    <s v="User"/>
    <m/>
    <m/>
    <m/>
    <s v=" "/>
    <s v=" "/>
    <m/>
    <s v=" "/>
    <s v=" "/>
    <s v=" "/>
    <m/>
    <s v=" "/>
  </r>
  <r>
    <s v="Fresenius Medical Care"/>
    <s v="1160 Williams Reserve Blvd"/>
    <s v="Wadsworth"/>
    <s v="OH"/>
    <n v="3.4693"/>
    <n v="2005"/>
    <n v="7049"/>
    <n v="160812.5"/>
    <n v="22.81351964817705"/>
    <d v="2024-08-31T00:00:00"/>
    <n v="4.56986301369863"/>
    <s v="NN"/>
    <s v="1.7% annually"/>
    <s v="3, 5 yr"/>
    <n v="2075000"/>
    <n v="294.367995460349"/>
    <n v="0.0775"/>
    <x v="558"/>
    <x v="651"/>
    <m/>
    <x v="525"/>
    <s v="Individual"/>
    <m/>
    <m/>
    <m/>
    <s v=" "/>
    <s v=" "/>
    <m/>
    <s v=" "/>
    <s v=" "/>
    <s v=" "/>
    <m/>
    <s v=" "/>
  </r>
  <r>
    <s v="DaVita Dialysis"/>
    <s v="3280 Ponce De Leon Blvd"/>
    <s v="Coral Gables"/>
    <s v="FL"/>
    <n v="0.46"/>
    <n v="1960"/>
    <n v="14698"/>
    <n v="158760"/>
    <n v="10.80146958769901"/>
    <m/>
    <s v=" "/>
    <m/>
    <m/>
    <m/>
    <n v="2700000"/>
    <n v="183.6984623758335"/>
    <n v="0.0588"/>
    <x v="559"/>
    <x v="652"/>
    <m/>
    <x v="526"/>
    <s v="Individual"/>
    <m/>
    <m/>
    <m/>
    <s v=" "/>
    <s v=" "/>
    <m/>
    <s v=" "/>
    <s v=" "/>
    <s v=" "/>
    <m/>
    <s v=" "/>
  </r>
  <r>
    <s v="Fresenius Medical Care"/>
    <s v="149 Stonecrest Rd"/>
    <s v="Shelbyville"/>
    <s v="KY"/>
    <n v="1.5"/>
    <n v="1989"/>
    <n v="7236"/>
    <m/>
    <s v=" "/>
    <m/>
    <s v=" "/>
    <m/>
    <m/>
    <m/>
    <n v="2175000"/>
    <n v="300.5804311774461"/>
    <s v=" "/>
    <x v="559"/>
    <x v="653"/>
    <m/>
    <x v="527"/>
    <s v="Individual"/>
    <m/>
    <m/>
    <m/>
    <s v=" "/>
    <s v=" "/>
    <m/>
    <s v=" "/>
    <s v=" "/>
    <s v=" "/>
    <m/>
    <s v=" "/>
  </r>
  <r>
    <s v="DaVita Dialysis"/>
    <s v="12606 Westpark Dr"/>
    <s v="Houston"/>
    <s v="TX"/>
    <n v="1.66"/>
    <n v="2004"/>
    <n v="14560"/>
    <n v="189278"/>
    <n v="12.99986263736264"/>
    <d v="2031-01-31T00:00:00"/>
    <n v="11.00821917808219"/>
    <s v="Absolute NNN"/>
    <m/>
    <s v="10% every 5 years"/>
    <m/>
    <s v=" "/>
    <s v=" "/>
    <x v="559"/>
    <x v="654"/>
    <m/>
    <x v="528"/>
    <s v="Individual"/>
    <s v="NewQuest Properties"/>
    <m/>
    <m/>
    <s v=" "/>
    <s v=" "/>
    <m/>
    <s v=" "/>
    <s v=" "/>
    <s v=" "/>
    <m/>
    <s v=" "/>
  </r>
  <r>
    <s v="Davita Progress Avenue Dialysis"/>
    <s v="4390 Sturbridge Dr"/>
    <s v="Harrisburg"/>
    <s v="PA"/>
    <n v="0.853191"/>
    <n v="2016"/>
    <n v="7976"/>
    <m/>
    <s v=" "/>
    <m/>
    <s v=" "/>
    <m/>
    <m/>
    <m/>
    <n v="2620000"/>
    <n v="328.4854563691073"/>
    <s v=" "/>
    <x v="559"/>
    <x v="655"/>
    <s v="Healthcare RE Capital"/>
    <x v="400"/>
    <s v="Fund"/>
    <m/>
    <m/>
    <m/>
    <s v=" "/>
    <s v=" "/>
    <m/>
    <s v=" "/>
    <s v=" "/>
    <s v=" "/>
    <m/>
    <s v=" "/>
  </r>
  <r>
    <s v="Fresenius Medical Care"/>
    <s v="505 E Airport Ave"/>
    <s v="Baton Rouge"/>
    <s v="LA"/>
    <n v="1.53"/>
    <n v="2018"/>
    <n v="11856"/>
    <n v="303513"/>
    <n v="25.59994939271255"/>
    <d v="2028-09-24T00:00:00"/>
    <n v="8.654794520547945"/>
    <s v="NN"/>
    <s v="2% annually"/>
    <s v="3, 5yr"/>
    <n v="4122000"/>
    <n v="347.6720647773279"/>
    <n v="0.07363245997088792"/>
    <x v="559"/>
    <x v="656"/>
    <s v="Babcock"/>
    <x v="529"/>
    <s v="Individual"/>
    <m/>
    <m/>
    <m/>
    <s v=" "/>
    <s v=" "/>
    <m/>
    <s v=" "/>
    <s v=" "/>
    <s v=" "/>
    <d v="2019-01-08T00:00:00"/>
    <n v="388"/>
  </r>
  <r>
    <s v="DaVita Dialysis"/>
    <s v="413 E Broadway St"/>
    <s v="Toledo"/>
    <s v="OH"/>
    <n v="0.39"/>
    <n v="2019"/>
    <n v="6960"/>
    <n v="96362"/>
    <n v="13.84511494252873"/>
    <d v="2033-11-30T00:00:00"/>
    <n v="13.84383561643836"/>
    <s v="NNN"/>
    <s v="10% every 5 years"/>
    <s v="3, 5yr"/>
    <n v="1554000"/>
    <n v="223.2758620689655"/>
    <n v="0.06200900900900901"/>
    <x v="560"/>
    <x v="657"/>
    <s v="Cooper Group; Cooper"/>
    <x v="530"/>
    <s v="Individual"/>
    <m/>
    <m/>
    <n v="1605000"/>
    <n v="0.0600386292834891"/>
    <n v="0.9682242990654205"/>
    <n v="1605000"/>
    <n v="0.0600386292834891"/>
    <n v="0.001970379725519909"/>
    <s v="No"/>
    <d v="2019-08-06T00:00:00"/>
    <n v="177"/>
  </r>
  <r>
    <s v="Fresenius Medical Care"/>
    <s v="1003 N Greengate Rd"/>
    <s v="Greensburg"/>
    <s v="PA"/>
    <n v="2.605"/>
    <n v="2019"/>
    <n v="8353"/>
    <n v="232861"/>
    <n v="27.87752903148569"/>
    <d v="2032-12-19T12:00:00"/>
    <n v="12.9"/>
    <m/>
    <m/>
    <m/>
    <n v="3881031"/>
    <n v="464.6271998084521"/>
    <n v="0.05999977840939688"/>
    <x v="561"/>
    <x v="658"/>
    <m/>
    <x v="245"/>
    <s v="Individual"/>
    <m/>
    <m/>
    <n v="4121449"/>
    <n v="0.05649978927314156"/>
    <n v="0.9416666322936423"/>
    <m/>
    <s v=" "/>
    <s v=" "/>
    <s v=" "/>
    <d v="2019-06-06T00:00:00"/>
    <n v="237"/>
  </r>
  <r>
    <s v="Fresenius Medical Care"/>
    <s v="115 Wilson Rd"/>
    <s v="Sanford"/>
    <s v="NC"/>
    <n v="1.34"/>
    <n v="2013"/>
    <n v="9620"/>
    <n v="182557"/>
    <n v="18.97681912681913"/>
    <d v="2028-08-30T00:00:00"/>
    <n v="8.591780821917808"/>
    <s v="NN"/>
    <s v="10% every 5 years; FMV in options"/>
    <s v="3, 5yr"/>
    <n v="2725000"/>
    <n v="283.2640332640333"/>
    <n v="0.06699339449541285"/>
    <x v="561"/>
    <x v="658"/>
    <m/>
    <x v="0"/>
    <s v="Individual"/>
    <m/>
    <m/>
    <n v="2921000"/>
    <n v="0.06249811708319069"/>
    <n v="0.9328996918863403"/>
    <n v="2852500"/>
    <n v="0.06399894829097283"/>
    <n v="0.002994446204440018"/>
    <s v="Yes"/>
    <d v="2019-11-04T00:00:00"/>
    <n v="86"/>
  </r>
  <r>
    <s v="DaVita Dialysis"/>
    <s v="2655 Hollywood Blvd"/>
    <s v="Hollywood"/>
    <s v="FL"/>
    <n v="0.68"/>
    <n v="1962"/>
    <n v="5825"/>
    <n v="111551"/>
    <n v="19.15038626609442"/>
    <d v="2029-04-30T00:00:00"/>
    <n v="9.263013698630138"/>
    <s v="NN"/>
    <s v="1.5% annually"/>
    <s v="2, 5yr"/>
    <n v="1716000"/>
    <n v="294.5922746781116"/>
    <n v="0.06500641025641025"/>
    <x v="562"/>
    <x v="659"/>
    <s v="PH: Peranich &amp; Huffman"/>
    <x v="531"/>
    <s v="Fund"/>
    <m/>
    <m/>
    <n v="1716000"/>
    <n v="0.06500641025641025"/>
    <n v="1"/>
    <n v="1716000"/>
    <n v="0.06500641025641025"/>
    <n v="0"/>
    <s v="No"/>
    <d v="2019-10-15T00:00:00"/>
    <n v="104"/>
  </r>
  <r>
    <s v="Fresenius Medical Care"/>
    <s v="200 Church St"/>
    <s v="Honea Path"/>
    <s v="SC"/>
    <n v="1.5"/>
    <n v="2005"/>
    <n v="7296"/>
    <n v="137375"/>
    <n v="18.82881030701754"/>
    <d v="2025-05-31T00:00:00"/>
    <n v="5.345205479452055"/>
    <s v="NN"/>
    <s v="CPI every 5"/>
    <s v="3, 5 yr"/>
    <n v="1750000"/>
    <n v="239.8574561403509"/>
    <n v="0.0785"/>
    <x v="562"/>
    <x v="660"/>
    <m/>
    <x v="532"/>
    <s v="Individual"/>
    <m/>
    <m/>
    <m/>
    <s v=" "/>
    <s v=" "/>
    <m/>
    <s v=" "/>
    <s v=" "/>
    <s v=" "/>
    <m/>
    <s v=" "/>
  </r>
  <r>
    <s v="Fresenius Medical Care"/>
    <s v="2995 Race St"/>
    <s v="Jackson "/>
    <s v="LA"/>
    <n v="1.03"/>
    <n v="2001"/>
    <n v="6083"/>
    <n v="89070.84963680366"/>
    <n v="14.64258583541076"/>
    <d v="2022-12-31T00:00:00"/>
    <n v="2.936986301369863"/>
    <s v="NN"/>
    <s v="0.75% annually"/>
    <s v="1, 5yr"/>
    <n v="733515"/>
    <n v="120.5844155844156"/>
    <n v="0.1214301679404016"/>
    <x v="563"/>
    <x v="13"/>
    <m/>
    <x v="0"/>
    <m/>
    <m/>
    <m/>
    <m/>
    <s v=" "/>
    <s v=" "/>
    <m/>
    <s v=" "/>
    <s v=" "/>
    <s v=" "/>
    <m/>
    <s v=" "/>
  </r>
  <r>
    <s v="Fresenius Medical Care"/>
    <s v="17392 Vallee Ct"/>
    <s v="Prairieville"/>
    <s v="LA"/>
    <n v="0.8"/>
    <n v="2001"/>
    <n v="5900"/>
    <m/>
    <s v=" "/>
    <m/>
    <s v=" "/>
    <m/>
    <m/>
    <m/>
    <n v="780915"/>
    <n v="132.3584745762712"/>
    <s v=" "/>
    <x v="563"/>
    <x v="594"/>
    <m/>
    <x v="533"/>
    <s v="Individual"/>
    <m/>
    <m/>
    <m/>
    <s v=" "/>
    <s v=" "/>
    <m/>
    <s v=" "/>
    <s v=" "/>
    <s v=" "/>
    <m/>
    <s v=" "/>
  </r>
  <r>
    <s v="Fresenius Medical Care"/>
    <m/>
    <m/>
    <s v="LA"/>
    <m/>
    <m/>
    <n v="15350"/>
    <m/>
    <s v=" "/>
    <m/>
    <s v=" "/>
    <m/>
    <m/>
    <m/>
    <n v="1799169.5"/>
    <n v="117.2097394136808"/>
    <s v=" "/>
    <x v="563"/>
    <x v="661"/>
    <m/>
    <x v="533"/>
    <s v="Individual"/>
    <m/>
    <m/>
    <m/>
    <s v=" "/>
    <s v=" "/>
    <m/>
    <s v=" "/>
    <s v=" "/>
    <s v=" "/>
    <m/>
    <s v=" "/>
  </r>
  <r>
    <s v="Diversified LA Office Portfolio 2020"/>
    <s v="3 of 6 properties"/>
    <m/>
    <m/>
    <m/>
    <m/>
    <n v="40575"/>
    <m/>
    <s v=" "/>
    <m/>
    <s v=" "/>
    <m/>
    <m/>
    <m/>
    <m/>
    <s v=" "/>
    <s v=" "/>
    <x v="563"/>
    <x v="594"/>
    <m/>
    <x v="533"/>
    <s v="Individual"/>
    <m/>
    <m/>
    <m/>
    <s v=" "/>
    <s v=" "/>
    <m/>
    <s v=" "/>
    <s v=" "/>
    <s v=" "/>
    <m/>
    <s v=" "/>
  </r>
  <r>
    <s v="DaVita Dialysis"/>
    <s v="2955 N Corral Hollow Road"/>
    <s v="Tracy"/>
    <s v="CA"/>
    <n v="1.84"/>
    <n v="2017"/>
    <n v="10629"/>
    <n v="352064"/>
    <n v="33.12296547182238"/>
    <d v="2032-12-31T00:00:00"/>
    <n v="12.94794520547945"/>
    <s v="NN"/>
    <s v="10% every 5 years"/>
    <s v="2, 5yr"/>
    <n v="6128000"/>
    <n v="576.5358923699313"/>
    <n v="0.05745169712793734"/>
    <x v="564"/>
    <x v="5"/>
    <s v="CBRE; Smyth"/>
    <x v="534"/>
    <s v="Individual"/>
    <m/>
    <m/>
    <n v="6823409"/>
    <n v="0.05159649670714448"/>
    <n v="0.8980848136173576"/>
    <n v="6642731"/>
    <n v="0.05299988814841366"/>
    <n v="0.004451808979523679"/>
    <s v="Yes"/>
    <d v="2018-10-16T00:00:00"/>
    <n v="464"/>
  </r>
  <r>
    <s v="DaVita Dialysis"/>
    <s v="1983 W Hillsboro Blvd"/>
    <s v="Deerfield Beach"/>
    <s v="FL"/>
    <n v="1.78"/>
    <n v="1981"/>
    <n v="4403"/>
    <m/>
    <s v=" "/>
    <d v="2023-10-29T00:00:00"/>
    <n v="3.772602739726028"/>
    <s v="NN"/>
    <s v="2% annually"/>
    <s v="2, 5yr"/>
    <n v="1570000"/>
    <n v="356.5750624574154"/>
    <s v=" "/>
    <x v="565"/>
    <x v="662"/>
    <s v="RWNK; Weaver"/>
    <x v="535"/>
    <s v="Individual"/>
    <m/>
    <m/>
    <n v="1650000"/>
    <s v=" "/>
    <n v="0.9515151515151515"/>
    <n v="1650000"/>
    <s v=" "/>
    <s v=" "/>
    <s v="No"/>
    <d v="2019-10-21T00:00:00"/>
    <n v="92"/>
  </r>
  <r>
    <s v="American Renal Asspciates"/>
    <s v="1407 Goldtree Dr"/>
    <s v="Port St. Lucie"/>
    <s v="FL"/>
    <n v="0.78"/>
    <n v="1995"/>
    <n v="6130"/>
    <n v="126952"/>
    <n v="20.70995106035889"/>
    <d v="2026-05-08T12:00:00"/>
    <n v="6.3"/>
    <m/>
    <m/>
    <m/>
    <n v="1640000"/>
    <n v="267.536704730832"/>
    <n v="0.07740975609756097"/>
    <x v="565"/>
    <x v="663"/>
    <m/>
    <x v="536"/>
    <s v="Individual"/>
    <m/>
    <m/>
    <n v="1600000"/>
    <n v="0.079345"/>
    <n v="1.025"/>
    <n v="1600000"/>
    <n v="0.079345"/>
    <n v="-0.001935243902439029"/>
    <s v="No"/>
    <d v="2019-11-18T00:00:00"/>
    <n v="64"/>
  </r>
  <r>
    <s v="Fresenius Medical Care"/>
    <s v="120 West 7th St"/>
    <s v="Monroe"/>
    <s v="WI"/>
    <n v="0.9399999999999999"/>
    <n v="2018"/>
    <n v="6804"/>
    <n v="151080"/>
    <n v="22.20458553791887"/>
    <d v="2033-07-31T00:00:00"/>
    <n v="13.54520547945205"/>
    <s v="NN"/>
    <s v="1.7% annually"/>
    <s v="3, 5 yr"/>
    <n v="2415000"/>
    <n v="354.9382716049383"/>
    <n v="0.06255900621118013"/>
    <x v="566"/>
    <x v="664"/>
    <s v="SRS; Carter | Rogers"/>
    <x v="537"/>
    <s v="Individual"/>
    <m/>
    <m/>
    <n v="2701000"/>
    <n v="0.05593483894853758"/>
    <n v="0.8941132913735653"/>
    <n v="2518000"/>
    <n v="0.06"/>
    <n v="0.002559006211180131"/>
    <s v="Yes"/>
    <d v="2019-05-29T00:00:00"/>
    <n v="233"/>
  </r>
  <r>
    <s v="Fresenius Medical Care"/>
    <s v="215 S Brady St"/>
    <s v="Claremore"/>
    <s v="OK"/>
    <n v="1.02"/>
    <n v="2019"/>
    <n v="5500"/>
    <n v="189666"/>
    <n v="34.48472727272727"/>
    <d v="2033-07-30T00:00:00"/>
    <n v="13.54520547945205"/>
    <s v="NN"/>
    <m/>
    <s v="3, 5yr"/>
    <n v="3084000"/>
    <n v="560.7272727272727"/>
    <n v="0.0615"/>
    <x v="567"/>
    <x v="665"/>
    <m/>
    <x v="538"/>
    <s v="Individual"/>
    <m/>
    <m/>
    <n v="3084000"/>
    <n v="0.0615"/>
    <n v="1"/>
    <n v="3084000"/>
    <n v="0.0615"/>
    <n v="0"/>
    <s v="No"/>
    <m/>
    <s v=" "/>
  </r>
  <r>
    <s v="Fresenius Medical Care"/>
    <s v="9080 University Ave"/>
    <s v="West Des Moines"/>
    <s v="IA"/>
    <n v="2"/>
    <n v="2019"/>
    <n v="12000"/>
    <n v="223176"/>
    <n v="18.598"/>
    <d v="2034-08-31T00:00:00"/>
    <n v="14.63287671232877"/>
    <s v="NNN"/>
    <s v="1.5% annually"/>
    <s v="3 x 5 yr"/>
    <n v="4100000"/>
    <n v="341.6666666666667"/>
    <n v="0.05443317073170732"/>
    <x v="567"/>
    <x v="666"/>
    <s v="SJC; Feller"/>
    <x v="539"/>
    <s v="Fund"/>
    <m/>
    <m/>
    <n v="4100000"/>
    <n v="0.05443317073170732"/>
    <n v="1"/>
    <n v="4100000"/>
    <n v="0.05443317073170732"/>
    <n v="0"/>
    <s v="No"/>
    <d v="2019-10-25T00:00:00"/>
    <n v="83"/>
  </r>
  <r>
    <s v="DaVita Dialysis"/>
    <s v="3636 E Melby St"/>
    <s v="Chippewa Falls"/>
    <s v="WI"/>
    <n v="1.7"/>
    <n v="1996"/>
    <n v="5540"/>
    <n v="69250"/>
    <n v="12.5"/>
    <d v="2025-04-30T00:00:00"/>
    <n v="5.293150684931507"/>
    <s v="NN"/>
    <s v="5% per Option"/>
    <s v="2, 5yr"/>
    <n v="875000"/>
    <n v="157.942238267148"/>
    <n v="0.07914285714285714"/>
    <x v="568"/>
    <x v="667"/>
    <s v="KW; Cook"/>
    <x v="540"/>
    <s v="Individual"/>
    <s v="SJC; McKinney"/>
    <m/>
    <n v="906000"/>
    <n v="0.07643487858719647"/>
    <n v="0.9657836644591612"/>
    <n v="906000"/>
    <n v="0.07643487858719647"/>
    <n v="0.00270797855566067"/>
    <s v="No"/>
    <d v="2019-11-05T00:00:00"/>
    <n v="71"/>
  </r>
  <r>
    <s v="DaVita Dialysis"/>
    <s v="3636 Melby St"/>
    <s v="Eau Claire"/>
    <s v="WI"/>
    <n v="1.66"/>
    <n v="1996"/>
    <n v="5540"/>
    <n v="66508"/>
    <n v="12.00505415162455"/>
    <d v="2025-05-31T00:00:00"/>
    <n v="5.378082191780821"/>
    <s v="NN"/>
    <s v="2% annually"/>
    <s v="2, 5 yr"/>
    <n v="875000"/>
    <n v="157.942238267148"/>
    <n v="0.07600914285714286"/>
    <x v="568"/>
    <x v="667"/>
    <s v="KW; Cook"/>
    <x v="540"/>
    <s v="Individual"/>
    <s v="SJC; McKinney"/>
    <m/>
    <m/>
    <s v=" "/>
    <s v=" "/>
    <m/>
    <s v=" "/>
    <s v=" "/>
    <s v=" "/>
    <m/>
    <s v=" "/>
  </r>
  <r>
    <s v="DaVita Dialysis"/>
    <s v="105 Adair Drive"/>
    <s v="Goldsboro "/>
    <s v="NC"/>
    <n v="1.7"/>
    <n v="2018"/>
    <n v="7800"/>
    <n v="161413"/>
    <n v="20.69397435897436"/>
    <d v="2033-07-20T00:00:00"/>
    <n v="13.52602739726027"/>
    <s v="NN"/>
    <s v="10% every 5 years"/>
    <s v="3, 5yr"/>
    <n v="2654309.21"/>
    <n v="340.2960525641026"/>
    <n v="0.06081167913364548"/>
    <x v="569"/>
    <x v="66"/>
    <s v="SJC; Briggs"/>
    <x v="159"/>
    <s v="Individual"/>
    <s v="David Hanson"/>
    <m/>
    <n v="2758667"/>
    <n v="0.0585112302427223"/>
    <n v="0.9621709361804088"/>
    <n v="2758667"/>
    <n v="0.0585112302427223"/>
    <n v="0.002300448890923179"/>
    <s v="No"/>
    <d v="2019-10-02T00:00:00"/>
    <n v="103"/>
  </r>
  <r>
    <s v="DaVita Dialysis"/>
    <s v="219 MLK Jr Drive"/>
    <s v="Bladenboro"/>
    <s v="NC"/>
    <n v="1.28"/>
    <n v="2018"/>
    <n v="8000"/>
    <n v="112480"/>
    <n v="14.06"/>
    <d v="2033-08-14T00:00:00"/>
    <n v="13.5945205479452"/>
    <s v="NN"/>
    <s v="10% every 5 years"/>
    <s v="3, 5yr"/>
    <n v="1850000"/>
    <n v="231.25"/>
    <n v="0.0608"/>
    <x v="569"/>
    <x v="66"/>
    <s v="SJC; Briggs"/>
    <x v="159"/>
    <s v="Individual"/>
    <s v="David Hanson"/>
    <m/>
    <n v="2010847"/>
    <n v="0.05593662769967084"/>
    <n v="0.920010324007744"/>
    <n v="2010847"/>
    <n v="0.05593662769967084"/>
    <n v="0.004863372300329162"/>
    <s v="No"/>
    <d v="2019-10-09T00:00:00"/>
    <n v="96"/>
  </r>
  <r>
    <s v="DaVita Dialysis"/>
    <s v="29878 Haun Rd"/>
    <s v="Menifee"/>
    <s v="CA"/>
    <n v="1.05"/>
    <n v="2014"/>
    <n v="9157"/>
    <n v="332062"/>
    <n v="36.26318663317681"/>
    <m/>
    <s v=" "/>
    <s v="NN"/>
    <m/>
    <m/>
    <n v="5725000"/>
    <n v="625.204761384733"/>
    <n v="0.058002096069869"/>
    <x v="570"/>
    <x v="623"/>
    <s v="CBRE"/>
    <x v="541"/>
    <s v="Individual"/>
    <m/>
    <m/>
    <m/>
    <s v=" "/>
    <s v=" "/>
    <m/>
    <s v=" "/>
    <s v=" "/>
    <s v=" "/>
    <m/>
    <s v=" "/>
  </r>
  <r>
    <s v="DaVita Dialysis"/>
    <s v="3310 Dustin Rd"/>
    <s v="Oregon"/>
    <s v="OH"/>
    <n v="2.31"/>
    <n v="1994"/>
    <n v="8400"/>
    <n v="155400"/>
    <n v="18.5"/>
    <d v="2030-07-31T00:00:00"/>
    <n v="10.56712328767123"/>
    <s v="Absolute NNN"/>
    <s v="2% annually"/>
    <m/>
    <n v="2550000"/>
    <n v="303.5714285714286"/>
    <n v="0.06094117647058823"/>
    <x v="571"/>
    <x v="668"/>
    <s v="M&amp;M; Roti"/>
    <x v="542"/>
    <s v="Individual"/>
    <m/>
    <m/>
    <n v="2590000"/>
    <n v="0.06"/>
    <n v="0.9845559845559846"/>
    <n v="2590000"/>
    <n v="0.06"/>
    <n v="0.0009411764705882369"/>
    <s v="No"/>
    <d v="2019-08-27T00:00:00"/>
    <n v="134"/>
  </r>
  <r>
    <s v="Fresenius Medical Care"/>
    <s v="4101 Pioneer Pkwy "/>
    <s v="West Valley City"/>
    <s v="UT"/>
    <n v="0.5"/>
    <n v="2017"/>
    <n v="9655"/>
    <n v="354475"/>
    <n v="36.71413775245986"/>
    <d v="2032-12-31T00:00:00"/>
    <n v="12.99178082191781"/>
    <s v="NN"/>
    <s v="2% annually"/>
    <s v="3, 5yr"/>
    <n v="6250000"/>
    <n v="647.3329880890731"/>
    <n v="0.056716"/>
    <x v="572"/>
    <x v="669"/>
    <s v="Quantum; Firsel"/>
    <x v="543"/>
    <s v="Individual"/>
    <m/>
    <s v="RRS &amp; Company; Randy Stolworthy"/>
    <n v="6490000"/>
    <n v="0.05461864406779661"/>
    <n v="0.963020030816641"/>
    <n v="6445000"/>
    <n v="0.055"/>
    <n v="0.001716000000000002"/>
    <s v="Yes"/>
    <d v="2019-06-25T00:00:00"/>
    <n v="196"/>
  </r>
  <r>
    <s v="DaVita Dialysis"/>
    <s v="414 N. Homan Ave"/>
    <s v="Chicago"/>
    <s v="IL"/>
    <n v="0.84"/>
    <n v="2019"/>
    <n v="10450"/>
    <n v="271308"/>
    <n v="25.96248803827751"/>
    <m/>
    <s v=" "/>
    <s v="NNN"/>
    <s v="10% every 5 years"/>
    <m/>
    <n v="4875000"/>
    <n v="466.5071770334928"/>
    <n v="0.05565292307692308"/>
    <x v="572"/>
    <x v="670"/>
    <s v="SJC; Feller"/>
    <x v="544"/>
    <s v="Individual"/>
    <m/>
    <m/>
    <n v="5787542"/>
    <n v="0.04687793194416559"/>
    <n v="0.8423265006111402"/>
    <n v="4932873"/>
    <n v="0.05499999695917572"/>
    <n v="0.0006529261177473586"/>
    <s v="Yes"/>
    <d v="2019-04-30T00:00:00"/>
    <n v="252"/>
  </r>
  <r>
    <s v="DaVita Dialysis"/>
    <s v="3050 Liberty Ave "/>
    <s v="Beaumont"/>
    <s v="TX"/>
    <n v="1.8"/>
    <n v="2012"/>
    <n v="13200"/>
    <n v="250800"/>
    <n v="19"/>
    <d v="2027-10-31T00:00:00"/>
    <n v="7.81917808219178"/>
    <s v="NN"/>
    <s v="5.3% in 2023"/>
    <s v="2, 5yr"/>
    <n v="3688000"/>
    <n v="279.3939393939394"/>
    <n v="0.06800433839479393"/>
    <x v="572"/>
    <x v="671"/>
    <s v="PH: Peranich &amp; Huffman"/>
    <x v="545"/>
    <s v="Individual"/>
    <m/>
    <m/>
    <n v="3688000"/>
    <n v="0.06800433839479393"/>
    <n v="1"/>
    <n v="3688000"/>
    <n v="0.06800433839479393"/>
    <n v="0"/>
    <s v="No"/>
    <d v="2019-08-29T00:00:00"/>
    <n v="131"/>
  </r>
  <r>
    <s v="DaVita Dialysis"/>
    <s v="3254 Brushy Creek Rd"/>
    <s v="Greer"/>
    <s v="SC"/>
    <n v="1.85"/>
    <n v="2006"/>
    <n v="10180"/>
    <n v="246260"/>
    <n v="24.19056974459725"/>
    <d v="2029-09-15T00:00:00"/>
    <n v="9.698630136986301"/>
    <s v="NN"/>
    <s v="10% every 5 years"/>
    <s v="1, 5yr"/>
    <n v="3650000"/>
    <n v="358.5461689587426"/>
    <n v="0.06746849315068493"/>
    <x v="573"/>
    <x v="55"/>
    <s v="C&amp;W; Sheldon"/>
    <x v="546"/>
    <s v="Individual"/>
    <m/>
    <m/>
    <n v="3940000"/>
    <n v="0.062502538071066"/>
    <n v="0.9263959390862944"/>
    <n v="3790000"/>
    <n v="0.06497625329815303"/>
    <n v="0.0024922398525319"/>
    <s v="Yes"/>
    <d v="2019-06-11T00:00:00"/>
    <n v="209"/>
  </r>
  <r>
    <s v="DaVita Dialysis"/>
    <s v="5340 Useppa Dr"/>
    <s v="Immokalee"/>
    <s v="FL"/>
    <n v="3.72"/>
    <n v="2008"/>
    <n v="11832"/>
    <n v="217453"/>
    <n v="18.37838066260987"/>
    <d v="2024-03-03T00:00:00"/>
    <n v="4.175342465753425"/>
    <s v="NN"/>
    <s v="None"/>
    <s v="1, 5yr"/>
    <n v="2750000"/>
    <n v="232.420554428668"/>
    <n v="0.07907381818181818"/>
    <x v="574"/>
    <x v="672"/>
    <s v="B&amp;E; Renshaw"/>
    <x v="547"/>
    <s v="Individual"/>
    <m/>
    <m/>
    <n v="3280000"/>
    <n v="0.06629664634146341"/>
    <n v="0.8384146341463414"/>
    <n v="3100000"/>
    <n v="0.07014612903225806"/>
    <n v="0.008927689149560117"/>
    <s v="Yes"/>
    <d v="2018-11-13T00:00:00"/>
    <n v="413"/>
  </r>
  <r>
    <s v="Fresenius Medical Care"/>
    <s v="139 Javit Ct"/>
    <s v="Youngstown "/>
    <s v="OH"/>
    <n v="1.76"/>
    <n v="2008"/>
    <n v="10505"/>
    <n v="215352"/>
    <n v="20.49995240361732"/>
    <d v="2023-11-30T00:00:00"/>
    <n v="3.917808219178082"/>
    <s v="NN"/>
    <s v="2% annually"/>
    <s v="2, 5yr"/>
    <n v="2200000"/>
    <n v="209.4240837696335"/>
    <n v="0.09788727272727273"/>
    <x v="574"/>
    <x v="673"/>
    <s v="M&amp;M; Glass"/>
    <x v="548"/>
    <s v="Individual"/>
    <m/>
    <m/>
    <n v="2589000"/>
    <n v="0.08317960602549247"/>
    <n v="0.8497489378138278"/>
    <n v="2589000"/>
    <n v="0.08317960602549247"/>
    <n v="0.01470766670178025"/>
    <s v="No"/>
    <d v="2019-07-16T00:00:00"/>
    <n v="168"/>
  </r>
  <r>
    <s v="DaVita Dialysis"/>
    <s v="17809 Hutchins Dr"/>
    <s v="Minnetokna"/>
    <s v="MN"/>
    <n v="1.26"/>
    <n v="1979"/>
    <n v="9200"/>
    <m/>
    <s v=" "/>
    <m/>
    <s v=" "/>
    <m/>
    <m/>
    <m/>
    <n v="1496850"/>
    <n v="162.7010869565217"/>
    <s v=" "/>
    <x v="574"/>
    <x v="674"/>
    <m/>
    <x v="549"/>
    <s v="Individual"/>
    <m/>
    <m/>
    <n v="1496850"/>
    <s v=" "/>
    <n v="1"/>
    <n v="1496850"/>
    <s v=" "/>
    <s v=" "/>
    <s v="No"/>
    <m/>
    <s v=" "/>
  </r>
  <r>
    <s v="DaVita Dialysis"/>
    <s v="244 Peckham Court"/>
    <s v="Lakeport"/>
    <s v="CA"/>
    <n v="0.54"/>
    <n v="2019"/>
    <n v="11026"/>
    <n v="308066"/>
    <n v="27.93996009432251"/>
    <d v="2034-06-30T00:00:00"/>
    <n v="14.50958904109589"/>
    <s v="NN"/>
    <s v="10% every 5 years"/>
    <s v="3, 5yr"/>
    <n v="5150000"/>
    <n v="467.0778160711047"/>
    <n v="0.05981864077669903"/>
    <x v="575"/>
    <x v="675"/>
    <s v="C&amp;W; Patel"/>
    <x v="550"/>
    <s v="Individual"/>
    <m/>
    <m/>
    <n v="5704934"/>
    <n v="0.05399992357492655"/>
    <n v="0.9027273584584853"/>
    <n v="5491380"/>
    <n v="0.0560999238807003"/>
    <n v="0.00371871689599873"/>
    <s v="Yes"/>
    <d v="2019-06-04T00:00:00"/>
    <n v="209"/>
  </r>
  <r>
    <s v="Fresenius Medical Care"/>
    <s v="255 E Warm Springs Rd"/>
    <s v="Las Vegas"/>
    <s v="NV"/>
    <n v="0.9"/>
    <n v="2019"/>
    <n v="10451"/>
    <n v="266500"/>
    <n v="25.49995215768826"/>
    <d v="2029-02-28T00:00:00"/>
    <n v="9.180821917808219"/>
    <s v="NNN"/>
    <s v="1.7% annually"/>
    <s v="3, 5yr"/>
    <n v="5050000"/>
    <n v="483.2073485790833"/>
    <n v="0.05277227722772277"/>
    <x v="576"/>
    <x v="676"/>
    <s v="C&amp;W; Hubbard"/>
    <x v="551"/>
    <s v="Fund"/>
    <m/>
    <m/>
    <n v="5174767"/>
    <n v="0.05149990328066945"/>
    <n v="0.9758893492209407"/>
    <n v="5174797"/>
    <n v="0.0514996047187938"/>
    <n v="0.001272672508928971"/>
    <s v="Yes"/>
    <d v="2019-07-15T00:00:00"/>
    <n v="165"/>
  </r>
  <r>
    <s v="DaVita Dialysis"/>
    <s v="4751 W Fuqua St"/>
    <s v="Houston"/>
    <s v="TX"/>
    <n v="2"/>
    <n v="2018"/>
    <n v="8818"/>
    <n v="213396"/>
    <n v="24.20004536176004"/>
    <d v="2033-08-14T00:00:00"/>
    <n v="13.65205479452055"/>
    <s v="NN"/>
    <s v="10% every 5 years"/>
    <s v="3, 5yr"/>
    <n v="3679234"/>
    <n v="417.2413245633931"/>
    <n v="0.05800011632856187"/>
    <x v="577"/>
    <x v="66"/>
    <s v="SJC; Briggs"/>
    <x v="305"/>
    <s v="Fund"/>
    <m/>
    <m/>
    <n v="3951770"/>
    <n v="0.05400010628148905"/>
    <n v="0.9310344478550118"/>
    <n v="3776913"/>
    <n v="0.05650011001047681"/>
    <n v="0.001500006318085056"/>
    <s v="Yes"/>
    <d v="2019-03-22T00:00:00"/>
    <n v="276"/>
  </r>
  <r>
    <s v="DaVita Dialysis"/>
    <s v="5506 Platt Springs Road"/>
    <s v="Lexington "/>
    <s v="SC"/>
    <n v="1"/>
    <n v="2018"/>
    <n v="7339"/>
    <n v="174008"/>
    <n v="23.7100422400872"/>
    <d v="2034-02-08T00:00:00"/>
    <n v="14.13972602739726"/>
    <s v="NN"/>
    <s v="10% every 5 years"/>
    <s v="3, 5yr"/>
    <n v="3000133"/>
    <n v="408.7931598310396"/>
    <n v="0.05800009532910708"/>
    <x v="577"/>
    <x v="66"/>
    <s v="SJC; Briggs"/>
    <x v="305"/>
    <s v="Fund"/>
    <m/>
    <m/>
    <n v="3163776"/>
    <n v="0.05500010114496096"/>
    <n v="0.9482760473560707"/>
    <n v="3163776"/>
    <n v="0.05500010114496096"/>
    <n v="0.002999994184146121"/>
    <s v="No"/>
    <d v="2019-04-23T00:00:00"/>
    <n v="244"/>
  </r>
  <r>
    <s v="Fresenius Medical Care"/>
    <s v="3530 Rowe Ln"/>
    <s v="Chestatee"/>
    <s v="GA"/>
    <n v="1.4"/>
    <n v="2019"/>
    <n v="7000"/>
    <m/>
    <s v=" "/>
    <m/>
    <s v=" "/>
    <s v="NNN"/>
    <m/>
    <m/>
    <n v="3391600"/>
    <n v="484.5142857142857"/>
    <s v=" "/>
    <x v="578"/>
    <x v="192"/>
    <m/>
    <x v="305"/>
    <s v="Fund"/>
    <m/>
    <m/>
    <m/>
    <s v=" "/>
    <s v=" "/>
    <m/>
    <s v=" "/>
    <s v=" "/>
    <s v=" "/>
    <m/>
    <s v=" "/>
  </r>
  <r>
    <s v="Fresenius Medical Care"/>
    <s v="2850 Kirby Dr"/>
    <s v="Pearland"/>
    <s v="TX"/>
    <n v="0.76"/>
    <n v="2015"/>
    <n v="8003"/>
    <n v="186085"/>
    <n v="23.25190553542422"/>
    <d v="2029-04-23T00:00:00"/>
    <n v="9.347945205479451"/>
    <s v="NN"/>
    <s v="CPI annually"/>
    <s v="2, 5yr"/>
    <n v="3275000"/>
    <n v="409.2215419217793"/>
    <n v="0.05681984732824427"/>
    <x v="578"/>
    <x v="677"/>
    <s v="M&amp;M; Powell"/>
    <x v="552"/>
    <s v="Individual"/>
    <m/>
    <m/>
    <n v="3483000"/>
    <n v="0.05342664369796152"/>
    <n v="0.9402813666379558"/>
    <n v="3483000"/>
    <n v="0.05342664369796152"/>
    <n v="0.003393203630282747"/>
    <s v="No"/>
    <d v="2019-05-22T00:00:00"/>
    <n v="212"/>
  </r>
  <r>
    <s v="DaVita Dialysis"/>
    <s v="198 Ponderosa Rd"/>
    <s v="Colville"/>
    <s v="WA"/>
    <n v="1.2"/>
    <n v="2002"/>
    <n v="6043"/>
    <s v=""/>
    <m/>
    <d v="2028-10-05T00:00:00"/>
    <n v="8.800000000000001"/>
    <m/>
    <m/>
    <m/>
    <n v="1200000"/>
    <n v="198.5768657951349"/>
    <m/>
    <x v="578"/>
    <x v="678"/>
    <s v="dfg"/>
    <x v="553"/>
    <s v="Individual"/>
    <m/>
    <s v="EDG-DV"/>
    <n v="1800000"/>
    <e v="#VALUE!"/>
    <n v="0.6666666666666666"/>
    <m/>
    <s v=" "/>
    <s v=" "/>
    <s v=" "/>
    <m/>
    <s v=" "/>
  </r>
  <r>
    <s v="DaVita Dialysis - MT"/>
    <s v="3113 N. Lewis Ave"/>
    <s v="Waukegan"/>
    <s v="IL"/>
    <n v="1.21"/>
    <n v="1998"/>
    <n v="12448"/>
    <n v="265825"/>
    <n v="21.35483611825193"/>
    <d v="2029-05-31T00:00:00"/>
    <n v="9.454794520547946"/>
    <s v="NNN"/>
    <s v="2% annually"/>
    <s v="3, 5yr"/>
    <n v="3430000"/>
    <n v="275.5462724935733"/>
    <n v="0.0775"/>
    <x v="579"/>
    <x v="679"/>
    <s v="M&amp;M; Sharko"/>
    <x v="554"/>
    <s v="Individual"/>
    <m/>
    <m/>
    <n v="3816552"/>
    <n v="0.06965056417415511"/>
    <n v="0.8987169570858723"/>
    <n v="3430000"/>
    <n v="0.0775"/>
    <n v="0"/>
    <s v="Yes"/>
    <d v="2019-03-04T00:00:00"/>
    <n v="290"/>
  </r>
  <r>
    <s v="Fresenius Medical Care"/>
    <s v="5902-5904 Pointe West Blvd"/>
    <s v="Brandenton "/>
    <s v="FL"/>
    <n v="1.01"/>
    <n v="1983"/>
    <n v="10614"/>
    <m/>
    <s v=" "/>
    <m/>
    <s v=" "/>
    <m/>
    <m/>
    <m/>
    <n v="671600"/>
    <n v="63.27491991709064"/>
    <s v=" "/>
    <x v="579"/>
    <x v="680"/>
    <m/>
    <x v="555"/>
    <s v="Individual"/>
    <m/>
    <m/>
    <m/>
    <s v=" "/>
    <s v=" "/>
    <m/>
    <s v=" "/>
    <s v=" "/>
    <s v=" "/>
    <m/>
    <s v=" "/>
  </r>
  <r>
    <s v="DaVita Dialysis"/>
    <s v="2500 Trafalgar Blvd"/>
    <s v="Kissimmee"/>
    <s v="FL"/>
    <n v="1.2"/>
    <n v="2019"/>
    <n v="7372"/>
    <n v="195177"/>
    <n v="26.47544763971785"/>
    <d v="2034-07-18T00:00:00"/>
    <n v="14.5972602739726"/>
    <s v="NN"/>
    <s v="10% every 5 years"/>
    <s v="3, 5yr"/>
    <n v="3700000"/>
    <n v="501.8990775908844"/>
    <n v="0.05275054054054054"/>
    <x v="580"/>
    <x v="66"/>
    <s v="SJC; Briggs"/>
    <x v="556"/>
    <s v="Individual"/>
    <m/>
    <m/>
    <n v="3789845"/>
    <n v="0.05149999538239691"/>
    <n v="0.9762932257123972"/>
    <n v="3789845"/>
    <n v="0.05149999538239691"/>
    <n v="0.001250545158143636"/>
    <s v="No"/>
    <d v="2019-07-11T00:00:00"/>
    <n v="158"/>
  </r>
  <r>
    <s v="Fresenius Medical Care"/>
    <s v="220 Uvalda St"/>
    <s v="Waycross"/>
    <s v="GA"/>
    <n v="1.09"/>
    <n v="1994"/>
    <n v="5980"/>
    <n v="70448"/>
    <n v="11.78060200668896"/>
    <d v="2028-07-01T00:00:00"/>
    <n v="8.561643835616438"/>
    <s v="NN"/>
    <s v="Annually"/>
    <s v="3, 5yr"/>
    <n v="939300"/>
    <n v="157.0735785953177"/>
    <n v="0.07500053231129565"/>
    <x v="581"/>
    <x v="681"/>
    <s v="M&amp;M; Gould"/>
    <x v="398"/>
    <s v="Individual"/>
    <m/>
    <m/>
    <m/>
    <s v=" "/>
    <s v=" "/>
    <m/>
    <s v=" "/>
    <s v=" "/>
    <s v=" "/>
    <m/>
    <s v=" "/>
  </r>
  <r>
    <s v="Fresenius Medical Care"/>
    <s v="3149 Farm Bank Way"/>
    <s v="Grove City"/>
    <s v="OH"/>
    <n v="1.1"/>
    <n v="2009"/>
    <n v="8036"/>
    <n v="186392.8"/>
    <n v="23.1947237431558"/>
    <d v="2024-10-31T00:00:00"/>
    <n v="4.893150684931507"/>
    <s v="NN"/>
    <s v="1.7% annually"/>
    <s v="2, 5yr"/>
    <n v="2667400"/>
    <n v="331.9313091090095"/>
    <n v="0.06987808352703008"/>
    <x v="581"/>
    <x v="55"/>
    <s v="NAI; Bergman"/>
    <x v="423"/>
    <s v="Individual"/>
    <s v="Matthews; Hoover"/>
    <m/>
    <m/>
    <s v=" "/>
    <s v=" "/>
    <m/>
    <s v=" "/>
    <s v=" "/>
    <s v=" "/>
    <m/>
    <s v=" "/>
  </r>
  <r>
    <s v="Fresenius Medical Care"/>
    <s v="3372 Acworth Summit Blvd"/>
    <s v="Acworth"/>
    <s v="GA"/>
    <n v="2.9"/>
    <n v="2012"/>
    <n v="8840"/>
    <n v="164336"/>
    <n v="18.59004524886878"/>
    <d v="2027-09-30T00:00:00"/>
    <n v="7.808219178082192"/>
    <s v="NN"/>
    <s v="1.7% annually"/>
    <s v="2, 5yr"/>
    <n v="2266700"/>
    <n v="256.4140271493213"/>
    <n v="0.0725001102924957"/>
    <x v="581"/>
    <x v="55"/>
    <m/>
    <x v="423"/>
    <s v="Individual"/>
    <s v="Matthews; Hoover"/>
    <m/>
    <m/>
    <s v=" "/>
    <s v=" "/>
    <m/>
    <s v=" "/>
    <s v=" "/>
    <s v=" "/>
    <m/>
    <s v=" "/>
  </r>
  <r>
    <s v="Fresenius Medical Care"/>
    <s v="550 W 84th Dr"/>
    <s v="Merrillville"/>
    <s v="IN"/>
    <n v="2.61"/>
    <n v="2019"/>
    <n v="11692"/>
    <n v="290134"/>
    <n v="24.81474512487171"/>
    <d v="2034-04-30T00:00:00"/>
    <n v="14.39452054794521"/>
    <s v="NN"/>
    <s v="1.7% annually"/>
    <s v="3, 5 yr"/>
    <n v="4900911"/>
    <n v="419.1678925761204"/>
    <n v="0.05920001403820636"/>
    <x v="581"/>
    <x v="682"/>
    <s v="C&amp;W; Patel"/>
    <x v="557"/>
    <s v="Fund"/>
    <m/>
    <m/>
    <m/>
    <s v=" "/>
    <s v=" "/>
    <m/>
    <s v=" "/>
    <s v=" "/>
    <s v=" "/>
    <m/>
    <s v=" "/>
  </r>
  <r>
    <s v="Fresenius Medical Care"/>
    <s v="783 New Hwy 68"/>
    <s v="Sweetwater"/>
    <s v="TN"/>
    <n v="1.17"/>
    <n v="2009"/>
    <n v="8690"/>
    <n v="150771"/>
    <n v="17.34994246260069"/>
    <d v="2034-03-31T00:00:00"/>
    <n v="14.32602739726027"/>
    <s v="Absolute NNN"/>
    <s v="Annually"/>
    <s v="3, 5yr"/>
    <n v="2940000"/>
    <n v="338.3199079401611"/>
    <n v="0.05128265306122449"/>
    <x v="582"/>
    <x v="351"/>
    <s v="M&amp;M; Glass"/>
    <x v="558"/>
    <s v="Individual"/>
    <m/>
    <m/>
    <n v="2962157"/>
    <n v="0.05089905767992716"/>
    <n v="0.9925199778404723"/>
    <n v="2962157"/>
    <n v="0.05089905767992716"/>
    <n v="0.0003835953812973275"/>
    <s v="No"/>
    <d v="2019-03-26T00:00:00"/>
    <n v="255"/>
  </r>
  <r>
    <s v="DaVita Dialysis"/>
    <s v="1115 North Nova Road "/>
    <s v="Daytona Beach"/>
    <s v="FL"/>
    <n v="1.3"/>
    <n v="2019"/>
    <n v="6945"/>
    <n v="170194"/>
    <n v="24.50597552195824"/>
    <d v="2034-04-06T00:00:00"/>
    <n v="14.34246575342466"/>
    <s v="NN"/>
    <s v="10% every 5 years"/>
    <s v="3, 5yr"/>
    <n v="3324102"/>
    <n v="478.6323974082073"/>
    <n v="0.05119999326133795"/>
    <x v="582"/>
    <x v="66"/>
    <s v="SJC; Briggs"/>
    <x v="559"/>
    <s v="Individual"/>
    <m/>
    <m/>
    <n v="3360900"/>
    <n v="0.05063941206224523"/>
    <n v="0.9890511470141926"/>
    <n v="3403000"/>
    <n v="0.0500129297678519"/>
    <n v="0.001187063493486053"/>
    <s v="Yes"/>
    <d v="2019-07-16T00:00:00"/>
    <n v="143"/>
  </r>
  <r>
    <s v="Fresenius Medical Care"/>
    <s v="2834 Spring Ave SW"/>
    <s v="Decatur"/>
    <s v="AL"/>
    <n v="1.3"/>
    <n v="2016"/>
    <n v="7381"/>
    <n v="267724"/>
    <n v="36.27204985774285"/>
    <d v="2031-09-30T00:00:00"/>
    <n v="11.83835616438356"/>
    <s v="NNN"/>
    <s v="10% every 5 years"/>
    <s v="3, 5yr"/>
    <n v="4284000"/>
    <n v="580.4091586505893"/>
    <n v="0.06249393090569561"/>
    <x v="583"/>
    <x v="683"/>
    <s v="SVN: Albee"/>
    <x v="111"/>
    <s v="Fund"/>
    <m/>
    <m/>
    <n v="4738478"/>
    <n v="0.0564999985227324"/>
    <n v="0.9040877682665194"/>
    <n v="4388912"/>
    <n v="0.06100008384765974"/>
    <n v="0.001493847058035874"/>
    <s v="Yes"/>
    <d v="2018-10-22T00:00:00"/>
    <n v="405"/>
  </r>
  <r>
    <s v="Fresenius Medical Care"/>
    <s v="130 Aubreys Loop"/>
    <s v="South Boston"/>
    <s v="VA"/>
    <n v="1.57"/>
    <n v="2017"/>
    <n v="7754"/>
    <n v="247413"/>
    <n v="31.90778952798556"/>
    <d v="2032-12-31T00:00:00"/>
    <n v="13.10958904109589"/>
    <s v="NNN"/>
    <s v="10% every 5 years"/>
    <s v="3, 5yr"/>
    <n v="3770000"/>
    <n v="486.2006706216147"/>
    <n v="0.06562679045092838"/>
    <x v="584"/>
    <x v="13"/>
    <m/>
    <x v="35"/>
    <s v="REIT"/>
    <m/>
    <m/>
    <n v="4302840"/>
    <n v="0.05749993027860669"/>
    <n v="0.8761655092915377"/>
    <n v="3958612"/>
    <n v="0.06249993684655127"/>
    <n v="0.003126853604377117"/>
    <s v="Yes"/>
    <d v="2018-10-23T00:00:00"/>
    <n v="398"/>
  </r>
  <r>
    <s v="Gary Dialysis Center"/>
    <s v="1705 W 25th Ave"/>
    <s v="Gary"/>
    <s v="IN"/>
    <m/>
    <n v="2018"/>
    <n v="10829"/>
    <m/>
    <s v=" "/>
    <m/>
    <s v=" "/>
    <m/>
    <m/>
    <m/>
    <n v="3000000"/>
    <n v="277.0338904792686"/>
    <s v=" "/>
    <x v="585"/>
    <x v="684"/>
    <s v="M&amp;M;"/>
    <x v="560"/>
    <s v="Individual"/>
    <s v="M&amp;M;"/>
    <m/>
    <m/>
    <s v=" "/>
    <s v=" "/>
    <m/>
    <s v=" "/>
    <s v=" "/>
    <s v=" "/>
    <m/>
    <s v=" "/>
  </r>
  <r>
    <s v="Fresenius Medical Care"/>
    <s v="670 Granite Vista Dr"/>
    <s v="Rolesville"/>
    <s v="NC"/>
    <n v="1.53"/>
    <n v="2009"/>
    <n v="10138"/>
    <n v="207010"/>
    <n v="20.41921483527323"/>
    <d v="2028-12-31T00:00:00"/>
    <n v="9.12054794520548"/>
    <s v="NN"/>
    <m/>
    <m/>
    <n v="3175000"/>
    <n v="313.1781416452949"/>
    <n v="0.06519999999999999"/>
    <x v="586"/>
    <x v="685"/>
    <s v="Atlas; Adams"/>
    <x v="561"/>
    <s v="Individual"/>
    <m/>
    <m/>
    <m/>
    <s v=" "/>
    <s v=" "/>
    <m/>
    <s v=" "/>
    <s v=" "/>
    <s v=" "/>
    <m/>
    <s v=" "/>
  </r>
  <r>
    <s v="DaVita Dialysis"/>
    <s v="1849 Davisville"/>
    <s v="Willow Grove"/>
    <s v="PA"/>
    <n v="0.7"/>
    <n v="2010"/>
    <n v="8504"/>
    <n v="215949"/>
    <n v="25.39381467544685"/>
    <d v="2025-11-18T00:00:00"/>
    <n v="6.002739726027397"/>
    <s v="NNN"/>
    <s v="2% annually"/>
    <s v="2, 5yr"/>
    <n v="3085000"/>
    <n v="362.7704609595485"/>
    <n v="0.06999967585089141"/>
    <x v="587"/>
    <x v="686"/>
    <s v="CBRE; Gorman"/>
    <x v="562"/>
    <s v="Individual"/>
    <m/>
    <m/>
    <n v="3200000"/>
    <n v="0.0674840625"/>
    <n v="0.9640625"/>
    <n v="3200000"/>
    <n v="0.0674840625"/>
    <n v="0.002515613350891413"/>
    <s v="No"/>
    <d v="2019-06-24T00:00:00"/>
    <n v="148"/>
  </r>
  <r>
    <s v="Fresenius (Portfolio of 3)"/>
    <s v="14166 Steel Creek Road"/>
    <s v="Charlotte"/>
    <s v="NC"/>
    <n v="2.05"/>
    <n v="2016"/>
    <n v="12816"/>
    <n v="452989"/>
    <n v="35.3455836454432"/>
    <d v="2031-10-31T00:00:00"/>
    <n v="11.95890410958904"/>
    <s v="NN"/>
    <s v="10% every 5 years"/>
    <s v="3, 5yr"/>
    <n v="6791500"/>
    <n v="529.9235330836455"/>
    <n v="0.06669940366634763"/>
    <x v="588"/>
    <x v="687"/>
    <s v="Flagship; Slayden"/>
    <x v="563"/>
    <s v="Fund"/>
    <m/>
    <m/>
    <m/>
    <s v=" "/>
    <s v=" "/>
    <m/>
    <s v=" "/>
    <s v=" "/>
    <s v=" "/>
    <d v="2019-03-20T00:00:00"/>
    <n v="243"/>
  </r>
  <r>
    <s v="Fresenius (Portfolio of 3)"/>
    <s v="6646 Regal Oaks Drive"/>
    <s v="Charlotte"/>
    <s v="NC"/>
    <n v="2.93"/>
    <n v="2016"/>
    <n v="11086"/>
    <n v="391297"/>
    <n v="35.29650009020386"/>
    <d v="2031-12-31T00:00:00"/>
    <n v="12.12602739726027"/>
    <s v="NN"/>
    <s v="10% every 5 years"/>
    <s v="3, 5yr"/>
    <n v="5866500"/>
    <n v="529.1809489446148"/>
    <n v="0.06670024716611267"/>
    <x v="588"/>
    <x v="687"/>
    <s v="Flagship; Slayden"/>
    <x v="563"/>
    <s v="Fund"/>
    <m/>
    <m/>
    <m/>
    <s v=" "/>
    <s v=" "/>
    <m/>
    <s v=" "/>
    <s v=" "/>
    <s v=" "/>
    <d v="2019-03-20T00:00:00"/>
    <n v="243"/>
  </r>
  <r>
    <s v="Fresenius (Portfolio of 3)"/>
    <s v="604 Canterbury Road"/>
    <s v="Kings Mountain"/>
    <s v="NC"/>
    <m/>
    <n v="2017"/>
    <n v="9970"/>
    <n v="301021"/>
    <n v="30.19267803410231"/>
    <d v="2032-06-30T00:00:00"/>
    <n v="12.62465753424657"/>
    <s v="NN"/>
    <s v="10% every 5 years"/>
    <s v="3, 5yr"/>
    <n v="4513000"/>
    <n v="452.6579739217653"/>
    <n v="0.06670086417017505"/>
    <x v="588"/>
    <x v="687"/>
    <s v="Flagship; Slayden"/>
    <x v="563"/>
    <s v="Fund"/>
    <m/>
    <m/>
    <m/>
    <s v=" "/>
    <s v=" "/>
    <m/>
    <s v=" "/>
    <s v=" "/>
    <s v=" "/>
    <d v="2019-03-20T00:00:00"/>
    <n v="243"/>
  </r>
  <r>
    <s v="Fresenius Medical Care"/>
    <s v="9200 Staples Drive"/>
    <s v="Streetsboro"/>
    <s v="OH"/>
    <n v="1.9"/>
    <n v="1999"/>
    <n v="9526"/>
    <n v="107863"/>
    <n v="11.32301070753727"/>
    <d v="2024-06-30T00:00:00"/>
    <n v="4.619178082191781"/>
    <s v="NN"/>
    <s v="2% annually"/>
    <s v="2, 5yr"/>
    <n v="1200000"/>
    <n v="125.9710266638673"/>
    <n v="0.08988583333333333"/>
    <x v="588"/>
    <x v="688"/>
    <s v="Cooper Group; Cooper"/>
    <x v="564"/>
    <s v="Individual"/>
    <m/>
    <m/>
    <n v="1330000"/>
    <n v="0.08110000000000001"/>
    <n v="0.9022556390977443"/>
    <n v="1330000"/>
    <n v="0.08110000000000001"/>
    <n v="0.008785833333333326"/>
    <s v="No"/>
    <d v="2019-05-15T00:00:00"/>
    <n v="187"/>
  </r>
  <r>
    <s v="DaVita Dialysis"/>
    <s v="7500 W Lane "/>
    <s v="Stockton "/>
    <s v="CA"/>
    <n v="2.1"/>
    <n v="2019"/>
    <n v="13600"/>
    <n v="385832"/>
    <n v="28.37"/>
    <d v="2034-06-30T00:00:00"/>
    <n v="14.62465753424657"/>
    <s v="NNN"/>
    <s v="10% every 5 years"/>
    <s v="3, 5yr"/>
    <n v="7492000"/>
    <n v="550.8823529411765"/>
    <n v="0.05149919914575547"/>
    <x v="588"/>
    <x v="511"/>
    <s v="C&amp;W; Sheldon"/>
    <x v="565"/>
    <s v="Individual"/>
    <m/>
    <m/>
    <n v="7716000"/>
    <n v="0.05000414722654225"/>
    <n v="0.9709694142042509"/>
    <n v="7716000"/>
    <n v="0.05000414722654225"/>
    <n v="0.001495051919213224"/>
    <s v="No"/>
    <d v="2019-05-29T00:00:00"/>
    <n v="173"/>
  </r>
  <r>
    <s v="Fresenius Medical Care"/>
    <s v="130 Aubreys Loop"/>
    <s v="South Boston"/>
    <s v="VA"/>
    <m/>
    <m/>
    <n v="7754"/>
    <m/>
    <s v=" "/>
    <m/>
    <s v=" "/>
    <m/>
    <m/>
    <m/>
    <n v="3770000"/>
    <n v="486.2006706216147"/>
    <s v=" "/>
    <x v="589"/>
    <x v="520"/>
    <s v="C&amp;W; "/>
    <x v="35"/>
    <s v="REIT"/>
    <m/>
    <m/>
    <m/>
    <s v=" "/>
    <s v=" "/>
    <m/>
    <s v=" "/>
    <s v=" "/>
    <s v=" "/>
    <m/>
    <s v=" "/>
  </r>
  <r>
    <s v="Fresenius Medical Care"/>
    <s v="2429 Hickory Tree Rd"/>
    <s v="Balch Springs"/>
    <s v="TX"/>
    <n v="0.8"/>
    <n v="2018"/>
    <n v="7385"/>
    <n v="179662"/>
    <n v="24.32796208530806"/>
    <m/>
    <s v=" "/>
    <m/>
    <s v="10% every 5 years"/>
    <m/>
    <m/>
    <s v=" "/>
    <s v=" "/>
    <x v="589"/>
    <x v="520"/>
    <s v="M&amp;M; Mansour"/>
    <x v="566"/>
    <s v="Individual"/>
    <m/>
    <m/>
    <n v="3266587"/>
    <n v="0.05499991275297429"/>
    <s v=" "/>
    <n v="3266587"/>
    <n v="0.05499991275297429"/>
    <s v=" "/>
    <s v="No"/>
    <d v="2019-08-21T00:00:00"/>
    <n v="86"/>
  </r>
  <r>
    <s v="Laredo Medical"/>
    <s v="5501 Springfield Ave"/>
    <s v="Laredo"/>
    <s v="TX"/>
    <n v="1.43"/>
    <n v="2007"/>
    <n v="9780"/>
    <m/>
    <s v=" "/>
    <m/>
    <s v=" "/>
    <m/>
    <m/>
    <m/>
    <n v="1633333.333333333"/>
    <n v="167.0074982958419"/>
    <s v=" "/>
    <x v="590"/>
    <x v="73"/>
    <m/>
    <x v="567"/>
    <s v="Individual"/>
    <m/>
    <m/>
    <m/>
    <s v=" "/>
    <s v=" "/>
    <m/>
    <s v=" "/>
    <s v=" "/>
    <s v=" "/>
    <m/>
    <s v=" "/>
  </r>
  <r>
    <s v="DaVita Dialysis"/>
    <s v="100 Washington Blvd"/>
    <s v="Montebello"/>
    <s v="CA"/>
    <n v="0.72"/>
    <n v="2014"/>
    <n v="9512"/>
    <n v="316395"/>
    <n v="33.26272077375946"/>
    <d v="2029-08-22T00:00:00"/>
    <n v="9.797260273972602"/>
    <s v="NN"/>
    <s v="10% every 5 years"/>
    <s v="2, 5yr"/>
    <n v="5480000"/>
    <n v="576.1143818334735"/>
    <n v="0.05773631386861314"/>
    <x v="591"/>
    <x v="689"/>
    <s v="M&amp;M; Narchi"/>
    <x v="568"/>
    <s v="Individual"/>
    <s v="Grady Liu"/>
    <m/>
    <n v="5800000"/>
    <n v="0.05455086206896552"/>
    <n v="0.9448275862068966"/>
    <n v="5502522"/>
    <n v="0.05749999727397728"/>
    <n v="0.0002363165946358617"/>
    <s v="Yes"/>
    <d v="2019-08-02T00:00:00"/>
    <n v="97"/>
  </r>
  <r>
    <s v="Fresenius Medical Care"/>
    <s v="1031 S Madison St"/>
    <s v="Tupelo"/>
    <s v="MS"/>
    <n v="2.4"/>
    <n v="2018"/>
    <n v="13532"/>
    <n v="286000"/>
    <n v="21.13508720070943"/>
    <d v="2033-01-31T00:00:00"/>
    <n v="13.24931506849315"/>
    <s v="NN"/>
    <s v="1.7% annually"/>
    <s v="3, 5yr"/>
    <n v="4483000"/>
    <n v="331.2887969258055"/>
    <n v="0.06379656480035691"/>
    <x v="592"/>
    <x v="690"/>
    <s v="KW; Cook"/>
    <x v="123"/>
    <s v="Individual"/>
    <m/>
    <m/>
    <n v="5024696"/>
    <n v="0.05691886633539621"/>
    <n v="0.8921932789565776"/>
    <n v="4931042"/>
    <n v="0.05799991158055438"/>
    <n v="0.005796653219802529"/>
    <s v="Yes"/>
    <d v="2018-09-05T00:00:00"/>
    <n v="426"/>
  </r>
  <r>
    <s v="Fresenius Medical Care"/>
    <s v="1809 W Chapman Ave"/>
    <s v="Orange"/>
    <s v="CA"/>
    <n v="1.63"/>
    <n v="2016"/>
    <n v="21000"/>
    <n v="431200"/>
    <n v="20.53333333333333"/>
    <m/>
    <s v=" "/>
    <s v="Absolute NNN"/>
    <m/>
    <m/>
    <n v="8800000"/>
    <n v="419.047619047619"/>
    <n v="0.049"/>
    <x v="593"/>
    <x v="691"/>
    <s v="Newmark; Rudy"/>
    <x v="569"/>
    <s v="Individual"/>
    <m/>
    <m/>
    <n v="8920000"/>
    <n v="0.0483408071748879"/>
    <n v="0.9865470852017937"/>
    <n v="8920000"/>
    <n v="0.0483408071748879"/>
    <n v="0.0006591928251121065"/>
    <s v="No"/>
    <d v="2019-05-15T00:00:00"/>
    <n v="173"/>
  </r>
  <r>
    <s v="Fresenius Medical Care"/>
    <s v="3516 Richmond Cir"/>
    <s v="Grand Island"/>
    <s v="NE"/>
    <n v="1.31"/>
    <n v="2003"/>
    <n v="7952"/>
    <n v="154323"/>
    <n v="19.40681589537223"/>
    <d v="2024-05-31T00:00:00"/>
    <n v="4.575342465753424"/>
    <s v="NN"/>
    <s v="2.5% annually"/>
    <s v="2, 5yr"/>
    <n v="1950000"/>
    <n v="245.2213279678068"/>
    <n v="0.07914"/>
    <x v="593"/>
    <x v="692"/>
    <s v="SVN: Snyder"/>
    <x v="570"/>
    <s v="Individual"/>
    <s v="NAI; Tapia"/>
    <m/>
    <n v="2057640"/>
    <n v="0.075"/>
    <n v="0.9476876421531463"/>
    <n v="2057640"/>
    <n v="0.075"/>
    <n v="0.004140000000000005"/>
    <s v="No"/>
    <d v="2019-07-08T00:00:00"/>
    <n v="119"/>
  </r>
  <r>
    <s v="Fresenius Medical Care"/>
    <s v="630 Deckbar Ave"/>
    <s v="New Orleans"/>
    <s v="LA"/>
    <n v="2.64"/>
    <n v="2013"/>
    <n v="14373"/>
    <m/>
    <s v=" "/>
    <d v="2029-02-28T00:00:00"/>
    <n v="9.336986301369864"/>
    <s v="NN"/>
    <m/>
    <s v="3, 5yr"/>
    <n v="5552000"/>
    <n v="386.2798302372504"/>
    <s v=" "/>
    <x v="594"/>
    <x v="693"/>
    <m/>
    <x v="571"/>
    <s v="REIT"/>
    <m/>
    <m/>
    <m/>
    <s v=" "/>
    <s v=" "/>
    <m/>
    <s v=" "/>
    <s v=" "/>
    <s v=" "/>
    <m/>
    <s v=" "/>
  </r>
  <r>
    <s v="Fresenius Medical Care"/>
    <s v="11 Industrial Rd"/>
    <s v="Carmichaels"/>
    <s v="PA"/>
    <n v="1.5"/>
    <n v="2007"/>
    <n v="5000"/>
    <n v="64960"/>
    <n v="12.992"/>
    <d v="2022-10-31T00:00:00"/>
    <n v="3.002739726027397"/>
    <s v="NN"/>
    <s v="FMV at each option"/>
    <s v="2, 5yr"/>
    <n v="747878"/>
    <n v="149.5756"/>
    <n v="0.08685908664247377"/>
    <x v="594"/>
    <x v="694"/>
    <s v="Brian Hosey"/>
    <x v="572"/>
    <s v="Individual"/>
    <m/>
    <m/>
    <n v="812000"/>
    <n v="0.08"/>
    <n v="0.9210320197044335"/>
    <n v="812000"/>
    <n v="0.08"/>
    <n v="0.006859086642473769"/>
    <s v="No"/>
    <d v="2019-03-15T00:00:00"/>
    <n v="230"/>
  </r>
  <r>
    <s v="DaVita Dialysis"/>
    <s v="3015 The Commons Dr"/>
    <s v="Cumming "/>
    <s v="GA"/>
    <n v="1.21"/>
    <n v="2019"/>
    <n v="7000"/>
    <n v="195367.05"/>
    <n v="27.90957857142857"/>
    <m/>
    <n v="15"/>
    <s v="NN"/>
    <m/>
    <m/>
    <n v="3176700"/>
    <n v="453.8142857142857"/>
    <n v="0.0615"/>
    <x v="595"/>
    <x v="66"/>
    <s v="SJC; Briggs"/>
    <x v="111"/>
    <s v="Fund"/>
    <m/>
    <m/>
    <m/>
    <s v=" "/>
    <s v=" "/>
    <m/>
    <s v=" "/>
    <s v=" "/>
    <s v=" "/>
    <m/>
    <s v=" "/>
  </r>
  <r>
    <s v="Fresenius Medical Care"/>
    <s v="5301 Westbank Expy"/>
    <s v="Marrero"/>
    <s v="LA"/>
    <n v="1.49"/>
    <n v="2015"/>
    <n v="8504"/>
    <n v="347675"/>
    <n v="40.88370178739417"/>
    <d v="2031-11-30T00:00:00"/>
    <n v="12.11232876712329"/>
    <s v="NN"/>
    <s v="1.7% annually"/>
    <s v="3, 5yr"/>
    <n v="5804266"/>
    <n v="682.5336312323612"/>
    <n v="0.05989990810207527"/>
    <x v="596"/>
    <x v="296"/>
    <s v="C&amp;W; Patel"/>
    <x v="64"/>
    <s v="Fund"/>
    <s v="JRW Investments"/>
    <m/>
    <m/>
    <s v=" "/>
    <s v=" "/>
    <m/>
    <s v=" "/>
    <s v=" "/>
    <s v=" "/>
    <m/>
    <s v=" "/>
  </r>
  <r>
    <s v="Fresenius Medical Care"/>
    <s v="3300 N Main St"/>
    <s v="East Peoria"/>
    <s v="IL"/>
    <n v="3.5"/>
    <n v="1998"/>
    <n v="10280"/>
    <n v="157449"/>
    <n v="15.31605058365759"/>
    <d v="2037-12-31T00:00:00"/>
    <n v="18.2054794520548"/>
    <s v="Absolute NNN"/>
    <s v="Annual CPI"/>
    <s v="3, 5yr"/>
    <n v="2768000"/>
    <n v="269.2607003891051"/>
    <n v="0.05688186416184971"/>
    <x v="597"/>
    <x v="351"/>
    <s v="M&amp;M; Glass"/>
    <x v="573"/>
    <s v="Individual"/>
    <s v="CP; Webb"/>
    <m/>
    <n v="2942972"/>
    <n v="0.05349999932041487"/>
    <n v="0.9405458155904983"/>
    <n v="2793008"/>
    <n v="0.05637255603993974"/>
    <n v="0.0005093081219099752"/>
    <s v="Yes"/>
    <d v="2018-04-25T00:00:00"/>
    <n v="545"/>
  </r>
  <r>
    <s v="DaVita Dialysis"/>
    <s v="737 Dishman Lane"/>
    <s v="Bowling Green"/>
    <s v="KY"/>
    <n v="1"/>
    <n v="2017"/>
    <n v="5410"/>
    <n v="163202"/>
    <n v="30.16672828096118"/>
    <d v="2032-10-28T00:00:00"/>
    <n v="13.02739726027397"/>
    <s v="NN"/>
    <s v="10% every 5 years"/>
    <s v="2, 5yr"/>
    <n v="2838500"/>
    <n v="524.6765249537892"/>
    <n v="0.05749586048969526"/>
    <x v="597"/>
    <x v="66"/>
    <s v="SJC; Briggs"/>
    <x v="574"/>
    <s v="Individual"/>
    <m/>
    <m/>
    <n v="2863193"/>
    <n v="0.05699999965073958"/>
    <n v="0.9913757123602914"/>
    <n v="2863193"/>
    <n v="0.05699999965073958"/>
    <n v="0.0004958608389556834"/>
    <s v="No"/>
    <d v="2019-01-25T00:00:00"/>
    <n v="270"/>
  </r>
  <r>
    <s v="U.S. Renal Care"/>
    <s v="10502 Sandia Dr"/>
    <s v="Laredo"/>
    <s v="TX"/>
    <n v="1.264532"/>
    <n v="2016"/>
    <n v="9607"/>
    <n v="143281.25"/>
    <n v="14.91425523056105"/>
    <d v="2027-10-31T00:00:00"/>
    <n v="8.03013698630137"/>
    <s v="Absolute NNN"/>
    <s v="2.5% annually"/>
    <s v="3, 5 yr"/>
    <n v="2292500"/>
    <n v="238.6280836889768"/>
    <n v="0.0625"/>
    <x v="597"/>
    <x v="73"/>
    <s v="JLL; Berman"/>
    <x v="575"/>
    <s v="Individual"/>
    <s v="CBRE"/>
    <m/>
    <m/>
    <s v=" "/>
    <s v=" "/>
    <m/>
    <s v=" "/>
    <s v=" "/>
    <s v=" "/>
    <m/>
    <s v=" "/>
  </r>
  <r>
    <s v="Fresenius Medical Care"/>
    <s v="801 W Bristol St"/>
    <s v="Elkhart"/>
    <s v="IN"/>
    <n v="1.29"/>
    <n v="2020"/>
    <n v="6300"/>
    <m/>
    <s v=" "/>
    <m/>
    <s v=" "/>
    <m/>
    <m/>
    <m/>
    <n v="2233397"/>
    <n v="354.5074603174603"/>
    <s v=" "/>
    <x v="598"/>
    <x v="695"/>
    <s v="None"/>
    <x v="576"/>
    <s v="Individual"/>
    <m/>
    <s v="Lerg Development Co"/>
    <m/>
    <s v=" "/>
    <s v=" "/>
    <m/>
    <s v=" "/>
    <s v=" "/>
    <s v=" "/>
    <m/>
    <s v=" "/>
  </r>
  <r>
    <s v="Fresenius Medical Care"/>
    <s v="838 Ole Turnpike Dr"/>
    <s v="Bedford"/>
    <s v="VA"/>
    <n v="3.35"/>
    <n v="2005"/>
    <n v="7000"/>
    <n v="96600"/>
    <n v="13.8"/>
    <d v="2028-07-31T00:00:00"/>
    <n v="8.800000000000001"/>
    <s v="Modified Gross"/>
    <s v="CPI annually"/>
    <s v="2, 5 yr"/>
    <n v="1400000"/>
    <n v="200"/>
    <n v="0.06900000000000001"/>
    <x v="599"/>
    <x v="696"/>
    <s v="M&amp;M; Haron"/>
    <x v="577"/>
    <s v="Individual"/>
    <s v="Colliers; Ficke"/>
    <m/>
    <m/>
    <s v=" "/>
    <s v=" "/>
    <m/>
    <s v=" "/>
    <s v=" "/>
    <s v=" "/>
    <m/>
    <s v=" "/>
  </r>
  <r>
    <s v="Fresenius Medical Care"/>
    <s v="8340 Coffee Street"/>
    <s v="Houston"/>
    <s v="TX"/>
    <n v="2.1"/>
    <n v="2006"/>
    <n v="10500"/>
    <n v="131250"/>
    <n v="12.5"/>
    <d v="2033-12-31T00:00:00"/>
    <n v="14.23561643835616"/>
    <s v="Absolute NNN"/>
    <s v="Annual CPI Increases (Capped at 2%)"/>
    <s v="3, 5yr"/>
    <m/>
    <s v=" "/>
    <s v=" "/>
    <x v="600"/>
    <x v="351"/>
    <s v="M&amp;M; Glass"/>
    <x v="578"/>
    <s v="Individual"/>
    <m/>
    <m/>
    <n v="2282609"/>
    <n v="0.05749999233333435"/>
    <s v=" "/>
    <n v="2282609"/>
    <n v="0.05749999233333435"/>
    <s v=" "/>
    <s v="No"/>
    <d v="2019-05-30T00:00:00"/>
    <n v="133"/>
  </r>
  <r>
    <s v="Fresenius Medical Care"/>
    <s v="1802 Pine St"/>
    <s v="Abilene"/>
    <s v="TX"/>
    <n v="0.7"/>
    <n v="1976"/>
    <n v="10072"/>
    <n v="134061"/>
    <n v="13.3102660841938"/>
    <d v="2024-07-31T00:00:00"/>
    <n v="4.816438356164384"/>
    <s v="NN"/>
    <m/>
    <s v="3, 5yr"/>
    <n v="1800000"/>
    <n v="178.7132644956314"/>
    <n v="0.07447833333333333"/>
    <x v="601"/>
    <x v="697"/>
    <s v="M&amp;M; Ficke"/>
    <x v="579"/>
    <s v="Fund"/>
    <m/>
    <m/>
    <n v="1800000"/>
    <n v="0.07447833333333333"/>
    <n v="1"/>
    <n v="1800000"/>
    <n v="0.07447833333333333"/>
    <n v="0"/>
    <s v="No"/>
    <d v="2019-05-30T00:00:00"/>
    <n v="131"/>
  </r>
  <r>
    <s v="Fresenius Medical Care"/>
    <s v="1020 2nd St"/>
    <s v="Santa Rosa"/>
    <s v="CA"/>
    <n v="0.58"/>
    <n v="1970"/>
    <n v="6469"/>
    <n v="132600"/>
    <n v="20.49775854073273"/>
    <d v="2026-03-31T00:00:00"/>
    <n v="6.484931506849315"/>
    <s v="NN"/>
    <s v="3% annually"/>
    <s v="1, 5yr"/>
    <n v="2600000"/>
    <n v="401.9168341320142"/>
    <n v="0.051"/>
    <x v="602"/>
    <x v="698"/>
    <s v="NAI; Alam"/>
    <x v="580"/>
    <s v="Individual"/>
    <m/>
    <m/>
    <n v="2700000"/>
    <n v="0.04911111111111111"/>
    <n v="0.9629629629629629"/>
    <n v="2700000"/>
    <n v="0.04911111111111111"/>
    <n v="0.001888888888888884"/>
    <s v="No"/>
    <d v="2019-06-18T00:00:00"/>
    <n v="111"/>
  </r>
  <r>
    <s v="Fresenius Medical Care"/>
    <s v="734 US Hwy 64 E "/>
    <s v="Plymouth"/>
    <s v="NC"/>
    <n v="0.9"/>
    <n v="2002"/>
    <n v="6400"/>
    <n v="83200"/>
    <n v="13"/>
    <d v="2022-05-31T00:00:00"/>
    <n v="2.657534246575342"/>
    <s v="NN"/>
    <s v="FMV at options"/>
    <s v="2, 5yr remaining"/>
    <n v="850000"/>
    <n v="132.8125"/>
    <n v="0.09788235294117648"/>
    <x v="603"/>
    <x v="699"/>
    <s v="Embree: Bryce"/>
    <x v="581"/>
    <s v="Individual"/>
    <m/>
    <m/>
    <n v="1150000"/>
    <n v="0.07234782608695652"/>
    <n v="0.7391304347826086"/>
    <n v="1040000"/>
    <n v="0.08"/>
    <n v="0.01788235294117647"/>
    <s v="Yes"/>
    <d v="2017-07-28T00:00:00"/>
    <n v="798"/>
  </r>
  <r>
    <s v="Fresenius Medical Care"/>
    <s v="110 Industrial Park Dr "/>
    <s v="Trenton"/>
    <s v="NC"/>
    <n v="1.6"/>
    <n v="2002"/>
    <n v="5129"/>
    <n v="97000"/>
    <n v="18.91206862936245"/>
    <d v="2023-06-30T00:00:00"/>
    <n v="3.742465753424657"/>
    <s v="NN"/>
    <s v="5% options"/>
    <s v="3, 5 yr"/>
    <n v="750000"/>
    <n v="146.2273347631117"/>
    <n v="0.1293333333333333"/>
    <x v="604"/>
    <x v="700"/>
    <s v="York; Pace"/>
    <x v="581"/>
    <s v="Individual"/>
    <m/>
    <m/>
    <n v="1078000"/>
    <n v="0.08998144712430427"/>
    <n v="0.6957328385899815"/>
    <n v="1078000"/>
    <n v="0.08998144712430427"/>
    <n v="0.03935188620902906"/>
    <s v="No"/>
    <d v="2014-07-22T00:00:00"/>
    <n v="1899"/>
  </r>
  <r>
    <s v="Fresenius (Portfolio of 50)"/>
    <s v="5401 Gex Rd"/>
    <s v="Diamondhead"/>
    <s v="MS"/>
    <n v="3"/>
    <n v="2012"/>
    <n v="10764"/>
    <n v="88914"/>
    <n v="8.2603121516165"/>
    <d v="2031-12-31T00:00:00"/>
    <n v="12.26027397260274"/>
    <m/>
    <m/>
    <m/>
    <n v="1252309"/>
    <n v="116.3423448532144"/>
    <n v="0.07100004871002284"/>
    <x v="605"/>
    <x v="73"/>
    <m/>
    <x v="229"/>
    <s v="REIT"/>
    <m/>
    <m/>
    <m/>
    <s v=" "/>
    <s v=" "/>
    <m/>
    <s v=" "/>
    <s v=" "/>
    <s v=" "/>
    <m/>
    <s v=" "/>
  </r>
  <r>
    <s v="Dialysis Portfolio of 50"/>
    <m/>
    <m/>
    <m/>
    <m/>
    <m/>
    <n v="427495"/>
    <n v="10145900"/>
    <n v="23.73337699856139"/>
    <m/>
    <s v=" "/>
    <m/>
    <m/>
    <m/>
    <n v="142900000"/>
    <n v="334.2729154726956"/>
    <n v="0.07099999999999999"/>
    <x v="605"/>
    <x v="73"/>
    <s v="JLL; Berman"/>
    <x v="229"/>
    <s v="REIT"/>
    <m/>
    <m/>
    <m/>
    <s v=" "/>
    <s v=" "/>
    <m/>
    <s v=" "/>
    <s v=" "/>
    <s v=" "/>
    <m/>
    <s v=" "/>
  </r>
  <r>
    <s v="DaVita Dialysis"/>
    <s v="626 W Main St"/>
    <s v="Murfreesboro"/>
    <s v="NC"/>
    <n v="1.1"/>
    <n v="2018"/>
    <n v="6529"/>
    <n v="149187.65"/>
    <n v="22.85"/>
    <d v="2033-09-15T00:00:00"/>
    <n v="13.96986301369863"/>
    <s v="NN"/>
    <s v="10% every 5 years"/>
    <s v="2, 5yr"/>
    <n v="2453700"/>
    <n v="375.8155919742687"/>
    <n v="0.06080109630354159"/>
    <x v="605"/>
    <x v="66"/>
    <s v="SJC; Briggs"/>
    <x v="159"/>
    <s v="Individual"/>
    <s v="David Hanson"/>
    <m/>
    <n v="2507864"/>
    <n v="0.05948793475244271"/>
    <n v="0.9784023376068239"/>
    <n v="2507864"/>
    <n v="0.05948793475244271"/>
    <n v="0.001313161551098875"/>
    <s v="No"/>
    <d v="2019-01-31T00:00:00"/>
    <n v="242"/>
  </r>
  <r>
    <s v="DaVita Dialysis"/>
    <s v="5800 Woodrow Bean Transmountain Dr"/>
    <s v="El Paso"/>
    <s v="TX"/>
    <n v="1.68"/>
    <n v="2014"/>
    <n v="12600"/>
    <m/>
    <s v=" "/>
    <m/>
    <s v=" "/>
    <m/>
    <m/>
    <m/>
    <m/>
    <s v=" "/>
    <s v=" "/>
    <x v="606"/>
    <x v="701"/>
    <m/>
    <x v="229"/>
    <s v="REIT"/>
    <m/>
    <m/>
    <m/>
    <s v=" "/>
    <s v=" "/>
    <m/>
    <s v=" "/>
    <s v=" "/>
    <s v=" "/>
    <m/>
    <s v=" "/>
  </r>
  <r>
    <s v="DaVita Dialysis"/>
    <s v="4041 University Pkwy"/>
    <s v="San Bernardino"/>
    <s v="CA"/>
    <n v="0.6"/>
    <n v="2009"/>
    <n v="10200"/>
    <n v="286000"/>
    <n v="28.03921568627451"/>
    <d v="2034-01-29T00:00:00"/>
    <n v="14.35616438356164"/>
    <s v="NNN"/>
    <s v="10% every 5 years"/>
    <s v="3, 5yr"/>
    <n v="5200000"/>
    <n v="509.8039215686275"/>
    <n v="0.055"/>
    <x v="607"/>
    <x v="702"/>
    <s v="SIG; Cigliano"/>
    <x v="582"/>
    <s v="Individual"/>
    <m/>
    <m/>
    <n v="5200000"/>
    <n v="0.055"/>
    <n v="1"/>
    <n v="5200000"/>
    <n v="0.055"/>
    <n v="0"/>
    <s v="No"/>
    <d v="2019-07-08T00:00:00"/>
    <n v="79"/>
  </r>
  <r>
    <s v="Fresenius Medical Care"/>
    <s v="164 Holiday Dr"/>
    <s v="Wilmington"/>
    <s v="OH"/>
    <m/>
    <m/>
    <n v="7558"/>
    <m/>
    <s v=" "/>
    <m/>
    <s v=" "/>
    <m/>
    <m/>
    <m/>
    <n v="2588500"/>
    <n v="342.48478433448"/>
    <s v=" "/>
    <x v="608"/>
    <x v="520"/>
    <s v="C&amp;W; "/>
    <x v="583"/>
    <s v="Individual"/>
    <m/>
    <m/>
    <m/>
    <s v=" "/>
    <s v=" "/>
    <m/>
    <s v=" "/>
    <s v=" "/>
    <s v=" "/>
    <m/>
    <s v=" "/>
  </r>
  <r>
    <s v="Fresenius Medical Care"/>
    <s v="9310 E 91st St"/>
    <s v="Tulsa"/>
    <s v="OK"/>
    <n v="2.23"/>
    <n v="2019"/>
    <n v="6437"/>
    <m/>
    <s v=" "/>
    <m/>
    <s v=" "/>
    <m/>
    <m/>
    <m/>
    <n v="3609000"/>
    <n v="560.6649060121174"/>
    <s v=" "/>
    <x v="609"/>
    <x v="703"/>
    <m/>
    <x v="111"/>
    <s v="Fund"/>
    <m/>
    <m/>
    <m/>
    <s v=" "/>
    <s v=" "/>
    <m/>
    <s v=" "/>
    <s v=" "/>
    <s v=" "/>
    <m/>
    <s v=" "/>
  </r>
  <r>
    <s v="Fresenius Medical Care"/>
    <s v="3038 St Johns Bluff Rd S"/>
    <s v="Jacksonville"/>
    <s v="FL"/>
    <n v="0.79"/>
    <n v="2015"/>
    <n v="11500"/>
    <n v="269856"/>
    <n v="23.46573913043478"/>
    <d v="2028-08-05T12:00:00"/>
    <n v="8.9"/>
    <m/>
    <m/>
    <m/>
    <n v="4249700"/>
    <n v="369.5391304347826"/>
    <n v="0.06350001176553639"/>
    <x v="610"/>
    <x v="704"/>
    <m/>
    <x v="111"/>
    <s v="Fund"/>
    <s v="JLL"/>
    <m/>
    <n v="4442085"/>
    <n v="0.06074985057692502"/>
    <n v="0.9566903830070789"/>
    <n v="4442085"/>
    <n v="0.06074985057692502"/>
    <n v="0.002750161188611371"/>
    <s v="No"/>
    <d v="2018-03-15T00:00:00"/>
    <n v="548"/>
  </r>
  <r>
    <s v="DaVita (Leasehold)"/>
    <s v="1424 US-1 Hwy"/>
    <s v="Sebastian"/>
    <s v="FL"/>
    <n v="1.19"/>
    <n v="1997"/>
    <n v="9600"/>
    <n v="156200"/>
    <n v="16.27083333333333"/>
    <m/>
    <s v=" "/>
    <m/>
    <m/>
    <m/>
    <n v="1775000"/>
    <n v="184.8958333333333"/>
    <n v="0.08799999999999999"/>
    <x v="611"/>
    <x v="705"/>
    <s v="SRS; Walter"/>
    <x v="584"/>
    <s v="Individual"/>
    <m/>
    <m/>
    <m/>
    <s v=" "/>
    <s v=" "/>
    <m/>
    <s v=" "/>
    <s v=" "/>
    <s v=" "/>
    <m/>
    <s v=" "/>
  </r>
  <r>
    <s v="DaVita Dialysis"/>
    <s v="1471 North Cashua Drive"/>
    <s v="Florence"/>
    <s v="SC"/>
    <n v="1"/>
    <n v="2018"/>
    <n v="6109"/>
    <n v="168731"/>
    <n v="27.62006875102308"/>
    <d v="2033-02-20T00:00:00"/>
    <n v="13.45479452054795"/>
    <s v="NN"/>
    <s v="10% every 5 years"/>
    <s v="2, 5yr"/>
    <n v="2850000"/>
    <n v="466.5247994761827"/>
    <n v="0.05920385964912281"/>
    <x v="612"/>
    <x v="66"/>
    <s v="SJC; Briggs"/>
    <x v="585"/>
    <s v="Fund"/>
    <m/>
    <m/>
    <n v="2875932"/>
    <n v="0.05867002418694183"/>
    <n v="0.9909830969577862"/>
    <n v="2875932"/>
    <n v="0.05867002418694183"/>
    <n v="0.0005338354621809774"/>
    <s v="No"/>
    <d v="2019-01-21T00:00:00"/>
    <n v="233"/>
  </r>
  <r>
    <s v="DaVita Dialysis"/>
    <s v="4405 Ross Ave"/>
    <s v="Dallas"/>
    <s v="TX"/>
    <n v="0.4"/>
    <n v="1936"/>
    <n v="10135"/>
    <n v="283780"/>
    <n v="28"/>
    <d v="2033-07-31T00:00:00"/>
    <n v="13.8958904109589"/>
    <s v="NN"/>
    <s v="Yes"/>
    <s v="2, 5yr"/>
    <n v="4935304"/>
    <n v="486.9564874198323"/>
    <n v="0.05750000405243527"/>
    <x v="612"/>
    <x v="706"/>
    <s v="SJC; Butler"/>
    <x v="586"/>
    <s v="Individual"/>
    <m/>
    <m/>
    <n v="4935304"/>
    <n v="0.05750000405243527"/>
    <n v="1"/>
    <n v="4935304"/>
    <n v="0.05750000405243527"/>
    <n v="0"/>
    <s v="No"/>
    <m/>
    <s v=" "/>
  </r>
  <r>
    <s v="Fresenius Medical Care"/>
    <s v="2886 Memorial Dr SE"/>
    <s v="Atlanta"/>
    <s v="GA"/>
    <n v="0.3"/>
    <n v="2019"/>
    <n v="11000"/>
    <n v="259676.45"/>
    <n v="23.60695"/>
    <d v="2034-01-31T00:00:00"/>
    <n v="14.4027397260274"/>
    <s v="NN"/>
    <s v="1.7% annually"/>
    <s v="2, 5 yr"/>
    <n v="4721390"/>
    <n v="429.2172727272727"/>
    <n v="0.055"/>
    <x v="613"/>
    <x v="36"/>
    <s v="C&amp;W; Patel"/>
    <x v="587"/>
    <s v="Individual"/>
    <s v="Colliers; Olaiz"/>
    <m/>
    <m/>
    <s v=" "/>
    <s v=" "/>
    <m/>
    <s v=" "/>
    <s v=" "/>
    <s v=" "/>
    <m/>
    <s v=" "/>
  </r>
  <r>
    <s v="Dialysis Care Center"/>
    <s v="349 W 80th Pl"/>
    <s v="Merillville"/>
    <s v="IN"/>
    <n v="1.3"/>
    <n v="2016"/>
    <n v="4500"/>
    <n v="80990"/>
    <n v="17.99777777777778"/>
    <d v="2029-06-14T00:00:00"/>
    <n v="9.769863013698631"/>
    <s v="NNN"/>
    <s v="2% anually"/>
    <s v="2, 5yr"/>
    <n v="1157000"/>
    <n v="257.1111111111111"/>
    <n v="0.07000000000000001"/>
    <x v="614"/>
    <x v="707"/>
    <s v="SJC; Fritz"/>
    <x v="588"/>
    <s v="Individual"/>
    <m/>
    <m/>
    <n v="1246000"/>
    <n v="0.065"/>
    <n v="0.9285714285714286"/>
    <n v="1246000"/>
    <n v="0.065"/>
    <n v="0.005000000000000004"/>
    <s v="No"/>
    <d v="2019-05-20T00:00:00"/>
    <n v="112"/>
  </r>
  <r>
    <s v="Fresenius Medical Care"/>
    <s v="3810 Common Ave NE "/>
    <s v="Albuquerque"/>
    <s v="NM"/>
    <n v="0.6"/>
    <n v="2013"/>
    <n v="8000"/>
    <n v="177634"/>
    <n v="22.20425"/>
    <d v="2025-07-31T00:00:00"/>
    <n v="5.904109589041096"/>
    <s v="NN"/>
    <s v="3% annually"/>
    <s v="2, 5yr"/>
    <n v="2600000"/>
    <n v="325"/>
    <n v="0.06832076923076923"/>
    <x v="615"/>
    <x v="73"/>
    <s v="SJC; Briggs"/>
    <x v="589"/>
    <s v="Individual"/>
    <m/>
    <m/>
    <n v="2685000"/>
    <n v="0.06615791433891993"/>
    <n v="0.9683426443202979"/>
    <n v="2710925"/>
    <n v="0.06552523585123159"/>
    <n v="0.00279553337953764"/>
    <s v="Yes"/>
    <d v="2018-10-23T00:00:00"/>
    <n v="318"/>
  </r>
  <r>
    <s v="Fresenius Medical Care"/>
    <s v="2129 W Pecan St"/>
    <s v="Pflugerville"/>
    <s v="TX"/>
    <n v="1.8"/>
    <n v="2019"/>
    <n v="7217"/>
    <n v="202499"/>
    <n v="28.05861161147291"/>
    <d v="2034-06-30T00:00:00"/>
    <n v="14.82465753424658"/>
    <s v="NNN"/>
    <s v="10% every 5 years"/>
    <m/>
    <m/>
    <s v=" "/>
    <s v=" "/>
    <x v="615"/>
    <x v="520"/>
    <s v="M&amp;M; Mansour"/>
    <x v="590"/>
    <s v="Individual"/>
    <m/>
    <m/>
    <n v="3681800"/>
    <n v="0.055"/>
    <s v=" "/>
    <n v="3681800"/>
    <n v="0.055"/>
    <s v=" "/>
    <s v="No"/>
    <d v="2019-04-19T00:00:00"/>
    <n v="140"/>
  </r>
  <r>
    <s v="Fresenius Medical Care - Muncie, IN"/>
    <s v="4021 W Kilgore Ave"/>
    <s v="Muncie"/>
    <s v="IN"/>
    <n v="1.110009"/>
    <n v="1984"/>
    <n v="12111"/>
    <m/>
    <s v=" "/>
    <m/>
    <s v=" "/>
    <m/>
    <m/>
    <m/>
    <n v="4995153"/>
    <n v="412.4476096110973"/>
    <s v=" "/>
    <x v="616"/>
    <x v="708"/>
    <s v="Newmark Knight Frank"/>
    <x v="64"/>
    <s v="Fund"/>
    <m/>
    <m/>
    <m/>
    <s v=" "/>
    <s v=" "/>
    <m/>
    <s v=" "/>
    <s v=" "/>
    <s v=" "/>
    <m/>
    <s v=" "/>
  </r>
  <r>
    <s v="Fresenius Medical Care"/>
    <s v="4021 W Kilgore Ave"/>
    <s v="Muncie"/>
    <s v="IN"/>
    <n v="1.5"/>
    <n v="2014"/>
    <n v="12111"/>
    <n v="325000"/>
    <n v="26.83510857897779"/>
    <d v="2029-01-31T00:00:00"/>
    <n v="9.419178082191781"/>
    <s v="NN"/>
    <s v="10% every 5 years"/>
    <s v="2, 5yr"/>
    <n v="4995153"/>
    <n v="412.4476096110973"/>
    <n v="0.06506307214213458"/>
    <x v="617"/>
    <x v="131"/>
    <s v="Newmark; Montooth"/>
    <x v="64"/>
    <s v="Fund"/>
    <m/>
    <m/>
    <n v="5200000"/>
    <n v="0.0625"/>
    <n v="0.9606063461538461"/>
    <n v="5200000"/>
    <n v="0.0625"/>
    <n v="0.002563072142134581"/>
    <s v="No"/>
    <d v="2019-06-21T00:00:00"/>
    <n v="74"/>
  </r>
  <r>
    <s v="Fresenius Medical Care"/>
    <s v="164 Holiday Drive"/>
    <s v="Wilmington "/>
    <s v="OH"/>
    <n v="1.9"/>
    <n v="2019"/>
    <n v="7558"/>
    <n v="154232"/>
    <n v="20.40645673458587"/>
    <d v="2034-06-30T00:00:00"/>
    <n v="14.83835616438356"/>
    <s v="NNN"/>
    <s v="10% every 5 years"/>
    <m/>
    <n v="2588500"/>
    <n v="342.48478433448"/>
    <n v="0.05958354259223488"/>
    <x v="618"/>
    <x v="709"/>
    <s v="C&amp;W; Patel"/>
    <x v="591"/>
    <s v="Individual"/>
    <m/>
    <m/>
    <n v="2682295"/>
    <n v="0.05750001398056515"/>
    <n v="0.9650318104459055"/>
    <n v="2682295"/>
    <n v="0.05750001398056515"/>
    <n v="0.00208352861166973"/>
    <s v="No"/>
    <d v="2019-06-14T00:00:00"/>
    <n v="79"/>
  </r>
  <r>
    <s v="DaVita Dialysis"/>
    <s v="1003 West 4th Street"/>
    <s v="Cameron"/>
    <s v="MO"/>
    <n v="0.9399999999999999"/>
    <n v="1997"/>
    <n v="8600"/>
    <n v="51120"/>
    <n v="5.944186046511628"/>
    <d v="2022-06-18T00:00:00"/>
    <n v="2.8"/>
    <s v="NN"/>
    <s v="15% each option"/>
    <s v="2, 5yr"/>
    <n v="653600"/>
    <n v="76"/>
    <n v="0.07821297429620563"/>
    <x v="619"/>
    <x v="13"/>
    <m/>
    <x v="0"/>
    <s v="Individual"/>
    <m/>
    <m/>
    <n v="759000"/>
    <n v="0.06735177865612649"/>
    <n v="0.861133069828722"/>
    <n v="759000"/>
    <n v="0.06735177865612649"/>
    <n v="0.01086119564007915"/>
    <s v="No"/>
    <d v="2019-06-11T00:00:00"/>
    <n v="81"/>
  </r>
  <r>
    <s v="DaVita Dialysis"/>
    <s v="501 East Almond Ave"/>
    <s v="Madera"/>
    <s v="CA"/>
    <n v="2.2"/>
    <n v="2008"/>
    <n v="9154"/>
    <n v="158212"/>
    <n v="17.28337338868254"/>
    <d v="2023-06-30T00:00:00"/>
    <n v="3.835616438356164"/>
    <s v="NNN"/>
    <s v="2% annually"/>
    <m/>
    <n v="2050000"/>
    <n v="223.9458160367053"/>
    <n v="0.07717658536585366"/>
    <x v="620"/>
    <x v="710"/>
    <s v="Visintainer Group"/>
    <x v="592"/>
    <s v="User"/>
    <m/>
    <m/>
    <n v="2775000"/>
    <n v="0.05701333333333333"/>
    <n v="0.7387387387387387"/>
    <n v="2636000"/>
    <n v="0.06001972685887709"/>
    <n v="0.01715685850697657"/>
    <s v="Yes"/>
    <d v="2018-12-19T00:00:00"/>
    <n v="254"/>
  </r>
  <r>
    <s v="DaVita Dialysis"/>
    <s v="425 W Beverly Pl"/>
    <s v="Tracy"/>
    <s v="CA"/>
    <n v="0.7"/>
    <n v="1997"/>
    <n v="5808"/>
    <n v="147000"/>
    <n v="25.3099173553719"/>
    <d v="2021-02-28T00:00:00"/>
    <n v="1.501369863013699"/>
    <s v="Modified Gross"/>
    <s v="3% annually"/>
    <s v="1, 5yr"/>
    <n v="1800000"/>
    <n v="309.9173553719008"/>
    <n v="0.08166666666666667"/>
    <x v="620"/>
    <x v="711"/>
    <m/>
    <x v="593"/>
    <s v="Individual"/>
    <m/>
    <m/>
    <n v="2100000"/>
    <n v="0.07000000000000001"/>
    <n v="0.8571428571428571"/>
    <n v="2100000"/>
    <n v="0.07000000000000001"/>
    <n v="0.01166666666666666"/>
    <s v="No"/>
    <d v="2019-02-04T00:00:00"/>
    <n v="207"/>
  </r>
  <r>
    <s v="SKI Properties AZ Medical Office Portfolio 2019"/>
    <s v="1 of 2 properties"/>
    <m/>
    <m/>
    <m/>
    <m/>
    <n v="31425"/>
    <m/>
    <s v=" "/>
    <m/>
    <s v=" "/>
    <m/>
    <m/>
    <m/>
    <m/>
    <s v=" "/>
    <s v=" "/>
    <x v="621"/>
    <x v="712"/>
    <s v="JLL"/>
    <x v="594"/>
    <s v="Individual"/>
    <m/>
    <m/>
    <m/>
    <s v=" "/>
    <s v=" "/>
    <m/>
    <s v=" "/>
    <s v=" "/>
    <s v=" "/>
    <m/>
    <s v=" "/>
  </r>
  <r>
    <s v="Fresenius Medical Care"/>
    <s v="2560 Legion Rd"/>
    <s v="Fayetteville"/>
    <s v="NC"/>
    <n v="13"/>
    <n v="2017"/>
    <n v="23529"/>
    <n v="705870.04"/>
    <n v="30.00000170002975"/>
    <d v="2032-04-30T00:00:00"/>
    <n v="12.68493150684932"/>
    <s v="NN"/>
    <s v="1.7% annually"/>
    <s v="3, 5yr"/>
    <n v="11571640"/>
    <n v="491.8033065578647"/>
    <n v="0.06100000000000001"/>
    <x v="621"/>
    <x v="713"/>
    <s v="PH: Peranich &amp; Huffman"/>
    <x v="64"/>
    <s v="Fund"/>
    <s v="JRW Investments"/>
    <m/>
    <m/>
    <s v=" "/>
    <s v=" "/>
    <m/>
    <s v=" "/>
    <s v=" "/>
    <s v=" "/>
    <m/>
    <s v=" "/>
  </r>
  <r>
    <s v="Fresenius Medical Care"/>
    <s v="3827 Bell Sr"/>
    <s v="Loris"/>
    <s v="SC"/>
    <n v="0.9"/>
    <n v="2000"/>
    <n v="6628"/>
    <n v="122317"/>
    <n v="18.4545866022933"/>
    <d v="2025-07-31T00:00:00"/>
    <n v="5.931506849315069"/>
    <s v="NN"/>
    <s v="In options"/>
    <s v="2, 5yr"/>
    <n v="1210000"/>
    <n v="182.5588412794206"/>
    <n v="0.1010884297520661"/>
    <x v="621"/>
    <x v="714"/>
    <s v="Matthews; Moreno"/>
    <x v="595"/>
    <s v="Individual"/>
    <m/>
    <m/>
    <n v="1439027"/>
    <n v="0.08499979500037178"/>
    <n v="0.840845932703139"/>
    <n v="1439027"/>
    <n v="0.08499979500037178"/>
    <n v="0.01608863475169434"/>
    <s v="No"/>
    <d v="2019-01-25T00:00:00"/>
    <n v="214"/>
  </r>
  <r>
    <s v="Davita Dialysis"/>
    <s v="9010 Brodie Lane"/>
    <s v="Austin"/>
    <s v="TX"/>
    <n v="8.07"/>
    <n v="2018"/>
    <n v="10235"/>
    <n v="280951"/>
    <n v="27.45002442598925"/>
    <d v="2034-04-30T00:00:00"/>
    <n v="14.6958904109589"/>
    <s v="NNN"/>
    <s v="2% annually"/>
    <s v="3, 5yr"/>
    <n v="5225000"/>
    <n v="510.5031753786029"/>
    <n v="0.05377052631578948"/>
    <x v="622"/>
    <x v="646"/>
    <s v="SJC; Riggs "/>
    <x v="596"/>
    <s v="Individual"/>
    <m/>
    <m/>
    <n v="5350000"/>
    <n v="0.05251420560747663"/>
    <n v="0.9766355140186916"/>
    <n v="5350000"/>
    <n v="0.05251420560747663"/>
    <n v="0.001256320708312844"/>
    <s v="No"/>
    <d v="2019-03-15T00:00:00"/>
    <n v="161"/>
  </r>
  <r>
    <s v="U.S. Renal Care"/>
    <s v="2721 Dobie Dr"/>
    <s v="Plano"/>
    <s v="TX"/>
    <n v="1"/>
    <n v="2007"/>
    <n v="5993"/>
    <n v="63900"/>
    <n v="10.66243951276489"/>
    <d v="2023-08-31T00:00:00"/>
    <n v="4.03013698630137"/>
    <s v="NN"/>
    <s v="Annually"/>
    <s v="None"/>
    <n v="975000"/>
    <n v="162.6898047722343"/>
    <n v="0.06553846153846153"/>
    <x v="623"/>
    <x v="715"/>
    <s v="Matthews; Moreno"/>
    <x v="597"/>
    <s v="Individual"/>
    <s v="Samba Avirneni"/>
    <m/>
    <n v="1092308"/>
    <n v="0.0584999835211314"/>
    <n v="0.892605382364681"/>
    <n v="1092308"/>
    <n v="0.0584999835211314"/>
    <n v="0.007038478017330131"/>
    <s v="No"/>
    <d v="2019-01-21T00:00:00"/>
    <n v="212"/>
  </r>
  <r>
    <s v="DaVita Dialysis"/>
    <s v="8410 W Thomas Rd"/>
    <s v="Phoenix"/>
    <s v="AZ"/>
    <n v="0.23"/>
    <n v="2005"/>
    <n v="9644"/>
    <m/>
    <s v=" "/>
    <m/>
    <s v=" "/>
    <s v="NNN"/>
    <m/>
    <m/>
    <n v="3700000"/>
    <n v="383.6582330982994"/>
    <s v=" "/>
    <x v="624"/>
    <x v="716"/>
    <s v="JLL; Ackerman"/>
    <x v="598"/>
    <s v="Fund"/>
    <m/>
    <m/>
    <m/>
    <s v=" "/>
    <s v=" "/>
    <m/>
    <s v=" "/>
    <s v=" "/>
    <s v=" "/>
    <m/>
    <s v=" "/>
  </r>
  <r>
    <s v="DaVita Dialysis"/>
    <s v="2149 E Warner Rd"/>
    <s v="Tempe"/>
    <s v="AZ"/>
    <n v="8.15"/>
    <n v="2004"/>
    <n v="21082"/>
    <m/>
    <s v=" "/>
    <m/>
    <s v=" "/>
    <m/>
    <m/>
    <m/>
    <n v="7750000"/>
    <n v="367.6121810074945"/>
    <s v=" "/>
    <x v="624"/>
    <x v="716"/>
    <s v="JLL; Ackerman"/>
    <x v="598"/>
    <s v="Fund"/>
    <m/>
    <m/>
    <m/>
    <s v=" "/>
    <s v=" "/>
    <m/>
    <s v=" "/>
    <s v=" "/>
    <s v=" "/>
    <m/>
    <s v=" "/>
  </r>
  <r>
    <s v="DaVita Dialysis"/>
    <s v="1520 Flag Drive"/>
    <s v="Florence"/>
    <s v="SC"/>
    <n v="1"/>
    <n v="2014"/>
    <n v="8700"/>
    <n v="148430"/>
    <n v="17.06091954022989"/>
    <d v="2028-10-31T00:00:00"/>
    <n v="9.219178082191782"/>
    <s v="NN"/>
    <m/>
    <m/>
    <n v="2460000"/>
    <n v="282.7586206896552"/>
    <n v="0.06033739837398374"/>
    <x v="625"/>
    <x v="717"/>
    <s v="CP; Webb"/>
    <x v="599"/>
    <s v="Individual"/>
    <m/>
    <m/>
    <n v="2473833"/>
    <n v="0.0600000080846201"/>
    <n v="0.9944082725066729"/>
    <n v="2473833"/>
    <n v="0.0600000080846201"/>
    <n v="0.0003373902893636371"/>
    <s v="No"/>
    <d v="2019-05-15T00:00:00"/>
    <n v="92"/>
  </r>
  <r>
    <s v="DaVita Dialysis"/>
    <s v="8259 Clarcona Ocoee Rd"/>
    <s v="Clarcona"/>
    <s v="FL"/>
    <n v="3.55"/>
    <n v="2007"/>
    <n v="7122"/>
    <n v="201114"/>
    <n v="28.23841617523168"/>
    <d v="2033-09-26T00:00:00"/>
    <n v="14.12876712328767"/>
    <s v="NN"/>
    <s v="10% every 5 years"/>
    <s v="2, 5yr"/>
    <n v="3792000"/>
    <n v="532.4347093513059"/>
    <n v="0.05303639240506329"/>
    <x v="626"/>
    <x v="66"/>
    <s v="SJC; Briggs"/>
    <x v="600"/>
    <s v="Individual"/>
    <m/>
    <m/>
    <n v="3830743"/>
    <n v="0.05249999804215527"/>
    <n v="0.9898862962093776"/>
    <n v="3830743"/>
    <n v="0.05249999804215527"/>
    <n v="0.0005363943629080187"/>
    <s v="No"/>
    <d v="2019-07-29T00:00:00"/>
    <n v="16"/>
  </r>
  <r>
    <s v="Fresenius Medical Care"/>
    <s v="17500 W Capitol Dr"/>
    <s v="Brookfield "/>
    <s v="WI"/>
    <n v="1.27"/>
    <n v="2018"/>
    <n v="18000"/>
    <n v="269640"/>
    <n v="14.98"/>
    <m/>
    <s v=" "/>
    <s v="NNN"/>
    <m/>
    <m/>
    <n v="4815000"/>
    <n v="267.5"/>
    <n v="0.056"/>
    <x v="626"/>
    <x v="114"/>
    <m/>
    <x v="601"/>
    <s v="Individual"/>
    <m/>
    <s v="First Development Group"/>
    <m/>
    <s v=" "/>
    <s v=" "/>
    <m/>
    <s v=" "/>
    <s v=" "/>
    <s v=" "/>
    <m/>
    <s v=" "/>
  </r>
  <r>
    <s v="Fresenius Medical Care"/>
    <s v="1090 S Grove Street Ext"/>
    <s v="Lincolnton"/>
    <s v="NC"/>
    <n v="2.6"/>
    <n v="2008"/>
    <n v="11544"/>
    <n v="174633"/>
    <n v="15.12759875259875"/>
    <d v="2027-05-31T00:00:00"/>
    <n v="7.813698630136987"/>
    <s v="NN"/>
    <s v="1.7% annually"/>
    <s v="2, 5 yr"/>
    <n v="2250000"/>
    <n v="194.9064449064449"/>
    <n v="0.07761466666666667"/>
    <x v="627"/>
    <x v="718"/>
    <s v="SVN; Frank Efird"/>
    <x v="602"/>
    <s v="Individual"/>
    <s v="Sage; Meyers"/>
    <m/>
    <n v="2750000"/>
    <n v="0.0635029090909091"/>
    <n v="0.8181818181818182"/>
    <n v="2654000"/>
    <n v="0.06579992464204974"/>
    <n v="0.01181474202461692"/>
    <s v="Yes"/>
    <d v="2018-08-18T00:00:00"/>
    <n v="356"/>
  </r>
  <r>
    <s v="U.S. Renal Care"/>
    <s v="2800 W 28th St"/>
    <s v="Pine Bluff"/>
    <s v="AR"/>
    <n v="1.03"/>
    <n v="2011"/>
    <n v="8807"/>
    <n v="180279"/>
    <n v="20.46996707164755"/>
    <d v="2028-11-30T00:00:00"/>
    <n v="9.317808219178081"/>
    <s v="NN"/>
    <s v="2% annually"/>
    <s v="3, 5yr"/>
    <n v="2500000"/>
    <n v="283.8651073010105"/>
    <n v="0.0721116"/>
    <x v="627"/>
    <x v="719"/>
    <s v="SJC; Riggs "/>
    <x v="603"/>
    <s v="Individual"/>
    <m/>
    <m/>
    <n v="2710000"/>
    <n v="0.06652361623616236"/>
    <n v="0.922509225092251"/>
    <n v="2710000"/>
    <n v="0.06652361623616236"/>
    <n v="0.005587983763837637"/>
    <s v="No"/>
    <d v="2019-05-24T00:00:00"/>
    <n v="77"/>
  </r>
  <r>
    <s v="DaVita Dialysis"/>
    <s v="1315 Aaron Dr"/>
    <s v="Richland"/>
    <s v="WA"/>
    <n v="0.47"/>
    <m/>
    <n v="2008"/>
    <n v="219027"/>
    <n v="109.0771912350598"/>
    <d v="2028-12-10T00:00:00"/>
    <n v="9.35068493150685"/>
    <s v="NN"/>
    <s v="2.5% annually"/>
    <s v="1,  5yr"/>
    <n v="4407000"/>
    <n v="2194.721115537849"/>
    <n v="0.04969979577944179"/>
    <x v="628"/>
    <x v="720"/>
    <s v="M&amp;M; Mayer"/>
    <x v="604"/>
    <s v="Individual"/>
    <m/>
    <m/>
    <n v="4448000"/>
    <n v="0.04924168165467626"/>
    <n v="0.9907823741007195"/>
    <n v="4448000"/>
    <n v="0.04924168165467626"/>
    <n v="0.0004581141247655338"/>
    <s v="No"/>
    <m/>
    <s v=" "/>
  </r>
  <r>
    <s v="Fresenius Medical Care"/>
    <s v="2500 Parkway Drive"/>
    <s v="Shelbyville"/>
    <s v="IN"/>
    <n v="0.6"/>
    <n v="2004"/>
    <n v="5940"/>
    <n v="95824"/>
    <n v="16.13198653198653"/>
    <d v="2023-09-01T00:00:00"/>
    <n v="4.087671232876712"/>
    <s v="NNN"/>
    <s v="2.5% annually"/>
    <m/>
    <n v="1087000"/>
    <n v="182.996632996633"/>
    <n v="0.08815455381784729"/>
    <x v="629"/>
    <x v="721"/>
    <s v="M&amp;M; DiSalvo"/>
    <x v="605"/>
    <s v="Individual"/>
    <m/>
    <m/>
    <n v="1325000"/>
    <n v="0.07232"/>
    <n v="0.820377358490566"/>
    <n v="1275000"/>
    <n v="0.07515607843137255"/>
    <n v="0.01299847538647474"/>
    <s v="Yes"/>
    <d v="2018-09-25T00:00:00"/>
    <n v="310"/>
  </r>
  <r>
    <s v="Fresenius Medical Care"/>
    <s v="4700 Mike Colalillo Dr"/>
    <s v="Duluth"/>
    <s v="MN"/>
    <n v="0.6999311"/>
    <n v="2002"/>
    <n v="9052"/>
    <m/>
    <s v=" "/>
    <m/>
    <s v=" "/>
    <m/>
    <m/>
    <m/>
    <n v="2539769"/>
    <n v="280.5754529385771"/>
    <s v=" "/>
    <x v="630"/>
    <x v="722"/>
    <s v="CBRE"/>
    <x v="571"/>
    <s v="REIT"/>
    <m/>
    <m/>
    <m/>
    <s v=" "/>
    <s v=" "/>
    <m/>
    <s v=" "/>
    <s v=" "/>
    <s v=" "/>
    <m/>
    <s v=" "/>
  </r>
  <r>
    <s v="HSRE MN/MT/ND Office Portfolio 2019"/>
    <s v="1 of 5 properties"/>
    <m/>
    <m/>
    <m/>
    <m/>
    <n v="132612"/>
    <m/>
    <s v=" "/>
    <m/>
    <s v=" "/>
    <m/>
    <m/>
    <m/>
    <m/>
    <s v=" "/>
    <s v=" "/>
    <x v="630"/>
    <x v="722"/>
    <s v="CBRE"/>
    <x v="571"/>
    <s v="REIT"/>
    <m/>
    <m/>
    <m/>
    <s v=" "/>
    <s v=" "/>
    <m/>
    <s v=" "/>
    <s v=" "/>
    <s v=" "/>
    <m/>
    <s v=" "/>
  </r>
  <r>
    <s v="Fresenius (Portfolio 2)"/>
    <s v="105 Johnston Pl"/>
    <s v="Clinton"/>
    <s v="MS"/>
    <n v="1.5"/>
    <n v="2016"/>
    <n v="8915"/>
    <n v="207644"/>
    <n v="23.29153112731352"/>
    <d v="2031-12-31T00:00:00"/>
    <n v="12.43287671232877"/>
    <s v="NN"/>
    <s v="10% every 5 years"/>
    <s v="3, 5yr"/>
    <n v="3269984"/>
    <n v="366.795737521032"/>
    <n v="0.06350000489299031"/>
    <x v="631"/>
    <x v="120"/>
    <s v="SJC; Moulder"/>
    <x v="111"/>
    <s v="Fund"/>
    <m/>
    <m/>
    <n v="3295937"/>
    <n v="0.06299999059448042"/>
    <n v="0.9921257596853338"/>
    <n v="3295937"/>
    <n v="0.06299999059448042"/>
    <n v="0.0005000142985098904"/>
    <s v="No"/>
    <d v="2019-05-22T00:00:00"/>
    <n v="68"/>
  </r>
  <r>
    <s v="Fresenius (Portfolio 2)"/>
    <s v="209 Mar-Lyn Dr"/>
    <s v="Brandon"/>
    <s v="MS"/>
    <n v="1.5"/>
    <n v="2016"/>
    <n v="11760"/>
    <n v="246960"/>
    <n v="21"/>
    <d v="2032-01-31T00:00:00"/>
    <n v="12.51780821917808"/>
    <s v="NN"/>
    <s v="10% every 5 years"/>
    <s v="3, 5yr"/>
    <n v="3889134"/>
    <n v="330.7086734693877"/>
    <n v="0.06349999768586015"/>
    <x v="631"/>
    <x v="120"/>
    <s v="SJC; Moulder"/>
    <x v="111"/>
    <s v="Fund"/>
    <m/>
    <m/>
    <n v="3920000"/>
    <n v="0.063"/>
    <n v="0.9921260204081632"/>
    <n v="3920000"/>
    <n v="0.063"/>
    <n v="0.0004999976858601485"/>
    <s v="No"/>
    <d v="2019-05-22T00:00:00"/>
    <n v="68"/>
  </r>
  <r>
    <s v="Fresenius Medical Care"/>
    <s v="119 Tradepark Dr"/>
    <s v="Somerset "/>
    <s v="KY"/>
    <m/>
    <n v="2000"/>
    <n v="9555"/>
    <n v="131557"/>
    <n v="13.76839351125065"/>
    <d v="2034-03-31T00:00:00"/>
    <n v="14.68219178082192"/>
    <s v="Absolute NNN"/>
    <s v="Annually"/>
    <s v="3, 5yr"/>
    <m/>
    <s v=" "/>
    <s v=" "/>
    <x v="631"/>
    <x v="13"/>
    <m/>
    <x v="0"/>
    <s v="Individual"/>
    <m/>
    <s v="Turpen Builders"/>
    <n v="2287965"/>
    <n v="0.05749956839374728"/>
    <s v=" "/>
    <n v="2287965"/>
    <n v="0.05749956839374728"/>
    <s v=" "/>
    <s v="No"/>
    <d v="2019-03-26T00:00:00"/>
    <n v="125"/>
  </r>
  <r>
    <s v="U.S. Renal Care"/>
    <s v="3307 Bob Rogers Drive"/>
    <s v="Eagle Pass"/>
    <s v="TX"/>
    <m/>
    <n v="2018"/>
    <n v="12355"/>
    <n v="296520"/>
    <n v="24"/>
    <d v="2030-06-30T00:00:00"/>
    <n v="10.93698630136986"/>
    <s v="Absolute NNN"/>
    <s v="5% over the base rent paid during initial term"/>
    <s v="2, 5yr"/>
    <n v="4625000"/>
    <n v="374.3423715095103"/>
    <n v="0.06411243243243243"/>
    <x v="632"/>
    <x v="723"/>
    <s v="SJC; Riggs "/>
    <x v="606"/>
    <s v="Individual"/>
    <m/>
    <m/>
    <n v="4745000"/>
    <n v="0.06249104320337197"/>
    <n v="0.9747102212855637"/>
    <n v="4745000"/>
    <n v="0.06249104320337197"/>
    <n v="0.001621389229060466"/>
    <s v="No"/>
    <d v="2019-02-18T00:00:00"/>
    <n v="158"/>
  </r>
  <r>
    <s v="DaVita Dialysis"/>
    <s v="816 119th St"/>
    <s v="Whiting"/>
    <s v="IN"/>
    <n v="1"/>
    <n v="2018"/>
    <n v="5891"/>
    <n v="188335"/>
    <n v="31.96995416737396"/>
    <d v="2033-04-30T00:00:00"/>
    <n v="13.77260273972603"/>
    <s v="NNN"/>
    <s v="10% every 5 years"/>
    <s v="3, 5yr"/>
    <n v="2900000"/>
    <n v="492.2763537599728"/>
    <n v="0.06494310344827586"/>
    <x v="632"/>
    <x v="724"/>
    <s v="Boudler; Blankstein "/>
    <x v="607"/>
    <s v="Individual"/>
    <m/>
    <m/>
    <n v="3424000"/>
    <n v="0.0550043808411215"/>
    <n v="0.8469626168224299"/>
    <n v="3112975"/>
    <n v="0.06050000401545146"/>
    <n v="0.004443099432824407"/>
    <s v="Yes"/>
    <d v="2018-07-09T00:00:00"/>
    <n v="382"/>
  </r>
  <r>
    <s v="DaVita Dialysis"/>
    <s v="4907 Telephone Rd"/>
    <s v="Pascagoula"/>
    <s v="MS"/>
    <n v="1.13"/>
    <n v="1999"/>
    <n v="8000"/>
    <n v="171449"/>
    <n v="21.431125"/>
    <d v="2029-12-02T00:00:00"/>
    <n v="10.36438356164384"/>
    <s v="NN"/>
    <s v="9.5% in 2025 &amp; at each option"/>
    <s v="3, 5yr"/>
    <n v="2305909"/>
    <n v="288.238625"/>
    <n v="0.07435202343197411"/>
    <x v="633"/>
    <x v="725"/>
    <s v="Matthews; Bryant Hoover"/>
    <x v="608"/>
    <s v="Individual"/>
    <s v="SVN; Snyder"/>
    <m/>
    <n v="2438943"/>
    <n v="0.07029643579206238"/>
    <n v="0.9454542398079824"/>
    <n v="2857483"/>
    <n v="0.06000000699916675"/>
    <n v="0.01435201643280736"/>
    <s v="Yes"/>
    <d v="2019-01-14T00:00:00"/>
    <n v="192"/>
  </r>
  <r>
    <s v="Davita Kidney Care"/>
    <s v="816 119th St"/>
    <s v="Hammond"/>
    <s v="IN"/>
    <n v="0.2730027"/>
    <n v="2018"/>
    <n v="5891"/>
    <m/>
    <s v=" "/>
    <m/>
    <s v=" "/>
    <m/>
    <m/>
    <m/>
    <n v="2900000"/>
    <n v="492.2763537599728"/>
    <s v=" "/>
    <x v="633"/>
    <x v="724"/>
    <s v="Boulder; Blankstein"/>
    <x v="607"/>
    <s v="Individual"/>
    <s v="Interra Realty"/>
    <m/>
    <m/>
    <s v=" "/>
    <s v=" "/>
    <m/>
    <s v=" "/>
    <s v=" "/>
    <s v=" "/>
    <m/>
    <s v=" "/>
  </r>
  <r>
    <s v="Fresenius Medical Care"/>
    <s v="1920 Sheridan Rd"/>
    <s v="Zion"/>
    <s v="IL"/>
    <n v="0.52"/>
    <n v="2018"/>
    <n v="6938"/>
    <n v="200619"/>
    <n v="28.91597002017873"/>
    <m/>
    <s v=" "/>
    <s v="NNN"/>
    <m/>
    <m/>
    <n v="3453000"/>
    <n v="497.6938599019891"/>
    <n v="0.05809991311902693"/>
    <x v="634"/>
    <x v="726"/>
    <s v="Boulder; Blankstein"/>
    <x v="609"/>
    <s v="Individual"/>
    <m/>
    <m/>
    <m/>
    <s v=" "/>
    <s v=" "/>
    <m/>
    <s v=" "/>
    <s v=" "/>
    <s v=" "/>
    <m/>
    <s v=" "/>
  </r>
  <r>
    <s v="Fresenius Medical Care"/>
    <s v="950 Hacienda Dr"/>
    <s v="Vista "/>
    <s v="CA"/>
    <n v="1.54"/>
    <n v="2007"/>
    <n v="8662"/>
    <n v="255096"/>
    <n v="29.4500115446779"/>
    <d v="2022-12-31T00:00:00"/>
    <n v="3.454794520547945"/>
    <s v="NN"/>
    <s v="2% annually; CPI options"/>
    <s v="2, 5yr"/>
    <n v="4150000"/>
    <n v="479.1041329946895"/>
    <n v="0.0614689156626506"/>
    <x v="635"/>
    <x v="727"/>
    <s v="M&amp;M; Mansour"/>
    <x v="610"/>
    <s v="Individual"/>
    <m/>
    <m/>
    <n v="4400000"/>
    <n v="0.05797636363636364"/>
    <n v="0.9431818181818182"/>
    <n v="4251000"/>
    <n v="0.06000846859562456"/>
    <n v="0.001460447067026041"/>
    <s v="Yes"/>
    <d v="2018-10-09T00:00:00"/>
    <n v="283"/>
  </r>
  <r>
    <s v="Satellite Healthcare"/>
    <s v="4207 Bangs Ave"/>
    <s v="Modesto"/>
    <s v="CA"/>
    <n v="1.04"/>
    <n v="2000"/>
    <n v="11094"/>
    <n v="249561"/>
    <n v="22.49513250405625"/>
    <d v="2025-03-31T00:00:00"/>
    <n v="5.712328767123288"/>
    <s v="Absolute NNN"/>
    <s v="10% every 5 years"/>
    <s v="2, 5yr"/>
    <n v="3900000"/>
    <n v="351.5413737155219"/>
    <n v="0.06399000000000001"/>
    <x v="636"/>
    <x v="728"/>
    <s v="C&amp;W; Fritz"/>
    <x v="611"/>
    <s v="Individual"/>
    <s v="Meacham/Oppenheimer"/>
    <m/>
    <n v="4340000"/>
    <n v="0.05750253456221198"/>
    <n v="0.8986175115207373"/>
    <n v="3980000"/>
    <n v="0.0627037688442211"/>
    <n v="0.001286231155778902"/>
    <s v="Yes"/>
    <d v="2019-05-07T00:00:00"/>
    <n v="70"/>
  </r>
  <r>
    <s v="DaVita Dialysis"/>
    <s v="150 S Independence Mall W"/>
    <s v="Philadelphia"/>
    <s v="PA"/>
    <m/>
    <n v="1927"/>
    <n v="9913"/>
    <m/>
    <s v=" "/>
    <m/>
    <s v=" "/>
    <m/>
    <m/>
    <m/>
    <n v="9000000"/>
    <n v="907.8987188540301"/>
    <s v=" "/>
    <x v="637"/>
    <x v="729"/>
    <s v="CBRE"/>
    <x v="35"/>
    <s v="REIT"/>
    <m/>
    <m/>
    <m/>
    <s v=" "/>
    <s v=" "/>
    <m/>
    <s v=" "/>
    <s v=" "/>
    <s v=" "/>
    <m/>
    <s v=" "/>
  </r>
  <r>
    <s v="Carlyle PA Retail/Office Condo Portfolio 2019"/>
    <s v="1 of 2 properties"/>
    <m/>
    <m/>
    <m/>
    <m/>
    <n v="21413"/>
    <m/>
    <s v=" "/>
    <m/>
    <s v=" "/>
    <m/>
    <m/>
    <m/>
    <m/>
    <s v=" "/>
    <s v=" "/>
    <x v="637"/>
    <x v="729"/>
    <s v="CBRE"/>
    <x v="35"/>
    <s v="REIT"/>
    <m/>
    <m/>
    <m/>
    <s v=" "/>
    <s v=" "/>
    <m/>
    <s v=" "/>
    <s v=" "/>
    <s v=" "/>
    <m/>
    <s v=" "/>
  </r>
  <r>
    <s v="DaVita Dialysis"/>
    <s v="8630 Halsey St"/>
    <s v="Lenexa"/>
    <s v="KS"/>
    <n v="1"/>
    <n v="2000"/>
    <n v="8439"/>
    <n v="110720"/>
    <n v="13.12003791918474"/>
    <d v="2029-09-30T00:00:00"/>
    <n v="10.23013698630137"/>
    <s v="NN"/>
    <s v="2.5% annually"/>
    <s v="2, 5yr"/>
    <n v="1800000"/>
    <n v="213.2954141485958"/>
    <n v="0.06151111111111111"/>
    <x v="638"/>
    <x v="730"/>
    <s v="Colliers; Yeggy"/>
    <x v="612"/>
    <s v="Individual"/>
    <m/>
    <m/>
    <n v="1938000"/>
    <n v="0.05713106295149638"/>
    <n v="0.9287925696594427"/>
    <n v="1938000"/>
    <n v="0.05713106295149638"/>
    <n v="0.004380048159614729"/>
    <s v="No"/>
    <d v="2019-04-16T00:00:00"/>
    <n v="86"/>
  </r>
  <r>
    <s v="DaVita Dialysis"/>
    <s v="4539 Chiquita Blvd S"/>
    <s v="Cape Coral"/>
    <s v="FL"/>
    <n v="1.16"/>
    <n v="2019"/>
    <n v="7020"/>
    <n v="178596"/>
    <n v="25.44102564102564"/>
    <d v="2034-03-31T00:00:00"/>
    <n v="14.73424657534247"/>
    <s v="NN"/>
    <s v="10% ever 5"/>
    <s v="3, 5yr"/>
    <n v="2904000"/>
    <n v="413.6752136752137"/>
    <n v="0.0615"/>
    <x v="639"/>
    <x v="66"/>
    <s v="SJC; Briggs"/>
    <x v="111"/>
    <s v="Fund"/>
    <m/>
    <m/>
    <m/>
    <s v=" "/>
    <s v=" "/>
    <m/>
    <s v=" "/>
    <s v=" "/>
    <s v=" "/>
    <m/>
    <s v=" "/>
  </r>
  <r>
    <s v="Fresenius Medical Care"/>
    <s v="1000 Ramblin Rd"/>
    <s v="Cayce"/>
    <s v="SC"/>
    <n v="1.66"/>
    <n v="2017"/>
    <n v="8263"/>
    <n v="266474"/>
    <n v="32.24906208398887"/>
    <m/>
    <s v=" "/>
    <s v="NN"/>
    <m/>
    <m/>
    <n v="4375000"/>
    <n v="529.4687159627254"/>
    <n v="0.06090834285714285"/>
    <x v="639"/>
    <x v="578"/>
    <s v="NAI; Schmidt"/>
    <x v="64"/>
    <s v="Fund"/>
    <m/>
    <m/>
    <n v="4845000"/>
    <n v="0.05499979360165119"/>
    <n v="0.9029927760577915"/>
    <n v="4440000"/>
    <n v="0.06001666666666667"/>
    <n v="0.0008916761904761844"/>
    <s v="Yes"/>
    <d v="2019-02-13T00:00:00"/>
    <n v="147"/>
  </r>
  <r>
    <s v="Fresenius Medical Care"/>
    <s v="2800 Palmilla Road NW"/>
    <s v="Los Lunas "/>
    <s v="NM"/>
    <n v="1.3"/>
    <n v="2005"/>
    <n v="8080"/>
    <n v="165802"/>
    <n v="20.5200495049505"/>
    <d v="2033-12-31T00:00:00"/>
    <n v="14.48767123287671"/>
    <s v="Absolute NNN"/>
    <s v="Annual CPI (Capped at 2%)"/>
    <s v="3, 5yr"/>
    <n v="2834222"/>
    <n v="350.7700495049505"/>
    <n v="0.05850000458679666"/>
    <x v="639"/>
    <x v="351"/>
    <s v="M&amp;M; Glass"/>
    <x v="587"/>
    <s v="Individual"/>
    <s v="Colliers; Olaiz"/>
    <m/>
    <n v="2883513"/>
    <n v="0.057500000866998"/>
    <n v="0.9829059206599727"/>
    <n v="2883513"/>
    <n v="0.057500000866998"/>
    <n v="0.001000003719798664"/>
    <s v="No"/>
    <d v="2019-03-26T00:00:00"/>
    <n v="106"/>
  </r>
  <r>
    <s v="DaVita Dialysis At Home- Condo"/>
    <s v="6825 Burden Blvd"/>
    <s v="Pasco"/>
    <s v="WA"/>
    <n v="2.23"/>
    <n v="2006"/>
    <n v="9066"/>
    <n v="186111.8"/>
    <n v="20.52854621663358"/>
    <d v="2024-10-31T00:00:00"/>
    <n v="5.336986301369863"/>
    <s v="NN"/>
    <s v="10% every 5"/>
    <s v="2, 5 yr"/>
    <n v="2922000"/>
    <n v="322.3031105228326"/>
    <n v="0.06369329226557152"/>
    <x v="640"/>
    <x v="73"/>
    <s v="JLL; Berman"/>
    <x v="112"/>
    <s v="Fund"/>
    <m/>
    <m/>
    <m/>
    <s v=" "/>
    <s v=" "/>
    <m/>
    <s v=" "/>
    <s v=" "/>
    <s v=" "/>
    <m/>
    <s v=" "/>
  </r>
  <r>
    <s v="Fresenius Medical Care"/>
    <s v="31 Landing Ln"/>
    <s v="Fairmont"/>
    <s v="WV"/>
    <n v="0.92"/>
    <n v="2001"/>
    <n v="8500"/>
    <n v="142706.16"/>
    <n v="16.78896"/>
    <d v="2026-07-31T00:00:00"/>
    <n v="7.084931506849315"/>
    <s v="NN"/>
    <s v="CPI annually"/>
    <s v="3, 5yr"/>
    <n v="2073000"/>
    <n v="243.8823529411765"/>
    <n v="0.06884040520984082"/>
    <x v="640"/>
    <x v="73"/>
    <s v="JLL; Berman"/>
    <x v="112"/>
    <s v="Fund"/>
    <m/>
    <m/>
    <m/>
    <s v=" "/>
    <s v=" "/>
    <m/>
    <s v=" "/>
    <s v=" "/>
    <s v=" "/>
    <m/>
    <s v=" "/>
  </r>
  <r>
    <s v="Fresenius Medical Care"/>
    <s v="9115 Antique Aly"/>
    <s v="Bridgeville"/>
    <s v="DE"/>
    <n v="2.92"/>
    <n v="2017"/>
    <n v="9000"/>
    <n v="162270"/>
    <n v="18.03"/>
    <d v="2027-08-31T00:00:00"/>
    <n v="8.169863013698631"/>
    <s v="NN"/>
    <s v="10% ever 5"/>
    <s v="2, 5yr"/>
    <n v="2617000"/>
    <n v="290.7777777777778"/>
    <n v="0.06200611387084448"/>
    <x v="640"/>
    <x v="73"/>
    <s v="JLL; Berman"/>
    <x v="112"/>
    <s v="Fund"/>
    <m/>
    <m/>
    <m/>
    <s v=" "/>
    <s v=" "/>
    <m/>
    <s v=" "/>
    <s v=" "/>
    <s v=" "/>
    <m/>
    <s v=" "/>
  </r>
  <r>
    <s v="Fresenius Medical Care - Condo"/>
    <s v="400 McClanahan"/>
    <s v="Roanoke"/>
    <s v="VA"/>
    <n v="1.75"/>
    <n v="2007"/>
    <n v="6300"/>
    <n v="270496.575"/>
    <n v="42.93596428571428"/>
    <d v="2027-12-31T00:00:00"/>
    <n v="8.504109589041096"/>
    <s v="NN"/>
    <s v="1.7% annually"/>
    <s v="2,  5yr"/>
    <n v="2640000"/>
    <n v="419.047619047619"/>
    <n v="0.1024608238636363"/>
    <x v="640"/>
    <x v="73"/>
    <s v="JLL; Berman"/>
    <x v="112"/>
    <s v="Fund"/>
    <m/>
    <m/>
    <m/>
    <s v=" "/>
    <s v=" "/>
    <m/>
    <s v=" "/>
    <s v=" "/>
    <s v=" "/>
    <m/>
    <s v=" "/>
  </r>
  <r>
    <s v="DaVita Dialysis"/>
    <s v="2494 Second St"/>
    <s v="Macon"/>
    <s v="GA"/>
    <n v="1.8"/>
    <n v="2018"/>
    <n v="8925"/>
    <n v="116025"/>
    <n v="13"/>
    <d v="2028-05-01T00:00:00"/>
    <n v="8.838356164383562"/>
    <s v="NN"/>
    <s v="10% every 5 years"/>
    <s v="2, 5 yr"/>
    <n v="1785000"/>
    <n v="200"/>
    <n v="0.065"/>
    <x v="640"/>
    <x v="73"/>
    <s v="JLL; Berman"/>
    <x v="112"/>
    <s v="Fund"/>
    <m/>
    <m/>
    <m/>
    <s v=" "/>
    <s v=" "/>
    <m/>
    <s v=" "/>
    <s v=" "/>
    <s v=" "/>
    <m/>
    <s v=" "/>
  </r>
  <r>
    <s v="DaVita Dialysis"/>
    <s v="2669 Church Street"/>
    <s v="East Point"/>
    <s v="GA"/>
    <n v="1.17"/>
    <n v="2017"/>
    <n v="10560"/>
    <n v="169940.16"/>
    <n v="16.09281818181818"/>
    <d v="2028-11-19T00:00:00"/>
    <n v="9.391780821917807"/>
    <s v="NN"/>
    <s v="2% annually"/>
    <s v="2, 5 yr"/>
    <n v="2511000"/>
    <n v="237.7840909090909"/>
    <n v="0.06767827956989247"/>
    <x v="640"/>
    <x v="73"/>
    <s v="JLL; Berman"/>
    <x v="112"/>
    <s v="Fund"/>
    <m/>
    <m/>
    <m/>
    <s v=" "/>
    <s v=" "/>
    <m/>
    <s v=" "/>
    <s v=" "/>
    <s v=" "/>
    <m/>
    <s v=" "/>
  </r>
  <r>
    <s v="DaVita Dialysis"/>
    <s v="3620 Martin Luther King Jr Dr SW"/>
    <s v="Atlanta"/>
    <s v="GA"/>
    <n v="4.15"/>
    <n v="1973"/>
    <n v="29731"/>
    <n v="630054"/>
    <n v="21.19181998587333"/>
    <d v="2029-06-30T00:00:00"/>
    <n v="10.0027397260274"/>
    <s v="NN"/>
    <s v="2% annually"/>
    <s v="2,  5yr"/>
    <n v="8794000"/>
    <n v="295.785543708587"/>
    <n v="0.07164589492836025"/>
    <x v="640"/>
    <x v="73"/>
    <s v="JLL; Berman"/>
    <x v="112"/>
    <s v="Fund"/>
    <m/>
    <m/>
    <m/>
    <s v=" "/>
    <s v=" "/>
    <m/>
    <s v=" "/>
    <s v=" "/>
    <s v=" "/>
    <m/>
    <s v=" "/>
  </r>
  <r>
    <s v="DaVita Dialysis"/>
    <s v="582 Pole Line Rd"/>
    <s v="Twin Falls"/>
    <s v="ID"/>
    <n v="1.23"/>
    <n v="2014"/>
    <n v="9594"/>
    <n v="228150"/>
    <n v="23.78048780487805"/>
    <d v="2029-08-31T00:00:00"/>
    <n v="10.17260273972603"/>
    <s v="NN"/>
    <s v="10% every 5"/>
    <s v="3, 5yr"/>
    <m/>
    <s v=" "/>
    <s v=" "/>
    <x v="640"/>
    <x v="73"/>
    <s v="JLL; Berman"/>
    <x v="112"/>
    <s v="Fund"/>
    <m/>
    <m/>
    <m/>
    <s v=" "/>
    <s v=" "/>
    <m/>
    <s v=" "/>
    <s v=" "/>
    <s v=" "/>
    <m/>
    <s v=" "/>
  </r>
  <r>
    <s v="U.S. Renal Care"/>
    <s v="1032 Bateman Dr"/>
    <s v="Social Circle"/>
    <s v="GA"/>
    <n v="1.38"/>
    <n v="2019"/>
    <n v="7203"/>
    <m/>
    <s v=" "/>
    <m/>
    <s v=" "/>
    <m/>
    <m/>
    <m/>
    <n v="1761000"/>
    <n v="244.4814660558101"/>
    <s v=" "/>
    <x v="640"/>
    <x v="73"/>
    <s v="JLL; Berman"/>
    <x v="112"/>
    <s v="Fund"/>
    <m/>
    <m/>
    <m/>
    <s v=" "/>
    <s v=" "/>
    <m/>
    <s v=" "/>
    <s v=" "/>
    <s v=" "/>
    <m/>
    <s v=" "/>
  </r>
  <r>
    <s v="Elliott Bay Portfolio"/>
    <s v="Portfolio of 9"/>
    <m/>
    <m/>
    <m/>
    <m/>
    <n v="88664"/>
    <m/>
    <s v=" "/>
    <m/>
    <s v=" "/>
    <m/>
    <m/>
    <m/>
    <n v="25103000"/>
    <n v="283.1250563926735"/>
    <s v=" "/>
    <x v="640"/>
    <x v="73"/>
    <s v="JLL; Berman"/>
    <x v="112"/>
    <s v="Fund"/>
    <m/>
    <m/>
    <m/>
    <s v=" "/>
    <s v=" "/>
    <m/>
    <s v=" "/>
    <s v=" "/>
    <s v=" "/>
    <m/>
    <s v=" "/>
  </r>
  <r>
    <s v="Fresenius Medical Care"/>
    <s v="1000 Ramblin Rd"/>
    <s v="South Congaree"/>
    <s v="SC"/>
    <n v="1.66"/>
    <n v="2017"/>
    <n v="8100"/>
    <m/>
    <s v=" "/>
    <m/>
    <s v=" "/>
    <m/>
    <m/>
    <m/>
    <n v="4375000"/>
    <n v="540.1234567901234"/>
    <s v=" "/>
    <x v="641"/>
    <x v="731"/>
    <m/>
    <x v="64"/>
    <s v="Fund"/>
    <m/>
    <m/>
    <m/>
    <s v=" "/>
    <s v=" "/>
    <m/>
    <s v=" "/>
    <s v=" "/>
    <s v=" "/>
    <m/>
    <s v=" "/>
  </r>
  <r>
    <s v="Fresenius Medical Care"/>
    <s v="1104 NE Linoln Rd"/>
    <s v="Idebal "/>
    <s v="OK"/>
    <n v="2.45"/>
    <n v="2014"/>
    <n v="9452"/>
    <m/>
    <s v=" "/>
    <m/>
    <s v=" "/>
    <m/>
    <m/>
    <m/>
    <n v="2956000"/>
    <n v="312.738044858231"/>
    <s v=" "/>
    <x v="641"/>
    <x v="732"/>
    <m/>
    <x v="193"/>
    <s v="Fund"/>
    <m/>
    <m/>
    <m/>
    <s v=" "/>
    <s v=" "/>
    <m/>
    <s v=" "/>
    <s v=" "/>
    <s v=" "/>
    <m/>
    <s v=" "/>
  </r>
  <r>
    <s v="Fresenius Medical Care"/>
    <s v="216 Huttleston Ave"/>
    <s v="Fairhaven"/>
    <s v="MA"/>
    <n v="2.27"/>
    <n v="2015"/>
    <n v="10380"/>
    <n v="244823"/>
    <n v="23.58603082851638"/>
    <d v="2030-11-30T00:00:00"/>
    <n v="11.43835616438356"/>
    <s v="NN"/>
    <s v="1.7% annually"/>
    <s v="3, 5yr"/>
    <n v="4080000"/>
    <n v="393.0635838150289"/>
    <n v="0.06000563725490196"/>
    <x v="642"/>
    <x v="13"/>
    <m/>
    <x v="0"/>
    <s v="Individual"/>
    <m/>
    <m/>
    <n v="4257795"/>
    <n v="0.05749995009153799"/>
    <n v="0.9582424705745579"/>
    <n v="4257795"/>
    <n v="0.05749995009153799"/>
    <n v="0.002505687163363968"/>
    <s v="No"/>
    <d v="2019-02-15T00:00:00"/>
    <n v="131"/>
  </r>
  <r>
    <s v="DaVita Dialysis"/>
    <s v="2112 Lincoln Way E "/>
    <s v="Massillon "/>
    <s v="OH"/>
    <n v="0.8"/>
    <n v="1976"/>
    <n v="6684"/>
    <n v="110386"/>
    <n v="16.51496110113704"/>
    <d v="2029-09-30T00:00:00"/>
    <n v="10.27397260273973"/>
    <s v="NNN"/>
    <s v="2.5% in 2022 and options"/>
    <s v="3, 5yr"/>
    <n v="1685000"/>
    <n v="252.0945541591861"/>
    <n v="0.06551097922848664"/>
    <x v="643"/>
    <x v="733"/>
    <s v="SIG; Martin"/>
    <x v="613"/>
    <s v="Individual"/>
    <m/>
    <m/>
    <n v="1808000"/>
    <n v="0.06105420353982301"/>
    <n v="0.9319690265486725"/>
    <n v="1738000"/>
    <n v="0.06351323360184119"/>
    <n v="0.001997745626645453"/>
    <s v="Yes"/>
    <d v="2018-10-15T00:00:00"/>
    <n v="253"/>
  </r>
  <r>
    <s v="Fresenius Medical Care"/>
    <s v="924 Third St"/>
    <s v="Greensboro "/>
    <s v="NC"/>
    <n v="2.62"/>
    <n v="2019"/>
    <n v="10560"/>
    <n v="168960"/>
    <n v="16"/>
    <d v="2031-04-30T00:00:00"/>
    <n v="11.85479452054794"/>
    <s v="NN"/>
    <s v="1.5% annually"/>
    <s v="3, 5yr"/>
    <n v="2950000"/>
    <n v="279.3560606060606"/>
    <n v="0.05727457627118644"/>
    <x v="643"/>
    <x v="704"/>
    <s v="C&amp;W; Lollio"/>
    <x v="587"/>
    <s v="Individual"/>
    <s v="Colliers; Olaiz"/>
    <m/>
    <n v="2940000"/>
    <n v="0.05746938775510204"/>
    <n v="1.003401360544218"/>
    <n v="2940000"/>
    <n v="0.05746938775510204"/>
    <n v="-0.0001948114839155982"/>
    <s v="No"/>
    <d v="2019-03-12T00:00:00"/>
    <n v="105"/>
  </r>
  <r>
    <s v="Fresenius Medical Care"/>
    <s v="2046 Main Hwy"/>
    <s v="Bamberg"/>
    <s v="SC"/>
    <n v="1.5"/>
    <n v="2004"/>
    <n v="7500"/>
    <n v="95625"/>
    <n v="12.75"/>
    <d v="2026-03-31T00:00:00"/>
    <n v="6.786301369863014"/>
    <s v="NN"/>
    <s v="2% annually"/>
    <s v="3, 5yr"/>
    <m/>
    <s v=" "/>
    <s v=" "/>
    <x v="644"/>
    <x v="734"/>
    <m/>
    <x v="614"/>
    <s v="Individual"/>
    <m/>
    <m/>
    <n v="1319000"/>
    <n v="0.07249810462471569"/>
    <s v=" "/>
    <n v="1319000"/>
    <n v="0.07249810462471569"/>
    <s v=" "/>
    <s v="No"/>
    <d v="2018-08-01T00:00:00"/>
    <n v="322"/>
  </r>
  <r>
    <s v="DaVita Dialysis"/>
    <s v="902 Bear Mountain Blvd"/>
    <s v="Arvin"/>
    <s v="CA"/>
    <n v="0.67"/>
    <n v="2013"/>
    <n v="7821"/>
    <n v="187846"/>
    <n v="24.01815624600435"/>
    <d v="2028-09-27T00:00:00"/>
    <n v="9.284931506849315"/>
    <s v="NN"/>
    <s v="10% every 5 years"/>
    <s v="3, 5yr"/>
    <m/>
    <s v=" "/>
    <s v=" "/>
    <x v="645"/>
    <x v="13"/>
    <m/>
    <x v="0"/>
    <s v="Individual"/>
    <m/>
    <m/>
    <n v="3266889"/>
    <n v="0.0574999640330602"/>
    <s v=" "/>
    <n v="3266889"/>
    <n v="0.0574999640330602"/>
    <s v=" "/>
    <s v="No"/>
    <d v="2018-12-14T00:00:00"/>
    <n v="186"/>
  </r>
  <r>
    <s v="Fresenius Medical Care"/>
    <s v="10559 Torrence Ave"/>
    <s v="Chicago"/>
    <s v="IL"/>
    <n v="0.89"/>
    <n v="2012"/>
    <n v="10000"/>
    <m/>
    <s v=" "/>
    <m/>
    <s v=" "/>
    <m/>
    <m/>
    <m/>
    <n v="1710000"/>
    <n v="171"/>
    <s v=" "/>
    <x v="646"/>
    <x v="499"/>
    <m/>
    <x v="229"/>
    <s v="REIT"/>
    <m/>
    <m/>
    <m/>
    <s v=" "/>
    <s v=" "/>
    <m/>
    <s v=" "/>
    <s v=" "/>
    <s v=" "/>
    <m/>
    <s v=" "/>
  </r>
  <r>
    <s v="Davita Dialysis"/>
    <s v="222-236 Douglas St"/>
    <s v="Hammond"/>
    <s v="IN"/>
    <n v="1.04"/>
    <n v="1992"/>
    <n v="13664"/>
    <m/>
    <s v=" "/>
    <m/>
    <s v=" "/>
    <m/>
    <m/>
    <m/>
    <n v="3600000"/>
    <n v="263.4660421545668"/>
    <s v=" "/>
    <x v="646"/>
    <x v="735"/>
    <m/>
    <x v="615"/>
    <s v="Individual"/>
    <m/>
    <m/>
    <m/>
    <s v=" "/>
    <s v=" "/>
    <m/>
    <s v=" "/>
    <s v=" "/>
    <s v=" "/>
    <m/>
    <s v=" "/>
  </r>
  <r>
    <s v="Fresenius Medical Care"/>
    <s v="10559 Torrence Ave"/>
    <s v="Chicago"/>
    <s v="IL"/>
    <n v="0.89"/>
    <n v="2012"/>
    <n v="10000"/>
    <m/>
    <s v=" "/>
    <m/>
    <s v=" "/>
    <m/>
    <m/>
    <m/>
    <n v="1400000"/>
    <n v="140"/>
    <s v=" "/>
    <x v="646"/>
    <x v="192"/>
    <m/>
    <x v="193"/>
    <s v="Fund"/>
    <m/>
    <m/>
    <m/>
    <s v=" "/>
    <s v=" "/>
    <m/>
    <s v=" "/>
    <s v=" "/>
    <s v=" "/>
    <m/>
    <s v=" "/>
  </r>
  <r>
    <s v="Fresenius Medical Care"/>
    <s v="91-2139 Fort Weaver Rd"/>
    <s v="Ewa Beach"/>
    <s v="HI"/>
    <n v="1.3"/>
    <n v="2016"/>
    <n v="11656"/>
    <n v="310549"/>
    <n v="26.6428448867536"/>
    <d v="2032-07-29T00:00:00"/>
    <n v="13.13424657534247"/>
    <s v="Absolute NNN"/>
    <s v="3% annually"/>
    <m/>
    <n v="3660000"/>
    <n v="314.0013726835965"/>
    <n v="0.08484945355191256"/>
    <x v="647"/>
    <x v="13"/>
    <s v="CBRE; Crockford"/>
    <x v="616"/>
    <s v="Individual"/>
    <m/>
    <m/>
    <n v="3921000"/>
    <n v="0.0792014792144861"/>
    <n v="0.9334353481254782"/>
    <n v="3931000"/>
    <n v="0.079"/>
    <n v="0.005849453551912562"/>
    <s v="Yes"/>
    <d v="2018-06-06T00:00:00"/>
    <n v="373"/>
  </r>
  <r>
    <s v="Fresenius Medical Care"/>
    <s v="10 Johnny Morrall Cir"/>
    <s v="Port Royal"/>
    <s v="SC"/>
    <n v="1"/>
    <n v="1999"/>
    <n v="7936"/>
    <m/>
    <s v=" "/>
    <m/>
    <s v=" "/>
    <m/>
    <m/>
    <m/>
    <n v="2300000"/>
    <n v="289.8185483870968"/>
    <s v=" "/>
    <x v="648"/>
    <x v="736"/>
    <m/>
    <x v="617"/>
    <s v="Individual"/>
    <m/>
    <m/>
    <m/>
    <s v=" "/>
    <s v=" "/>
    <m/>
    <s v=" "/>
    <s v=" "/>
    <s v=" "/>
    <m/>
    <s v=" "/>
  </r>
  <r>
    <s v="DaVita Dialysis"/>
    <s v="1250 W Sandalwood Dr"/>
    <s v="Lehi"/>
    <s v="UT"/>
    <n v="1.76"/>
    <n v="2018"/>
    <m/>
    <m/>
    <s v=" "/>
    <m/>
    <s v=" "/>
    <m/>
    <m/>
    <m/>
    <m/>
    <s v=" "/>
    <s v=" "/>
    <x v="648"/>
    <x v="167"/>
    <s v="C&amp;W; Patel"/>
    <x v="618"/>
    <s v="Individual"/>
    <m/>
    <m/>
    <m/>
    <s v=" "/>
    <s v=" "/>
    <m/>
    <s v=" "/>
    <s v=" "/>
    <s v=" "/>
    <m/>
    <s v=" "/>
  </r>
  <r>
    <s v="DaVita Dialysis"/>
    <s v="3901 S. Western Ave "/>
    <s v="Los Angeles "/>
    <s v="CA"/>
    <n v="0.7"/>
    <n v="2010"/>
    <n v="9500"/>
    <n v="384750"/>
    <n v="40.5"/>
    <d v="2030-03-31T00:00:00"/>
    <n v="10.81095890410959"/>
    <s v="NNN"/>
    <s v="10% every 5 years"/>
    <s v="2, 5yr"/>
    <n v="7050000"/>
    <n v="742.1052631578947"/>
    <n v="0.05457446808510638"/>
    <x v="649"/>
    <x v="737"/>
    <s v="C&amp;W; Patel"/>
    <x v="587"/>
    <s v="Individual"/>
    <s v="Colliers; Olaiz"/>
    <m/>
    <n v="7125000"/>
    <n v="0.054"/>
    <n v="0.9894736842105263"/>
    <n v="7125000"/>
    <n v="0.054"/>
    <n v="0.0005744680851063819"/>
    <s v="No"/>
    <d v="2019-04-24T00:00:00"/>
    <n v="48"/>
  </r>
  <r>
    <s v="DaVita Dialysis"/>
    <s v="1935 Thompson Rd"/>
    <s v="Coos Bay"/>
    <s v="OR"/>
    <n v="2.3"/>
    <n v="2018"/>
    <n v="6400"/>
    <n v="234978"/>
    <n v="36.7153125"/>
    <d v="2034-01-09T00:00:00"/>
    <n v="14.59178082191781"/>
    <s v="NN"/>
    <s v="10% every 5 years"/>
    <s v="3, 5yr"/>
    <n v="4125000"/>
    <n v="644.53125"/>
    <n v="0.05696436363636364"/>
    <x v="649"/>
    <x v="66"/>
    <s v="SJC; Briggs"/>
    <x v="619"/>
    <s v="Individual"/>
    <m/>
    <m/>
    <n v="4351444"/>
    <n v="0.05400000551541052"/>
    <n v="0.9479611825407842"/>
    <n v="4351444"/>
    <n v="0.05400000551541052"/>
    <n v="0.002964358120953123"/>
    <s v="No"/>
    <d v="2019-03-05T00:00:00"/>
    <n v="98"/>
  </r>
  <r>
    <s v="Fresenius Medical Care"/>
    <s v="3018 Military Rd"/>
    <s v="Niagra Falls"/>
    <s v="NY"/>
    <n v="0.9399999999999999"/>
    <n v="2017"/>
    <n v="6500"/>
    <n v="131126"/>
    <n v="20.17323076923077"/>
    <d v="2023-07-31T00:00:00"/>
    <n v="4.150684931506849"/>
    <s v="NN"/>
    <s v="2% annually"/>
    <s v="None"/>
    <n v="1250000"/>
    <n v="192.3076923076923"/>
    <n v="0.1049008"/>
    <x v="650"/>
    <x v="738"/>
    <s v="SVN; Snyder"/>
    <x v="513"/>
    <s v="Individual"/>
    <m/>
    <m/>
    <n v="1639078"/>
    <n v="0.07999985357621785"/>
    <n v="0.7626238653682131"/>
    <n v="1639078"/>
    <n v="0.07999985357621785"/>
    <n v="0.02490094642378216"/>
    <s v="No"/>
    <d v="2018-11-17T00:00:00"/>
    <n v="202"/>
  </r>
  <r>
    <s v="U.S. Renal Care"/>
    <s v="506 N Patterson St"/>
    <s v="Valdosta"/>
    <s v="GA"/>
    <n v="0.46"/>
    <n v="2011"/>
    <n v="5564"/>
    <n v="124210"/>
    <n v="22.32386772106398"/>
    <d v="2021-06-30T00:00:00"/>
    <n v="2.065753424657534"/>
    <s v="NN"/>
    <s v="every 5 years"/>
    <s v="2, 5yr"/>
    <n v="1145756"/>
    <n v="205.9230769230769"/>
    <n v="0.108408771151973"/>
    <x v="650"/>
    <x v="739"/>
    <s v="M&amp;M; Ficke"/>
    <x v="0"/>
    <s v="Individual"/>
    <m/>
    <m/>
    <n v="1242104"/>
    <n v="0.09999967796577421"/>
    <n v="0.9224316160321518"/>
    <n v="1150000"/>
    <n v="0.1080086956521739"/>
    <n v="0.0004000754997991046"/>
    <s v="Yes"/>
    <d v="2018-11-05T00:00:00"/>
    <n v="214"/>
  </r>
  <r>
    <s v="DaVita Dialysis"/>
    <s v="18544 8 Mile Rd "/>
    <s v="Southfield "/>
    <s v="MI"/>
    <n v="0.91"/>
    <n v="2016"/>
    <n v="8664"/>
    <n v="227776"/>
    <n v="26.28993536472761"/>
    <d v="2027-05-31T00:00:00"/>
    <n v="7.986301369863014"/>
    <s v="NN"/>
    <s v="10% every 5 years"/>
    <s v="3, 5 yr"/>
    <m/>
    <s v=" "/>
    <s v=" "/>
    <x v="650"/>
    <x v="13"/>
    <s v="Landmark; Kukes"/>
    <x v="0"/>
    <s v="Individual"/>
    <m/>
    <m/>
    <n v="3587023"/>
    <n v="0.06350001101191713"/>
    <s v=" "/>
    <n v="3587023"/>
    <n v="0.06350001101191713"/>
    <s v=" "/>
    <s v="No"/>
    <m/>
    <s v=" "/>
  </r>
  <r>
    <s v="DaVita Dialysis"/>
    <s v="1840 E Main St"/>
    <s v="Woodland"/>
    <s v="CA"/>
    <n v="0.5299816000000001"/>
    <n v="2018"/>
    <n v="10670"/>
    <m/>
    <s v=" "/>
    <m/>
    <s v=" "/>
    <m/>
    <m/>
    <m/>
    <n v="6146000"/>
    <n v="576.0074976569822"/>
    <s v=" "/>
    <x v="651"/>
    <x v="5"/>
    <s v="CBRE"/>
    <x v="620"/>
    <s v="Individual"/>
    <m/>
    <m/>
    <m/>
    <s v=" "/>
    <s v=" "/>
    <m/>
    <s v=" "/>
    <s v=" "/>
    <s v=" "/>
    <m/>
    <s v=" "/>
  </r>
  <r>
    <s v="Fresenius Medical Care"/>
    <s v="1080 W Norton Ave "/>
    <s v="Muskegon "/>
    <s v="MI"/>
    <n v="0.9"/>
    <n v="1998"/>
    <n v="6647"/>
    <n v="128516"/>
    <n v="19.33443658793441"/>
    <d v="2033-12-31T00:00:00"/>
    <n v="14.58356164383562"/>
    <s v="Absolute NNN"/>
    <s v="Annual CPI (Capped at 2%)"/>
    <s v="3, 5yr"/>
    <m/>
    <s v=" "/>
    <s v=" "/>
    <x v="652"/>
    <x v="351"/>
    <s v="M&amp;M; Glass"/>
    <x v="621"/>
    <s v="Individual"/>
    <s v="M&amp;M; Lieber"/>
    <m/>
    <n v="2235061"/>
    <n v="0.05749999664438689"/>
    <s v=" "/>
    <n v="2235061"/>
    <n v="0.05749999664438689"/>
    <s v=" "/>
    <s v="No"/>
    <d v="2019-04-03T00:00:00"/>
    <n v="63"/>
  </r>
  <r>
    <s v="Fresenius Medical Care"/>
    <s v="205 E Main St"/>
    <s v="Centreville"/>
    <s v="MS"/>
    <n v="1"/>
    <m/>
    <n v="5700"/>
    <n v="69768"/>
    <n v="12.24"/>
    <d v="2025-10-31T00:00:00"/>
    <n v="6.410958904109589"/>
    <s v="NN"/>
    <s v="2% annually starting 2020"/>
    <s v="2, 5yr"/>
    <m/>
    <s v=" "/>
    <s v=" "/>
    <x v="652"/>
    <x v="13"/>
    <s v="M&amp;M; Anderson"/>
    <x v="0"/>
    <s v="Individual"/>
    <m/>
    <m/>
    <n v="900000"/>
    <n v="0.07752000000000001"/>
    <s v=" "/>
    <n v="872100"/>
    <n v="0.08"/>
    <s v=" "/>
    <s v="Yes"/>
    <d v="2018-10-25T00:00:00"/>
    <n v="223"/>
  </r>
  <r>
    <s v="Fresenius Medical Care"/>
    <s v="534 Irby Dr"/>
    <s v="Brookhaven"/>
    <s v="MS"/>
    <n v="2.02"/>
    <n v="1995"/>
    <n v="13200"/>
    <n v="161568"/>
    <n v="12.24"/>
    <d v="2025-12-31T00:00:00"/>
    <n v="6.578082191780822"/>
    <s v="NN"/>
    <s v="1% annually until 2020; 2% annually until 2025"/>
    <s v="1, 5yr"/>
    <m/>
    <s v=" "/>
    <s v=" "/>
    <x v="652"/>
    <x v="13"/>
    <s v="M&amp;M; Anderson"/>
    <x v="0"/>
    <s v="Individual"/>
    <m/>
    <m/>
    <n v="2228524"/>
    <n v="0.07250000448727499"/>
    <s v=" "/>
    <n v="2154240"/>
    <n v="0.075"/>
    <s v=" "/>
    <s v="Yes"/>
    <d v="2018-09-21T00:00:00"/>
    <n v="257"/>
  </r>
  <r>
    <s v="Fresenius Medical Care"/>
    <s v="1200 E Lake Silver Dr"/>
    <s v="Winter Haven"/>
    <s v="FL"/>
    <n v="1.5"/>
    <n v="2017"/>
    <n v="11187"/>
    <n v="338400"/>
    <n v="30.24939662107804"/>
    <d v="2032-03-31T00:00:00"/>
    <n v="12.83561643835616"/>
    <s v="NN"/>
    <s v="1.7% annually; 10% at each option"/>
    <s v="3, 5yr"/>
    <n v="6000000"/>
    <n v="536.3368195226602"/>
    <n v="0.0564"/>
    <x v="653"/>
    <x v="740"/>
    <s v="Laurence Liebowitz"/>
    <x v="622"/>
    <s v="Individual"/>
    <s v="M&amp;M; Wolfe"/>
    <s v="MDG Development Group, LLC"/>
    <n v="6152727"/>
    <n v="0.05500000243794337"/>
    <n v="0.9751773481904853"/>
    <n v="6152727"/>
    <n v="0.05500000243794337"/>
    <n v="0.00139999756205663"/>
    <s v="No"/>
    <d v="2018-09-05T00:00:00"/>
    <n v="271"/>
  </r>
  <r>
    <s v="DaVita Dialysis"/>
    <s v="Portfolio of Four"/>
    <s v="Dallas"/>
    <s v="TX"/>
    <m/>
    <m/>
    <n v="49697"/>
    <n v="920808"/>
    <n v="18.52844236070588"/>
    <m/>
    <s v=" "/>
    <m/>
    <m/>
    <m/>
    <n v="15660000"/>
    <n v="315.109563957583"/>
    <n v="0.0588"/>
    <x v="654"/>
    <x v="499"/>
    <m/>
    <x v="305"/>
    <s v="Fund"/>
    <m/>
    <m/>
    <m/>
    <s v=" "/>
    <s v=" "/>
    <m/>
    <s v=" "/>
    <s v=" "/>
    <s v=" "/>
    <m/>
    <s v=" "/>
  </r>
  <r>
    <s v="4 Property Portfolio"/>
    <m/>
    <m/>
    <m/>
    <m/>
    <m/>
    <m/>
    <m/>
    <s v=" "/>
    <m/>
    <s v=" "/>
    <m/>
    <m/>
    <m/>
    <n v="15660000"/>
    <s v=" "/>
    <n v="0.0588"/>
    <x v="654"/>
    <x v="499"/>
    <m/>
    <x v="305"/>
    <s v="Fund"/>
    <m/>
    <m/>
    <m/>
    <s v=" "/>
    <s v=" "/>
    <m/>
    <s v=" "/>
    <s v=" "/>
    <s v=" "/>
    <m/>
    <s v=" "/>
  </r>
  <r>
    <s v="DaVita Dialysis"/>
    <s v="Portfolio of Four"/>
    <s v="Dallas"/>
    <s v="TX"/>
    <m/>
    <m/>
    <n v="49697"/>
    <n v="920808"/>
    <n v="18.52844236070588"/>
    <m/>
    <s v=" "/>
    <m/>
    <m/>
    <m/>
    <m/>
    <s v=" "/>
    <s v=" "/>
    <x v="654"/>
    <x v="192"/>
    <m/>
    <x v="193"/>
    <s v="Fund"/>
    <m/>
    <m/>
    <m/>
    <s v=" "/>
    <s v=" "/>
    <m/>
    <s v=" "/>
    <s v=" "/>
    <s v=" "/>
    <m/>
    <s v=" "/>
  </r>
  <r>
    <s v="Fresenius Medical Care"/>
    <s v="107 Ridgewood Cir"/>
    <s v="Kosciusko"/>
    <s v="MS"/>
    <n v="1.01"/>
    <n v="1995"/>
    <n v="7101"/>
    <n v="81936"/>
    <n v="11.53865652724968"/>
    <d v="2029-05-30T00:00:00"/>
    <n v="10.00547945205479"/>
    <s v="NN"/>
    <s v="10% every 5 years"/>
    <s v="2, 5yr"/>
    <n v="970000"/>
    <n v="136.600478805802"/>
    <n v="0.08447010309278351"/>
    <x v="654"/>
    <x v="741"/>
    <s v="SIG; Martin"/>
    <x v="623"/>
    <s v="Individual"/>
    <m/>
    <m/>
    <n v="1100000"/>
    <n v="0.07448727272727272"/>
    <n v="0.8818181818181818"/>
    <n v="1433217"/>
    <n v="0.05716929118200523"/>
    <n v="0.02730081191077827"/>
    <s v="Yes"/>
    <d v="2017-11-28T00:00:00"/>
    <n v="549"/>
  </r>
  <r>
    <s v="Fresenius Medical Care"/>
    <s v="2809 General Degaulle Dr"/>
    <s v="New Orleans"/>
    <s v="LA"/>
    <n v="0.97"/>
    <n v="2017"/>
    <n v="7235"/>
    <n v="315115"/>
    <n v="43.55425017277125"/>
    <d v="2032-10-31T00:00:00"/>
    <n v="13.43287671232877"/>
    <s v="NN"/>
    <s v="1.7% annually"/>
    <s v="3, 5 yr"/>
    <n v="5350000"/>
    <n v="739.4609536973047"/>
    <n v="0.0589"/>
    <x v="655"/>
    <x v="296"/>
    <s v="C&amp;W; Patel"/>
    <x v="624"/>
    <s v="Individual"/>
    <m/>
    <m/>
    <m/>
    <s v=" "/>
    <s v=" "/>
    <m/>
    <s v=" "/>
    <s v=" "/>
    <s v=" "/>
    <m/>
    <s v=" "/>
  </r>
  <r>
    <s v="Fresenius Medical Care"/>
    <s v="7325 Westbank Expy"/>
    <s v="New Orleans"/>
    <s v="LA"/>
    <m/>
    <n v="2018"/>
    <n v="8929"/>
    <n v="194637"/>
    <n v="21.79829768171128"/>
    <m/>
    <s v=" "/>
    <m/>
    <s v="10% every 5 years"/>
    <m/>
    <m/>
    <s v=" "/>
    <s v=" "/>
    <x v="656"/>
    <x v="13"/>
    <s v="PH: Peranich &amp; Huffman"/>
    <x v="0"/>
    <s v="Individual"/>
    <m/>
    <m/>
    <n v="3356000"/>
    <n v="0.05799672228843862"/>
    <s v=" "/>
    <n v="2994000"/>
    <n v="0.06500901803607215"/>
    <s v=" "/>
    <s v="Yes"/>
    <d v="2018-06-29T00:00:00"/>
    <n v="334"/>
  </r>
  <r>
    <s v="U.S. Renal Care"/>
    <s v="506 Roswell St"/>
    <s v="Marietta "/>
    <s v="GA"/>
    <n v="0.2"/>
    <n v="1999"/>
    <n v="7000"/>
    <n v="111201"/>
    <n v="15.88585714285714"/>
    <d v="2029-02-01T00:00:00"/>
    <n v="9.69041095890411"/>
    <s v="NN"/>
    <s v="2% Annually"/>
    <s v="2, 5yr"/>
    <n v="1540000"/>
    <n v="220"/>
    <n v="0.07220844155844156"/>
    <x v="657"/>
    <x v="742"/>
    <s v="PH: Peranich &amp; Huffman"/>
    <x v="625"/>
    <s v="Individual"/>
    <m/>
    <m/>
    <n v="1635000"/>
    <n v="0.06801284403669725"/>
    <n v="0.9418960244648318"/>
    <n v="1588000"/>
    <n v="0.0700258186397985"/>
    <n v="0.00218262291864306"/>
    <s v="Yes"/>
    <d v="2019-01-30T00:00:00"/>
    <n v="118"/>
  </r>
  <r>
    <s v="DaVita Dialysis"/>
    <s v="4602 E Southcross Blvd"/>
    <s v="San Antonio"/>
    <s v="TX"/>
    <n v="0.6"/>
    <n v="2004"/>
    <n v="8040"/>
    <n v="160800"/>
    <n v="20"/>
    <d v="2025-07-19T00:00:00"/>
    <n v="6.147945205479452"/>
    <s v="NN"/>
    <s v="2.5% annually"/>
    <s v="1, 5yr"/>
    <n v="2297143"/>
    <n v="285.7143034825871"/>
    <n v="0.06999999564676644"/>
    <x v="657"/>
    <x v="743"/>
    <s v="Matthews; Hoover"/>
    <x v="626"/>
    <s v="Individual"/>
    <s v="J Kuper"/>
    <m/>
    <n v="2473846"/>
    <n v="0.06500000404228881"/>
    <n v="0.9285715440653945"/>
    <n v="2473846"/>
    <n v="0.06500000404228881"/>
    <n v="0.00499999160447763"/>
    <s v="No"/>
    <d v="2018-12-10T00:00:00"/>
    <n v="169"/>
  </r>
  <r>
    <s v="Fresenius Medical Care"/>
    <s v="4626 E Southcross Blvd"/>
    <s v="San Antonio"/>
    <s v="TX"/>
    <n v="1.6"/>
    <n v="2002"/>
    <n v="13000"/>
    <n v="260000"/>
    <n v="20"/>
    <d v="2027-08-02T00:00:00"/>
    <n v="8.186301369863013"/>
    <s v="NN"/>
    <s v="FMV at each option"/>
    <s v="3, 5yr"/>
    <n v="3714286"/>
    <n v="285.7143076923077"/>
    <n v="0.06999999461538503"/>
    <x v="657"/>
    <x v="743"/>
    <s v="Matthews; Hoover"/>
    <x v="626"/>
    <s v="Individual"/>
    <s v="J Kuper"/>
    <m/>
    <n v="4000000"/>
    <n v="0.065"/>
    <n v="0.9285715"/>
    <n v="4000000"/>
    <n v="0.065"/>
    <n v="0.004999994615385028"/>
    <s v="No"/>
    <d v="2018-12-07T00:00:00"/>
    <n v="172"/>
  </r>
  <r>
    <s v="Fresenius Medical Care"/>
    <s v="4800 Mcleod Dr"/>
    <s v="Saginaw"/>
    <s v="MI"/>
    <n v="1.55"/>
    <n v="1991"/>
    <n v="11867"/>
    <n v="104329"/>
    <n v="8.791522710036235"/>
    <m/>
    <s v=" "/>
    <m/>
    <m/>
    <m/>
    <n v="1264605"/>
    <n v="106.5648436841662"/>
    <n v="0.08249927843081437"/>
    <x v="658"/>
    <x v="744"/>
    <s v="Brown Gibbons: Parker"/>
    <x v="627"/>
    <s v="Individual"/>
    <m/>
    <m/>
    <m/>
    <s v=" "/>
    <s v=" "/>
    <m/>
    <s v=" "/>
    <s v=" "/>
    <s v=" "/>
    <m/>
    <s v=" "/>
  </r>
  <r>
    <s v="Fresenius Medical Care"/>
    <s v="1536 W Center Road"/>
    <s v="Essexville"/>
    <s v="MI"/>
    <n v="1.32"/>
    <m/>
    <n v="11638"/>
    <n v="122545"/>
    <n v="10.52973019419144"/>
    <m/>
    <s v=" "/>
    <m/>
    <m/>
    <m/>
    <n v="1485395"/>
    <n v="127.6331843959443"/>
    <n v="0.08249994109310992"/>
    <x v="658"/>
    <x v="744"/>
    <m/>
    <x v="627"/>
    <s v="Individual"/>
    <m/>
    <m/>
    <m/>
    <s v=" "/>
    <s v=" "/>
    <m/>
    <s v=" "/>
    <s v=" "/>
    <s v=" "/>
    <d v="2019-01-17T00:00:00"/>
    <n v="126"/>
  </r>
  <r>
    <s v="DaVita Dialysis"/>
    <s v="430 Southridge Parkway "/>
    <s v="Culpeper "/>
    <s v="VA"/>
    <n v="0.3"/>
    <n v="2018"/>
    <n v="6227"/>
    <n v="99632"/>
    <n v="16"/>
    <d v="2033-09-30T00:00:00"/>
    <n v="14.37260273972603"/>
    <s v="NN"/>
    <s v="10% every 5 years"/>
    <s v="2, 5yr"/>
    <n v="1400000"/>
    <n v="224.8273647021038"/>
    <n v="0.07116571428571429"/>
    <x v="659"/>
    <x v="13"/>
    <s v="SJC; Scrivner"/>
    <x v="628"/>
    <s v="Individual"/>
    <m/>
    <m/>
    <n v="1480000"/>
    <n v="0.06731891891891892"/>
    <n v="0.9459459459459459"/>
    <n v="1480000"/>
    <n v="0.06731891891891892"/>
    <n v="0.003846795366795372"/>
    <s v="No"/>
    <d v="2019-01-11T00:00:00"/>
    <n v="130"/>
  </r>
  <r>
    <s v="DaVita Dialysis"/>
    <s v="841 San Bruno Avenue West"/>
    <s v="San Bruno"/>
    <s v="CA"/>
    <n v="0.07000000000000001"/>
    <n v="2018"/>
    <n v="11070"/>
    <n v="733560"/>
    <n v="66.26558265582656"/>
    <d v="2033-09-01T00:00:00"/>
    <n v="14.31232876712329"/>
    <s v="NN"/>
    <s v="10% every 5 years "/>
    <s v="2, 5yr"/>
    <n v="13900000"/>
    <n v="1255.645889792231"/>
    <n v="0.05277410071942446"/>
    <x v="660"/>
    <x v="5"/>
    <s v="C&amp;W; Patel"/>
    <x v="629"/>
    <s v="Individual"/>
    <s v="Dan Lem"/>
    <m/>
    <n v="14244000"/>
    <n v="0.05149957877000842"/>
    <n v="0.9758494804830103"/>
    <n v="14244000"/>
    <n v="0.05149957877000842"/>
    <n v="0.00127452194941604"/>
    <s v="No"/>
    <d v="2018-11-01T00:00:00"/>
    <n v="194"/>
  </r>
  <r>
    <s v="U.S. Renal Care"/>
    <s v="7831 Westchase St"/>
    <s v="San Antonio"/>
    <s v="TX"/>
    <n v="1"/>
    <n v="2017"/>
    <n v="7250"/>
    <n v="184278"/>
    <n v="25.41765517241379"/>
    <d v="2027-10-31T00:00:00"/>
    <n v="8.471232876712328"/>
    <s v="Absolute NNN"/>
    <s v="2% annually; 2.5% in options"/>
    <s v="2, 5yr"/>
    <n v="3020950"/>
    <n v="416.6827586206896"/>
    <n v="0.06100001655108492"/>
    <x v="660"/>
    <x v="73"/>
    <s v="JLL; Bauman"/>
    <x v="630"/>
    <s v="Individual"/>
    <m/>
    <m/>
    <n v="3020950"/>
    <n v="0.06100001655108492"/>
    <n v="1"/>
    <n v="3020950"/>
    <n v="0.06100001655108492"/>
    <n v="0"/>
    <s v="No"/>
    <d v="2019-03-01T00:00:00"/>
    <n v="74"/>
  </r>
  <r>
    <s v="Fresenius Medical Care"/>
    <s v="3300 Vista Way"/>
    <s v="Oceanside "/>
    <s v="CA"/>
    <n v="1.63"/>
    <n v="1996"/>
    <n v="12958"/>
    <n v="406260"/>
    <n v="31.35206050316407"/>
    <m/>
    <s v=" "/>
    <m/>
    <m/>
    <m/>
    <n v="6100000"/>
    <n v="470.7516592066677"/>
    <n v="0.06660000000000001"/>
    <x v="661"/>
    <x v="745"/>
    <m/>
    <x v="631"/>
    <s v="Individual"/>
    <m/>
    <m/>
    <m/>
    <s v=" "/>
    <s v=" "/>
    <m/>
    <s v=" "/>
    <s v=" "/>
    <s v=" "/>
    <m/>
    <s v=" "/>
  </r>
  <r>
    <s v="Fresenius Medical Care"/>
    <s v="2180 Hollow Brook Dr"/>
    <s v="Colorado Springs"/>
    <s v="CO"/>
    <n v="1.04"/>
    <n v="2001"/>
    <n v="7250"/>
    <n v="187875"/>
    <n v="25.91379310344828"/>
    <d v="2029-02-28T00:00:00"/>
    <n v="9.816438356164383"/>
    <s v="NN"/>
    <s v="2% annually"/>
    <s v="2, 5yr"/>
    <n v="2790000"/>
    <n v="384.8275862068966"/>
    <n v="0.06733870967741935"/>
    <x v="662"/>
    <x v="746"/>
    <s v="PH: Peranich &amp; Huffman"/>
    <x v="632"/>
    <s v="Individual"/>
    <s v="M&amp;M; Lineberry"/>
    <m/>
    <n v="2889000"/>
    <n v="0.06503115264797507"/>
    <n v="0.9657320872274143"/>
    <n v="2889000"/>
    <n v="0.06503115264797507"/>
    <n v="0.002307557029444282"/>
    <s v="No"/>
    <d v="2019-02-19T00:00:00"/>
    <n v="79"/>
  </r>
  <r>
    <s v="Fresenius Medical Care"/>
    <s v="7011 Regency Square Boulevard"/>
    <s v="Houston"/>
    <s v="TX"/>
    <n v="1.2"/>
    <n v="2017"/>
    <n v="8263"/>
    <n v="246072"/>
    <n v="29.77998305700109"/>
    <d v="2032-11-30T00:00:00"/>
    <n v="13.57260273972603"/>
    <s v="NN"/>
    <s v="10% every 5 years"/>
    <s v="3, 5yr"/>
    <m/>
    <s v=" "/>
    <s v=" "/>
    <x v="662"/>
    <x v="254"/>
    <s v="PH: Peranich &amp; Huffman"/>
    <x v="633"/>
    <s v="Individual"/>
    <m/>
    <m/>
    <n v="4600000"/>
    <n v="0.05349391304347826"/>
    <s v=" "/>
    <n v="4600000"/>
    <n v="0.05349391304347826"/>
    <s v=" "/>
    <s v="No"/>
    <d v="2019-01-08T00:00:00"/>
    <n v="121"/>
  </r>
  <r>
    <s v="DaVita Dialysis"/>
    <s v="20359 Lake Chabot Rd"/>
    <s v="Castro Valley"/>
    <s v="CA"/>
    <n v="0.72"/>
    <n v="2018"/>
    <n v="9913"/>
    <n v="351423"/>
    <n v="35.45072127509331"/>
    <d v="2033-06-14T00:00:00"/>
    <n v="14.10958904109589"/>
    <s v="NN"/>
    <s v="10% every 5 years"/>
    <s v="2, 5yr"/>
    <n v="7000000"/>
    <n v="706.143447997579"/>
    <n v="0.05020328571428571"/>
    <x v="662"/>
    <x v="511"/>
    <s v="C&amp;W; Sheldon"/>
    <x v="0"/>
    <s v="Individual"/>
    <s v="Newmark Knight Frank"/>
    <s v="Meridian Property Co."/>
    <n v="7170000"/>
    <n v="0.04901297071129707"/>
    <n v="0.9762900976290098"/>
    <n v="7029000"/>
    <n v="0.04999615877080666"/>
    <n v="0.0002071269434790537"/>
    <s v="Yes"/>
    <d v="2018-09-04T00:00:00"/>
    <n v="247"/>
  </r>
  <r>
    <s v="DaVita Dialysis"/>
    <s v="401 E North Blvd"/>
    <s v="Leesburg"/>
    <s v="FL"/>
    <n v="1.13"/>
    <n v="2005"/>
    <n v="9600"/>
    <n v="82373.5"/>
    <n v="8.580572916666666"/>
    <d v="2025-08-30T00:00:00"/>
    <n v="6.32054794520548"/>
    <s v="NN"/>
    <s v="10% every 5 years"/>
    <s v="3, 5yr"/>
    <n v="935000"/>
    <n v="97.39583333333333"/>
    <n v="0.0881"/>
    <x v="663"/>
    <x v="747"/>
    <s v="Matthews; Moreno"/>
    <x v="634"/>
    <s v="Individual"/>
    <m/>
    <m/>
    <n v="970000"/>
    <n v="0.08492113402061856"/>
    <n v="0.9639175257731959"/>
    <n v="970000"/>
    <n v="0.08492113402061856"/>
    <n v="0.00317886597938144"/>
    <s v="No"/>
    <d v="2019-03-13T00:00:00"/>
    <n v="55"/>
  </r>
  <r>
    <s v="Fresenius Medical Care"/>
    <s v="6010 Forest Park Rd"/>
    <s v="Dallas"/>
    <s v="TX"/>
    <n v="2.81"/>
    <n v="1981"/>
    <n v="22091"/>
    <n v="711790"/>
    <n v="32.22081390611562"/>
    <d v="2020-04-30T00:00:00"/>
    <n v="1"/>
    <s v="NN"/>
    <s v="FMV in Options"/>
    <s v="2, 5 yr"/>
    <n v="5300000"/>
    <n v="239.9167081616948"/>
    <n v="0.1343"/>
    <x v="664"/>
    <x v="192"/>
    <s v="PG; Lesley"/>
    <x v="635"/>
    <s v="Individual"/>
    <s v="Venture; Nick H."/>
    <s v="PCI | HealthDev"/>
    <n v="5508162"/>
    <n v="0.1292245943383655"/>
    <n v="0.9622084463020514"/>
    <n v="5508162"/>
    <n v="0.1292245943383655"/>
    <n v="0.005075405661634502"/>
    <s v="No"/>
    <d v="2018-09-28T00:00:00"/>
    <n v="215"/>
  </r>
  <r>
    <s v="Chattanooga Kidney Center"/>
    <s v="3810 Brainerd Rd"/>
    <s v="Chattanooga "/>
    <s v="TN"/>
    <n v="2.58"/>
    <n v="2012"/>
    <n v="32004"/>
    <m/>
    <s v=" "/>
    <d v="2022-08-09T00:00:00"/>
    <n v="3.279452054794521"/>
    <s v="NNN"/>
    <s v="at each option"/>
    <s v="3, 5yr"/>
    <n v="4725000"/>
    <n v="147.6377952755905"/>
    <s v=" "/>
    <x v="665"/>
    <x v="13"/>
    <m/>
    <x v="0"/>
    <s v="Individual"/>
    <m/>
    <m/>
    <m/>
    <s v=" "/>
    <s v=" "/>
    <m/>
    <s v=" "/>
    <s v=" "/>
    <s v=" "/>
    <m/>
    <s v=" "/>
  </r>
  <r>
    <s v="DaVita Dialysis"/>
    <s v="209 West Travis Street"/>
    <s v="Sherman"/>
    <s v="TX"/>
    <n v="1.03"/>
    <n v="2017"/>
    <n v="7500"/>
    <n v="175375"/>
    <n v="23.38333333333333"/>
    <d v="2032-09-30T00:00:00"/>
    <n v="13.44109589041096"/>
    <s v="NN"/>
    <s v="2% annually"/>
    <s v="2, 5yr"/>
    <n v="2852300"/>
    <n v="380.3066666666667"/>
    <n v="0.06148546786803632"/>
    <x v="666"/>
    <x v="748"/>
    <s v="M&amp;M; Cook"/>
    <x v="636"/>
    <s v="Individual"/>
    <m/>
    <m/>
    <n v="3184722"/>
    <n v="0.05506760087693682"/>
    <n v="0.8956197746616502"/>
    <n v="3050000"/>
    <n v="0.0575"/>
    <n v="0.003985467868036316"/>
    <s v="Yes"/>
    <d v="2018-03-29T00:00:00"/>
    <n v="393"/>
  </r>
  <r>
    <s v="Fresenius Medical Care"/>
    <s v="4016 Main St"/>
    <s v="East Chicago"/>
    <s v="IN"/>
    <n v="0.76"/>
    <n v="2018"/>
    <n v="9109"/>
    <n v="223171"/>
    <n v="24.50005489076737"/>
    <d v="2033-12-31T00:00:00"/>
    <n v="14.6958904109589"/>
    <s v="NN"/>
    <s v="1.75% annually"/>
    <s v="3, 5yr"/>
    <n v="3570728"/>
    <n v="392"/>
    <n v="0.06250014002746779"/>
    <x v="667"/>
    <x v="749"/>
    <s v="M&amp;M; Sharko"/>
    <x v="637"/>
    <s v="Fund"/>
    <m/>
    <m/>
    <n v="3915272"/>
    <n v="0.05700012668340795"/>
    <n v="0.9119999836537538"/>
    <n v="3782551"/>
    <n v="0.05900012980657762"/>
    <n v="0.003500010220890165"/>
    <s v="Yes"/>
    <d v="2018-10-01T00:00:00"/>
    <n v="206"/>
  </r>
  <r>
    <s v="DaVita Dialysis"/>
    <s v="1780 W Anklam Rd"/>
    <s v="Tucson"/>
    <s v="AZ"/>
    <n v="1.71"/>
    <n v="1986"/>
    <n v="13084"/>
    <n v="216000"/>
    <n v="16.50871293182513"/>
    <d v="2022-04-30T00:00:00"/>
    <n v="3.016438356164384"/>
    <s v="Absolute NNN"/>
    <s v="Annually"/>
    <s v="3, 15yr"/>
    <n v="2000000"/>
    <n v="152.8584530724549"/>
    <n v="0.108"/>
    <x v="667"/>
    <x v="750"/>
    <s v="C&amp;W; Cohen"/>
    <x v="93"/>
    <s v="User"/>
    <s v="C&amp;W; Hall"/>
    <m/>
    <n v="2700000"/>
    <n v="0.08"/>
    <n v="0.7407407407407407"/>
    <n v="2000000"/>
    <n v="0.108"/>
    <n v="0"/>
    <s v="Yes"/>
    <d v="2017-05-03T00:00:00"/>
    <n v="722"/>
  </r>
  <r>
    <s v="Fresenius Medical Care"/>
    <s v="8560 Monroe Road"/>
    <s v="Houston"/>
    <s v="TX"/>
    <n v="3.05"/>
    <n v="2002"/>
    <n v="16800"/>
    <n v="243600"/>
    <n v="14.5"/>
    <d v="2027-11-30T00:00:00"/>
    <n v="8.605479452054794"/>
    <s v="Absolute NNN"/>
    <s v="10% in year  6"/>
    <s v="2, 5yr"/>
    <m/>
    <s v=" "/>
    <s v=" "/>
    <x v="667"/>
    <x v="751"/>
    <s v="PH: Peranich &amp; Huffman"/>
    <x v="138"/>
    <s v="REIT"/>
    <m/>
    <m/>
    <n v="3867000"/>
    <n v="0.06299456943366952"/>
    <s v=" "/>
    <n v="3867000"/>
    <n v="0.06299456943366952"/>
    <s v=" "/>
    <s v="No"/>
    <d v="2019-02-11T00:00:00"/>
    <n v="73"/>
  </r>
  <r>
    <s v="DaVita Dialysis"/>
    <s v="20920 Chico St"/>
    <s v="Carson"/>
    <s v="CA"/>
    <n v="0.74"/>
    <n v="2017"/>
    <n v="11462"/>
    <n v="382819"/>
    <n v="33.39897051125458"/>
    <d v="2032-09-17T00:00:00"/>
    <n v="13.41095890410959"/>
    <s v="NN"/>
    <s v="10% every 5 years"/>
    <s v="3, 5yr"/>
    <n v="7686380"/>
    <n v="670.5967544931077"/>
    <n v="0.04980484961711495"/>
    <x v="668"/>
    <x v="66"/>
    <s v="SJC; Briggs"/>
    <x v="638"/>
    <s v="Individual"/>
    <m/>
    <m/>
    <n v="8059347"/>
    <n v="0.0475000021713918"/>
    <n v="0.9537224293730001"/>
    <n v="8059347"/>
    <n v="0.0475000021713918"/>
    <n v="0.002304847445723145"/>
    <s v="No"/>
    <m/>
    <s v=" "/>
  </r>
  <r>
    <s v="DaVita Dialysis"/>
    <s v="515 Granada Pl"/>
    <s v="Kerrville"/>
    <s v="TX"/>
    <n v="0.63"/>
    <n v="2004"/>
    <n v="6944"/>
    <n v="108047"/>
    <n v="15.55976382488479"/>
    <d v="2024-12-31T00:00:00"/>
    <n v="5.70958904109589"/>
    <s v="NN"/>
    <s v="10% every 5"/>
    <s v="2, 5yr"/>
    <n v="1490298"/>
    <n v="214.6166474654378"/>
    <n v="0.07250026504766161"/>
    <x v="669"/>
    <x v="752"/>
    <m/>
    <x v="423"/>
    <s v="Individual"/>
    <s v="Matthews; Moreno &amp; Hoover"/>
    <m/>
    <m/>
    <s v=" "/>
    <s v=" "/>
    <m/>
    <s v=" "/>
    <s v=" "/>
    <s v=" "/>
    <m/>
    <s v=" "/>
  </r>
  <r>
    <s v="DaVita Dialysis"/>
    <s v="1900 3rd Avenue Lane"/>
    <s v="Hickory "/>
    <s v="NC"/>
    <n v="1.3"/>
    <n v="2018"/>
    <n v="11000"/>
    <n v="171335"/>
    <n v="15.57590909090909"/>
    <d v="2033-05-18T00:00:00"/>
    <n v="14.1013698630137"/>
    <s v="NN"/>
    <s v="10% every 5 years"/>
    <s v="3, 5yr"/>
    <n v="2954058"/>
    <n v="268.5507272727273"/>
    <n v="0.05799987677967054"/>
    <x v="670"/>
    <x v="66"/>
    <s v="SJC; Briggs"/>
    <x v="639"/>
    <s v="Individual"/>
    <m/>
    <m/>
    <n v="3024643"/>
    <n v="0.05664635462763705"/>
    <n v="0.9766633615934178"/>
    <n v="3024643"/>
    <n v="0.05664635462763705"/>
    <n v="0.001353522152033493"/>
    <s v="No"/>
    <d v="2019-03-18T00:00:00"/>
    <n v="28"/>
  </r>
  <r>
    <s v="Fresenius Medical Care"/>
    <s v="1149 Cascade Pkwy SW"/>
    <s v="Atlanta"/>
    <s v="GA"/>
    <n v="2.89"/>
    <n v="2018"/>
    <n v="8275"/>
    <n v="324120"/>
    <n v="39.16858006042296"/>
    <d v="2033-07-31T00:00:00"/>
    <n v="14.31232876712329"/>
    <s v="NNN"/>
    <s v="10% every 5 years"/>
    <s v="3, 5yr"/>
    <n v="5475000"/>
    <n v="661.6314199395771"/>
    <n v="0.0592"/>
    <x v="671"/>
    <x v="296"/>
    <m/>
    <x v="188"/>
    <s v="Fund"/>
    <s v="KPI Brokers"/>
    <m/>
    <m/>
    <s v=" "/>
    <s v=" "/>
    <m/>
    <s v=" "/>
    <s v=" "/>
    <s v=" "/>
    <m/>
    <s v=" "/>
  </r>
  <r>
    <s v="Fresenius Medical Care"/>
    <s v="57 Commerce St"/>
    <s v="Paris"/>
    <s v="TN"/>
    <n v="1.02"/>
    <n v="2018"/>
    <n v="6750"/>
    <n v="145665"/>
    <n v="21.58"/>
    <d v="2033-10-31T00:00:00"/>
    <n v="14.56986301369863"/>
    <s v="NN"/>
    <s v="10% every 5"/>
    <s v="3, 5yr"/>
    <n v="2465000"/>
    <n v="365.1851851851852"/>
    <n v="0.05909330628803246"/>
    <x v="672"/>
    <x v="753"/>
    <s v="M&amp;M; Molloy"/>
    <x v="371"/>
    <s v="Individual"/>
    <m/>
    <m/>
    <n v="2648454"/>
    <n v="0.05500001132736305"/>
    <n v="0.9307316645862076"/>
    <n v="2533304"/>
    <n v="0.05750000789482826"/>
    <n v="0.001593298393204198"/>
    <s v="Yes"/>
    <d v="2018-06-15T00:00:00"/>
    <n v="299"/>
  </r>
  <r>
    <s v="Fresenius Medical Care"/>
    <s v="709 SW Port St. Lucie Blvd"/>
    <s v="Port St. Lucie"/>
    <s v="FL"/>
    <n v="1.9"/>
    <n v="2018"/>
    <n v="8091"/>
    <n v="221089"/>
    <n v="27.32529971573353"/>
    <d v="2032-09-30T00:00:00"/>
    <n v="13.48493150684932"/>
    <s v="NNN"/>
    <s v="10% every 5 years"/>
    <s v="3, 5yr"/>
    <n v="4056700"/>
    <n v="501.3842541095044"/>
    <n v="0.05449971651835236"/>
    <x v="672"/>
    <x v="296"/>
    <s v="C&amp;W; Patel"/>
    <x v="640"/>
    <s v="Individual"/>
    <s v="Thomas Morgan"/>
    <m/>
    <n v="4132505"/>
    <n v="0.05349999576528038"/>
    <n v="0.9816564045294561"/>
    <n v="4132505"/>
    <n v="0.05349999576528038"/>
    <n v="0.0009997207530719754"/>
    <s v="No"/>
    <d v="2019-02-06T00:00:00"/>
    <n v="63"/>
  </r>
  <r>
    <s v="Fresenius Medical Care"/>
    <s v="5331 Clyde Park Ave"/>
    <s v="Grand Rapids"/>
    <s v="MI"/>
    <n v="1.49"/>
    <n v="2017"/>
    <n v="10577"/>
    <n v="169189.69"/>
    <n v="15.99599981091047"/>
    <d v="2029-07-31T00:00:00"/>
    <n v="10.31506849315068"/>
    <s v="NN"/>
    <s v="10% every 5; FMV option"/>
    <s v="3, 5yr"/>
    <n v="2065000"/>
    <n v="195.2349437458637"/>
    <n v="0.08193205326876514"/>
    <x v="672"/>
    <x v="754"/>
    <s v="Continential"/>
    <x v="0"/>
    <s v="Individual"/>
    <m/>
    <m/>
    <n v="2820000"/>
    <n v="0.05999634397163121"/>
    <n v="0.7322695035460993"/>
    <n v="2820000"/>
    <n v="0.05999634397163121"/>
    <n v="0.02193570929713393"/>
    <s v="No"/>
    <d v="2017-10-24T00:00:00"/>
    <n v="533"/>
  </r>
  <r>
    <s v="DaVita Dialysis"/>
    <s v="1090 Atlantic Ave"/>
    <s v="Long Beach"/>
    <s v="CA"/>
    <n v="0.54"/>
    <n v="2017"/>
    <n v="9200"/>
    <n v="421079"/>
    <n v="45.76945652173913"/>
    <d v="2034-01-31T00:00:00"/>
    <n v="14.82739726027397"/>
    <s v="NN"/>
    <s v="10% every 5 years"/>
    <s v="3, 5yr"/>
    <n v="8421580"/>
    <n v="915.3891304347826"/>
    <n v="0.05"/>
    <x v="673"/>
    <x v="511"/>
    <s v="Matthews; Moreno &amp; Hoover"/>
    <x v="641"/>
    <s v="Individual"/>
    <m/>
    <m/>
    <m/>
    <s v=" "/>
    <s v=" "/>
    <m/>
    <s v=" "/>
    <s v=" "/>
    <s v=" "/>
    <m/>
    <s v=" "/>
  </r>
  <r>
    <s v="DaVita Dialysis"/>
    <s v="526 Broad St"/>
    <s v="Sumter"/>
    <s v="SC"/>
    <n v="0.46"/>
    <n v="2014"/>
    <n v="3614"/>
    <n v="65577"/>
    <n v="18.14526840066408"/>
    <d v="2029-06-20T00:00:00"/>
    <n v="10.21917808219178"/>
    <s v="NN"/>
    <s v="10% every 5 years"/>
    <s v="2, 5yr"/>
    <n v="993600"/>
    <n v="274.9308245711123"/>
    <n v="0.0659993961352657"/>
    <x v="674"/>
    <x v="69"/>
    <s v="C&amp;W; Patel"/>
    <x v="642"/>
    <s v="Individual"/>
    <m/>
    <m/>
    <n v="993600"/>
    <n v="0.0659993961352657"/>
    <n v="1"/>
    <n v="993600"/>
    <n v="0.0659993961352657"/>
    <n v="0"/>
    <s v="No"/>
    <d v="2019-02-27T00:00:00"/>
    <n v="36"/>
  </r>
  <r>
    <s v="DaVita (MT) (Two Buildings)"/>
    <s v="10655 Lomond Dr"/>
    <s v="Manassas"/>
    <s v="VA"/>
    <n v="2"/>
    <n v="2001"/>
    <n v="10000"/>
    <m/>
    <s v=" "/>
    <m/>
    <s v=" "/>
    <m/>
    <m/>
    <m/>
    <n v="3200000"/>
    <n v="320"/>
    <s v=" "/>
    <x v="675"/>
    <x v="755"/>
    <m/>
    <x v="109"/>
    <s v="Fund"/>
    <m/>
    <m/>
    <m/>
    <s v=" "/>
    <s v=" "/>
    <m/>
    <s v=" "/>
    <s v=" "/>
    <s v=" "/>
    <m/>
    <s v=" "/>
  </r>
  <r>
    <s v="Fresenius Medical Care"/>
    <s v="10501 Centrum Pkwy"/>
    <s v="Pineville"/>
    <s v="NC"/>
    <n v="1.19"/>
    <n v="2019"/>
    <n v="9342"/>
    <n v="229374"/>
    <n v="24.55298651252409"/>
    <d v="2034-02-28T00:00:00"/>
    <n v="14.93150684931507"/>
    <s v="NN"/>
    <s v="10% every 5 years in base; 5% each option"/>
    <s v="3, 5yr"/>
    <n v="4287364"/>
    <n v="458.9342753157782"/>
    <n v="0.05350000606433231"/>
    <x v="676"/>
    <x v="756"/>
    <s v="Berkeley; Lucier"/>
    <x v="643"/>
    <s v="Individual"/>
    <m/>
    <m/>
    <n v="4360000"/>
    <n v="0.05260871559633028"/>
    <n v="0.9833403669724771"/>
    <n v="4360000"/>
    <n v="0.05260871559633028"/>
    <n v="0.0008912904680020289"/>
    <s v="No"/>
    <d v="2018-12-17T00:00:00"/>
    <n v="102"/>
  </r>
  <r>
    <s v="Fresenius Medical Care"/>
    <s v="3406 12th Ave NE"/>
    <s v="Olympia"/>
    <s v="WA"/>
    <n v="2.03"/>
    <n v="2018"/>
    <n v="15500"/>
    <n v="736330"/>
    <n v="47.50516129032258"/>
    <d v="2033-06-30T00:00:00"/>
    <n v="14.28493150684931"/>
    <s v="NN"/>
    <m/>
    <m/>
    <n v="11725000"/>
    <n v="756.4516129032259"/>
    <n v="0.06279999999999999"/>
    <x v="677"/>
    <x v="192"/>
    <m/>
    <x v="305"/>
    <s v="Fund"/>
    <m/>
    <m/>
    <n v="11725000"/>
    <n v="0.06279999999999999"/>
    <n v="1"/>
    <n v="11725000"/>
    <n v="0.06279999999999999"/>
    <n v="0"/>
    <s v="No"/>
    <m/>
    <s v=" "/>
  </r>
  <r>
    <s v="Fresenius Medical Care"/>
    <s v="2801 Fox Street"/>
    <s v="Philadelphia"/>
    <s v="PA"/>
    <n v="1.1"/>
    <n v="2007"/>
    <n v="30000"/>
    <n v="443700"/>
    <n v="14.79"/>
    <d v="2028-06-30T00:00:00"/>
    <n v="9.282191780821918"/>
    <s v="NNN"/>
    <s v="2% annually"/>
    <m/>
    <n v="6500000"/>
    <n v="216.6666666666667"/>
    <n v="0.06826153846153846"/>
    <x v="677"/>
    <x v="757"/>
    <s v="M&amp;M; Beyel"/>
    <x v="644"/>
    <s v="Fund"/>
    <m/>
    <m/>
    <n v="6450000"/>
    <n v="0.0687906976744186"/>
    <n v="1.007751937984496"/>
    <m/>
    <s v=" "/>
    <s v=" "/>
    <s v=" "/>
    <m/>
    <s v=" "/>
  </r>
  <r>
    <s v="DaVita Dialysis"/>
    <s v="873 Heather Rd"/>
    <s v="Burlington "/>
    <s v="NC"/>
    <n v="1.33"/>
    <n v="1998"/>
    <n v="8176"/>
    <n v="172384.5"/>
    <n v="21.08420988258317"/>
    <d v="2033-03-31T00:00:00"/>
    <n v="14.04383561643836"/>
    <s v="NN"/>
    <s v="10% every 5"/>
    <s v="3, 5 yr"/>
    <n v="2803000"/>
    <n v="342.8326810176125"/>
    <n v="0.0615"/>
    <x v="678"/>
    <x v="66"/>
    <s v="SJC; Briggs"/>
    <x v="111"/>
    <s v="Fund"/>
    <m/>
    <m/>
    <m/>
    <s v=" "/>
    <s v=" "/>
    <m/>
    <s v=" "/>
    <s v=" "/>
    <s v=" "/>
    <m/>
    <s v=" "/>
  </r>
  <r>
    <s v="DaVita Dialysis"/>
    <s v="425 MB Lane "/>
    <s v="Chilton"/>
    <s v="WI"/>
    <n v="1.1"/>
    <n v="2014"/>
    <n v="7847"/>
    <n v="165925"/>
    <n v="21.14502357588887"/>
    <d v="2029-12-31T00:00:00"/>
    <n v="10.7972602739726"/>
    <s v="NN"/>
    <s v="2.5% annual"/>
    <s v="3, 5yr"/>
    <n v="2454100"/>
    <n v="312.7437237160698"/>
    <n v="0.06761134428099914"/>
    <x v="679"/>
    <x v="758"/>
    <s v="PH: Peranich &amp; Huffman"/>
    <x v="645"/>
    <s v="Individual"/>
    <m/>
    <m/>
    <n v="2655000"/>
    <n v="0.06249529190207156"/>
    <n v="0.924331450094162"/>
    <n v="2588000"/>
    <n v="0.06411321483771253"/>
    <n v="0.003498129443286618"/>
    <s v="Yes"/>
    <d v="2018-05-03T00:00:00"/>
    <n v="319"/>
  </r>
  <r>
    <s v="Fresenius Medical Care"/>
    <s v="8100 Johnson St"/>
    <s v="Pembroke Pines"/>
    <s v="FL"/>
    <n v="1.9"/>
    <n v="2018"/>
    <n v="8090"/>
    <n v="256129"/>
    <n v="31.65995055624228"/>
    <d v="2033-11-30T00:00:00"/>
    <n v="14.72328767123288"/>
    <s v="NN"/>
    <s v="1.7% annually"/>
    <s v="3, 5yr"/>
    <n v="4736700"/>
    <n v="585.5006180469716"/>
    <n v="0.05407329997677708"/>
    <x v="680"/>
    <x v="759"/>
    <s v="C&amp;W; Patel"/>
    <x v="646"/>
    <s v="Individual"/>
    <m/>
    <m/>
    <n v="5122580"/>
    <n v="0.05"/>
    <n v="0.9246707713691148"/>
    <n v="4787458"/>
    <n v="0.05349999937336265"/>
    <n v="0.0005733006034144353"/>
    <s v="Yes"/>
    <d v="2018-08-01T00:00:00"/>
    <n v="226"/>
  </r>
  <r>
    <s v="Fresenius Medical Care"/>
    <s v="3600 W Tangerine Rd"/>
    <s v="Marana"/>
    <s v="AZ"/>
    <n v="2.24"/>
    <n v="2018"/>
    <n v="14952"/>
    <m/>
    <s v=" "/>
    <m/>
    <s v=" "/>
    <m/>
    <m/>
    <m/>
    <n v="6725383"/>
    <n v="449.7982209737827"/>
    <s v=" "/>
    <x v="681"/>
    <x v="760"/>
    <m/>
    <x v="647"/>
    <s v="Individual"/>
    <m/>
    <m/>
    <m/>
    <s v=" "/>
    <s v=" "/>
    <m/>
    <s v=" "/>
    <s v=" "/>
    <s v=" "/>
    <m/>
    <s v=" "/>
  </r>
  <r>
    <s v="DaVita Dialysis"/>
    <s v="3303 Dewey Street"/>
    <s v="Manitowoc"/>
    <s v="WI"/>
    <m/>
    <n v="2017"/>
    <n v="7500"/>
    <n v="113391"/>
    <n v="15.1188"/>
    <d v="2027-11-30T00:00:00"/>
    <n v="8.72054794520548"/>
    <s v="NN"/>
    <s v="2.5% annually"/>
    <s v="3, 5yr"/>
    <n v="1780000"/>
    <n v="237.3333333333333"/>
    <n v="0.06370280898876404"/>
    <x v="681"/>
    <x v="761"/>
    <s v="PH: Peranich &amp; Huffman"/>
    <x v="648"/>
    <s v="Individual"/>
    <s v="M&amp;M; Joshigan"/>
    <m/>
    <n v="1800000"/>
    <n v="0.062995"/>
    <n v="0.9888888888888889"/>
    <n v="1800000"/>
    <n v="0.062995"/>
    <n v="0.0007078089887640471"/>
    <s v="No"/>
    <d v="2018-11-30T00:00:00"/>
    <n v="104"/>
  </r>
  <r>
    <s v="Fresenius Medical Care"/>
    <s v="14619 County Rd 565A"/>
    <s v="Groveland"/>
    <s v="FL"/>
    <n v="1.2"/>
    <n v="2017"/>
    <n v="7104"/>
    <n v="259579"/>
    <n v="36.53983671171171"/>
    <d v="2032-10-31T00:00:00"/>
    <n v="13.66027397260274"/>
    <s v="NN"/>
    <s v="1.7% annually; 10% at options"/>
    <s v="3, 5yr"/>
    <n v="4470000"/>
    <n v="629.222972972973"/>
    <n v="0.05807136465324385"/>
    <x v="682"/>
    <x v="740"/>
    <s v="Laurence Liebowitz"/>
    <x v="649"/>
    <s v="Individual"/>
    <m/>
    <m/>
    <n v="4719610"/>
    <n v="0.05500009534686129"/>
    <n v="0.9471121554535227"/>
    <n v="4719610"/>
    <n v="0.05500009534686129"/>
    <n v="0.00307126930638256"/>
    <s v="No"/>
    <d v="2018-09-05T00:00:00"/>
    <n v="184"/>
  </r>
  <r>
    <s v="Fresenius Medical Care"/>
    <s v="130 Parkwood Cir"/>
    <s v="Carrollton"/>
    <s v="GA"/>
    <n v="1.64"/>
    <n v="2018"/>
    <n v="6440"/>
    <n v="142345"/>
    <n v="22.10326086956522"/>
    <d v="2033-08-31T00:00:00"/>
    <n v="14.49315068493151"/>
    <s v="NN"/>
    <s v="10% every 5 years"/>
    <s v="3, 5yr"/>
    <n v="2333525"/>
    <n v="362.3486024844721"/>
    <n v="0.06099998928659432"/>
    <x v="682"/>
    <x v="762"/>
    <s v="M&amp;M; Molloy"/>
    <x v="0"/>
    <s v="Individual"/>
    <m/>
    <s v="Elmington Capital Group"/>
    <n v="2588090"/>
    <n v="0.05500001931926633"/>
    <n v="0.9016398193262213"/>
    <n v="2519381"/>
    <n v="0.05649998948154328"/>
    <n v="0.00449999980505103"/>
    <s v="Yes"/>
    <d v="2018-06-06T00:00:00"/>
    <n v="275"/>
  </r>
  <r>
    <s v="Fresenius Medical Care"/>
    <s v="150 Park Central Dr"/>
    <s v="Columbia"/>
    <s v="SC"/>
    <m/>
    <n v="2016"/>
    <n v="14362"/>
    <n v="413417.34"/>
    <n v="28.78549923408996"/>
    <d v="2031-06-01T00:00:00"/>
    <n v="12.24383561643836"/>
    <s v="NN"/>
    <s v="10% every 5 years"/>
    <s v="3, 5yr"/>
    <n v="6650000"/>
    <n v="463.0274335050829"/>
    <n v="0.06216802105263158"/>
    <x v="683"/>
    <x v="763"/>
    <s v="Romans; Orr"/>
    <x v="650"/>
    <s v="Individual"/>
    <m/>
    <s v="Columbia Nephrology Associates"/>
    <n v="6900000"/>
    <n v="0.05991555652173913"/>
    <n v="0.9637681159420289"/>
    <n v="6900000"/>
    <n v="0.05991555652173913"/>
    <n v="0.002252464530892451"/>
    <s v="No"/>
    <d v="2018-12-03T00:00:00"/>
    <n v="94"/>
  </r>
  <r>
    <s v="Fresenius Medical Care"/>
    <s v="377 Boxwood Ln"/>
    <s v="Pearisburg"/>
    <s v="VA"/>
    <n v="1.24"/>
    <n v="2013"/>
    <n v="6166"/>
    <n v="129060"/>
    <n v="20.93091144988647"/>
    <d v="2023-03-31T00:00:00"/>
    <n v="4.068493150684931"/>
    <s v="NN"/>
    <s v="2.5% annually"/>
    <s v="4, 5yr"/>
    <n v="1514000"/>
    <n v="245.5400583846902"/>
    <n v="0.08524438573315719"/>
    <x v="683"/>
    <x v="13"/>
    <s v="Ashish Vakhariya"/>
    <x v="0"/>
    <s v="Individual"/>
    <m/>
    <m/>
    <n v="1665290"/>
    <n v="0.07750001501240024"/>
    <n v="0.9091509586918795"/>
    <n v="1665290"/>
    <n v="0.07750001501240024"/>
    <n v="0.007744370720756955"/>
    <s v="No"/>
    <d v="2018-09-24T00:00:00"/>
    <n v="164"/>
  </r>
  <r>
    <s v="DaVita Dialysis"/>
    <s v="2540 Flat Shoals Rd"/>
    <s v="Atlanta"/>
    <s v="GA"/>
    <n v="1.22"/>
    <n v="2007"/>
    <n v="6800"/>
    <n v="128207"/>
    <n v="18.8539705882353"/>
    <d v="2028-12-23T00:00:00"/>
    <n v="9.810958904109588"/>
    <s v="NN"/>
    <s v="10% every 5 years"/>
    <s v="2, 5yr"/>
    <n v="1883450"/>
    <n v="276.9779411764706"/>
    <n v="0.06807029653030343"/>
    <x v="684"/>
    <x v="764"/>
    <s v="Matthews; Moreno"/>
    <x v="193"/>
    <s v="Fund"/>
    <m/>
    <m/>
    <n v="2084671"/>
    <n v="0.06149987216208217"/>
    <n v="0.9034758961965701"/>
    <n v="2084671"/>
    <n v="0.06149987216208217"/>
    <n v="0.006570424368221257"/>
    <s v="No"/>
    <d v="2018-09-04T00:00:00"/>
    <n v="182"/>
  </r>
  <r>
    <s v="DaVita Dialysis"/>
    <s v="4182 Oceanside Blvd"/>
    <s v="Oceanside "/>
    <s v="CA"/>
    <n v="0.52"/>
    <n v="2017"/>
    <n v="10655"/>
    <m/>
    <s v=" "/>
    <m/>
    <s v=" "/>
    <m/>
    <m/>
    <m/>
    <n v="5000000"/>
    <n v="469.2632566870014"/>
    <s v=" "/>
    <x v="685"/>
    <x v="13"/>
    <m/>
    <x v="651"/>
    <s v="Individual"/>
    <m/>
    <m/>
    <m/>
    <s v=" "/>
    <s v=" "/>
    <m/>
    <s v=" "/>
    <s v=" "/>
    <s v=" "/>
    <m/>
    <s v=" "/>
  </r>
  <r>
    <s v="Fresenius Medical Care"/>
    <s v="2840 Index Rd"/>
    <s v="Fitchburg"/>
    <s v="WI"/>
    <n v="5.785996"/>
    <n v="1980"/>
    <n v="28000"/>
    <n v="367559"/>
    <n v="13.12710714285714"/>
    <d v="2025-06-30T00:00:00"/>
    <n v="6.336986301369863"/>
    <s v="NN"/>
    <s v="3% annually"/>
    <s v="2, 5yr"/>
    <n v="5125000"/>
    <n v="183.0357142857143"/>
    <n v="0.07171882926829268"/>
    <x v="686"/>
    <x v="765"/>
    <s v="Lee &amp; Assoc; Barr"/>
    <x v="0"/>
    <s v="Individual"/>
    <m/>
    <m/>
    <n v="5230000"/>
    <n v="0.07027896749521989"/>
    <n v="0.9799235181644359"/>
    <n v="5250000"/>
    <n v="0.0700112380952381"/>
    <n v="0.001707591173054579"/>
    <s v="Yes"/>
    <d v="2018-12-19T00:00:00"/>
    <n v="72"/>
  </r>
  <r>
    <s v="U.S. Renal Care"/>
    <s v="16 Powderhorn Rd"/>
    <s v="Simpsonville"/>
    <s v="SC"/>
    <n v="1.79"/>
    <n v="2011"/>
    <n v="9343"/>
    <n v="129850"/>
    <n v="13.89810553355453"/>
    <m/>
    <s v=" "/>
    <s v="NN"/>
    <s v="2% annually in options"/>
    <s v="2, 5yr"/>
    <n v="1559750"/>
    <n v="166.943166006636"/>
    <n v="0.08325052091681359"/>
    <x v="686"/>
    <x v="13"/>
    <m/>
    <x v="0"/>
    <s v="Individual"/>
    <m/>
    <m/>
    <n v="1750000"/>
    <n v="0.0742"/>
    <n v="0.8912857142857142"/>
    <n v="1750000"/>
    <n v="0.0742"/>
    <n v="0.00905052091681359"/>
    <s v="No"/>
    <d v="2018-08-17T00:00:00"/>
    <n v="196"/>
  </r>
  <r>
    <s v="Fresenius Medical Care"/>
    <s v="1116 E Westview Ct"/>
    <s v="Spokane"/>
    <s v="WA"/>
    <n v="2.036042"/>
    <n v="1997"/>
    <n v="18330"/>
    <n v="369532.8"/>
    <n v="20.16"/>
    <d v="2038-09-30T00:00:00"/>
    <n v="19.6027397260274"/>
    <m/>
    <s v="3% annually"/>
    <m/>
    <n v="3075000"/>
    <n v="167.7577741407529"/>
    <n v="0.1201732682926829"/>
    <x v="687"/>
    <x v="766"/>
    <m/>
    <x v="652"/>
    <s v="Individual"/>
    <m/>
    <m/>
    <m/>
    <s v=" "/>
    <s v=" "/>
    <m/>
    <s v=" "/>
    <s v=" "/>
    <s v=" "/>
    <m/>
    <s v=" "/>
  </r>
  <r>
    <s v="DaVita Dialysis"/>
    <s v="777 Vista Blvd"/>
    <s v="Sparks"/>
    <s v="NV"/>
    <n v="1.25"/>
    <n v="2019"/>
    <n v="10429"/>
    <n v="325400"/>
    <n v="31.20145747435037"/>
    <m/>
    <s v=" "/>
    <m/>
    <m/>
    <m/>
    <n v="6508000"/>
    <n v="624.0291494870074"/>
    <n v="0.05"/>
    <x v="688"/>
    <x v="767"/>
    <m/>
    <x v="653"/>
    <s v="Individual"/>
    <m/>
    <m/>
    <m/>
    <s v=" "/>
    <s v=" "/>
    <m/>
    <s v=" "/>
    <s v=" "/>
    <s v=" "/>
    <m/>
    <s v=" "/>
  </r>
  <r>
    <s v="Fresenius Medical Care"/>
    <s v="320 Gideon Creek Way"/>
    <s v="Raleigh"/>
    <s v="NC"/>
    <n v="1.39"/>
    <n v="2004"/>
    <n v="8563"/>
    <n v="173106"/>
    <n v="20.21557865234147"/>
    <d v="2026-06-30T00:00:00"/>
    <n v="7.397260273972603"/>
    <s v="NN"/>
    <s v="-"/>
    <s v="3, 5yr"/>
    <n v="2545000"/>
    <n v="297.2089221067383"/>
    <n v="0.0680180746561886"/>
    <x v="689"/>
    <x v="685"/>
    <m/>
    <x v="654"/>
    <s v="Individual"/>
    <m/>
    <m/>
    <n v="2660000"/>
    <n v="0.06507744360902255"/>
    <n v="0.956766917293233"/>
    <n v="2660000"/>
    <n v="0.06507744360902255"/>
    <n v="0.002940631047166048"/>
    <s v="No"/>
    <d v="2018-07-06T00:00:00"/>
    <n v="216"/>
  </r>
  <r>
    <s v="DaVita Dialysis"/>
    <s v="2485 Park Central Blvd"/>
    <s v="Decatur"/>
    <s v="GA"/>
    <n v="2.7"/>
    <n v="1976"/>
    <n v="19500"/>
    <n v="311737"/>
    <n v="15.98651282051282"/>
    <m/>
    <s v=" "/>
    <m/>
    <m/>
    <m/>
    <n v="3825000"/>
    <n v="196.1538461538462"/>
    <n v="0.08149986928104574"/>
    <x v="690"/>
    <x v="768"/>
    <s v="M&amp;M; Prefontaine"/>
    <x v="655"/>
    <s v="Individual"/>
    <m/>
    <m/>
    <m/>
    <s v=" "/>
    <s v=" "/>
    <m/>
    <s v=" "/>
    <s v=" "/>
    <s v=" "/>
    <m/>
    <s v=" "/>
  </r>
  <r>
    <s v="Fresenius Medical Care"/>
    <s v="23335 SE Stark St"/>
    <s v="Gresham"/>
    <s v="OR"/>
    <n v="1.35"/>
    <n v="2014"/>
    <n v="11000"/>
    <n v="363504"/>
    <n v="33.04581818181818"/>
    <d v="2029-03-07T00:00:00"/>
    <n v="10.09315068493151"/>
    <s v="NN"/>
    <s v="1.7% annually"/>
    <s v="3, 5yr"/>
    <n v="6610000"/>
    <n v="600.9090909090909"/>
    <n v="0.05499304084720121"/>
    <x v="691"/>
    <x v="55"/>
    <s v="Kase; Abusharkh"/>
    <x v="0"/>
    <s v="Individual"/>
    <m/>
    <m/>
    <n v="6610000"/>
    <n v="0.05499304084720121"/>
    <n v="1"/>
    <n v="6610000"/>
    <n v="0.05499304084720121"/>
    <n v="0"/>
    <s v="No"/>
    <d v="2018-09-25T00:00:00"/>
    <n v="132"/>
  </r>
  <r>
    <s v="DaVita Dialysis"/>
    <s v="1006 East Interstate 2"/>
    <s v="Donna"/>
    <s v="TX"/>
    <n v="1.19"/>
    <n v="2017"/>
    <n v="10050"/>
    <n v="223818"/>
    <n v="22.27044776119403"/>
    <d v="2032-12-31T00:00:00"/>
    <n v="13.92328767123288"/>
    <s v="NN"/>
    <s v="10% every 5"/>
    <s v="2, 5 yr"/>
    <n v="3639317"/>
    <n v="362.1210945273632"/>
    <n v="0.06150000123649575"/>
    <x v="692"/>
    <x v="66"/>
    <s v="SJC; Briggs"/>
    <x v="656"/>
    <s v="Individual"/>
    <m/>
    <m/>
    <n v="4069418.181818182"/>
    <n v="0.055"/>
    <n v="0.8943089251087938"/>
    <n v="3825948.717948718"/>
    <n v="0.0585"/>
    <n v="0.003000001236495749"/>
    <s v="Yes"/>
    <d v="2017-06-26T00:00:00"/>
    <n v="585"/>
  </r>
  <r>
    <s v="Fresenius Medical Care"/>
    <s v="2800 Skelly Drive"/>
    <s v="Tulsa"/>
    <s v="OK"/>
    <n v="1.61"/>
    <n v="2017"/>
    <n v="13212"/>
    <n v="363484.48"/>
    <n v="27.51169240084771"/>
    <d v="2032-12-31T00:00:00"/>
    <n v="13.92328767123288"/>
    <s v="NN"/>
    <s v="10% every 5 years"/>
    <s v="3, 5yr"/>
    <n v="6300000"/>
    <n v="476.8392370572207"/>
    <n v="0.0576959492063492"/>
    <x v="692"/>
    <x v="13"/>
    <s v="C&amp;W; Patel"/>
    <x v="0"/>
    <s v="Individual"/>
    <m/>
    <m/>
    <n v="6608809"/>
    <n v="0.05499999773030208"/>
    <n v="0.9532731237958307"/>
    <n v="6608809"/>
    <n v="0.05499999773030208"/>
    <n v="0.00269595147604712"/>
    <s v="No"/>
    <d v="2018-10-02T00:00:00"/>
    <n v="122"/>
  </r>
  <r>
    <s v="Fresenius Medical Care"/>
    <s v="586 Rice St"/>
    <s v="Saint Paul"/>
    <s v="MN"/>
    <n v="0.55"/>
    <n v="2019"/>
    <n v="8750"/>
    <m/>
    <s v=" "/>
    <m/>
    <s v=" "/>
    <s v="NNN"/>
    <m/>
    <m/>
    <n v="4400000"/>
    <n v="502.8571428571428"/>
    <s v=" "/>
    <x v="692"/>
    <x v="13"/>
    <m/>
    <x v="0"/>
    <s v="Individual"/>
    <m/>
    <m/>
    <m/>
    <s v=" "/>
    <s v=" "/>
    <m/>
    <s v=" "/>
    <s v=" "/>
    <s v=" "/>
    <m/>
    <s v=" "/>
  </r>
  <r>
    <s v="Fresenius Medical Care"/>
    <s v="140 Highland Center Dr"/>
    <s v="Pontiac"/>
    <s v="SC"/>
    <n v="1.55"/>
    <n v="2014"/>
    <n v="9834"/>
    <m/>
    <s v=" "/>
    <m/>
    <s v=" "/>
    <m/>
    <m/>
    <m/>
    <n v="4235617"/>
    <n v="430.7115110839943"/>
    <s v=" "/>
    <x v="693"/>
    <x v="769"/>
    <s v="C&amp;W; "/>
    <x v="657"/>
    <s v="Individual"/>
    <m/>
    <m/>
    <m/>
    <s v=" "/>
    <s v=" "/>
    <m/>
    <s v=" "/>
    <s v=" "/>
    <s v=" "/>
    <m/>
    <s v=" "/>
  </r>
  <r>
    <s v="Fresenius Medical Care"/>
    <s v="7640 Wolf River Cir"/>
    <s v="Germantown"/>
    <s v="TN"/>
    <n v="0.9399999999999999"/>
    <n v="2002"/>
    <n v="7194"/>
    <n v="395890"/>
    <n v="55.03058103975535"/>
    <d v="2037-12-31T00:00:00"/>
    <n v="18.92876712328767"/>
    <s v="Absolute NNN"/>
    <s v="CPI annually"/>
    <s v="3, 5yr"/>
    <n v="7341960"/>
    <n v="1020.567139282736"/>
    <n v="0.05392156862745098"/>
    <x v="693"/>
    <x v="13"/>
    <m/>
    <x v="0"/>
    <s v="Individual"/>
    <m/>
    <m/>
    <n v="7540762"/>
    <n v="0.05249999933693704"/>
    <n v="0.9736363513395596"/>
    <n v="7341960"/>
    <n v="0.05392156862745098"/>
    <n v="0"/>
    <s v="Yes"/>
    <d v="2018-04-26T00:00:00"/>
    <n v="280"/>
  </r>
  <r>
    <s v="DaVita Dialysis"/>
    <s v="1237 E Main St"/>
    <s v="Alhambra"/>
    <s v="CA"/>
    <n v="1.2"/>
    <n v="2018"/>
    <n v="14125"/>
    <n v="791011"/>
    <n v="56.00077876106194"/>
    <d v="2033-05-30T00:00:00"/>
    <n v="14.33972602739726"/>
    <s v="NN"/>
    <s v="10% every 5"/>
    <s v="2, 5yr"/>
    <n v="15000000"/>
    <n v="1061.946902654867"/>
    <n v="0.05273406666666667"/>
    <x v="694"/>
    <x v="5"/>
    <s v="PWC; Maffia"/>
    <x v="658"/>
    <s v="Individual"/>
    <s v="Grady Liu"/>
    <s v="Market Street Development"/>
    <n v="15359000"/>
    <n v="0.05150146493912364"/>
    <n v="0.9766260824272414"/>
    <n v="15359000"/>
    <n v="0.05150146493912364"/>
    <n v="0.001232601727543026"/>
    <s v="No"/>
    <d v="2018-09-13T00:00:00"/>
    <n v="139"/>
  </r>
  <r>
    <s v="Fresenius Medical Care"/>
    <s v="140 Highland Center Dr"/>
    <s v="Columbia"/>
    <s v="SC"/>
    <n v="1.52"/>
    <n v="2014"/>
    <n v="9710"/>
    <n v="243548"/>
    <n v="25.0821833161689"/>
    <d v="2029-11-30T00:00:00"/>
    <n v="10.84383561643836"/>
    <s v="Net"/>
    <s v="2% annually"/>
    <s v="3, 5yr"/>
    <n v="4235617"/>
    <n v="436.2118434603502"/>
    <n v="0.05750000531209502"/>
    <x v="695"/>
    <x v="770"/>
    <s v="C&amp;W; Aicale"/>
    <x v="0"/>
    <s v="Individual"/>
    <m/>
    <m/>
    <n v="4428000"/>
    <n v="0.05500180668473351"/>
    <n v="0.956553071364047"/>
    <n v="4428000"/>
    <n v="0.05500180668473351"/>
    <n v="0.00249819862736151"/>
    <s v="No"/>
    <d v="2018-05-16T00:00:00"/>
    <n v="258"/>
  </r>
  <r>
    <s v="DaVita Dialysis"/>
    <s v="2710 Allen Road"/>
    <s v="Tallahassee"/>
    <s v="FL"/>
    <n v="1.29"/>
    <n v="2018"/>
    <n v="7045"/>
    <n v="157358.5"/>
    <n v="22.3361958836054"/>
    <d v="2033-09-30T00:00:00"/>
    <n v="14.68219178082192"/>
    <s v="NNN"/>
    <s v="10% every 5 years"/>
    <m/>
    <n v="2815000"/>
    <n v="399.5741660752307"/>
    <n v="0.0559"/>
    <x v="696"/>
    <x v="771"/>
    <s v="M&amp;M; Sambazis"/>
    <x v="371"/>
    <s v="Individual"/>
    <m/>
    <m/>
    <m/>
    <s v=" "/>
    <s v=" "/>
    <m/>
    <s v=" "/>
    <s v=" "/>
    <s v=" "/>
    <d v="2018-09-07T00:00:00"/>
    <n v="143"/>
  </r>
  <r>
    <s v="Fresenius Medical Care"/>
    <s v="20 Wesco Dr"/>
    <s v="Export"/>
    <s v="PA"/>
    <n v="3.2"/>
    <n v="2006"/>
    <n v="7400"/>
    <n v="107596"/>
    <n v="14.54"/>
    <d v="2030-05-31T00:00:00"/>
    <n v="11.35342465753425"/>
    <s v="NN"/>
    <s v="2% annually"/>
    <s v="2, 5yr"/>
    <n v="1655000"/>
    <n v="223.6486486486486"/>
    <n v="0.06501268882175226"/>
    <x v="697"/>
    <x v="772"/>
    <m/>
    <x v="659"/>
    <s v="Individual"/>
    <m/>
    <m/>
    <n v="1681000"/>
    <n v="0.06400713860797144"/>
    <n v="0.9845330160618679"/>
    <n v="1700000"/>
    <n v="0.06329176470588235"/>
    <n v="0.00172092411586991"/>
    <s v="Yes"/>
    <d v="2018-06-12T00:00:00"/>
    <n v="227"/>
  </r>
  <r>
    <s v="DaVita Dialysis"/>
    <s v="1529 N Broad St"/>
    <s v="Hillside"/>
    <s v="NJ"/>
    <n v="1.01"/>
    <n v="1965"/>
    <n v="7650"/>
    <m/>
    <s v=" "/>
    <m/>
    <s v=" "/>
    <m/>
    <m/>
    <m/>
    <n v="1306774"/>
    <n v="170.8201307189543"/>
    <s v=" "/>
    <x v="698"/>
    <x v="312"/>
    <s v="PH: Peranich &amp; Huffman"/>
    <x v="188"/>
    <s v="Fund"/>
    <s v="KPI Brokers"/>
    <m/>
    <m/>
    <s v=" "/>
    <s v=" "/>
    <m/>
    <s v=" "/>
    <s v=" "/>
    <s v=" "/>
    <m/>
    <s v=" "/>
  </r>
  <r>
    <s v="DaVita Dialysis"/>
    <s v="574 Frelinghuysen Ave"/>
    <s v="Newark"/>
    <s v="NJ"/>
    <n v="0.7464"/>
    <m/>
    <n v="8600"/>
    <m/>
    <s v=" "/>
    <m/>
    <s v=" "/>
    <m/>
    <m/>
    <m/>
    <n v="2587925"/>
    <n v="300.921511627907"/>
    <s v=" "/>
    <x v="698"/>
    <x v="312"/>
    <s v="PH: Peranich &amp; Huffman"/>
    <x v="188"/>
    <s v="Fund"/>
    <s v="KPI Brokers"/>
    <m/>
    <m/>
    <s v=" "/>
    <s v=" "/>
    <m/>
    <s v=" "/>
    <s v=" "/>
    <s v=" "/>
    <m/>
    <s v=" "/>
  </r>
  <r>
    <s v="DaVita Dialysis"/>
    <s v="432 Oak Street"/>
    <s v="Berlin"/>
    <s v="WI"/>
    <n v="1"/>
    <n v="2015"/>
    <n v="6858"/>
    <n v="164067"/>
    <n v="23.92344706911636"/>
    <d v="2030-09-30T00:00:00"/>
    <n v="11.71780821917808"/>
    <s v="NN"/>
    <s v="2.5% annually"/>
    <s v="3, 5yr"/>
    <n v="2437000"/>
    <n v="355.3514144065325"/>
    <n v="0.0673233483791547"/>
    <x v="698"/>
    <x v="758"/>
    <s v="PH: Peranich &amp; Huffman"/>
    <x v="645"/>
    <s v="Individual"/>
    <m/>
    <m/>
    <n v="2690000"/>
    <n v="0.06099144981412639"/>
    <n v="0.9059479553903346"/>
    <n v="2625000"/>
    <n v="0.06250171428571429"/>
    <n v="0.004821634093440413"/>
    <s v="Yes"/>
    <d v="2018-04-12T00:00:00"/>
    <n v="277"/>
  </r>
  <r>
    <s v="Fresenius Medical Care"/>
    <s v="2206 Barnes St"/>
    <s v="Reidsville"/>
    <s v="NC"/>
    <n v="2.33"/>
    <n v="2004"/>
    <n v="8400"/>
    <n v="117592.2972"/>
    <n v="13.999083"/>
    <d v="2024-05-31T00:00:00"/>
    <n v="5.389041095890411"/>
    <s v="NN"/>
    <s v="FMV"/>
    <s v="2, 5yr"/>
    <n v="1323000"/>
    <n v="157.5"/>
    <n v="0.08888306666666668"/>
    <x v="699"/>
    <x v="773"/>
    <s v="Matthews; Hoover"/>
    <x v="423"/>
    <s v="Individual"/>
    <m/>
    <m/>
    <m/>
    <s v=" "/>
    <s v=" "/>
    <m/>
    <s v=" "/>
    <s v=" "/>
    <s v=" "/>
    <m/>
    <s v=" "/>
  </r>
  <r>
    <s v="Fresenius Medical Care"/>
    <s v="2583 Gulf Breeze Pkwy"/>
    <s v="Gulf Breeze"/>
    <s v="FL"/>
    <n v="1.454982"/>
    <n v="1983"/>
    <n v="7127"/>
    <m/>
    <s v=" "/>
    <m/>
    <s v=" "/>
    <m/>
    <m/>
    <m/>
    <n v="2803571"/>
    <n v="393.3732285674197"/>
    <s v=" "/>
    <x v="700"/>
    <x v="774"/>
    <m/>
    <x v="229"/>
    <s v="REIT"/>
    <m/>
    <m/>
    <m/>
    <s v=" "/>
    <s v=" "/>
    <m/>
    <s v=" "/>
    <s v=" "/>
    <s v=" "/>
    <m/>
    <s v=" "/>
  </r>
  <r>
    <s v="Fresenius Medical Care"/>
    <s v="4810 W Illinois Ave"/>
    <s v="Dallas"/>
    <s v="TX"/>
    <n v="0.99"/>
    <n v="2008"/>
    <n v="7272"/>
    <m/>
    <s v=" "/>
    <m/>
    <s v=" "/>
    <m/>
    <m/>
    <m/>
    <m/>
    <s v=" "/>
    <s v=" "/>
    <x v="701"/>
    <x v="775"/>
    <m/>
    <x v="660"/>
    <s v="Individual"/>
    <m/>
    <m/>
    <m/>
    <s v=" "/>
    <s v=" "/>
    <m/>
    <s v=" "/>
    <s v=" "/>
    <s v=" "/>
    <m/>
    <s v=" "/>
  </r>
  <r>
    <s v="DaVita Dialysis"/>
    <s v="2000 S Llewellyn Ave"/>
    <s v="Dallas"/>
    <s v="TX"/>
    <n v="1.07"/>
    <n v="2004"/>
    <n v="6000"/>
    <n v="158370"/>
    <n v="26.395"/>
    <d v="2029-01-31T00:00:00"/>
    <n v="10.07123287671233"/>
    <s v="Absolute NNN"/>
    <s v="2% annually"/>
    <s v="3, 5yr"/>
    <m/>
    <s v=" "/>
    <s v=" "/>
    <x v="702"/>
    <x v="776"/>
    <s v="PH: Peranich &amp; Huffman"/>
    <x v="661"/>
    <s v="Fund"/>
    <m/>
    <m/>
    <n v="2596000"/>
    <n v="0.06100539291217257"/>
    <s v=" "/>
    <n v="2596000"/>
    <n v="0.06100539291217257"/>
    <s v=" "/>
    <s v="No"/>
    <d v="2018-09-17T00:00:00"/>
    <n v="113"/>
  </r>
  <r>
    <s v="Fresenius Medical Care"/>
    <s v="168 Sargeant Stanley Hoffman Blvd"/>
    <s v="Lehighton"/>
    <s v="PA"/>
    <n v="0.53"/>
    <n v="1925"/>
    <n v="7641"/>
    <n v="59581.49999999999"/>
    <n v="7.797605025520219"/>
    <d v="2024-04-30T00:00:00"/>
    <n v="5.323287671232877"/>
    <m/>
    <m/>
    <m/>
    <n v="785000"/>
    <n v="102.7352440780003"/>
    <n v="0.0759"/>
    <x v="703"/>
    <x v="777"/>
    <s v="Matthews; Hoover"/>
    <x v="662"/>
    <s v="Individual"/>
    <m/>
    <m/>
    <m/>
    <s v=" "/>
    <s v=" "/>
    <m/>
    <s v=" "/>
    <s v=" "/>
    <s v=" "/>
    <m/>
    <s v=" "/>
  </r>
  <r>
    <s v="Dallas Nephrology Associates"/>
    <s v="1420 Viceroy Dr"/>
    <s v="Dallas"/>
    <s v="TX"/>
    <n v="3.01"/>
    <n v="1971"/>
    <n v="40561"/>
    <n v="518976.01"/>
    <n v="12.79495106136437"/>
    <d v="2023-08-31T00:00:00"/>
    <n v="4.66027397260274"/>
    <s v="NN"/>
    <s v="Annually"/>
    <s v="1, 5 yr"/>
    <n v="6000000"/>
    <n v="147.9253470082099"/>
    <n v="0.08649600166666667"/>
    <x v="704"/>
    <x v="192"/>
    <s v="PG; Lesley"/>
    <x v="663"/>
    <s v="Individual"/>
    <s v="Bob Langford"/>
    <m/>
    <n v="7000000"/>
    <n v="0.07413943000000001"/>
    <n v="0.8571428571428571"/>
    <n v="6200000"/>
    <n v="0.08370580806451614"/>
    <n v="0.002790193602150534"/>
    <s v="Yes"/>
    <d v="2018-05-15T00:00:00"/>
    <n v="233"/>
  </r>
  <r>
    <s v="DaVita Dialysis"/>
    <s v="2985 Landover Blvd"/>
    <s v="Spring Hill"/>
    <s v="FL"/>
    <n v="2.69"/>
    <n v="2001"/>
    <n v="10200"/>
    <n v="256147"/>
    <n v="25.11245098039216"/>
    <d v="2028-09-30T00:00:00"/>
    <n v="9.75068493150685"/>
    <s v="NN"/>
    <s v="2.5% annually"/>
    <s v="3, 5yr"/>
    <n v="4175000"/>
    <n v="409.3137254901961"/>
    <n v="0.0613525748502994"/>
    <x v="705"/>
    <x v="13"/>
    <s v="SIG"/>
    <x v="0"/>
    <s v="Individual"/>
    <m/>
    <m/>
    <n v="4269000"/>
    <n v="0.0600016397282736"/>
    <n v="0.9779807917545092"/>
    <n v="4269000"/>
    <n v="0.0600016397282736"/>
    <n v="0.001350935122025797"/>
    <s v="No"/>
    <d v="2018-06-22T00:00:00"/>
    <n v="194"/>
  </r>
  <r>
    <s v="Fresenius Medical Care"/>
    <s v="1070 Buford Hwy"/>
    <s v="Cumming "/>
    <s v="GA"/>
    <n v="0.79"/>
    <n v="2005"/>
    <n v="6200"/>
    <m/>
    <s v=" "/>
    <m/>
    <s v=" "/>
    <m/>
    <m/>
    <m/>
    <n v="1352727"/>
    <n v="218.1817741935484"/>
    <s v=" "/>
    <x v="706"/>
    <x v="778"/>
    <m/>
    <x v="229"/>
    <s v="REIT"/>
    <m/>
    <m/>
    <m/>
    <s v=" "/>
    <s v=" "/>
    <m/>
    <s v=" "/>
    <s v=" "/>
    <s v=" "/>
    <m/>
    <s v=" "/>
  </r>
  <r>
    <s v="Fresenius Medical Care"/>
    <s v="908 S Mechanics St"/>
    <s v="Pendleton"/>
    <s v="SC"/>
    <n v="0.92"/>
    <n v="2006"/>
    <n v="6384"/>
    <m/>
    <s v=" "/>
    <m/>
    <s v=" "/>
    <m/>
    <m/>
    <m/>
    <n v="1477803"/>
    <n v="231.4854323308271"/>
    <s v=" "/>
    <x v="706"/>
    <x v="779"/>
    <m/>
    <x v="229"/>
    <s v="REIT"/>
    <m/>
    <m/>
    <m/>
    <s v=" "/>
    <s v=" "/>
    <m/>
    <s v=" "/>
    <s v=" "/>
    <s v=" "/>
    <m/>
    <s v=" "/>
  </r>
  <r>
    <s v="DaVita Dialysis"/>
    <s v="582 Pole Line Rd"/>
    <s v="Twin Falls"/>
    <s v="ID"/>
    <n v="1.23"/>
    <n v="2014"/>
    <n v="9594"/>
    <n v="228150"/>
    <n v="23.78048780487805"/>
    <d v="2029-08-31T00:00:00"/>
    <n v="10.67945205479452"/>
    <s v="NN"/>
    <s v="10% every 5"/>
    <s v="3, 5yr"/>
    <n v="3510000"/>
    <n v="365.8536585365854"/>
    <n v="0.065"/>
    <x v="707"/>
    <x v="192"/>
    <m/>
    <x v="267"/>
    <s v="Fund"/>
    <s v="PG; Lesley"/>
    <m/>
    <m/>
    <s v=" "/>
    <s v=" "/>
    <m/>
    <s v=" "/>
    <s v=" "/>
    <s v=" "/>
    <m/>
    <s v=" "/>
  </r>
  <r>
    <s v="Fresenius Medical Care"/>
    <s v="1715 Gagel Ave"/>
    <s v="Louisville"/>
    <s v="KY"/>
    <n v="1.25"/>
    <n v="2018"/>
    <n v="5212"/>
    <n v="170389.6831089139"/>
    <n v="32.6918041268062"/>
    <d v="2033-01-19T00:00:00"/>
    <n v="14.06849315068493"/>
    <s v="NN"/>
    <s v="1.7% annually"/>
    <s v="3, 5 yr"/>
    <n v="2794935"/>
    <n v="536.25"/>
    <n v="0.06096373729940549"/>
    <x v="707"/>
    <x v="192"/>
    <m/>
    <x v="305"/>
    <s v="Fund"/>
    <s v="PG; Lesley"/>
    <s v="PCI | HealthDev"/>
    <m/>
    <s v=" "/>
    <s v=" "/>
    <m/>
    <s v=" "/>
    <s v=" "/>
    <s v=" "/>
    <m/>
    <s v=" "/>
  </r>
  <r>
    <s v="Fresenius Medical Care"/>
    <s v="10112 Dyer St"/>
    <s v="El Paso"/>
    <s v="TX"/>
    <m/>
    <n v="2018"/>
    <n v="8000"/>
    <n v="203382"/>
    <n v="25.42275"/>
    <m/>
    <s v=" "/>
    <m/>
    <m/>
    <m/>
    <n v="3334139"/>
    <n v="416.767375"/>
    <n v="0.0609998563347239"/>
    <x v="707"/>
    <x v="192"/>
    <m/>
    <x v="305"/>
    <s v="Fund"/>
    <m/>
    <m/>
    <m/>
    <s v=" "/>
    <s v=" "/>
    <m/>
    <s v=" "/>
    <s v=" "/>
    <s v=" "/>
    <m/>
    <s v=" "/>
  </r>
  <r>
    <s v="DaVita Dialysis"/>
    <s v="31470 Ecorse Rd"/>
    <s v="Romulus"/>
    <s v="MI"/>
    <n v="0.97"/>
    <n v="1998"/>
    <n v="7000"/>
    <n v="154000"/>
    <n v="22"/>
    <d v="2031-05-30T00:00:00"/>
    <n v="12.43013698630137"/>
    <s v="NN"/>
    <s v="Yes"/>
    <s v="2, 5yr"/>
    <n v="2400000"/>
    <n v="342.8571428571428"/>
    <n v="0.06416666666666666"/>
    <x v="708"/>
    <x v="780"/>
    <s v="M&amp;M; Preetswahal"/>
    <x v="664"/>
    <s v="Individual"/>
    <m/>
    <m/>
    <n v="2933000"/>
    <n v="0.05250596658711217"/>
    <n v="0.8182748039549949"/>
    <n v="2566666"/>
    <n v="0.06000001558441963"/>
    <n v="0.004166651082247029"/>
    <s v="Yes"/>
    <d v="2018-05-11T00:00:00"/>
    <n v="230"/>
  </r>
  <r>
    <s v="DaVita Dialysis"/>
    <s v="1903 W Main St"/>
    <s v="Artesia"/>
    <s v="NM"/>
    <n v="0.75"/>
    <n v="2017"/>
    <n v="6700"/>
    <n v="173751"/>
    <n v="25.93298507462687"/>
    <d v="2032-07-25T00:00:00"/>
    <n v="13.6027397260274"/>
    <s v="NN"/>
    <s v="10% every 5 years"/>
    <s v="2, 5yr"/>
    <n v="2802435.483870968"/>
    <n v="418.2739528165624"/>
    <n v="0.062"/>
    <x v="709"/>
    <x v="66"/>
    <s v="M&amp;M; Cook"/>
    <x v="665"/>
    <s v="Individual"/>
    <m/>
    <m/>
    <n v="2951500"/>
    <n v="0.05886871082500424"/>
    <n v="0.9494953358871651"/>
    <n v="2970100"/>
    <n v="0.05850005050335005"/>
    <n v="0.003499949496649946"/>
    <s v="Yes"/>
    <d v="2017-08-20T00:00:00"/>
    <n v="488"/>
  </r>
  <r>
    <s v="Fresenius Medical Care"/>
    <s v="8340 Coffee St"/>
    <s v="Houston"/>
    <s v="TX"/>
    <n v="2.12"/>
    <n v="2006"/>
    <n v="10500"/>
    <n v="131250"/>
    <n v="12.5"/>
    <d v="2024-01-26T00:00:00"/>
    <n v="5.101369863013699"/>
    <s v="NN"/>
    <m/>
    <m/>
    <n v="1750000"/>
    <n v="166.6666666666667"/>
    <n v="0.075"/>
    <x v="709"/>
    <x v="469"/>
    <s v="CBRE; Pike"/>
    <x v="272"/>
    <s v="User"/>
    <m/>
    <m/>
    <n v="1737889"/>
    <n v="0.07552265996274792"/>
    <n v="1.006968799503305"/>
    <n v="1750000"/>
    <n v="0.075"/>
    <n v="0"/>
    <s v="Yes"/>
    <d v="2018-04-05T00:00:00"/>
    <n v="260"/>
  </r>
  <r>
    <s v="Fresenius Medical Care"/>
    <s v="1080 W Norton Ave "/>
    <s v="Muskegon "/>
    <s v="MI"/>
    <n v="0.9"/>
    <n v="1998"/>
    <n v="6647"/>
    <m/>
    <m/>
    <m/>
    <m/>
    <m/>
    <m/>
    <m/>
    <m/>
    <s v=" "/>
    <s v=" "/>
    <x v="709"/>
    <x v="781"/>
    <m/>
    <x v="272"/>
    <s v="User"/>
    <m/>
    <m/>
    <m/>
    <s v=" "/>
    <s v=" "/>
    <m/>
    <s v=" "/>
    <s v=" "/>
    <s v=" "/>
    <m/>
    <s v=" "/>
  </r>
  <r>
    <s v="Fresenius Medical Care"/>
    <s v="17315 Zane Street NW"/>
    <s v="Elk River"/>
    <s v="MN"/>
    <n v="1.43"/>
    <n v="2014"/>
    <n v="7000"/>
    <n v="131386"/>
    <n v="18.76942857142857"/>
    <d v="2025-04-30T00:00:00"/>
    <n v="6.361643835616438"/>
    <s v="NN"/>
    <s v="2% annually"/>
    <s v="3, 5yr"/>
    <n v="1800000"/>
    <n v="257.1428571428572"/>
    <n v="0.07299222222222222"/>
    <x v="709"/>
    <x v="782"/>
    <s v="JLL; Kanich"/>
    <x v="666"/>
    <s v="Individual"/>
    <m/>
    <m/>
    <n v="1876943"/>
    <n v="0.0699999946721877"/>
    <n v="0.9590062138274844"/>
    <n v="1873943"/>
    <n v="0.07011205783740487"/>
    <n v="0.002880164384817349"/>
    <s v="Yes"/>
    <d v="2018-07-26T00:00:00"/>
    <n v="148"/>
  </r>
  <r>
    <s v="Fresenius Medical Care"/>
    <s v="1080 W Norton Ave "/>
    <s v="Muskegon "/>
    <s v="MI"/>
    <n v="0.9"/>
    <n v="1998"/>
    <n v="6647"/>
    <n v="128516"/>
    <n v="19.33443658793441"/>
    <d v="2033-12-31T00:00:00"/>
    <n v="15.03835616438356"/>
    <s v="Absolute NNN"/>
    <s v="Annual CPI (Capped at 2%)"/>
    <s v="3, 5yr"/>
    <m/>
    <s v=" "/>
    <s v=" "/>
    <x v="709"/>
    <x v="428"/>
    <m/>
    <x v="330"/>
    <s v="Fund"/>
    <m/>
    <m/>
    <m/>
    <s v=" "/>
    <s v=" "/>
    <m/>
    <s v=" "/>
    <s v=" "/>
    <s v=" "/>
    <m/>
    <s v=" "/>
  </r>
  <r>
    <s v="Fresenius Medical Care"/>
    <s v="783 New Hwy 68"/>
    <s v="Sweetwater"/>
    <s v="TN"/>
    <n v="1.138407"/>
    <n v="2009"/>
    <n v="8400"/>
    <n v="150771"/>
    <n v="17.94892857142857"/>
    <d v="2034-03-31T00:00:00"/>
    <n v="15.28493150684931"/>
    <s v="Absolute NNN"/>
    <s v="Annually"/>
    <s v="3, 5yr"/>
    <n v="2620369"/>
    <n v="311.9486904761904"/>
    <n v="0.05753807956055044"/>
    <x v="709"/>
    <x v="783"/>
    <s v="M&amp;M;"/>
    <x v="330"/>
    <s v="Fund"/>
    <m/>
    <m/>
    <m/>
    <s v=" "/>
    <s v=" "/>
    <m/>
    <s v=" "/>
    <s v=" "/>
    <s v=" "/>
    <m/>
    <s v=" "/>
  </r>
  <r>
    <s v="Fresenius Medical Care"/>
    <s v="2 Royal Park Drive"/>
    <s v="Zeeland "/>
    <s v="MI"/>
    <n v="1.54"/>
    <n v="2001"/>
    <n v="4460"/>
    <m/>
    <s v=" "/>
    <m/>
    <s v=" "/>
    <m/>
    <m/>
    <m/>
    <n v="1400925"/>
    <n v="314.1087443946188"/>
    <s v=" "/>
    <x v="709"/>
    <x v="428"/>
    <m/>
    <x v="330"/>
    <s v="Fund"/>
    <m/>
    <m/>
    <m/>
    <s v=" "/>
    <s v=" "/>
    <m/>
    <s v=" "/>
    <s v=" "/>
    <s v=" "/>
    <m/>
    <s v=" "/>
  </r>
  <r>
    <s v="Fresenius Medical Care"/>
    <s v="2800 Palmilla Rd NW"/>
    <s v="Los Lunas"/>
    <s v="NM"/>
    <n v="1.330005"/>
    <n v="2008"/>
    <n v="8017"/>
    <m/>
    <s v=" "/>
    <m/>
    <s v=" "/>
    <m/>
    <m/>
    <m/>
    <m/>
    <s v=" "/>
    <s v=" "/>
    <x v="709"/>
    <x v="428"/>
    <m/>
    <x v="330"/>
    <s v="Fund"/>
    <m/>
    <m/>
    <m/>
    <s v=" "/>
    <s v=" "/>
    <m/>
    <s v=" "/>
    <s v=" "/>
    <s v=" "/>
    <m/>
    <s v=" "/>
  </r>
  <r>
    <s v="Portfolio of 18"/>
    <m/>
    <m/>
    <m/>
    <n v="26.64"/>
    <m/>
    <n v="242342"/>
    <m/>
    <s v=" "/>
    <m/>
    <s v=" "/>
    <m/>
    <m/>
    <m/>
    <n v="93128771"/>
    <n v="384.2865495869474"/>
    <s v=" "/>
    <x v="710"/>
    <x v="73"/>
    <s v="JLL; Berman"/>
    <x v="571"/>
    <s v="REIT"/>
    <m/>
    <m/>
    <m/>
    <s v=" "/>
    <s v=" "/>
    <m/>
    <s v=" "/>
    <s v=" "/>
    <s v=" "/>
    <m/>
    <s v=" "/>
  </r>
  <r>
    <s v="DaVita Dialysis"/>
    <s v="11239 S Western Ave"/>
    <s v="Los Angeles"/>
    <s v="CA"/>
    <n v="0.8100000000000001"/>
    <n v="2018"/>
    <n v="11000"/>
    <n v="494340"/>
    <n v="44.94"/>
    <d v="2033-06-30T00:00:00"/>
    <n v="14.53972602739726"/>
    <s v="NNN; RS"/>
    <s v="10% every 5 years"/>
    <s v="2, 5yr"/>
    <n v="9340000"/>
    <n v="849.0909090909091"/>
    <n v="0.0529271948608137"/>
    <x v="711"/>
    <x v="5"/>
    <s v="C&amp;W; Patel"/>
    <x v="667"/>
    <s v="Individual"/>
    <s v="CBRE; Riley"/>
    <s v="Market Street Development"/>
    <n v="9886800"/>
    <n v="0.05"/>
    <n v="0.9446939353481409"/>
    <n v="9506538"/>
    <n v="0.05200000252457835"/>
    <n v="0.0009271923362353524"/>
    <s v="Yes"/>
    <d v="2018-04-24T00:00:00"/>
    <n v="239"/>
  </r>
  <r>
    <s v="DaVita Dialysis"/>
    <s v="317 Professional Park Rd"/>
    <s v="Clinton"/>
    <s v="SC"/>
    <m/>
    <n v="2002"/>
    <n v="9343"/>
    <n v="145908.76"/>
    <n v="15.61690677512576"/>
    <d v="2028-11-30T00:00:00"/>
    <n v="9.96986301369863"/>
    <s v="NN"/>
    <m/>
    <m/>
    <n v="2301400"/>
    <n v="246.3234507117628"/>
    <n v="0.0634"/>
    <x v="712"/>
    <x v="784"/>
    <s v="M&amp;M; Margulies"/>
    <x v="111"/>
    <s v="Fund"/>
    <m/>
    <m/>
    <n v="2301400"/>
    <n v="0.0634"/>
    <n v="1"/>
    <n v="2301400"/>
    <n v="0.0634"/>
    <n v="0"/>
    <s v="No"/>
    <d v="2018-10-01T00:00:00"/>
    <n v="74"/>
  </r>
  <r>
    <s v="Fresenius Medical Care"/>
    <s v="6823 Communications Pkwy"/>
    <s v="Plano"/>
    <s v="TX"/>
    <m/>
    <n v="2018"/>
    <n v="7500"/>
    <n v="187499"/>
    <n v="24.99986666666667"/>
    <d v="2033-11-30T00:00:00"/>
    <n v="14.97260273972603"/>
    <s v="NNN"/>
    <s v="10% every 5 years"/>
    <m/>
    <m/>
    <s v=" "/>
    <s v=" "/>
    <x v="712"/>
    <x v="703"/>
    <s v="Huffman Builders LP"/>
    <x v="0"/>
    <s v="Individual"/>
    <m/>
    <m/>
    <n v="3571428"/>
    <n v="0.05249972839995654"/>
    <s v=" "/>
    <n v="3571428"/>
    <n v="0.05249972839995654"/>
    <s v=" "/>
    <s v="No"/>
    <d v="2018-05-14T00:00:00"/>
    <n v="214"/>
  </r>
  <r>
    <s v="Fresenius Medical Care"/>
    <s v="9616 Dixie Hwy"/>
    <s v="Louisville"/>
    <s v="KY"/>
    <n v="2.79"/>
    <n v="1991"/>
    <n v="23000"/>
    <m/>
    <s v=" "/>
    <m/>
    <s v=" "/>
    <s v="NNN"/>
    <m/>
    <m/>
    <n v="3125000"/>
    <n v="135.8695652173913"/>
    <s v=" "/>
    <x v="713"/>
    <x v="785"/>
    <m/>
    <x v="668"/>
    <s v="Individual"/>
    <m/>
    <m/>
    <m/>
    <s v=" "/>
    <s v=" "/>
    <m/>
    <s v=" "/>
    <s v=" "/>
    <s v=" "/>
    <d v="2018-12-13T00:00:00"/>
    <n v="0"/>
  </r>
  <r>
    <s v="Fresenius Medical Care"/>
    <s v="2800 Palmilla Rd NW"/>
    <s v="Los Lunas"/>
    <s v="NM"/>
    <n v="1.330005"/>
    <n v="2008"/>
    <n v="8017"/>
    <m/>
    <s v=" "/>
    <m/>
    <s v=" "/>
    <m/>
    <m/>
    <m/>
    <m/>
    <s v=" "/>
    <s v=" "/>
    <x v="714"/>
    <x v="786"/>
    <m/>
    <x v="272"/>
    <s v="User"/>
    <m/>
    <m/>
    <m/>
    <s v=" "/>
    <s v=" "/>
    <m/>
    <s v=" "/>
    <s v=" "/>
    <s v=" "/>
    <m/>
    <s v=" "/>
  </r>
  <r>
    <s v="Fresenius Medical Care"/>
    <s v="28425 8 Mile Rd"/>
    <s v="Livonia"/>
    <s v="MI"/>
    <n v="4"/>
    <n v="2017"/>
    <n v="16217"/>
    <n v="199338"/>
    <n v="12.29191589073195"/>
    <d v="2027-02-28T00:00:00"/>
    <n v="8.224657534246575"/>
    <s v="NN"/>
    <s v="1.7% annually; FMV at each option"/>
    <s v="2, 5yr"/>
    <n v="2450000"/>
    <n v="151.0760313251526"/>
    <n v="0.08136244897959184"/>
    <x v="715"/>
    <x v="787"/>
    <s v="Landmark; Kukes"/>
    <x v="23"/>
    <s v="Individual"/>
    <m/>
    <m/>
    <n v="2736292"/>
    <n v="0.0728496812474692"/>
    <n v="0.8953722775200892"/>
    <n v="2697894"/>
    <n v="0.07388652037478122"/>
    <n v="0.007475928604810625"/>
    <s v="Yes"/>
    <d v="2018-08-03T00:00:00"/>
    <n v="129"/>
  </r>
  <r>
    <s v="DaVita Dialysis"/>
    <s v="825 E Broadway"/>
    <s v="San Gabriel"/>
    <s v="CA"/>
    <n v="0.77"/>
    <n v="2018"/>
    <n v="11450"/>
    <n v="593662"/>
    <n v="51.8482096069869"/>
    <d v="2033-01-31T00:00:00"/>
    <n v="14.15342465753425"/>
    <s v="NN"/>
    <s v="10% every 5 years"/>
    <s v="3, 5 yr"/>
    <n v="11200000"/>
    <n v="978.1659388646289"/>
    <n v="0.05300553571428571"/>
    <x v="715"/>
    <x v="5"/>
    <s v="C&amp;W; Patel"/>
    <x v="669"/>
    <s v="Individual"/>
    <s v="M&amp;M; Harris"/>
    <s v="Market Street Development"/>
    <n v="11307854"/>
    <n v="0.05249997037457328"/>
    <n v="0.9904620275429803"/>
    <n v="11307854"/>
    <n v="0.05249997037457328"/>
    <n v="0.0005055653397124313"/>
    <s v="No"/>
    <d v="2018-08-09T00:00:00"/>
    <n v="123"/>
  </r>
  <r>
    <s v="DaVita Dialysis"/>
    <s v="404 Camp Road"/>
    <s v="Pocahontas"/>
    <s v="AR"/>
    <n v="2"/>
    <n v="2015"/>
    <n v="5784"/>
    <n v="86652.5"/>
    <n v="14.9814142461964"/>
    <d v="2030-08-31T00:00:00"/>
    <n v="11.73972602739726"/>
    <s v="NNN"/>
    <s v="10% every 5 years"/>
    <s v="2, 5yr"/>
    <n v="1284000"/>
    <n v="221.9917012448133"/>
    <n v="0.06748637071651091"/>
    <x v="716"/>
    <x v="13"/>
    <s v="SJC; Wilkins"/>
    <x v="0"/>
    <s v="Individual"/>
    <m/>
    <m/>
    <n v="1360000"/>
    <n v="0.06371507352941176"/>
    <n v="0.9441176470588235"/>
    <n v="1360000"/>
    <n v="0.06371507352941176"/>
    <n v="0.003771297187099149"/>
    <s v="No"/>
    <d v="2018-03-14T00:00:00"/>
    <n v="268"/>
  </r>
  <r>
    <s v="Fresenius Medical Care"/>
    <s v="2850 Kinard St"/>
    <s v="Newberry"/>
    <s v="SC"/>
    <n v="1.73"/>
    <n v="2016"/>
    <n v="10360"/>
    <n v="252146"/>
    <n v="24.33841698841699"/>
    <d v="2030-10-31T00:00:00"/>
    <n v="11.91232876712329"/>
    <s v="NN"/>
    <s v="10% every 5 years"/>
    <s v="3, 5yr"/>
    <n v="3950000"/>
    <n v="381.2741312741313"/>
    <n v="0.06383443037974683"/>
    <x v="717"/>
    <x v="788"/>
    <s v="Chris Orr"/>
    <x v="665"/>
    <s v="Individual"/>
    <m/>
    <m/>
    <n v="4802780"/>
    <n v="0.05250001041063717"/>
    <n v="0.8224403366383636"/>
    <n v="4385148"/>
    <n v="0.05749999771957526"/>
    <n v="0.006334432660171571"/>
    <s v="Yes"/>
    <d v="2017-10-31T00:00:00"/>
    <n v="400"/>
  </r>
  <r>
    <s v="Fresenius Medical Care"/>
    <s v="200 NE 50th St"/>
    <s v="Oklahoma City"/>
    <s v="OK"/>
    <n v="1.26"/>
    <n v="2008"/>
    <n v="12000"/>
    <n v="235200"/>
    <n v="19.6"/>
    <d v="2030-07-31T00:00:00"/>
    <n v="11.66301369863014"/>
    <s v="NN"/>
    <s v="5% every 5 years"/>
    <s v="3, 5yr"/>
    <n v="3347500"/>
    <n v="278.9583333333333"/>
    <n v="0.07026138909634055"/>
    <x v="718"/>
    <x v="789"/>
    <s v="CBRE; Lightfoot"/>
    <x v="35"/>
    <s v="REIT"/>
    <m/>
    <m/>
    <n v="4090000"/>
    <n v="0.05750611246943765"/>
    <n v="0.8184596577017115"/>
    <n v="3704000"/>
    <n v="0.06349892008639309"/>
    <n v="0.006762469009947467"/>
    <s v="Yes"/>
    <d v="2017-11-02T00:00:00"/>
    <n v="397"/>
  </r>
  <r>
    <s v="DaVita Dialysis (Leasehold)"/>
    <s v="1810 S Fresno Ave"/>
    <s v="Stockton"/>
    <s v="CA"/>
    <n v="0.96"/>
    <n v="2013"/>
    <n v="8935"/>
    <n v="263583"/>
    <n v="29.50005595970901"/>
    <d v="2029-07-31T00:00:00"/>
    <n v="10.67397260273973"/>
    <s v="NN"/>
    <s v="3% annually"/>
    <s v="3, 5yr"/>
    <n v="3900000"/>
    <n v="436.4857302742026"/>
    <n v="0.06758538461538462"/>
    <x v="719"/>
    <x v="790"/>
    <s v="M&amp;M; Cook"/>
    <x v="670"/>
    <s v="Individual"/>
    <s v="Colliers; Schwartz"/>
    <s v="Market Street Development"/>
    <n v="4055123"/>
    <n v="0.06500000123300823"/>
    <n v="0.9617464131174319"/>
    <n v="4055123"/>
    <n v="0.06500000123300823"/>
    <n v="0.002585383382376391"/>
    <s v="No"/>
    <d v="2018-04-19T00:00:00"/>
    <n v="225"/>
  </r>
  <r>
    <s v="Fresenius Medical Care"/>
    <s v="5020 English Towne Dr"/>
    <s v="Memphis"/>
    <s v="TN"/>
    <n v="2.098"/>
    <n v="2016"/>
    <n v="9550"/>
    <n v="175100"/>
    <n v="18.33507853403141"/>
    <d v="2031-11-30T00:00:00"/>
    <n v="13.01095890410959"/>
    <s v="NNN"/>
    <s v="10% every 5yrs"/>
    <s v="3, 5yr"/>
    <n v="3000000"/>
    <n v="314.1361256544503"/>
    <n v="0.05836666666666666"/>
    <x v="720"/>
    <x v="611"/>
    <s v="Embree"/>
    <x v="671"/>
    <s v="Individual"/>
    <m/>
    <m/>
    <n v="3433333"/>
    <n v="0.05100000495145679"/>
    <n v="0.8737864926006303"/>
    <n v="3184333"/>
    <n v="0.05498796765288053"/>
    <n v="0.003378699013786138"/>
    <s v="Yes"/>
    <d v="2017-12-27T00:00:00"/>
    <n v="337"/>
  </r>
  <r>
    <s v="Sperry Retail Portfolio II"/>
    <s v="1 of 2 properties"/>
    <m/>
    <m/>
    <m/>
    <m/>
    <n v="11886"/>
    <m/>
    <s v=" "/>
    <m/>
    <s v=" "/>
    <m/>
    <m/>
    <m/>
    <m/>
    <s v=" "/>
    <s v=" "/>
    <x v="720"/>
    <x v="791"/>
    <m/>
    <x v="671"/>
    <s v="Individual"/>
    <m/>
    <m/>
    <m/>
    <s v=" "/>
    <s v=" "/>
    <m/>
    <s v=" "/>
    <s v=" "/>
    <s v=" "/>
    <m/>
    <s v=" "/>
  </r>
  <r>
    <s v="Fresenius Medical Care"/>
    <s v="396 S Schilling Dr S"/>
    <s v="Dundas"/>
    <s v="MN"/>
    <n v="3"/>
    <m/>
    <n v="19598"/>
    <n v="108570"/>
    <n v="5.539851005204612"/>
    <d v="2025-10-31T00:00:00"/>
    <n v="6.928767123287671"/>
    <s v="NN"/>
    <s v="Flat"/>
    <s v="2, 5 yr"/>
    <n v="1410000"/>
    <n v="71.94611695070925"/>
    <n v="0.077"/>
    <x v="721"/>
    <x v="792"/>
    <s v="PH: Peranich &amp; Huffman"/>
    <x v="672"/>
    <s v="Individual"/>
    <s v="Bruce Rydeen"/>
    <m/>
    <n v="1498400"/>
    <n v="0.0724572877736252"/>
    <n v="0.9410037373198078"/>
    <n v="1498400"/>
    <n v="0.0724572877736252"/>
    <n v="0.004542712226374798"/>
    <s v="No"/>
    <d v="2018-07-13T00:00:00"/>
    <n v="138"/>
  </r>
  <r>
    <s v="DaVita Dialysis"/>
    <s v="1431 Business Center Ct"/>
    <s v="Dayton"/>
    <s v="OH"/>
    <n v="1.176997"/>
    <n v="1993"/>
    <n v="13421"/>
    <m/>
    <s v=" "/>
    <m/>
    <s v=" "/>
    <m/>
    <m/>
    <m/>
    <n v="1684000"/>
    <n v="125.4750018627524"/>
    <s v=" "/>
    <x v="722"/>
    <x v="513"/>
    <m/>
    <x v="510"/>
    <s v="REIT"/>
    <m/>
    <m/>
    <m/>
    <s v=" "/>
    <s v=" "/>
    <m/>
    <s v=" "/>
    <s v=" "/>
    <s v=" "/>
    <m/>
    <s v=" "/>
  </r>
  <r>
    <s v="Block Real Estate Services Office OH Portfolio2018"/>
    <s v="1 of 3 properties"/>
    <m/>
    <m/>
    <m/>
    <m/>
    <n v="43977"/>
    <m/>
    <s v=" "/>
    <m/>
    <s v=" "/>
    <m/>
    <m/>
    <m/>
    <m/>
    <s v=" "/>
    <s v=" "/>
    <x v="722"/>
    <x v="513"/>
    <m/>
    <x v="510"/>
    <s v="REIT"/>
    <m/>
    <m/>
    <m/>
    <s v=" "/>
    <s v=" "/>
    <m/>
    <s v=" "/>
    <s v=" "/>
    <s v=" "/>
    <m/>
    <s v=" "/>
  </r>
  <r>
    <s v="UnitedHealthcare"/>
    <s v="2122 Alt 19"/>
    <s v="Palm Harbor"/>
    <s v="FL"/>
    <n v="0.8100000000000001"/>
    <n v="2018"/>
    <n v="4959"/>
    <n v="85295"/>
    <n v="17.20004033071184"/>
    <d v="2028-08-31T00:00:00"/>
    <n v="9.789041095890411"/>
    <s v="NN"/>
    <s v="10% in year 6"/>
    <s v="3, 5yr"/>
    <n v="1400000"/>
    <n v="282.3149828594475"/>
    <n v="0.060925"/>
    <x v="723"/>
    <x v="793"/>
    <s v="M&amp;M; Sambazis"/>
    <x v="673"/>
    <s v="Individual"/>
    <m/>
    <m/>
    <n v="1483000"/>
    <n v="0.05751517194875253"/>
    <n v="0.9440323668240054"/>
    <n v="1483000"/>
    <n v="0.05751517194875253"/>
    <n v="0.003409828051247468"/>
    <s v="No"/>
    <d v="2018-09-01T00:00:00"/>
    <n v="79"/>
  </r>
  <r>
    <s v="Fresenius Medical Care"/>
    <s v="790 N Court St"/>
    <s v="Circleville"/>
    <s v="OH"/>
    <n v="0.99"/>
    <n v="2006"/>
    <n v="4025"/>
    <n v="62387"/>
    <n v="15.49987577639752"/>
    <d v="2022-02-28T00:00:00"/>
    <n v="3.279452054794521"/>
    <s v="NN"/>
    <s v="2% at 3/2019"/>
    <s v="2, 5yr"/>
    <n v="772500"/>
    <n v="191.9254658385093"/>
    <n v="0.08075987055016182"/>
    <x v="723"/>
    <x v="794"/>
    <s v="SIG; Martin"/>
    <x v="0"/>
    <s v="Individual"/>
    <m/>
    <m/>
    <n v="789089"/>
    <n v="0.0790620576386187"/>
    <n v="0.9789770228706774"/>
    <n v="789089"/>
    <n v="0.0790620576386187"/>
    <n v="0.001697812911543112"/>
    <s v="No"/>
    <d v="2017-12-08T00:00:00"/>
    <n v="346"/>
  </r>
  <r>
    <s v="Fresenius Medical Care"/>
    <s v="1030 W Highway 11E"/>
    <s v="New Market"/>
    <s v="TN"/>
    <n v="4.16"/>
    <n v="2007"/>
    <n v="6048"/>
    <n v="81200"/>
    <n v="13.42592592592593"/>
    <d v="2022-10-31T00:00:00"/>
    <n v="3.950684931506849"/>
    <s v="NN"/>
    <s v="2% annually"/>
    <s v="2, 5yr"/>
    <n v="975000"/>
    <n v="161.2103174603175"/>
    <n v="0.08328205128205128"/>
    <x v="723"/>
    <x v="795"/>
    <s v="Michael Green"/>
    <x v="0"/>
    <s v="Individual"/>
    <m/>
    <m/>
    <n v="1400000"/>
    <n v="0.058"/>
    <n v="0.6964285714285714"/>
    <n v="1202963"/>
    <n v="0.06749999792179809"/>
    <n v="0.01578205336025319"/>
    <s v="Yes"/>
    <d v="2017-10-04T00:00:00"/>
    <n v="411"/>
  </r>
  <r>
    <s v="U.S. Renal Care"/>
    <s v="306 Main St"/>
    <s v="Edgefield"/>
    <s v="SC"/>
    <n v="0.19"/>
    <n v="2005"/>
    <n v="6250"/>
    <n v="48983"/>
    <n v="7.83728"/>
    <d v="2023-08-22T00:00:00"/>
    <n v="4.764383561643836"/>
    <s v="Modified Gross"/>
    <m/>
    <s v="1, 5yr"/>
    <n v="500000"/>
    <n v="80"/>
    <n v="0.097966"/>
    <x v="724"/>
    <x v="796"/>
    <s v="M&amp;M; Cook"/>
    <x v="674"/>
    <s v="Individual"/>
    <s v="M&amp;M; Lombardi"/>
    <m/>
    <n v="502400"/>
    <n v="0.09749800955414013"/>
    <n v="0.9952229299363057"/>
    <n v="502400"/>
    <n v="0.09749800955414013"/>
    <n v="0.0004679904458598644"/>
    <s v="No"/>
    <d v="2018-05-07T00:00:00"/>
    <n v="194"/>
  </r>
  <r>
    <s v="DaVita Dialysis"/>
    <s v="90 Commercial Way"/>
    <s v="Springboro"/>
    <s v="OH"/>
    <n v="2.406359"/>
    <n v="2003"/>
    <n v="4980"/>
    <m/>
    <s v=" "/>
    <m/>
    <s v=" "/>
    <m/>
    <m/>
    <m/>
    <n v="715000"/>
    <n v="143.574297188755"/>
    <s v=" "/>
    <x v="725"/>
    <x v="797"/>
    <m/>
    <x v="510"/>
    <s v="REIT"/>
    <m/>
    <m/>
    <m/>
    <s v=" "/>
    <s v=" "/>
    <m/>
    <s v=" "/>
    <s v=" "/>
    <s v=" "/>
    <m/>
    <s v=" "/>
  </r>
  <r>
    <s v="Fresenius (Portfolio 8)"/>
    <s v="241 Willow Street"/>
    <s v="Yarmouth Port"/>
    <s v="MA"/>
    <n v="0.957"/>
    <n v="2016"/>
    <n v="6406"/>
    <n v="165750"/>
    <n v="25.87418045582267"/>
    <d v="2037-12-31T00:00:00"/>
    <n v="19.13972602739726"/>
    <s v="Absolute NNN"/>
    <s v="Annual CPI"/>
    <s v="3, 5yr"/>
    <n v="3300000"/>
    <n v="515.1420543240712"/>
    <n v="0.05022727272727272"/>
    <x v="725"/>
    <x v="351"/>
    <s v="M&amp;M; Glass"/>
    <x v="675"/>
    <s v="Individual"/>
    <m/>
    <m/>
    <n v="3315000"/>
    <n v="0.05"/>
    <n v="0.995475113122172"/>
    <n v="3315000"/>
    <n v="0.05"/>
    <n v="0.0002272727272727218"/>
    <s v="No"/>
    <d v="2018-04-25T00:00:00"/>
    <n v="204"/>
  </r>
  <r>
    <s v="DaVita Dialysis"/>
    <s v="9041 Imperial Hwy"/>
    <s v="Downey"/>
    <s v="CA"/>
    <n v="0.85"/>
    <n v="2018"/>
    <n v="13405"/>
    <n v="546031"/>
    <n v="40.73338306602014"/>
    <d v="2033-11-15T00:00:00"/>
    <n v="15.01643835616438"/>
    <m/>
    <m/>
    <m/>
    <n v="10560500"/>
    <n v="787.8030585602387"/>
    <n v="0.05170503290563894"/>
    <x v="726"/>
    <x v="64"/>
    <m/>
    <x v="676"/>
    <s v="Individual"/>
    <m/>
    <m/>
    <m/>
    <s v=" "/>
    <s v=" "/>
    <m/>
    <s v=" "/>
    <s v=" "/>
    <s v=" "/>
    <m/>
    <s v=" "/>
  </r>
  <r>
    <s v="U.S. Renal Care"/>
    <s v="1524 Sparta St"/>
    <s v="McMinnville"/>
    <s v="TN"/>
    <n v="1.45"/>
    <n v="2006"/>
    <n v="7079"/>
    <n v="161293"/>
    <n v="22.78471535527617"/>
    <d v="2021-01-31T00:00:00"/>
    <n v="2.232876712328767"/>
    <s v="NNN"/>
    <s v="2.25% annually"/>
    <s v="3, 5yr"/>
    <n v="925000"/>
    <n v="130.6681734708292"/>
    <n v="0.1743708108108108"/>
    <x v="727"/>
    <x v="13"/>
    <s v="Christopher Mitchell"/>
    <x v="0"/>
    <s v="Individual"/>
    <m/>
    <m/>
    <n v="1573590"/>
    <n v="0.1025000158872387"/>
    <n v="0.5878278331712835"/>
    <n v="1573590"/>
    <n v="0.1025000158872387"/>
    <n v="0.07187079492357208"/>
    <s v="No"/>
    <d v="2018-06-11T00:00:00"/>
    <n v="150"/>
  </r>
  <r>
    <s v="DaVita Dialysis"/>
    <s v="222-236 Douglas St"/>
    <s v="Hammond"/>
    <s v="IN"/>
    <n v="1.039991"/>
    <n v="1992"/>
    <n v="13664"/>
    <m/>
    <s v=" "/>
    <m/>
    <s v=" "/>
    <m/>
    <m/>
    <m/>
    <m/>
    <s v=" "/>
    <s v=" "/>
    <x v="728"/>
    <x v="798"/>
    <m/>
    <x v="677"/>
    <s v="Individual"/>
    <m/>
    <m/>
    <m/>
    <s v=" "/>
    <s v=" "/>
    <m/>
    <s v=" "/>
    <s v=" "/>
    <s v=" "/>
    <m/>
    <s v=" "/>
  </r>
  <r>
    <s v="DaVita Dialysis"/>
    <s v="222 Douglas St"/>
    <s v="Hammond"/>
    <s v="IN"/>
    <n v="1.04"/>
    <n v="1993"/>
    <n v="13194"/>
    <n v="173160"/>
    <n v="13.12414733969986"/>
    <d v="2027-09-30T00:00:00"/>
    <n v="8.904109589041095"/>
    <s v="NNN"/>
    <s v="3% annually"/>
    <s v="3, 5yr"/>
    <n v="2220000"/>
    <n v="168.2582992269213"/>
    <n v="0.078"/>
    <x v="728"/>
    <x v="799"/>
    <s v="M&amp;M; Levy"/>
    <x v="204"/>
    <s v="Individual"/>
    <s v="Sage; Meyers"/>
    <m/>
    <n v="3250000"/>
    <n v="0.05328"/>
    <n v="0.683076923076923"/>
    <n v="2375000"/>
    <n v="0.07290947368421052"/>
    <n v="0.005090526315789476"/>
    <s v="Yes"/>
    <d v="2018-04-30T00:00:00"/>
    <n v="190"/>
  </r>
  <r>
    <s v="DaVita Dialysis"/>
    <s v="740 N Court St"/>
    <s v="Medina"/>
    <s v="OH"/>
    <n v="1"/>
    <n v="2017"/>
    <n v="5530"/>
    <n v="98158"/>
    <n v="17.7500904159132"/>
    <d v="2032-10-31T00:00:00"/>
    <n v="13.99452054794521"/>
    <s v="NN"/>
    <s v="2% annually"/>
    <s v="3, 5yr"/>
    <n v="1600000"/>
    <n v="289.3309222423147"/>
    <n v="0.06134875"/>
    <x v="728"/>
    <x v="800"/>
    <s v="PH: Peranich &amp; Huffman"/>
    <x v="678"/>
    <s v="Individual"/>
    <m/>
    <m/>
    <n v="1692000"/>
    <n v="0.05801300236406619"/>
    <n v="0.9456264775413712"/>
    <n v="1692000"/>
    <n v="0.05801300236406619"/>
    <n v="0.003335747635933806"/>
    <s v="No"/>
    <d v="2018-05-16T00:00:00"/>
    <n v="174"/>
  </r>
  <r>
    <s v="Fresenius Medical Care"/>
    <s v="1325 Highway 4 East"/>
    <s v="Holly Springs (Mount Pleasant)"/>
    <s v="MS"/>
    <n v="1.91"/>
    <n v="1993"/>
    <n v="4639"/>
    <n v="92400"/>
    <n v="19.91808579435223"/>
    <d v="2037-12-31T00:00:00"/>
    <n v="19.16712328767123"/>
    <s v="NNN"/>
    <s v="Annual CPI (Min: 1%; Max: 2%)"/>
    <s v="3, 5yr"/>
    <n v="1605000"/>
    <n v="345.9797370122871"/>
    <n v="0.05757009345794393"/>
    <x v="729"/>
    <x v="801"/>
    <s v="M&amp;M; Cook"/>
    <x v="679"/>
    <s v="Individual"/>
    <m/>
    <m/>
    <n v="1680000"/>
    <n v="0.055"/>
    <n v="0.9553571428571429"/>
    <n v="1680000"/>
    <n v="0.055"/>
    <n v="0.002570093457943928"/>
    <s v="No"/>
    <d v="2018-09-05T00:00:00"/>
    <n v="61"/>
  </r>
  <r>
    <s v="Fresenius Medical Care"/>
    <s v="1104 Frank W Evans Way"/>
    <s v="Bennettsville"/>
    <s v="SC"/>
    <n v="1.02"/>
    <n v="2000"/>
    <n v="7192"/>
    <n v="77324"/>
    <n v="10.75139043381535"/>
    <d v="2021-01-01T00:00:00"/>
    <n v="2.167123287671233"/>
    <s v="Modified Gross"/>
    <s v="1% annually; FMV in options"/>
    <s v="3, 5yr"/>
    <n v="758000"/>
    <n v="105.3948832035595"/>
    <n v="0.1020105540897098"/>
    <x v="730"/>
    <x v="802"/>
    <s v="M&amp;M; Lombardi"/>
    <x v="0"/>
    <s v="Individual"/>
    <m/>
    <m/>
    <n v="999999"/>
    <n v="0.07732407732407733"/>
    <n v="0.7580007580007579"/>
    <n v="895000"/>
    <n v="0.08639553072625698"/>
    <n v="0.01561502336345277"/>
    <s v="Yes"/>
    <d v="2017-11-27T00:00:00"/>
    <n v="340"/>
  </r>
  <r>
    <s v="DaVita Dialysis"/>
    <s v="20025 Chasewood Park Dr"/>
    <s v="Houston"/>
    <s v="TX"/>
    <n v="1.73"/>
    <n v="2015"/>
    <n v="8074"/>
    <n v="280386"/>
    <n v="34.72702501857815"/>
    <d v="2030-10-31T00:00:00"/>
    <n v="12.01095890410959"/>
    <s v="NN"/>
    <s v="10% every 5 years"/>
    <s v="2, 5yr"/>
    <n v="5444388"/>
    <n v="674.3111221203865"/>
    <n v="0.05150000330615673"/>
    <x v="731"/>
    <x v="803"/>
    <s v="John Lee"/>
    <x v="680"/>
    <s v="Individual"/>
    <m/>
    <m/>
    <n v="5607720"/>
    <n v="0.05"/>
    <n v="0.9708737240803749"/>
    <n v="5607720"/>
    <n v="0.05"/>
    <n v="0.001500003306156725"/>
    <s v="No"/>
    <d v="2018-04-09T00:00:00"/>
    <n v="204"/>
  </r>
  <r>
    <s v="Fresenius-Anchored MOB"/>
    <s v="123 Progress Parkway"/>
    <s v="Sullivan"/>
    <s v="MO"/>
    <n v="1.02"/>
    <n v="2008"/>
    <n v="12505"/>
    <n v="136631"/>
    <n v="10.92610955617753"/>
    <d v="2023-07-31T00:00:00"/>
    <n v="4.753424657534246"/>
    <s v="NN"/>
    <s v="2% annually"/>
    <s v="2, 5 yr"/>
    <n v="1500000"/>
    <n v="119.9520191923231"/>
    <n v="0.09108733333333334"/>
    <x v="731"/>
    <x v="804"/>
    <s v="SVN; Snyder"/>
    <x v="681"/>
    <s v="Individual"/>
    <s v="CB; Deason"/>
    <m/>
    <n v="1600000"/>
    <n v="0.08539437499999999"/>
    <n v="0.9375"/>
    <n v="1600000"/>
    <n v="0.08539437499999999"/>
    <n v="0.005692958333333345"/>
    <s v="No"/>
    <d v="2018-08-09T00:00:00"/>
    <n v="82"/>
  </r>
  <r>
    <s v="Fresenius Medical Care - Condo"/>
    <s v="1260 Upper Hembree Road"/>
    <s v="Roswell"/>
    <s v="GA"/>
    <m/>
    <n v="1995"/>
    <n v="6301"/>
    <n v="92276"/>
    <n v="14.64465957784479"/>
    <d v="2021-04-01T00:00:00"/>
    <n v="2.421917808219178"/>
    <s v="NN"/>
    <s v="2% annually"/>
    <s v="2, 5yr"/>
    <n v="1700000"/>
    <n v="269.7984446913188"/>
    <n v="0.05428"/>
    <x v="731"/>
    <x v="805"/>
    <s v="Calkain; Fernandez"/>
    <x v="0"/>
    <s v="Individual"/>
    <m/>
    <m/>
    <n v="1318230"/>
    <n v="0.06999992414070383"/>
    <n v="1.289608035016651"/>
    <n v="1153451"/>
    <n v="0.07999993064291418"/>
    <n v="-0.02571993064291418"/>
    <s v="Yes"/>
    <d v="2018-02-27T00:00:00"/>
    <n v="245"/>
  </r>
  <r>
    <s v="DaVita Dialysis"/>
    <s v="16110 Lasalle St"/>
    <s v="South Holland"/>
    <s v="IL"/>
    <n v="1.03"/>
    <n v="2016"/>
    <n v="9703"/>
    <n v="223576.9975"/>
    <n v="23.04204859321859"/>
    <d v="2032-02-13T00:00:00"/>
    <n v="13.30684931506849"/>
    <s v="NN"/>
    <s v="10% every 5 years"/>
    <s v="2, 5yr"/>
    <n v="3707000"/>
    <n v="382.0467896526847"/>
    <n v="0.06031211154572431"/>
    <x v="732"/>
    <x v="66"/>
    <s v="M&amp;M; Cook"/>
    <x v="682"/>
    <s v="Individual"/>
    <m/>
    <s v="DaVita"/>
    <n v="4471540"/>
    <n v="0.0499999994409085"/>
    <n v="0.8290208742401947"/>
    <n v="3957115"/>
    <n v="0.0565"/>
    <n v="0.003812111545724306"/>
    <s v="Yes"/>
    <d v="2017-06-26T00:00:00"/>
    <n v="488"/>
  </r>
  <r>
    <s v="DaVita Dialysis"/>
    <s v="8621 Fulton St"/>
    <s v="Houston"/>
    <s v="TX"/>
    <n v="0.99"/>
    <n v="2012"/>
    <n v="9520"/>
    <n v="190317"/>
    <n v="19.99128151260504"/>
    <d v="2027-02-28T00:00:00"/>
    <n v="8.347945205479451"/>
    <s v="NN"/>
    <s v="2% annually"/>
    <s v="3, 5yr"/>
    <n v="2750000"/>
    <n v="288.8655462184874"/>
    <n v="0.06920618181818182"/>
    <x v="733"/>
    <x v="806"/>
    <s v="Michael Carter"/>
    <x v="229"/>
    <s v="REIT"/>
    <m/>
    <m/>
    <n v="3171950"/>
    <n v="0.06"/>
    <n v="0.8669745740002207"/>
    <n v="2927953"/>
    <n v="0.06500001878445454"/>
    <n v="0.004206163033727284"/>
    <s v="Yes"/>
    <d v="2018-04-23T00:00:00"/>
    <n v="186"/>
  </r>
  <r>
    <s v="Fresenius Medical Care"/>
    <s v="19403 E 37th Terrace Ct S"/>
    <s v="Independence"/>
    <s v="MO"/>
    <n v="1.69"/>
    <m/>
    <n v="12588"/>
    <m/>
    <s v=" "/>
    <m/>
    <s v=" "/>
    <m/>
    <m/>
    <m/>
    <n v="4000000"/>
    <n v="317.7629488401652"/>
    <s v=" "/>
    <x v="733"/>
    <x v="341"/>
    <m/>
    <x v="311"/>
    <s v="Individual"/>
    <m/>
    <m/>
    <m/>
    <s v=" "/>
    <s v=" "/>
    <m/>
    <s v=" "/>
    <s v=" "/>
    <s v=" "/>
    <m/>
    <s v=" "/>
  </r>
  <r>
    <s v="DaVita Dialysis"/>
    <s v="50 Rossanley Dr"/>
    <s v="Medford"/>
    <s v="OR"/>
    <n v="2.15"/>
    <n v="2018"/>
    <n v="9500"/>
    <n v="289750"/>
    <n v="30.5"/>
    <d v="2030-08-14T00:00:00"/>
    <n v="11.80821917808219"/>
    <s v="NN"/>
    <s v="10% every 5 years"/>
    <s v="3, 5yr"/>
    <n v="5196574"/>
    <n v="547.0077894736842"/>
    <n v="0.05575788971734069"/>
    <x v="733"/>
    <x v="807"/>
    <s v="M&amp;M; Ruble"/>
    <x v="683"/>
    <s v="Individual"/>
    <m/>
    <m/>
    <n v="5519000"/>
    <n v="0.05250045298061243"/>
    <n v="0.9415789092226853"/>
    <n v="5268100"/>
    <n v="0.05500085419790816"/>
    <n v="0.0007570355194325279"/>
    <s v="Yes"/>
    <d v="2018-05-17T00:00:00"/>
    <n v="162"/>
  </r>
  <r>
    <s v="Fresenius Medical Care"/>
    <s v="2600 N Coria St"/>
    <s v="Brownsville"/>
    <s v="TX"/>
    <n v="1.54"/>
    <n v="1992"/>
    <n v="10325"/>
    <n v="179510"/>
    <n v="17.38595641646489"/>
    <m/>
    <s v=" "/>
    <m/>
    <m/>
    <m/>
    <n v="2900000"/>
    <n v="280.8716707021792"/>
    <n v="0.0619"/>
    <x v="734"/>
    <x v="808"/>
    <m/>
    <x v="272"/>
    <s v="User"/>
    <m/>
    <m/>
    <m/>
    <s v=" "/>
    <s v=" "/>
    <m/>
    <s v=" "/>
    <s v=" "/>
    <s v=" "/>
    <m/>
    <s v=" "/>
  </r>
  <r>
    <s v="Fresenius Medical Care"/>
    <s v="2814 Post Road"/>
    <s v="Warwick"/>
    <s v="RI"/>
    <n v="1.2"/>
    <n v="2007"/>
    <n v="10454"/>
    <n v="229988"/>
    <n v="22"/>
    <d v="2023-05-01T00:00:00"/>
    <n v="4.523287671232877"/>
    <s v="NN"/>
    <s v="2% annually"/>
    <s v="2, 5yr"/>
    <n v="3325000"/>
    <n v="318.0600726994452"/>
    <n v="0.06916932330827068"/>
    <x v="735"/>
    <x v="809"/>
    <s v="M&amp;M; Cook"/>
    <x v="682"/>
    <s v="Individual"/>
    <m/>
    <m/>
    <n v="3285550"/>
    <n v="0.06999984781847789"/>
    <n v="1.012007122095235"/>
    <n v="3285550"/>
    <n v="0.06999984781847789"/>
    <n v="-0.000830524510207209"/>
    <s v="No"/>
    <d v="2018-06-14T00:00:00"/>
    <n v="131"/>
  </r>
  <r>
    <s v="Fresenius Medical Care"/>
    <s v="783 New Hwy 68"/>
    <s v="Sweetwater"/>
    <s v="TN"/>
    <n v="1.17"/>
    <n v="2009"/>
    <n v="8690"/>
    <n v="170324"/>
    <n v="19.6"/>
    <d v="2021-06-30T00:00:00"/>
    <n v="2.690410958904109"/>
    <s v="NN"/>
    <s v="FMV in Options"/>
    <s v="2, 5 yr"/>
    <n v="2150000"/>
    <n v="247.4108170310702"/>
    <n v="0.07922046511627907"/>
    <x v="736"/>
    <x v="810"/>
    <s v="M&amp;M; Munn"/>
    <x v="272"/>
    <s v="User"/>
    <s v="M&amp;M; Mitchel"/>
    <m/>
    <m/>
    <s v=" "/>
    <s v=" "/>
    <m/>
    <s v=" "/>
    <s v=" "/>
    <s v=" "/>
    <m/>
    <s v=" "/>
  </r>
  <r>
    <s v="Fresenius Medical Care"/>
    <s v="131 Whispering Winds"/>
    <s v="Lexington "/>
    <s v="SC"/>
    <n v="1.22"/>
    <m/>
    <n v="6660"/>
    <n v="189617"/>
    <n v="28.47102102102102"/>
    <m/>
    <s v=" "/>
    <m/>
    <m/>
    <m/>
    <n v="3009804"/>
    <n v="451.9225225225225"/>
    <n v="0.06299978337459848"/>
    <x v="737"/>
    <x v="811"/>
    <m/>
    <x v="684"/>
    <s v="Individual"/>
    <m/>
    <m/>
    <m/>
    <s v=" "/>
    <s v=" "/>
    <m/>
    <s v=" "/>
    <s v=" "/>
    <s v=" "/>
    <m/>
    <s v=" "/>
  </r>
  <r>
    <s v="Fresenius Medical Care"/>
    <s v="2139 Adams Grv"/>
    <s v="Columbia"/>
    <s v="SC"/>
    <m/>
    <m/>
    <n v="6660"/>
    <n v="211035"/>
    <n v="31.68693693693694"/>
    <m/>
    <s v=" "/>
    <m/>
    <m/>
    <m/>
    <n v="3349772"/>
    <n v="502.9687687687688"/>
    <n v="0.06299981013633167"/>
    <x v="737"/>
    <x v="811"/>
    <m/>
    <x v="684"/>
    <s v="Individual"/>
    <m/>
    <m/>
    <m/>
    <s v=" "/>
    <s v=" "/>
    <m/>
    <s v=" "/>
    <s v=" "/>
    <s v=" "/>
    <m/>
    <s v=" "/>
  </r>
  <r>
    <s v="Fresenius Medical Care"/>
    <s v="7631 Wilson Blvd"/>
    <s v="Columbia"/>
    <s v="SC"/>
    <n v="1.08"/>
    <n v="1999"/>
    <n v="6660"/>
    <n v="156897"/>
    <n v="23.55810810810811"/>
    <m/>
    <s v=" "/>
    <m/>
    <m/>
    <m/>
    <n v="2490424"/>
    <n v="373.9375375375375"/>
    <n v="0.06300011564295879"/>
    <x v="738"/>
    <x v="811"/>
    <m/>
    <x v="685"/>
    <s v="Individual"/>
    <m/>
    <m/>
    <m/>
    <s v=" "/>
    <s v=" "/>
    <m/>
    <s v=" "/>
    <s v=" "/>
    <s v=" "/>
    <m/>
    <s v=" "/>
  </r>
  <r>
    <s v="Fresenius Medical Care"/>
    <s v="1012 Lykes Ln"/>
    <s v="Irmo "/>
    <s v="SC"/>
    <n v="1.5"/>
    <n v="2001"/>
    <n v="6660"/>
    <n v="128397"/>
    <n v="19.27882882882883"/>
    <m/>
    <s v=" "/>
    <m/>
    <m/>
    <m/>
    <n v="2213746"/>
    <n v="332.3942942942943"/>
    <n v="0.05799987893823411"/>
    <x v="739"/>
    <x v="811"/>
    <m/>
    <x v="686"/>
    <s v="Individual"/>
    <m/>
    <m/>
    <m/>
    <s v=" "/>
    <s v=" "/>
    <m/>
    <s v=" "/>
    <s v=" "/>
    <s v=" "/>
    <m/>
    <s v=" "/>
  </r>
  <r>
    <s v="DaVita Dialysis"/>
    <s v="2112 Lincoln Way E "/>
    <s v="Massillon "/>
    <s v="OH"/>
    <n v="0.8"/>
    <n v="1976"/>
    <n v="6684"/>
    <n v="109047.5"/>
    <n v="16.31470676241771"/>
    <d v="2029-09-30T00:00:00"/>
    <n v="10.96712328767123"/>
    <s v="NNN"/>
    <s v="2.5% annually "/>
    <s v="3, 5yr"/>
    <n v="1325000"/>
    <n v="198.2345900658289"/>
    <n v="0.0823"/>
    <x v="740"/>
    <x v="812"/>
    <s v="SIG; Martin"/>
    <x v="687"/>
    <s v="Individual"/>
    <m/>
    <m/>
    <m/>
    <s v=" "/>
    <s v=" "/>
    <m/>
    <s v=" "/>
    <s v=" "/>
    <s v=" "/>
    <m/>
    <s v=" "/>
  </r>
  <r>
    <s v="DaVita Dialysis"/>
    <m/>
    <s v="Conyers"/>
    <s v="GA"/>
    <n v="1"/>
    <n v="2018"/>
    <n v="7500"/>
    <n v="159061.5"/>
    <n v="21.2082"/>
    <d v="2033-06-30T00:00:00"/>
    <n v="14.72876712328767"/>
    <s v="NN"/>
    <s v="10% every 5 years"/>
    <s v="3, 5 yr"/>
    <n v="2447100"/>
    <n v="326.28"/>
    <n v="0.065"/>
    <x v="741"/>
    <x v="66"/>
    <m/>
    <x v="111"/>
    <s v="Fund"/>
    <m/>
    <m/>
    <m/>
    <s v=" "/>
    <s v=" "/>
    <m/>
    <s v=" "/>
    <s v=" "/>
    <s v=" "/>
    <m/>
    <s v=" "/>
  </r>
  <r>
    <s v="DaVita Dialysis"/>
    <s v="5800 Hartford Rd"/>
    <s v="Baltimore "/>
    <s v="MD"/>
    <n v="0.48"/>
    <n v="2010"/>
    <n v="7560"/>
    <n v="117180"/>
    <n v="15.5"/>
    <d v="2030-02-28T00:00:00"/>
    <n v="11.39178082191781"/>
    <s v="NN"/>
    <s v="2.25% annually"/>
    <s v="2, 5yr"/>
    <n v="1874880"/>
    <n v="248"/>
    <n v="0.0625"/>
    <x v="741"/>
    <x v="813"/>
    <s v="C&amp;W; Patel"/>
    <x v="688"/>
    <s v="Individual"/>
    <m/>
    <m/>
    <n v="1948237"/>
    <n v="0.06014668646576366"/>
    <n v="0.9623469834522186"/>
    <n v="1948237"/>
    <n v="0.06014668646576366"/>
    <n v="0.002353313534236338"/>
    <s v="No"/>
    <d v="2018-06-20T00:00:00"/>
    <n v="113"/>
  </r>
  <r>
    <s v="Fresenius Medical Care"/>
    <s v="6455 Bardstown Rd"/>
    <s v="Louisville"/>
    <s v="KY"/>
    <n v="0.7"/>
    <n v="2013"/>
    <n v="7680"/>
    <n v="109979"/>
    <n v="14.32018229166667"/>
    <d v="2025-12-31T00:00:00"/>
    <n v="7.23013698630137"/>
    <s v="NN"/>
    <s v="10% every 5 years; 6% at option 1; 10% at options 2-3"/>
    <s v="3, 5yr"/>
    <n v="1712600"/>
    <n v="222.9947916666667"/>
    <n v="0.06421756393787224"/>
    <x v="742"/>
    <x v="814"/>
    <s v="Bull; Michael Bull"/>
    <x v="689"/>
    <s v="Individual"/>
    <m/>
    <m/>
    <n v="1763000"/>
    <n v="0.0623817356778219"/>
    <n v="0.9714123652864436"/>
    <n v="1763000"/>
    <n v="0.0623817356778219"/>
    <n v="0.001835828260050347"/>
    <s v="No"/>
    <d v="2018-05-22T00:00:00"/>
    <n v="141"/>
  </r>
  <r>
    <s v="DaVita Dialysis"/>
    <s v="1382 Locust St"/>
    <s v="Pasadena"/>
    <s v="CA"/>
    <n v="0.76"/>
    <n v="2017"/>
    <n v="11692"/>
    <n v="624342"/>
    <n v="53.39907629148136"/>
    <d v="2032-01-01T00:00:00"/>
    <n v="13.24931506849315"/>
    <s v="NN"/>
    <s v="2% annually"/>
    <s v="2, 5yr"/>
    <n v="11580000"/>
    <n v="990.4208005473828"/>
    <n v="0.05391554404145078"/>
    <x v="743"/>
    <x v="5"/>
    <s v="C&amp;W; Patel"/>
    <x v="690"/>
    <s v="Individual"/>
    <m/>
    <s v="Market Street Development"/>
    <n v="13144000"/>
    <n v="0.04750015216068168"/>
    <n v="0.8810103469263543"/>
    <n v="12123145"/>
    <n v="0.05150000268082251"/>
    <n v="0.002415541360628264"/>
    <s v="Yes"/>
    <d v="2018-02-27T00:00:00"/>
    <n v="220"/>
  </r>
  <r>
    <s v="DaVita Dialysis"/>
    <s v="1840 Southern Ln"/>
    <s v="Decatur"/>
    <s v="GA"/>
    <n v="1.21"/>
    <n v="1994"/>
    <n v="10666"/>
    <n v="245093"/>
    <n v="22.97890493155822"/>
    <d v="2033-10-30T00:00:00"/>
    <n v="15.07945205479452"/>
    <s v="NN"/>
    <s v="10% every 5"/>
    <s v="3, 5yr"/>
    <n v="4004787"/>
    <n v="375.4722482655166"/>
    <n v="0.06120000888936165"/>
    <x v="743"/>
    <x v="66"/>
    <s v="AY; Kropfl"/>
    <x v="330"/>
    <s v="Fund"/>
    <m/>
    <m/>
    <m/>
    <s v=" "/>
    <s v=" "/>
    <m/>
    <s v=" "/>
    <s v=" "/>
    <s v=" "/>
    <d v="2018-10-05T00:00:00"/>
    <n v="0"/>
  </r>
  <r>
    <s v="Fresenius Medical Care"/>
    <s v="130 Westavia Blvd"/>
    <s v="Scottsburg"/>
    <s v="IN"/>
    <n v="1.47"/>
    <n v="2010"/>
    <n v="7648"/>
    <n v="142988"/>
    <n v="18.69612970711297"/>
    <d v="2019-12-31T00:00:00"/>
    <n v="1.241095890410959"/>
    <s v="NNN"/>
    <s v="2% annually"/>
    <m/>
    <n v="1475000"/>
    <n v="192.8608786610879"/>
    <n v="0.09694101694915254"/>
    <x v="744"/>
    <x v="815"/>
    <s v="Matthews; Moreno"/>
    <x v="691"/>
    <s v="Individual"/>
    <m/>
    <m/>
    <n v="1588755"/>
    <n v="0.09000003147118341"/>
    <n v="0.9283999106218391"/>
    <n v="1588755"/>
    <n v="0.09000003147118341"/>
    <n v="0.006940985477969133"/>
    <s v="No"/>
    <d v="2018-01-02T00:00:00"/>
    <n v="275"/>
  </r>
  <r>
    <s v="DaVita Dialysis"/>
    <s v="1602 Main St"/>
    <s v="Tell City"/>
    <s v="IN"/>
    <n v="0.29"/>
    <n v="1996"/>
    <n v="5000"/>
    <n v="76250"/>
    <n v="15.25"/>
    <d v="2030-09-30T00:00:00"/>
    <n v="12.01369863013699"/>
    <s v="NN"/>
    <s v="2% annually"/>
    <s v="2, 5 year"/>
    <n v="1270000"/>
    <n v="254"/>
    <n v="0.06003937007874015"/>
    <x v="745"/>
    <x v="452"/>
    <s v="SJC; Briggs"/>
    <x v="692"/>
    <s v="Individual"/>
    <m/>
    <m/>
    <n v="1270833"/>
    <n v="0.06000001573770904"/>
    <n v="0.999344524418236"/>
    <n v="1270833"/>
    <n v="0.06000001573770904"/>
    <n v="3.935434103111146e-05"/>
    <s v="No"/>
    <d v="2018-08-06T00:00:00"/>
    <n v="53"/>
  </r>
  <r>
    <s v="Fresenius Medical Care"/>
    <s v="127 Lichfield Blvd"/>
    <s v="Fredericksburg"/>
    <s v="VA"/>
    <n v="1.22"/>
    <n v="2018"/>
    <n v="6445"/>
    <n v="236358"/>
    <n v="36.67307990690458"/>
    <d v="2033-08-31T00:00:00"/>
    <n v="14.93698630136986"/>
    <s v="NN"/>
    <s v="1.7% annually"/>
    <s v="3, 5yr"/>
    <n v="4220507"/>
    <n v="654.8498060512024"/>
    <n v="0.05600227650374706"/>
    <x v="746"/>
    <x v="494"/>
    <s v="C&amp;W; Trautvetter"/>
    <x v="693"/>
    <s v="Individual"/>
    <s v="M&amp;M; Johnson"/>
    <s v="MDG Development Group, LLC"/>
    <n v="4377000"/>
    <n v="0.054"/>
    <n v="0.9642465158784556"/>
    <n v="4377000"/>
    <n v="0.054"/>
    <n v="0.002002276503747062"/>
    <s v="No"/>
    <d v="2018-01-23T00:00:00"/>
    <n v="247"/>
  </r>
  <r>
    <s v="DaVita Dialysis"/>
    <s v="94-96 June Drive"/>
    <s v="Roaring Spring"/>
    <s v="PA"/>
    <n v="3.22"/>
    <m/>
    <n v="12563"/>
    <n v="179795"/>
    <n v="14.31147019024118"/>
    <d v="2027-09-30T00:00:00"/>
    <n v="9.013698630136986"/>
    <s v="NN"/>
    <s v="DVA: 7% Yr 6, 10% in Options"/>
    <s v="DVA: 3, 5yr"/>
    <n v="1840000"/>
    <n v="146.461832364881"/>
    <n v="0.09771467391304348"/>
    <x v="746"/>
    <x v="816"/>
    <s v="CBRE; Gorman"/>
    <x v="0"/>
    <s v="Individual"/>
    <m/>
    <m/>
    <n v="2115230"/>
    <n v="0.0850002127428223"/>
    <n v="0.8698817622669875"/>
    <n v="2115230"/>
    <n v="0.0850002127428223"/>
    <n v="0.01271446117022118"/>
    <s v="No"/>
    <d v="2018-04-09T00:00:00"/>
    <n v="171"/>
  </r>
  <r>
    <s v="DaVita Dialysis"/>
    <s v="270 Village Center Pkwy"/>
    <s v="Stockbridge"/>
    <s v="GA"/>
    <n v="1.2"/>
    <n v="2017"/>
    <n v="7800"/>
    <n v="260042.25"/>
    <n v="33.33875"/>
    <d v="2033-02-28T00:00:00"/>
    <n v="14.43561643835617"/>
    <s v="NN"/>
    <s v="10% every 5"/>
    <s v="3, 5yr"/>
    <n v="4000650"/>
    <n v="512.9038461538462"/>
    <n v="0.065"/>
    <x v="747"/>
    <x v="66"/>
    <m/>
    <x v="111"/>
    <s v="Fund"/>
    <m/>
    <m/>
    <m/>
    <m/>
    <s v=" "/>
    <m/>
    <m/>
    <s v=" "/>
    <s v=" "/>
    <m/>
    <s v=" "/>
  </r>
  <r>
    <s v="Fresenius Medical Care"/>
    <s v="3204 Old Forest Rd"/>
    <s v="Lynchburg"/>
    <s v="VA"/>
    <n v="1.32"/>
    <n v="2018"/>
    <n v="6854"/>
    <n v="210158"/>
    <n v="30.66209512693318"/>
    <d v="2033-02-28T00:00:00"/>
    <n v="14.43835616438356"/>
    <s v="NN"/>
    <s v="10% every 5 years"/>
    <s v="3, 5yr"/>
    <n v="3719626"/>
    <n v="542.6941931718704"/>
    <n v="0.05649976637436129"/>
    <x v="748"/>
    <x v="351"/>
    <s v="M&amp;M; Glass"/>
    <x v="694"/>
    <s v="Individual"/>
    <m/>
    <m/>
    <n v="3719626"/>
    <n v="0.05649976637436129"/>
    <n v="1"/>
    <n v="3719626"/>
    <n v="0.05649976637436129"/>
    <n v="0"/>
    <s v="No"/>
    <d v="2018-06-04T00:00:00"/>
    <n v="113"/>
  </r>
  <r>
    <s v="DaVita Dialysis"/>
    <s v="4215 W. 167th Street"/>
    <s v="Country Club Hills"/>
    <s v="IL"/>
    <n v="1.93"/>
    <n v="2011"/>
    <n v="7000"/>
    <n v="256804"/>
    <n v="36.68628571428572"/>
    <d v="2029-09-30T00:00:00"/>
    <n v="11.03835616438356"/>
    <s v="NNN"/>
    <s v="10% every 5 years"/>
    <s v="2 x 5 year options"/>
    <n v="4000100"/>
    <n v="571.4428571428572"/>
    <n v="0.06419939501512462"/>
    <x v="749"/>
    <x v="174"/>
    <s v="SJC; Feller"/>
    <x v="695"/>
    <s v="Individual"/>
    <m/>
    <m/>
    <n v="4280077"/>
    <n v="0.05999985514279299"/>
    <n v="0.9345859899249476"/>
    <n v="4280077"/>
    <n v="0.05999985514279299"/>
    <n v="0.004199539872331626"/>
    <s v="No"/>
    <m/>
    <s v=" "/>
  </r>
  <r>
    <s v="Fresenius Medical Care"/>
    <s v="5401 Gex Rd"/>
    <s v="Diamondhead"/>
    <s v="MS"/>
    <n v="3"/>
    <n v="2012"/>
    <n v="10764"/>
    <n v="88914"/>
    <n v="8.2603121516165"/>
    <d v="2031-12-31T00:00:00"/>
    <n v="13.3013698630137"/>
    <m/>
    <m/>
    <m/>
    <m/>
    <s v=" "/>
    <s v=" "/>
    <x v="750"/>
    <x v="817"/>
    <m/>
    <x v="267"/>
    <s v="Fund"/>
    <m/>
    <m/>
    <m/>
    <s v=" "/>
    <s v=" "/>
    <m/>
    <s v=" "/>
    <s v=" "/>
    <s v=" "/>
    <m/>
    <s v=" "/>
  </r>
  <r>
    <s v="DaVita (Multi-Tenant - West Covina Medical Square)"/>
    <s v="1539 W Garvey Ave North"/>
    <s v="West Covina"/>
    <s v="CA"/>
    <n v="1.66"/>
    <n v="1991"/>
    <n v="22564"/>
    <n v="332593"/>
    <n v="14.73998404538203"/>
    <d v="2028-12-31T00:00:00"/>
    <n v="10.3041095890411"/>
    <m/>
    <s v="Yes"/>
    <m/>
    <m/>
    <s v=" "/>
    <s v=" "/>
    <x v="751"/>
    <x v="818"/>
    <s v="CBRE; Shaffer"/>
    <x v="696"/>
    <s v="Individual"/>
    <m/>
    <m/>
    <n v="6048164"/>
    <n v="0.05499073768502309"/>
    <s v=" "/>
    <n v="6048164"/>
    <n v="0.05499073768502309"/>
    <s v=" "/>
    <s v="No"/>
    <d v="2017-09-01T00:00:00"/>
    <n v="378"/>
  </r>
  <r>
    <s v="DaVita Dialysis"/>
    <s v="4242 Broadway"/>
    <s v="Oakland"/>
    <s v="CA"/>
    <n v="0.45"/>
    <n v="2017"/>
    <n v="12754"/>
    <n v="801240"/>
    <n v="62.82264387643092"/>
    <d v="2032-12-14T00:00:00"/>
    <n v="14.28219178082192"/>
    <s v="NN"/>
    <s v="10% every 5 years; FMRV at each option"/>
    <s v="2, 5yr"/>
    <n v="15700000"/>
    <n v="1230.986357221264"/>
    <n v="0.0510343949044586"/>
    <x v="752"/>
    <x v="511"/>
    <s v="C&amp;W; Sheldon"/>
    <x v="697"/>
    <s v="Individual"/>
    <s v="Kase; Gates"/>
    <s v="Meridian Property Co."/>
    <n v="16500000"/>
    <n v="0.04856"/>
    <n v="0.9515151515151515"/>
    <n v="15710000"/>
    <n v="0.05100190961171228"/>
    <n v="3.248529274631901e-05"/>
    <s v="Yes"/>
    <d v="2018-03-22T00:00:00"/>
    <n v="168"/>
  </r>
  <r>
    <s v="DaVita Dialysis"/>
    <s v="1200 Crestwood Cir"/>
    <s v="Mena"/>
    <s v="AR"/>
    <n v="0.51"/>
    <n v="2007"/>
    <n v="4956"/>
    <n v="67649"/>
    <n v="13.6499192897498"/>
    <d v="2022-09-26T00:00:00"/>
    <n v="4.06027397260274"/>
    <s v="NN"/>
    <s v="5% annually"/>
    <s v="3, 5yr"/>
    <n v="855850"/>
    <n v="172.6896690879742"/>
    <n v="0.07904305661038734"/>
    <x v="753"/>
    <x v="819"/>
    <s v="PH: Peranich &amp; Huffman"/>
    <x v="0"/>
    <s v="Individual"/>
    <m/>
    <m/>
    <n v="890000"/>
    <n v="0.07601011235955056"/>
    <n v="0.9616292134831461"/>
    <n v="890000"/>
    <n v="0.07601011235955056"/>
    <n v="0.003032944250836778"/>
    <s v="No"/>
    <d v="2018-02-21T00:00:00"/>
    <n v="196"/>
  </r>
  <r>
    <s v="Satellite Healthcare - Condo"/>
    <s v="1801 E March Ln"/>
    <s v="Stockton"/>
    <s v="CA"/>
    <n v="2.21"/>
    <n v="2006"/>
    <n v="10336"/>
    <n v="260467"/>
    <n v="25.1999806501548"/>
    <d v="2030-02-28T00:00:00"/>
    <n v="11.5041095890411"/>
    <s v="NNN"/>
    <s v="2.5% annually"/>
    <s v="2, 5yr"/>
    <n v="4166500"/>
    <n v="403.1056501547988"/>
    <n v="0.06251458058322333"/>
    <x v="754"/>
    <x v="820"/>
    <s v="C&amp;W; Sheldon"/>
    <x v="698"/>
    <s v="Individual"/>
    <m/>
    <m/>
    <n v="3720900"/>
    <n v="0.07000107500873444"/>
    <n v="1.119755973017281"/>
    <n v="4341100"/>
    <n v="0.06000023035636129"/>
    <n v="0.002514350226862042"/>
    <s v="Yes"/>
    <d v="2018-02-13T00:00:00"/>
    <n v="199"/>
  </r>
  <r>
    <s v="Fresenius (MOB)"/>
    <s v="10 Maple Ave"/>
    <s v="Great Barrington"/>
    <s v="MA"/>
    <n v="1.95"/>
    <n v="1985"/>
    <n v="7149"/>
    <m/>
    <s v=" "/>
    <m/>
    <s v=" "/>
    <m/>
    <m/>
    <m/>
    <n v="1396500"/>
    <n v="195.3420058749475"/>
    <s v=" "/>
    <x v="755"/>
    <x v="821"/>
    <m/>
    <x v="699"/>
    <s v="Individual"/>
    <m/>
    <m/>
    <m/>
    <s v=" "/>
    <s v=" "/>
    <m/>
    <s v=" "/>
    <s v=" "/>
    <s v=" "/>
    <m/>
    <s v=" "/>
  </r>
  <r>
    <s v="DaVita Dialysis"/>
    <s v="2704 N Oak St, Bldg H"/>
    <s v="Valdosta"/>
    <s v="GA"/>
    <n v="0.57"/>
    <n v="1997"/>
    <n v="5262"/>
    <n v="72000"/>
    <n v="13.6830102622577"/>
    <d v="2019-12-31T00:00:00"/>
    <n v="1.336986301369863"/>
    <s v="NN"/>
    <s v="7% at each option"/>
    <s v="2, 5yr"/>
    <n v="715000"/>
    <n v="135.8798935765869"/>
    <n v="0.1006993006993007"/>
    <x v="755"/>
    <x v="822"/>
    <s v="M&amp;M; Cook"/>
    <x v="700"/>
    <s v="Individual"/>
    <m/>
    <m/>
    <n v="775000"/>
    <n v="0.09290322580645162"/>
    <n v="0.9225806451612903"/>
    <n v="775000"/>
    <n v="0.09290322580645162"/>
    <n v="0.007796074892849086"/>
    <s v="No"/>
    <d v="2017-10-19T00:00:00"/>
    <n v="315"/>
  </r>
  <r>
    <s v="Fresenius Medical Care"/>
    <s v="345 Bishop Street"/>
    <s v="Akron"/>
    <s v="OH"/>
    <n v="0.756"/>
    <n v="2016"/>
    <n v="8663"/>
    <n v="112553"/>
    <n v="12.99238139212744"/>
    <d v="2037-12-31T00:00:00"/>
    <n v="19.35342465753425"/>
    <s v="Absolute NNN"/>
    <s v="Annual CPI"/>
    <s v="3, 5yr"/>
    <m/>
    <s v=" "/>
    <s v=" "/>
    <x v="756"/>
    <x v="351"/>
    <s v="M&amp;M; Glass"/>
    <x v="701"/>
    <s v="Individual"/>
    <m/>
    <m/>
    <n v="2143867"/>
    <n v="0.0524999918371802"/>
    <s v=" "/>
    <n v="2143867"/>
    <n v="0.0524999918371802"/>
    <s v=" "/>
    <s v="No"/>
    <d v="2018-04-25T00:00:00"/>
    <n v="126"/>
  </r>
  <r>
    <s v="DaVita Dialysis"/>
    <s v="2816 N. Kimball St."/>
    <s v="Chicago"/>
    <s v="IL"/>
    <n v="0.76"/>
    <n v="2013"/>
    <n v="9100"/>
    <n v="257803"/>
    <n v="28.33"/>
    <d v="2028-05-14T00:00:00"/>
    <n v="9.717808219178082"/>
    <s v="NNN"/>
    <s v="10% every Five (5) Years (base term and options)"/>
    <s v="Three (3), Five (5) year options"/>
    <n v="4425000"/>
    <n v="486.2637362637363"/>
    <n v="0.05826056497175141"/>
    <x v="757"/>
    <x v="823"/>
    <m/>
    <x v="702"/>
    <s v="Fund"/>
    <m/>
    <m/>
    <n v="4910533"/>
    <n v="0.05250000356376792"/>
    <n v="0.9011241753186466"/>
    <n v="4910533"/>
    <n v="0.05250000356376792"/>
    <n v="0.005760561407983485"/>
    <s v="No"/>
    <m/>
    <s v=" "/>
  </r>
  <r>
    <s v="DaVita Dialysis"/>
    <s v="6757 Main St"/>
    <s v="Cass City"/>
    <s v="MI"/>
    <n v="1.2"/>
    <n v="1999"/>
    <n v="7822"/>
    <n v="102088"/>
    <n v="13.05139350549732"/>
    <d v="2019-06-30T00:00:00"/>
    <n v="0.8547945205479452"/>
    <s v="NN"/>
    <s v="2.5% Annually"/>
    <s v="2, 5yr"/>
    <n v="1355774"/>
    <n v="173.3283047813858"/>
    <n v="0.0752986854741277"/>
    <x v="758"/>
    <x v="73"/>
    <m/>
    <x v="269"/>
    <s v="Fund"/>
    <m/>
    <m/>
    <m/>
    <s v=" "/>
    <s v=" "/>
    <m/>
    <s v=" "/>
    <s v=" "/>
    <s v=" "/>
    <m/>
    <s v=" "/>
  </r>
  <r>
    <s v="Fresenius Medical Care"/>
    <s v="2096 Mcgee Rd"/>
    <s v="Snellville"/>
    <s v="GA"/>
    <n v="1.57"/>
    <n v="1996"/>
    <n v="5287"/>
    <n v="111492"/>
    <n v="21.08795157934556"/>
    <d v="2024-08-31T00:00:00"/>
    <n v="6.032876712328767"/>
    <s v="Absolute NNN"/>
    <s v="Annually"/>
    <s v="2, 5yr"/>
    <n v="1300000"/>
    <n v="245.8861358048042"/>
    <n v="0.08576307692307693"/>
    <x v="759"/>
    <x v="824"/>
    <s v="Myron Sheron"/>
    <x v="703"/>
    <s v="Individual"/>
    <m/>
    <m/>
    <n v="1783887"/>
    <n v="0.06249947446222771"/>
    <n v="0.7287457109110611"/>
    <n v="1475000"/>
    <n v="0.0755877966101695"/>
    <n v="0.01017528031290743"/>
    <s v="Yes"/>
    <d v="2018-01-04T00:00:00"/>
    <n v="229"/>
  </r>
  <r>
    <s v="Fresenius Medical Care"/>
    <s v="9623 Long Point Rd"/>
    <s v="Houston"/>
    <s v="TX"/>
    <n v="1.1"/>
    <n v="1992"/>
    <n v="8208"/>
    <n v="207597"/>
    <n v="25.29203216374269"/>
    <d v="2037-12-31T00:00:00"/>
    <n v="19.37534246575342"/>
    <s v="Absolute NNN"/>
    <s v="CPI based increases annually"/>
    <s v="3, 5yr"/>
    <n v="3880318"/>
    <n v="472.7482943469786"/>
    <n v="0.05349999664975912"/>
    <x v="759"/>
    <x v="351"/>
    <s v="M&amp;M; Glass"/>
    <x v="704"/>
    <s v="Individual"/>
    <s v="SJC; Scrivner"/>
    <m/>
    <n v="3880318"/>
    <n v="0.05349999664975912"/>
    <n v="1"/>
    <n v="3880318"/>
    <n v="0.05349999664975912"/>
    <n v="0"/>
    <s v="No"/>
    <d v="2018-04-27T00:00:00"/>
    <n v="116"/>
  </r>
  <r>
    <s v="Fresenius Medical Care"/>
    <s v="150 Farrar Dr"/>
    <s v="Cape Girardeau"/>
    <s v="MO"/>
    <m/>
    <n v="2018"/>
    <n v="10603"/>
    <m/>
    <s v=" "/>
    <m/>
    <s v=" "/>
    <m/>
    <m/>
    <m/>
    <n v="4249150"/>
    <n v="400.7497877959068"/>
    <s v=" "/>
    <x v="760"/>
    <x v="494"/>
    <s v="M&amp;M;"/>
    <x v="193"/>
    <s v="Fund"/>
    <m/>
    <s v="MDG Development Group, LLC"/>
    <m/>
    <s v=" "/>
    <s v=" "/>
    <m/>
    <s v=" "/>
    <s v=" "/>
    <s v=" "/>
    <m/>
    <s v=" "/>
  </r>
  <r>
    <s v="DaVita Dialysis"/>
    <s v="2860 US HWY 83 South"/>
    <s v="Zapata"/>
    <s v="TX"/>
    <n v="1.17"/>
    <n v="2017"/>
    <n v="7340"/>
    <n v="188214"/>
    <n v="25.64223433242507"/>
    <d v="2032-12-31T00:00:00"/>
    <n v="14.38356164383562"/>
    <s v="NN"/>
    <s v="10% every 5"/>
    <s v="2, 5 yr"/>
    <n v="3045534"/>
    <n v="414.9228882833788"/>
    <n v="0.06179999960598043"/>
    <x v="761"/>
    <x v="66"/>
    <s v="SJC; Briggs"/>
    <x v="705"/>
    <s v="Individual"/>
    <m/>
    <m/>
    <n v="3303624"/>
    <n v="0.05697197986211506"/>
    <n v="0.9218767026756072"/>
    <n v="3303624"/>
    <n v="0.05697197986211506"/>
    <n v="0.004828019743865368"/>
    <s v="No"/>
    <d v="2017-06-26T00:00:00"/>
    <n v="417"/>
  </r>
  <r>
    <s v="DaVita Dialysis"/>
    <s v="235 S Buchanan St"/>
    <s v="Edwardsville"/>
    <s v="IL"/>
    <n v="0.5"/>
    <n v="2008"/>
    <n v="3700"/>
    <n v="70536"/>
    <n v="19.06378378378378"/>
    <d v="2024-01-01T00:00:00"/>
    <n v="5.386301369863014"/>
    <s v="NN"/>
    <s v="Yes"/>
    <s v="3, 5yr"/>
    <n v="985000"/>
    <n v="266.2162162162162"/>
    <n v="0.07161015228426396"/>
    <x v="762"/>
    <x v="825"/>
    <s v="M&amp;M; Levy"/>
    <x v="706"/>
    <s v="Individual"/>
    <m/>
    <m/>
    <n v="1015000"/>
    <n v="0.0694935960591133"/>
    <n v="0.9704433497536946"/>
    <n v="1015000"/>
    <n v="0.0694935960591133"/>
    <n v="0.002116556225150654"/>
    <s v="No"/>
    <d v="2018-04-26T00:00:00"/>
    <n v="110"/>
  </r>
  <r>
    <s v="DaVita Dialysis"/>
    <s v="4155-4163 Kelnor Dr"/>
    <s v="Grove City"/>
    <s v="OH"/>
    <n v="1.3"/>
    <n v="1989"/>
    <n v="18000"/>
    <n v="125075"/>
    <n v="6.948611111111111"/>
    <d v="2027-06-30T00:00:00"/>
    <n v="8.884931506849314"/>
    <s v="NN"/>
    <s v="10% every 5"/>
    <s v="2, 5 yr"/>
    <n v="1525000"/>
    <n v="84.72222222222223"/>
    <n v="0.08201639344262295"/>
    <x v="763"/>
    <x v="826"/>
    <s v="RJ Boll"/>
    <x v="707"/>
    <s v="Individual"/>
    <s v="HER; Hrabcak"/>
    <m/>
    <n v="1550000"/>
    <n v="0.08069354838709678"/>
    <n v="0.9838709677419355"/>
    <n v="1550000"/>
    <n v="0.08069354838709678"/>
    <n v="0.00132284505552617"/>
    <s v="No"/>
    <d v="2018-05-24T00:00:00"/>
    <n v="81"/>
  </r>
  <r>
    <s v="DaVita Dialysis"/>
    <s v="4330 Keystone Dr"/>
    <s v="Maumee"/>
    <s v="OH"/>
    <n v="1.37"/>
    <n v="2016"/>
    <n v="7097"/>
    <n v="163231"/>
    <n v="23"/>
    <d v="2031-03-14T00:00:00"/>
    <n v="12.6"/>
    <s v="NN"/>
    <s v="10% at year 11 &amp; each option"/>
    <s v="3, 5yr"/>
    <n v="2511300"/>
    <n v="353.8537410173313"/>
    <n v="0.06499860629952614"/>
    <x v="764"/>
    <x v="827"/>
    <s v="Fortis"/>
    <x v="111"/>
    <s v="Fund"/>
    <m/>
    <m/>
    <n v="2720516"/>
    <n v="0.06000001470309309"/>
    <n v="0.9230969419036683"/>
    <n v="2720516"/>
    <n v="0.06000001470309309"/>
    <n v="0.004998591596433052"/>
    <s v="No"/>
    <d v="2018-04-26T00:00:00"/>
    <n v="106"/>
  </r>
  <r>
    <s v="DaVita Dialysis"/>
    <s v="1533 Holly Rd"/>
    <s v="Corpus Christi"/>
    <s v="TX"/>
    <n v="1.59"/>
    <n v="2008"/>
    <n v="7930"/>
    <n v="282437"/>
    <n v="35.61626733921816"/>
    <d v="2028-05-31T00:00:00"/>
    <n v="9.816438356164383"/>
    <s v="Absolute NNN"/>
    <s v="2.5% annually"/>
    <s v="4, 5yr"/>
    <n v="4900000"/>
    <n v="617.9066834804539"/>
    <n v="0.05764020408163265"/>
    <x v="765"/>
    <x v="515"/>
    <s v="Fortis"/>
    <x v="0"/>
    <s v="Individual"/>
    <m/>
    <m/>
    <n v="4975000"/>
    <n v="0.05677125628140704"/>
    <n v="0.9849246231155779"/>
    <n v="4975000"/>
    <n v="0.05677125628140704"/>
    <n v="0.0008689478002256168"/>
    <s v="No"/>
    <d v="2018-05-02T00:00:00"/>
    <n v="99"/>
  </r>
  <r>
    <s v="DaVita Dialysis"/>
    <s v="231 Kelley Street"/>
    <s v="Lake City"/>
    <s v="SC"/>
    <m/>
    <n v="2007"/>
    <n v="11000"/>
    <n v="60500"/>
    <n v="5.5"/>
    <d v="2032-01-31T00:00:00"/>
    <n v="13.4958904109589"/>
    <s v="NN"/>
    <s v="10% Every 5 Years"/>
    <s v="3, 5 yr"/>
    <n v="930000"/>
    <n v="84.54545454545455"/>
    <n v="0.06505376344086021"/>
    <x v="766"/>
    <x v="828"/>
    <s v="SJC; Wilkins"/>
    <x v="708"/>
    <s v="Individual"/>
    <m/>
    <m/>
    <n v="1000000"/>
    <n v="0.0605"/>
    <n v="0.93"/>
    <n v="1000000"/>
    <n v="0.0605"/>
    <n v="0.004553763440860212"/>
    <s v="No"/>
    <d v="2017-10-16T00:00:00"/>
    <n v="294"/>
  </r>
  <r>
    <s v="Fresenius Medical Care"/>
    <s v="4340 Callander St SE"/>
    <s v="Grand Rapids"/>
    <s v="MI"/>
    <n v="1.59"/>
    <n v="2014"/>
    <n v="10712"/>
    <n v="99108"/>
    <n v="9.252053771471248"/>
    <d v="2024-02-29T00:00:00"/>
    <n v="5.580821917808219"/>
    <s v="NN"/>
    <s v="2.5% annually"/>
    <s v="3, 5yr"/>
    <n v="1304053"/>
    <n v="121.7375840179238"/>
    <n v="0.07599997852848005"/>
    <x v="767"/>
    <x v="73"/>
    <s v="CBRE; Pike"/>
    <x v="229"/>
    <s v="REIT"/>
    <m/>
    <m/>
    <n v="1367007"/>
    <n v="0.07249999451356137"/>
    <n v="0.9539475657403363"/>
    <n v="1367007"/>
    <n v="0.07249999451356137"/>
    <n v="0.003499984014918675"/>
    <s v="No"/>
    <d v="2018-04-09T00:00:00"/>
    <n v="115"/>
  </r>
  <r>
    <s v="Fresenius Medical Care"/>
    <s v="1647 S Alameda"/>
    <s v="Corpus Christi"/>
    <s v="TX"/>
    <m/>
    <n v="2015"/>
    <n v="9819"/>
    <n v="247692"/>
    <n v="25.22578673999389"/>
    <d v="2030-08-31T00:00:00"/>
    <n v="12.08767123287671"/>
    <s v="NN"/>
    <s v="1.7% annually"/>
    <s v="3, 5yr"/>
    <n v="4200000"/>
    <n v="427.7421326000611"/>
    <n v="0.05897428571428572"/>
    <x v="767"/>
    <x v="829"/>
    <s v="C&amp;W; Patel"/>
    <x v="709"/>
    <s v="Individual"/>
    <s v="Charles Loescher"/>
    <m/>
    <n v="4383923"/>
    <n v="0.05650007995122177"/>
    <n v="0.9580460240747841"/>
    <n v="4383923"/>
    <n v="0.05650007995122177"/>
    <n v="0.002474205763063946"/>
    <s v="No"/>
    <d v="2018-05-08T00:00:00"/>
    <n v="86"/>
  </r>
  <r>
    <s v="Fresenius Medical Care"/>
    <s v="801 Plantation Blvd"/>
    <s v="Sikeston"/>
    <s v="MO"/>
    <n v="1.35"/>
    <n v="2014"/>
    <n v="7960"/>
    <n v="155245"/>
    <n v="19.50314070351759"/>
    <d v="2029-10-31T00:00:00"/>
    <n v="11.25753424657534"/>
    <s v="NN"/>
    <s v="1.7% annually"/>
    <m/>
    <n v="2325884.7"/>
    <n v="292.1965703517588"/>
    <n v="0.06674664483583385"/>
    <x v="768"/>
    <x v="73"/>
    <s v="CBRE; Pike"/>
    <x v="229"/>
    <s v="REIT"/>
    <m/>
    <m/>
    <n v="2388392"/>
    <n v="0.06499979902796525"/>
    <n v="0.973828709860023"/>
    <n v="2388392"/>
    <n v="0.06499979902796525"/>
    <n v="0.001746845807868602"/>
    <s v="No"/>
    <d v="2018-04-05T00:00:00"/>
    <n v="118"/>
  </r>
  <r>
    <s v="DaVita Dialysis"/>
    <s v="11707 Whittier Ave"/>
    <s v="Detroit"/>
    <s v="MI"/>
    <n v="1.73"/>
    <n v="2017"/>
    <n v="10000"/>
    <n v="200000"/>
    <n v="20"/>
    <d v="2033-07-31T00:00:00"/>
    <n v="15.00821917808219"/>
    <s v="Absolute NNN"/>
    <s v="2% annually"/>
    <s v="3, 5yr"/>
    <n v="2786403"/>
    <n v="278.6403"/>
    <n v="0.07177712628072824"/>
    <x v="768"/>
    <x v="830"/>
    <s v="M&amp;M; Sabharwal"/>
    <x v="267"/>
    <s v="Fund"/>
    <m/>
    <m/>
    <n v="3330000"/>
    <n v="0.06006006006006006"/>
    <n v="0.8367576576576576"/>
    <n v="3330000"/>
    <n v="0.06006006006006006"/>
    <n v="0.01171706622066818"/>
    <s v="No"/>
    <d v="2017-12-28T00:00:00"/>
    <n v="216"/>
  </r>
  <r>
    <s v="Fresenius Medical Care"/>
    <s v="3600 W Erwin St"/>
    <s v="Tyler"/>
    <s v="TX"/>
    <n v="0.84"/>
    <n v="1983"/>
    <n v="6000"/>
    <n v="108000"/>
    <n v="18"/>
    <d v="2037-12-31T00:00:00"/>
    <n v="19.43013698630137"/>
    <s v="Absolute NNN"/>
    <s v="CPI based increases annually"/>
    <s v="3, 5yr"/>
    <m/>
    <s v=" "/>
    <s v=" "/>
    <x v="768"/>
    <x v="351"/>
    <s v="M&amp;M; Glass"/>
    <x v="710"/>
    <s v="Individual"/>
    <m/>
    <m/>
    <n v="2018692"/>
    <n v="0.05349998910185407"/>
    <s v=" "/>
    <n v="2018692"/>
    <n v="0.05349998910185407"/>
    <s v=" "/>
    <s v="No"/>
    <d v="2018-04-27T00:00:00"/>
    <n v="96"/>
  </r>
  <r>
    <s v="Fresenius Medical Care"/>
    <s v="703 S Plummer Ave"/>
    <s v="Chanute"/>
    <s v="KS"/>
    <n v="1.17"/>
    <n v="2004"/>
    <n v="7332"/>
    <n v="170014"/>
    <n v="23.18794326241135"/>
    <d v="2037-12-31T00:00:00"/>
    <n v="19.43013698630137"/>
    <s v="Absolute NNN"/>
    <s v="CPI based increases annually"/>
    <s v="3, 5yr"/>
    <m/>
    <s v=" "/>
    <s v=" "/>
    <x v="768"/>
    <x v="351"/>
    <s v="M&amp;M; Glass"/>
    <x v="0"/>
    <s v="Individual"/>
    <m/>
    <m/>
    <n v="3091164"/>
    <n v="0.05499999352994536"/>
    <s v=" "/>
    <n v="3091164"/>
    <n v="0.05499999352994536"/>
    <s v=" "/>
    <s v="No"/>
    <d v="2018-04-27T00:00:00"/>
    <n v="96"/>
  </r>
  <r>
    <s v="Fresenius Medical Care"/>
    <s v="338 8th St"/>
    <s v="Benton Harbor"/>
    <s v="MI"/>
    <n v="1.59"/>
    <n v="2012"/>
    <n v="8740"/>
    <n v="162914"/>
    <n v="18.64004576659039"/>
    <d v="2023-01-14T00:00:00"/>
    <n v="4.46027397260274"/>
    <s v="NN"/>
    <m/>
    <m/>
    <n v="2288118"/>
    <n v="261.7983981693364"/>
    <n v="0.07119999930073537"/>
    <x v="769"/>
    <x v="73"/>
    <s v="CBRE; Pike"/>
    <x v="229"/>
    <s v="REIT"/>
    <m/>
    <m/>
    <n v="2102116"/>
    <n v="0.07750000475711141"/>
    <n v="1.088483223570916"/>
    <n v="2102116"/>
    <n v="0.07750000475711141"/>
    <n v="-0.006300005456376045"/>
    <s v="No"/>
    <d v="2018-04-05T00:00:00"/>
    <n v="117"/>
  </r>
  <r>
    <s v="Fresenius Medical Care"/>
    <s v="9 Industry Ave"/>
    <s v="Auburn"/>
    <s v="ME"/>
    <n v="0.99"/>
    <n v="1998"/>
    <n v="12163"/>
    <n v="201771"/>
    <n v="16.58891720792568"/>
    <d v="2029-12-31T00:00:00"/>
    <n v="11.42739726027397"/>
    <s v="NN"/>
    <s v="1.7% annaully"/>
    <s v="2, 5 yr"/>
    <n v="3023055"/>
    <n v="248.545177998849"/>
    <n v="0.06674407180815434"/>
    <x v="769"/>
    <x v="73"/>
    <s v="CBRE; Pike"/>
    <x v="229"/>
    <s v="REIT"/>
    <m/>
    <m/>
    <n v="3104169"/>
    <n v="0.06500000483221113"/>
    <n v="0.9738693350780837"/>
    <n v="3104169"/>
    <n v="0.06500000483221113"/>
    <n v="0.001744066975943204"/>
    <s v="No"/>
    <d v="2018-04-05T00:00:00"/>
    <n v="117"/>
  </r>
  <r>
    <s v="DaVita Dialysis"/>
    <s v="705 28th St SE"/>
    <s v="Grand Rapids"/>
    <s v="MI"/>
    <n v="0.98"/>
    <n v="2013"/>
    <n v="8164"/>
    <n v="178678"/>
    <n v="21.88608525232729"/>
    <d v="2031-03-31T00:00:00"/>
    <n v="12.67397260273973"/>
    <s v="NN"/>
    <s v="10% every 5 years"/>
    <s v="2, 5yr"/>
    <n v="2770202"/>
    <n v="339.3192062714356"/>
    <n v="0.06449998953144934"/>
    <x v="769"/>
    <x v="73"/>
    <s v="CBRE; Pike"/>
    <x v="229"/>
    <s v="REIT"/>
    <m/>
    <m/>
    <n v="2977967"/>
    <n v="0.05999999328400885"/>
    <n v="0.930232604995287"/>
    <n v="2977967"/>
    <n v="0.05999999328400885"/>
    <n v="0.004499996247440484"/>
    <s v="No"/>
    <d v="2018-04-05T00:00:00"/>
    <n v="117"/>
  </r>
  <r>
    <s v="Fresenius Medical Care"/>
    <s v="1392 Bells Ferry Road"/>
    <s v="Marietta "/>
    <s v="GA"/>
    <n v="1.96"/>
    <n v="2003"/>
    <n v="9620"/>
    <m/>
    <s v=" "/>
    <m/>
    <s v=" "/>
    <m/>
    <m/>
    <m/>
    <n v="2279742"/>
    <n v="236.9794178794179"/>
    <s v=" "/>
    <x v="769"/>
    <x v="831"/>
    <m/>
    <x v="711"/>
    <s v="Individual"/>
    <m/>
    <m/>
    <n v="2279742"/>
    <s v=" "/>
    <n v="1"/>
    <n v="2279742"/>
    <s v=" "/>
    <s v=" "/>
    <s v="No"/>
    <m/>
    <s v=" "/>
  </r>
  <r>
    <s v="Areteaus US Medical Office Portfolio 2018"/>
    <s v="6 of 6 properties"/>
    <m/>
    <m/>
    <m/>
    <m/>
    <n v="62589"/>
    <m/>
    <s v=" "/>
    <m/>
    <s v=" "/>
    <m/>
    <m/>
    <m/>
    <n v="13917366"/>
    <n v="222.3612136317883"/>
    <s v=" "/>
    <x v="770"/>
    <x v="73"/>
    <s v="CBRE"/>
    <x v="229"/>
    <s v="REIT"/>
    <m/>
    <m/>
    <m/>
    <s v=" "/>
    <s v=" "/>
    <m/>
    <s v=" "/>
    <s v=" "/>
    <s v=" "/>
    <m/>
    <s v=" "/>
  </r>
  <r>
    <s v="DaVita Dialysis"/>
    <s v="1510 Eastern Blvd"/>
    <s v="Montomgery"/>
    <s v="AL"/>
    <n v="1.41"/>
    <n v="2002"/>
    <n v="6336"/>
    <n v="91872"/>
    <n v="14.5"/>
    <d v="2027-04-30T00:00:00"/>
    <n v="8.756164383561643"/>
    <s v="NN"/>
    <s v="2% annually"/>
    <s v="3, 5yr"/>
    <n v="1640570"/>
    <n v="258.928345959596"/>
    <n v="0.0560000487635395"/>
    <x v="770"/>
    <x v="832"/>
    <s v="SRS; Raymond"/>
    <x v="0"/>
    <s v="Individual"/>
    <m/>
    <m/>
    <n v="1670000"/>
    <n v="0.05501317365269461"/>
    <n v="0.9823772455089821"/>
    <n v="1670000"/>
    <n v="0.05501317365269461"/>
    <n v="0.000986875110844887"/>
    <s v="No"/>
    <d v="2018-02-08T00:00:00"/>
    <n v="172"/>
  </r>
  <r>
    <s v="Fresenius Medical Care"/>
    <s v="14 Roving Road"/>
    <s v="Cartersville"/>
    <s v="GA"/>
    <m/>
    <n v="2003"/>
    <n v="8563"/>
    <n v="150000"/>
    <n v="17.51722527151699"/>
    <d v="2023-06-01T00:00:00"/>
    <n v="4.849315068493151"/>
    <s v="NN"/>
    <m/>
    <m/>
    <n v="2000000"/>
    <n v="233.5630036202266"/>
    <n v="0.075"/>
    <x v="771"/>
    <x v="833"/>
    <m/>
    <x v="712"/>
    <s v="Individual"/>
    <m/>
    <m/>
    <n v="2500000"/>
    <n v="0.06"/>
    <n v="0.8"/>
    <n v="2500000"/>
    <n v="0.06"/>
    <n v="0.015"/>
    <s v="No"/>
    <d v="2018-05-07T00:00:00"/>
    <n v="81"/>
  </r>
  <r>
    <s v="Fresenius Medical Care"/>
    <s v="28 Rice Pond Rd"/>
    <s v="Ridgeland"/>
    <s v="SC"/>
    <n v="1.36"/>
    <n v="1997"/>
    <n v="6243"/>
    <n v="101449"/>
    <n v="16.25004004485023"/>
    <d v="2027-12-31T00:00:00"/>
    <n v="9.435616438356165"/>
    <s v="NN"/>
    <s v="2% annually"/>
    <s v="2, 5yr"/>
    <n v="1691000"/>
    <n v="270.8633669710075"/>
    <n v="0.05999349497338853"/>
    <x v="771"/>
    <x v="834"/>
    <s v="JLL; Wolfes"/>
    <x v="713"/>
    <s v="Individual"/>
    <m/>
    <m/>
    <n v="1691000"/>
    <n v="0.05999349497338853"/>
    <n v="1"/>
    <n v="1691000"/>
    <n v="0.05999349497338853"/>
    <n v="0"/>
    <s v="No"/>
    <d v="2018-03-23T00:00:00"/>
    <n v="126"/>
  </r>
  <r>
    <s v="Fresenius Medical Care"/>
    <s v="707 Gilbert Street"/>
    <s v="Charles City"/>
    <s v="IA"/>
    <n v="0.5"/>
    <n v="1969"/>
    <n v="6738"/>
    <n v="35844"/>
    <n v="5.319679430097952"/>
    <d v="2020-05-31T00:00:00"/>
    <n v="1.849315068493151"/>
    <s v="NNN"/>
    <s v="3% annually"/>
    <s v="2, 2yr"/>
    <n v="415000"/>
    <n v="61.59097655090531"/>
    <n v="0.0863710843373494"/>
    <x v="772"/>
    <x v="835"/>
    <s v="SIG"/>
    <x v="714"/>
    <s v="Individual"/>
    <m/>
    <m/>
    <n v="421694"/>
    <n v="0.08500002371387784"/>
    <n v="0.9841259301768581"/>
    <n v="421694"/>
    <n v="0.08500002371387784"/>
    <n v="0.001371060623471559"/>
    <s v="No"/>
    <d v="2018-02-12T00:00:00"/>
    <n v="164"/>
  </r>
  <r>
    <s v="DaVita Dialysis"/>
    <s v="107 Woodlawn Dr"/>
    <s v="Johnson City"/>
    <s v="TN"/>
    <n v="1.96"/>
    <n v="1983"/>
    <n v="12806"/>
    <n v="152361.54"/>
    <n v="11.89766828049352"/>
    <m/>
    <s v=" "/>
    <m/>
    <m/>
    <m/>
    <n v="1794600"/>
    <n v="140.1374355770732"/>
    <n v="0.0849"/>
    <x v="772"/>
    <x v="836"/>
    <m/>
    <x v="715"/>
    <s v="Individual"/>
    <m/>
    <m/>
    <m/>
    <s v=" "/>
    <s v=" "/>
    <m/>
    <s v=" "/>
    <s v=" "/>
    <s v=" "/>
    <m/>
    <s v=" "/>
  </r>
  <r>
    <s v="DaVita Dialysis"/>
    <s v="802-806 Jules St"/>
    <s v="Saint Joseph"/>
    <s v="MO"/>
    <n v="0.77"/>
    <n v="2017"/>
    <n v="9846"/>
    <n v="160000"/>
    <n v="16.25025391021735"/>
    <d v="2032-05-01T00:00:00"/>
    <n v="13.78082191780822"/>
    <s v="NN"/>
    <s v="10% every 5 years"/>
    <s v="2, 5yr"/>
    <n v="2665000"/>
    <n v="270.6682916920577"/>
    <n v="0.0600375234521576"/>
    <x v="773"/>
    <x v="167"/>
    <s v="C&amp;W; Patel"/>
    <x v="305"/>
    <s v="Fund"/>
    <m/>
    <m/>
    <n v="2909091"/>
    <n v="0.05499999828125005"/>
    <n v="0.9160937213720712"/>
    <n v="2909091"/>
    <n v="0.05499999828125005"/>
    <n v="0.005037525170907546"/>
    <s v="No"/>
    <d v="2017-05-30T00:00:00"/>
    <n v="420"/>
  </r>
  <r>
    <s v="DaVita Dialysis"/>
    <s v="802-806 Jules St"/>
    <s v="Washington"/>
    <s v="MO"/>
    <n v="0.3856749"/>
    <n v="1990"/>
    <n v="9935"/>
    <n v="159900"/>
    <n v="16.09461499748364"/>
    <d v="2032-05-01T00:00:00"/>
    <n v="13.78082191780822"/>
    <s v="NN"/>
    <s v="10% every 5 years"/>
    <s v="2, 5yr"/>
    <n v="2665000"/>
    <n v="268.2435832913941"/>
    <n v="0.06"/>
    <x v="773"/>
    <x v="167"/>
    <s v="C&amp;W; Patel"/>
    <x v="305"/>
    <s v="Fund"/>
    <m/>
    <m/>
    <m/>
    <s v=" "/>
    <s v=" "/>
    <m/>
    <s v=" "/>
    <s v=" "/>
    <s v=" "/>
    <m/>
    <s v=" "/>
  </r>
  <r>
    <s v="Fresenius Medical Care"/>
    <s v="590 Laredo St"/>
    <s v="Aurora"/>
    <s v="CO"/>
    <n v="1.191437"/>
    <n v="2017"/>
    <n v="7275"/>
    <n v="235508.8"/>
    <n v="32.37234364261168"/>
    <d v="2033-02-28T00:00:00"/>
    <n v="14.61095890410959"/>
    <s v="NN"/>
    <s v="1.7% annually"/>
    <s v="3, 5 yr"/>
    <n v="3860800"/>
    <n v="530.6941580756014"/>
    <n v="0.061"/>
    <x v="773"/>
    <x v="192"/>
    <m/>
    <x v="305"/>
    <s v="Fund"/>
    <s v="PG; Lesley"/>
    <m/>
    <m/>
    <s v=" "/>
    <s v=" "/>
    <m/>
    <s v=" "/>
    <s v=" "/>
    <s v=" "/>
    <m/>
    <s v=" "/>
  </r>
  <r>
    <s v="Davita Dialysis Center"/>
    <s v="40 Walters Pl"/>
    <s v="House Springs"/>
    <s v="MO"/>
    <n v="0.9899907999999999"/>
    <n v="2015"/>
    <n v="8099"/>
    <m/>
    <s v=" "/>
    <m/>
    <s v=" "/>
    <m/>
    <m/>
    <m/>
    <n v="3335000"/>
    <n v="411.7792320039511"/>
    <s v=" "/>
    <x v="773"/>
    <x v="167"/>
    <s v="C&amp;W; Patel"/>
    <x v="305"/>
    <s v="Fund"/>
    <m/>
    <m/>
    <m/>
    <s v=" "/>
    <s v=" "/>
    <m/>
    <s v=" "/>
    <s v=" "/>
    <s v=" "/>
    <m/>
    <s v=" "/>
  </r>
  <r>
    <s v="Fresenius Medical Care"/>
    <s v="10112-10116 Dyer St"/>
    <s v="El Paso"/>
    <s v="TX"/>
    <n v="2.754821"/>
    <n v="2018"/>
    <n v="7961"/>
    <m/>
    <s v=" "/>
    <m/>
    <s v=" "/>
    <m/>
    <m/>
    <m/>
    <m/>
    <s v=" "/>
    <s v=" "/>
    <x v="773"/>
    <x v="192"/>
    <m/>
    <x v="305"/>
    <s v="Fund"/>
    <m/>
    <m/>
    <m/>
    <s v=" "/>
    <s v=" "/>
    <m/>
    <s v=" "/>
    <s v=" "/>
    <s v=" "/>
    <m/>
    <s v=" "/>
  </r>
  <r>
    <s v="PCI TX/CO Medical Office Portfolio 2018"/>
    <s v="2 of 2 properties"/>
    <m/>
    <m/>
    <m/>
    <m/>
    <n v="15236"/>
    <m/>
    <s v=" "/>
    <m/>
    <s v=" "/>
    <m/>
    <m/>
    <m/>
    <m/>
    <s v=" "/>
    <s v=" "/>
    <x v="773"/>
    <x v="192"/>
    <m/>
    <x v="305"/>
    <s v="Fund"/>
    <m/>
    <m/>
    <m/>
    <s v=" "/>
    <s v=" "/>
    <m/>
    <s v=" "/>
    <s v=" "/>
    <s v=" "/>
    <m/>
    <s v=" "/>
  </r>
  <r>
    <s v="U.S. Renal Care"/>
    <s v="3727 Frontage Rd"/>
    <s v="Michigan City"/>
    <s v="IN"/>
    <n v="1.69"/>
    <n v="2015"/>
    <n v="7439"/>
    <n v="177346"/>
    <n v="23.84003226240086"/>
    <d v="2031-04-30T00:00:00"/>
    <n v="12.78630136986301"/>
    <s v="NN"/>
    <s v="2.5% annually"/>
    <m/>
    <n v="2551741"/>
    <n v="343.0220459739213"/>
    <n v="0.06950000019594466"/>
    <x v="774"/>
    <x v="73"/>
    <s v="CBRE; Pike"/>
    <x v="229"/>
    <s v="REIT"/>
    <m/>
    <m/>
    <n v="2728400"/>
    <n v="0.065"/>
    <n v="0.9352517959243513"/>
    <n v="2728400"/>
    <n v="0.065"/>
    <n v="0.004500000195944653"/>
    <s v="No"/>
    <d v="2018-04-05T00:00:00"/>
    <n v="106"/>
  </r>
  <r>
    <s v="Fresenius Medical Care"/>
    <s v="2519 E Magnolia Ave"/>
    <s v="Knoxville"/>
    <s v="TN"/>
    <n v="1.3"/>
    <n v="2014"/>
    <n v="8801"/>
    <n v="163575"/>
    <n v="18.58595614134757"/>
    <d v="2026-01-31T00:00:00"/>
    <n v="7.547945205479452"/>
    <s v="NN"/>
    <s v="2.5% annually"/>
    <s v="3, 5 yr"/>
    <n v="2271875"/>
    <n v="258.1382797409385"/>
    <n v="0.07199999999999999"/>
    <x v="775"/>
    <x v="73"/>
    <s v="CBRE; Pike"/>
    <x v="229"/>
    <s v="REIT"/>
    <m/>
    <m/>
    <n v="2336786"/>
    <n v="0.06999999144123595"/>
    <n v="0.9722221033504994"/>
    <n v="2336786"/>
    <n v="0.06999999144123595"/>
    <n v="0.002000008558764046"/>
    <s v="No"/>
    <d v="2018-04-09T00:00:00"/>
    <n v="99"/>
  </r>
  <r>
    <s v="DaVita Dialysis"/>
    <s v="4737 South California Ave"/>
    <s v="Chicago"/>
    <s v="IL"/>
    <n v="0.95"/>
    <n v="2018"/>
    <n v="7746"/>
    <n v="286156"/>
    <n v="36.9424218951717"/>
    <d v="2033-06-30T00:00:00"/>
    <n v="14.96438356164384"/>
    <s v="NN"/>
    <s v="10% every 5 years"/>
    <s v="2, 5yr"/>
    <n v="5000000"/>
    <n v="645.4944487477408"/>
    <n v="0.0572312"/>
    <x v="775"/>
    <x v="670"/>
    <s v="SJC; Feller"/>
    <x v="716"/>
    <s v="Individual"/>
    <s v="SJC; Harf"/>
    <s v="Clark Street Development"/>
    <n v="5202836"/>
    <n v="0.05500000384405736"/>
    <n v="0.9610143391027509"/>
    <n v="5202836"/>
    <n v="0.05500000384405736"/>
    <n v="0.002231196155942645"/>
    <s v="No"/>
    <d v="2018-03-28T00:00:00"/>
    <n v="111"/>
  </r>
  <r>
    <s v="Fresenius (Portfolio 8)"/>
    <s v="2000 Main Street"/>
    <s v="Springfield"/>
    <s v="MA"/>
    <n v="1.295"/>
    <n v="2017"/>
    <n v="10821"/>
    <n v="173250"/>
    <n v="16.01053507069587"/>
    <d v="2037-12-31T00:00:00"/>
    <n v="19.48767123287671"/>
    <s v="Absolute NNN"/>
    <s v="Annual CPI"/>
    <s v="3, 5yr"/>
    <m/>
    <s v=" "/>
    <s v=" "/>
    <x v="776"/>
    <x v="351"/>
    <s v="M&amp;M; Glass"/>
    <x v="0"/>
    <s v="Individual"/>
    <m/>
    <m/>
    <n v="3300000"/>
    <n v="0.0525"/>
    <s v=" "/>
    <n v="3300000"/>
    <n v="0.0525"/>
    <s v=" "/>
    <s v="No"/>
    <d v="2018-04-25T00:00:00"/>
    <n v="77"/>
  </r>
  <r>
    <s v="DaVita Dialysis"/>
    <s v="1000 E Palmer Ave"/>
    <s v="Glendale"/>
    <s v="CA"/>
    <n v="0.51"/>
    <n v="2017"/>
    <n v="7639"/>
    <n v="268260"/>
    <n v="35.11716193219008"/>
    <d v="2031-11-30T00:00:00"/>
    <n v="13.41369863013699"/>
    <s v="NN"/>
    <s v="10% every 5 years"/>
    <s v="2, 5yr"/>
    <n v="5145455"/>
    <n v="673.5770388794344"/>
    <n v="0.05213533108345132"/>
    <x v="777"/>
    <x v="351"/>
    <s v="M&amp;M; Glass"/>
    <x v="717"/>
    <s v="Individual"/>
    <m/>
    <m/>
    <n v="5365200"/>
    <n v="0.05"/>
    <n v="0.9590425333631551"/>
    <n v="5365200"/>
    <n v="0.05"/>
    <n v="0.002135331083451313"/>
    <s v="No"/>
    <d v="2017-09-19T00:00:00"/>
    <n v="289"/>
  </r>
  <r>
    <s v="Fresenius Medical Care"/>
    <s v="258 Central Ave"/>
    <s v="Orange"/>
    <s v="NJ"/>
    <n v="0.26"/>
    <n v="1996"/>
    <n v="12000"/>
    <m/>
    <s v=" "/>
    <d v="2032-11-30T00:00:00"/>
    <n v="14.43287671232877"/>
    <s v="NN"/>
    <s v="1.7% annually"/>
    <s v="3, 5yr"/>
    <n v="4650000"/>
    <n v="387.5"/>
    <s v=" "/>
    <x v="778"/>
    <x v="36"/>
    <s v="C&amp;W; Patel"/>
    <x v="718"/>
    <s v="Individual"/>
    <m/>
    <m/>
    <n v="4650000"/>
    <s v=" "/>
    <n v="1"/>
    <m/>
    <s v=" "/>
    <s v=" "/>
    <s v=" "/>
    <m/>
    <s v=" "/>
  </r>
  <r>
    <s v="DaVita Dialysis"/>
    <s v="4323 N Pulaski Rd"/>
    <s v="Chicago"/>
    <s v="IL"/>
    <n v="0.72"/>
    <n v="2017"/>
    <n v="7018"/>
    <n v="245630"/>
    <n v="35"/>
    <d v="2023-02-20T00:00:00"/>
    <n v="4.64931506849315"/>
    <s v="NN"/>
    <s v="10% every 5 years"/>
    <s v="3, 5yr"/>
    <n v="4486000"/>
    <n v="639.2134511256768"/>
    <n v="0.0547547926883638"/>
    <x v="778"/>
    <x v="670"/>
    <s v="M&amp;M; Cook"/>
    <x v="716"/>
    <s v="Individual"/>
    <s v="SJC; Harf"/>
    <s v="Clark Street Development"/>
    <n v="4634528"/>
    <n v="0.05300000345234725"/>
    <n v="0.9679518604699335"/>
    <n v="4634528"/>
    <n v="0.05300000345234725"/>
    <n v="0.001754789236016546"/>
    <s v="No"/>
    <d v="2018-02-14T00:00:00"/>
    <n v="135"/>
  </r>
  <r>
    <s v="Fresenius Medical Care (MT)"/>
    <s v="905 Clingan Ridge Drive NW"/>
    <s v="Cleveland"/>
    <s v="TN"/>
    <n v="1.59"/>
    <n v="1997"/>
    <n v="7415"/>
    <n v="187202"/>
    <n v="25.24639244774107"/>
    <d v="2027-06-08T00:00:00"/>
    <n v="8.947945205479453"/>
    <s v="NN"/>
    <s v="2% annually"/>
    <s v="3, 5yr"/>
    <n v="2694000"/>
    <n v="363.3175994605529"/>
    <n v="0.06948849294729027"/>
    <x v="778"/>
    <x v="837"/>
    <s v="PH: Peranich &amp; Huffman"/>
    <x v="0"/>
    <s v="Individual"/>
    <m/>
    <m/>
    <n v="2880000"/>
    <n v="0.06500069444444445"/>
    <n v="0.9354166666666667"/>
    <n v="2880000"/>
    <n v="0.06500069444444445"/>
    <n v="0.004487798502845822"/>
    <s v="No"/>
    <d v="2018-01-24T00:00:00"/>
    <n v="156"/>
  </r>
  <r>
    <s v="DaVita Dialysis"/>
    <s v="600 North Grand Avenue"/>
    <s v="Springfield"/>
    <s v="IL"/>
    <n v="1.5"/>
    <n v="2017"/>
    <n v="8434"/>
    <n v="245000"/>
    <n v="29.04908702869339"/>
    <d v="2033-12-31T00:00:00"/>
    <n v="15.52054794520548"/>
    <s v="NNN; R&amp;S"/>
    <s v="10% every 5 years"/>
    <s v="2, 5yr"/>
    <n v="4328201"/>
    <n v="513.1848470476642"/>
    <n v="0.05660550422681387"/>
    <x v="779"/>
    <x v="167"/>
    <s v="C&amp;W; Patel"/>
    <x v="719"/>
    <s v="Individual"/>
    <m/>
    <m/>
    <n v="4537037"/>
    <n v="0.05400000044081633"/>
    <n v="0.9539708404405783"/>
    <n v="4537037"/>
    <n v="0.05400000044081633"/>
    <n v="0.00260550378599754"/>
    <s v="No"/>
    <d v="2018-01-29T00:00:00"/>
    <n v="150"/>
  </r>
  <r>
    <s v="DaVita (Two-Tenant)"/>
    <s v="3126 Professional Drive"/>
    <s v="Auburn"/>
    <s v="CA"/>
    <n v="1.2"/>
    <n v="2004"/>
    <n v="13385"/>
    <n v="328900"/>
    <n v="24.572282405678"/>
    <d v="2027-05-31T00:00:00"/>
    <n v="8.92876712328767"/>
    <s v="NN"/>
    <s v="2% annually"/>
    <s v="2, 5yr"/>
    <n v="5735000"/>
    <n v="428.4646992902503"/>
    <n v="0.05734960767218832"/>
    <x v="779"/>
    <x v="838"/>
    <s v="M&amp;M; Nelson"/>
    <x v="720"/>
    <s v="Individual"/>
    <m/>
    <m/>
    <n v="5750000"/>
    <n v="0.0572"/>
    <n v="0.9973913043478261"/>
    <n v="5750000"/>
    <n v="0.0572"/>
    <n v="0.0001496076721883149"/>
    <s v="No"/>
    <d v="2018-03-13T00:00:00"/>
    <n v="107"/>
  </r>
  <r>
    <s v="Nevada Kidney"/>
    <s v="932 Ryland St"/>
    <s v="Reno"/>
    <s v="NV"/>
    <n v="0.74"/>
    <n v="1984"/>
    <n v="7642"/>
    <m/>
    <s v=" "/>
    <m/>
    <s v=" "/>
    <m/>
    <m/>
    <m/>
    <n v="3768500"/>
    <n v="493.1300706621303"/>
    <s v=" "/>
    <x v="780"/>
    <x v="235"/>
    <s v="C&amp;W; Patel"/>
    <x v="721"/>
    <s v="Individual"/>
    <s v="Tom Woods"/>
    <m/>
    <m/>
    <s v=" "/>
    <s v=" "/>
    <m/>
    <s v=" "/>
    <s v=" "/>
    <s v=" "/>
    <m/>
    <s v=" "/>
  </r>
  <r>
    <s v="DaVita Dialysis"/>
    <s v="14177 Main St"/>
    <s v="Hesperia"/>
    <s v="CA"/>
    <n v="0.74"/>
    <n v="2008"/>
    <n v="7500"/>
    <n v="225833"/>
    <n v="30.11106666666667"/>
    <d v="2028-01-01T00:00:00"/>
    <n v="9.534246575342467"/>
    <s v="NNN"/>
    <s v="Yes"/>
    <s v="3, 5yr"/>
    <n v="4261000"/>
    <n v="568.1333333333333"/>
    <n v="0.053"/>
    <x v="781"/>
    <x v="839"/>
    <s v="CBRE; Slusher"/>
    <x v="722"/>
    <s v="Individual"/>
    <m/>
    <m/>
    <n v="4261000"/>
    <n v="0.053"/>
    <n v="1"/>
    <n v="4261000"/>
    <n v="0.053"/>
    <n v="0"/>
    <s v="No"/>
    <d v="2018-03-27T00:00:00"/>
    <n v="87"/>
  </r>
  <r>
    <s v="DaVita Dialysis"/>
    <s v="2450 Temple Ave N"/>
    <s v="Fayette"/>
    <s v="AL"/>
    <n v="2"/>
    <n v="2008"/>
    <n v="4000"/>
    <n v="64000"/>
    <n v="16"/>
    <d v="2022-05-31T00:00:00"/>
    <n v="3.947945205479452"/>
    <s v="Absolute NNN"/>
    <s v="10% in August 2017; 2% annually in following months of base term"/>
    <s v="2, 5yr remaining"/>
    <n v="915000"/>
    <n v="228.75"/>
    <n v="0.06994535519125683"/>
    <x v="782"/>
    <x v="840"/>
    <s v="KW; Perich"/>
    <x v="723"/>
    <s v="Individual"/>
    <m/>
    <m/>
    <n v="948148"/>
    <n v="0.06750001054687665"/>
    <n v="0.9650392132873771"/>
    <n v="948148"/>
    <n v="0.06750001054687665"/>
    <n v="0.002445344644380176"/>
    <s v="No"/>
    <d v="2017-01-30T00:00:00"/>
    <n v="506"/>
  </r>
  <r>
    <s v="Fresenius Medical Care"/>
    <s v="2831 OKeeffe Avenue"/>
    <s v="Sun Prairie"/>
    <s v="WI"/>
    <n v="1.39"/>
    <n v="2017"/>
    <n v="7304"/>
    <n v="199034"/>
    <n v="27.25"/>
    <d v="2032-10-31T00:00:00"/>
    <n v="14.38082191780822"/>
    <s v="NNN; R&amp;S"/>
    <s v="10% every 5 years"/>
    <s v="3, 5yr"/>
    <n v="3555500"/>
    <n v="486.7880613362541"/>
    <n v="0.05597918717479961"/>
    <x v="783"/>
    <x v="520"/>
    <s v="C&amp;W; Patel"/>
    <x v="305"/>
    <s v="Fund"/>
    <m/>
    <m/>
    <n v="3618800"/>
    <n v="0.055"/>
    <n v="0.982508013706201"/>
    <n v="3618800"/>
    <n v="0.055"/>
    <n v="0.0009791871747996048"/>
    <s v="No"/>
    <d v="2018-03-07T00:00:00"/>
    <n v="103"/>
  </r>
  <r>
    <s v="DaVita Dialysis"/>
    <s v="20325 N 51st Ave"/>
    <s v="Glendale"/>
    <s v="AZ"/>
    <m/>
    <m/>
    <n v="12148"/>
    <m/>
    <s v=" "/>
    <m/>
    <s v=" "/>
    <m/>
    <m/>
    <m/>
    <n v="4550000"/>
    <n v="374.5472505762265"/>
    <s v=" "/>
    <x v="783"/>
    <x v="13"/>
    <s v="Sun Commercial; Cathy Jones"/>
    <x v="0"/>
    <s v="Individual"/>
    <m/>
    <m/>
    <m/>
    <s v=" "/>
    <s v=" "/>
    <m/>
    <s v=" "/>
    <s v=" "/>
    <s v=" "/>
    <m/>
    <s v=" "/>
  </r>
  <r>
    <s v="DaVita Dialysis"/>
    <s v="2443 Monarch Dr"/>
    <s v="Laredo"/>
    <s v="TX"/>
    <n v="1.2"/>
    <n v="2017"/>
    <n v="10525"/>
    <n v="221025"/>
    <n v="21"/>
    <d v="2032-07-31T00:00:00"/>
    <n v="14.13698630136986"/>
    <s v="NN"/>
    <s v="2% annually"/>
    <s v="3, 5yr"/>
    <n v="4050000"/>
    <n v="384.7980997624703"/>
    <n v="0.05457407407407407"/>
    <x v="784"/>
    <x v="841"/>
    <s v="LemRx"/>
    <x v="724"/>
    <s v="Individual"/>
    <m/>
    <m/>
    <n v="4186000"/>
    <n v="0.0528010033444816"/>
    <n v="0.9675107501194458"/>
    <n v="4186000"/>
    <n v="0.0528010033444816"/>
    <n v="0.001773070729592471"/>
    <s v="No"/>
    <d v="2018-05-02T00:00:00"/>
    <n v="44"/>
  </r>
  <r>
    <s v="Fresenius Medical Care"/>
    <s v="1206 W Sherman Ave"/>
    <s v="Vineland"/>
    <s v="NJ"/>
    <n v="7.06"/>
    <n v="2016"/>
    <n v="11250"/>
    <n v="199179.693"/>
    <n v="17.7048616"/>
    <d v="2031-05-31T00:00:00"/>
    <n v="12.96712328767123"/>
    <s v="NN"/>
    <s v="1.7% annually"/>
    <s v="3, 5yr"/>
    <n v="3375927"/>
    <n v="300.0824"/>
    <n v="0.059"/>
    <x v="784"/>
    <x v="235"/>
    <s v="C&amp;W; Patel"/>
    <x v="64"/>
    <s v="Fund"/>
    <s v="JRW Investments"/>
    <m/>
    <n v="3682829"/>
    <n v="0.05408334000845546"/>
    <n v="0.9166667798043298"/>
    <n v="3682829"/>
    <n v="0.05408334000845546"/>
    <n v="0.004916659991544538"/>
    <s v="No"/>
    <d v="2018-04-18T00:00:00"/>
    <n v="58"/>
  </r>
  <r>
    <s v="DaVita Dialysis"/>
    <s v="733 E Capitol Dr"/>
    <s v="Milwaukee"/>
    <s v="WI"/>
    <n v="0.5600000000000001"/>
    <n v="2017"/>
    <n v="6070"/>
    <n v="215000"/>
    <n v="35.42009884678748"/>
    <d v="2032-12-31T00:00:00"/>
    <n v="14.55616438356164"/>
    <s v="NN"/>
    <s v="10% every 5"/>
    <s v="2, 5yr"/>
    <n v="3588888"/>
    <n v="591.2500823723229"/>
    <n v="0.05990713558071469"/>
    <x v="784"/>
    <x v="167"/>
    <s v="C&amp;W; Patel"/>
    <x v="725"/>
    <s v="Individual"/>
    <s v="Grady Liu"/>
    <m/>
    <n v="3981481"/>
    <n v="0.05400000653023335"/>
    <n v="0.9013952345873307"/>
    <n v="3981481"/>
    <n v="0.05400000653023335"/>
    <n v="0.005907129050481345"/>
    <s v="No"/>
    <d v="2017-12-11T00:00:00"/>
    <n v="186"/>
  </r>
  <r>
    <s v="DaVita Dialysis"/>
    <s v="2494 Second St"/>
    <s v="Macon"/>
    <s v="GA"/>
    <n v="1.8"/>
    <n v="2018"/>
    <n v="8925"/>
    <n v="116025"/>
    <n v="13"/>
    <d v="2028-05-01T00:00:00"/>
    <n v="9.890410958904109"/>
    <s v="NN"/>
    <s v="10% every 5 years"/>
    <s v="2, 5 yr"/>
    <n v="1615806"/>
    <n v="181.0426890756302"/>
    <n v="0.07180626882187589"/>
    <x v="785"/>
    <x v="842"/>
    <s v="Fickling &amp; Company, Inc."/>
    <x v="267"/>
    <s v="Fund"/>
    <m/>
    <m/>
    <n v="1795000"/>
    <n v="0.06463788300835654"/>
    <n v="0.9001704735376045"/>
    <n v="1795000"/>
    <n v="0.06463788300835654"/>
    <n v="0.007168385813519348"/>
    <s v="No"/>
    <d v="2018-02-01T00:00:00"/>
    <n v="132"/>
  </r>
  <r>
    <s v="Fresenius Medical Care"/>
    <s v="3517 Spectrum Blvd"/>
    <s v="Richardson"/>
    <s v="TX"/>
    <n v="0.18"/>
    <n v="2005"/>
    <n v="7700"/>
    <n v="130900"/>
    <n v="17"/>
    <d v="2031-05-31T00:00:00"/>
    <n v="12.97260273972603"/>
    <s v="NNN"/>
    <s v="10% every 5yrs"/>
    <s v="3, 5yr"/>
    <m/>
    <s v=" "/>
    <s v=" "/>
    <x v="785"/>
    <x v="520"/>
    <s v="M&amp;M; Mansour"/>
    <x v="0"/>
    <s v="Individual"/>
    <m/>
    <m/>
    <n v="2445000"/>
    <n v="0.05353783231083845"/>
    <s v=" "/>
    <n v="2380000"/>
    <n v="0.055"/>
    <s v=" "/>
    <s v="Yes"/>
    <d v="2017-09-29T00:00:00"/>
    <n v="257"/>
  </r>
  <r>
    <s v="DaVita Dialysis"/>
    <s v="1620 Somerset Rd"/>
    <s v="San Antonio"/>
    <s v="TX"/>
    <n v="1.06"/>
    <n v="1997"/>
    <n v="4933"/>
    <n v="88740"/>
    <n v="17.98905331441314"/>
    <d v="2025-12-31T00:00:00"/>
    <n v="7.558904109589041"/>
    <s v="NN"/>
    <s v="10% every 5 yeears"/>
    <s v="3, 5yr"/>
    <n v="1268000"/>
    <n v="257.0443948915467"/>
    <n v="0.06998422712933754"/>
    <x v="786"/>
    <x v="843"/>
    <s v="SVN; Snyder"/>
    <x v="726"/>
    <s v="Individual"/>
    <s v="NAI; Swank"/>
    <m/>
    <n v="1450000"/>
    <n v="0.0612"/>
    <n v="0.8744827586206897"/>
    <n v="1450000"/>
    <n v="0.0612"/>
    <n v="0.008784227129337539"/>
    <s v="No"/>
    <d v="2018-03-19T00:00:00"/>
    <n v="85"/>
  </r>
  <r>
    <s v="Fresenius Medical Care"/>
    <s v="608 N Bedell Ave"/>
    <s v="Del Rio"/>
    <s v="TX"/>
    <n v="2.24"/>
    <n v="1996"/>
    <n v="7356"/>
    <n v="83031"/>
    <n v="11.28752039151713"/>
    <d v="2023-04-30T00:00:00"/>
    <n v="4.887671232876713"/>
    <s v="NN"/>
    <s v="FMV at each option"/>
    <s v="2, 5yr"/>
    <n v="1155000"/>
    <n v="157.0146818923328"/>
    <n v="0.07188831168831168"/>
    <x v="787"/>
    <x v="844"/>
    <s v="Matthews; Moreno"/>
    <x v="727"/>
    <s v="Individual"/>
    <m/>
    <m/>
    <n v="1203348"/>
    <n v="0.06899999002782238"/>
    <n v="0.9598220963511802"/>
    <n v="1203348"/>
    <n v="0.06899999002782238"/>
    <n v="0.002888321660489301"/>
    <s v="No"/>
    <d v="2017-10-31T00:00:00"/>
    <n v="223"/>
  </r>
  <r>
    <s v="DaVita Dialysis"/>
    <s v="1350 N Hancock Rd"/>
    <s v="Clermont"/>
    <s v="FL"/>
    <n v="1.125"/>
    <n v="2018"/>
    <n v="7887"/>
    <n v="169571"/>
    <n v="21.50006339546088"/>
    <d v="2033-05-30T00:00:00"/>
    <n v="14.98630136986301"/>
    <s v="NN"/>
    <s v="10% every 5 years"/>
    <s v="3, 5yr"/>
    <n v="3170000"/>
    <n v="401.927222010904"/>
    <n v="0.05349242902208202"/>
    <x v="788"/>
    <x v="845"/>
    <s v="M&amp;M; Sambazis"/>
    <x v="728"/>
    <s v="Individual"/>
    <m/>
    <m/>
    <n v="3170000"/>
    <n v="0.05349242902208202"/>
    <n v="1"/>
    <n v="3170000"/>
    <n v="0.05349242902208202"/>
    <n v="0"/>
    <s v="No"/>
    <d v="2018-04-30T00:00:00"/>
    <n v="39"/>
  </r>
  <r>
    <s v="Fresenius Medical Care"/>
    <s v="1465 Pamplico Hwy"/>
    <s v="Florence"/>
    <s v="SC"/>
    <n v="1.452296"/>
    <n v="2018"/>
    <n v="6768"/>
    <n v="173178.451"/>
    <n v="25.58783259456265"/>
    <d v="2032-07-31T00:00:00"/>
    <n v="14.15616438356164"/>
    <s v="NN"/>
    <s v="1.7% annually"/>
    <s v="3, 5 yr"/>
    <n v="2838991"/>
    <n v="419.4726654846336"/>
    <n v="0.061"/>
    <x v="788"/>
    <x v="192"/>
    <m/>
    <x v="305"/>
    <s v="Fund"/>
    <s v="PG; Lesley"/>
    <m/>
    <m/>
    <s v=" "/>
    <s v=" "/>
    <m/>
    <s v=" "/>
    <s v=" "/>
    <s v=" "/>
    <m/>
    <s v=" "/>
  </r>
  <r>
    <s v="Fresenius Medical Care"/>
    <s v="1018 S Governor Williams Hwy"/>
    <s v="Darlington"/>
    <s v="SC"/>
    <n v="1.88"/>
    <n v="2018"/>
    <n v="8929"/>
    <n v="198172"/>
    <n v="22.19419867846343"/>
    <d v="2033-02-28T00:00:00"/>
    <n v="14.73698630136986"/>
    <s v="NN"/>
    <s v="1.7% annually"/>
    <s v="3, 5 yr"/>
    <n v="3248726"/>
    <n v="363.839847687311"/>
    <n v="0.06099991196549047"/>
    <x v="788"/>
    <x v="192"/>
    <m/>
    <x v="305"/>
    <s v="Fund"/>
    <s v="PG; Lesley"/>
    <m/>
    <m/>
    <s v=" "/>
    <s v=" "/>
    <m/>
    <s v=" "/>
    <s v=" "/>
    <s v=" "/>
    <m/>
    <s v=" "/>
  </r>
  <r>
    <s v="PCI SC/KY Medical Office Portfolio 2018"/>
    <s v="3 of 3 properties"/>
    <m/>
    <m/>
    <m/>
    <m/>
    <n v="20909"/>
    <m/>
    <s v=" "/>
    <m/>
    <s v=" "/>
    <m/>
    <m/>
    <m/>
    <m/>
    <s v=" "/>
    <s v=" "/>
    <x v="788"/>
    <x v="192"/>
    <m/>
    <x v="305"/>
    <s v="Fund"/>
    <m/>
    <m/>
    <m/>
    <s v=" "/>
    <s v=" "/>
    <m/>
    <s v=" "/>
    <s v=" "/>
    <s v=" "/>
    <m/>
    <s v=" "/>
  </r>
  <r>
    <s v="DaVita Dialysis"/>
    <s v="5247 Airways Blvd"/>
    <s v="Memphis"/>
    <s v="TN"/>
    <n v="2.51"/>
    <n v="2016"/>
    <n v="6308"/>
    <n v="181959"/>
    <n v="28.84575142675967"/>
    <d v="2033-06-06T00:00:00"/>
    <n v="15.00821917808219"/>
    <s v="NN"/>
    <s v="10% every 5 years"/>
    <s v="2, 5yr"/>
    <n v="3137221"/>
    <n v="497.3400443880786"/>
    <n v="0.0580000580131269"/>
    <x v="789"/>
    <x v="66"/>
    <s v="M&amp;M; Cook"/>
    <x v="305"/>
    <s v="Fund"/>
    <s v="KB; Cerminara"/>
    <m/>
    <n v="3466000"/>
    <n v="0.05249826889786497"/>
    <n v="0.9051416618580497"/>
    <n v="3308345"/>
    <n v="0.05500000755664841"/>
    <n v="0.003000050456478491"/>
    <s v="Yes"/>
    <d v="2017-07-17T00:00:00"/>
    <n v="325"/>
  </r>
  <r>
    <s v="DaVita Dialysis"/>
    <s v="107 Tennessee Ave"/>
    <s v="Covington"/>
    <s v="TN"/>
    <n v="1.78"/>
    <n v="1997"/>
    <n v="3500"/>
    <n v="58023"/>
    <n v="16.578"/>
    <d v="2022-02-28T00:00:00"/>
    <n v="3.736986301369863"/>
    <s v="NN"/>
    <s v="CPI based increases annually"/>
    <s v="2, 5yr"/>
    <n v="760000"/>
    <n v="217.1428571428571"/>
    <n v="0.07634605263157895"/>
    <x v="790"/>
    <x v="846"/>
    <s v="M&amp;M; Glass"/>
    <x v="729"/>
    <s v="Individual"/>
    <m/>
    <m/>
    <n v="850000"/>
    <n v="0.06826235294117647"/>
    <n v="0.8941176470588236"/>
    <n v="775000"/>
    <n v="0.07486838709677419"/>
    <n v="0.001477665534804759"/>
    <s v="Yes"/>
    <d v="2017-09-19T00:00:00"/>
    <n v="259"/>
  </r>
  <r>
    <s v="Fresenius Medical Care"/>
    <s v="3201 19th Ave"/>
    <s v="Forest Grove"/>
    <s v="OR"/>
    <n v="1.530005"/>
    <m/>
    <m/>
    <m/>
    <s v=" "/>
    <m/>
    <s v=" "/>
    <m/>
    <m/>
    <m/>
    <n v="6743146"/>
    <s v=" "/>
    <s v=" "/>
    <x v="791"/>
    <x v="847"/>
    <s v="C&amp;W; "/>
    <x v="730"/>
    <s v="Individual"/>
    <m/>
    <m/>
    <m/>
    <s v=" "/>
    <s v=" "/>
    <m/>
    <s v=" "/>
    <s v=" "/>
    <s v=" "/>
    <m/>
    <s v=" "/>
  </r>
  <r>
    <s v="DaVita Dialysis"/>
    <s v="1185 Monroe St"/>
    <s v="Dearborn"/>
    <s v="MI"/>
    <n v="0.475"/>
    <n v="1951"/>
    <n v="10250"/>
    <n v="229547.6235"/>
    <n v="22.39489009756097"/>
    <d v="2023-07-14T00:00:00"/>
    <n v="5.123287671232877"/>
    <s v="NN"/>
    <s v="2% annually"/>
    <s v="3, 5yr"/>
    <n v="2675000"/>
    <n v="260.9756097560976"/>
    <n v="0.08581219570093457"/>
    <x v="792"/>
    <x v="848"/>
    <s v="M&amp;M;"/>
    <x v="731"/>
    <s v="Individual"/>
    <m/>
    <m/>
    <m/>
    <s v=" "/>
    <s v=" "/>
    <m/>
    <s v=" "/>
    <s v=" "/>
    <s v=" "/>
    <m/>
    <s v=" "/>
  </r>
  <r>
    <s v="Fresenius Medical Care"/>
    <s v="31 Landing Ln"/>
    <s v="Fairmont"/>
    <s v="WV"/>
    <n v="0.92"/>
    <n v="2001"/>
    <n v="8500"/>
    <n v="139908"/>
    <n v="16.45976470588235"/>
    <d v="2026-07-31T00:00:00"/>
    <n v="8.178082191780822"/>
    <s v="NN"/>
    <s v="CPI annually"/>
    <s v="3, 5yr"/>
    <n v="1890000"/>
    <n v="222.3529411764706"/>
    <n v="0.07402539682539683"/>
    <x v="793"/>
    <x v="849"/>
    <s v="Pegasus; Spector"/>
    <x v="267"/>
    <s v="Fund"/>
    <m/>
    <m/>
    <n v="2073000"/>
    <n v="0.06749059334298119"/>
    <n v="0.9117221418234442"/>
    <n v="2073000"/>
    <n v="0.06749059334298119"/>
    <n v="0.006534803482415641"/>
    <s v="No"/>
    <d v="2018-03-21T00:00:00"/>
    <n v="69"/>
  </r>
  <r>
    <s v="DaVita Dialysis"/>
    <s v="1575 Parr Ave"/>
    <s v="Dyersburg"/>
    <s v="TN"/>
    <n v="1.55"/>
    <n v="1994"/>
    <n v="7908"/>
    <n v="114844"/>
    <n v="14.52250885179565"/>
    <d v="2022-07-31T00:00:00"/>
    <n v="4.194520547945205"/>
    <s v="NN"/>
    <s v="3% annually"/>
    <s v="3, 5yr"/>
    <n v="1325100"/>
    <n v="167.5644916540213"/>
    <n v="0.08666817598671799"/>
    <x v="794"/>
    <x v="846"/>
    <s v="M&amp;M; Glass"/>
    <x v="729"/>
    <s v="Individual"/>
    <s v="Duam; Vu"/>
    <m/>
    <n v="1435550"/>
    <n v="0.08"/>
    <n v="0.9230608477586988"/>
    <n v="1340000"/>
    <n v="0.08570447761194031"/>
    <n v="0.0009636983747776801"/>
    <s v="Yes"/>
    <d v="2017-11-20T00:00:00"/>
    <n v="183"/>
  </r>
  <r>
    <s v="Fresenius Medical Care"/>
    <s v="2111 Denver Harner Dr"/>
    <s v="Miami"/>
    <s v="OK"/>
    <n v="2.6"/>
    <n v="1989"/>
    <n v="9196"/>
    <n v="63000"/>
    <n v="6.85080469769465"/>
    <d v="2022-12-31T00:00:00"/>
    <n v="4.624657534246575"/>
    <s v="Absolute NNN"/>
    <s v="None"/>
    <s v="1, 5yr"/>
    <n v="540000"/>
    <n v="58.721183123097"/>
    <n v="0.1166666666666667"/>
    <x v="795"/>
    <x v="850"/>
    <s v="Matthews; Hoover"/>
    <x v="732"/>
    <s v="Individual"/>
    <m/>
    <m/>
    <n v="700000"/>
    <n v="0.09"/>
    <n v="0.7714285714285715"/>
    <n v="700000"/>
    <n v="0.09"/>
    <n v="0.02666666666666667"/>
    <s v="No"/>
    <d v="2017-04-11T00:00:00"/>
    <n v="402"/>
  </r>
  <r>
    <s v="Fresenius Medical Care"/>
    <s v="9115 Antique Aly"/>
    <s v="Bridgeville"/>
    <s v="DE"/>
    <n v="2.92"/>
    <n v="2017"/>
    <n v="9000"/>
    <n v="162270"/>
    <n v="18.03"/>
    <d v="2027-08-31T00:00:00"/>
    <n v="9.293150684931506"/>
    <s v="NN"/>
    <s v="10% ever 5"/>
    <s v="2, 5yr"/>
    <n v="2320000"/>
    <n v="257.7777777777778"/>
    <n v="0.06994396551724139"/>
    <x v="795"/>
    <x v="851"/>
    <s v="SVN; Gillis"/>
    <x v="267"/>
    <s v="Fund"/>
    <m/>
    <s v="Windsor Development"/>
    <n v="2600000"/>
    <n v="0.06241153846153846"/>
    <n v="0.8923076923076924"/>
    <n v="2600000"/>
    <n v="0.06241153846153846"/>
    <n v="0.007532427055702923"/>
    <s v="No"/>
    <d v="2018-03-28T00:00:00"/>
    <n v="51"/>
  </r>
  <r>
    <s v="Fresenius Medical Center Portfolio 2018"/>
    <s v="2 of 2 properties"/>
    <m/>
    <m/>
    <m/>
    <m/>
    <n v="15469"/>
    <m/>
    <s v=" "/>
    <m/>
    <s v=" "/>
    <m/>
    <m/>
    <m/>
    <n v="5770000"/>
    <n v="373.0040726614519"/>
    <s v=" "/>
    <x v="795"/>
    <x v="351"/>
    <s v="M&amp;M; Glass"/>
    <x v="733"/>
    <s v="Individual"/>
    <m/>
    <m/>
    <m/>
    <s v=" "/>
    <s v=" "/>
    <m/>
    <s v=" "/>
    <s v=" "/>
    <s v=" "/>
    <m/>
    <s v=" "/>
  </r>
  <r>
    <s v="Fresenius Medical Care"/>
    <s v="11296 Lomas Blvd NE"/>
    <s v="Albuquerque"/>
    <s v="NM"/>
    <n v="1.2"/>
    <n v="2016"/>
    <n v="7127"/>
    <n v="125986"/>
    <n v="17.67728356952435"/>
    <d v="2037-12-31T00:00:00"/>
    <n v="19.63561643835616"/>
    <s v="NN"/>
    <m/>
    <m/>
    <n v="2100000"/>
    <n v="294.654132173425"/>
    <n v="0.05999333333333334"/>
    <x v="795"/>
    <x v="351"/>
    <s v="M&amp;M; Glass"/>
    <x v="734"/>
    <s v="Individual"/>
    <m/>
    <m/>
    <m/>
    <s v=" "/>
    <s v=" "/>
    <m/>
    <s v=" "/>
    <s v=" "/>
    <s v=" "/>
    <m/>
    <s v=" "/>
  </r>
  <r>
    <s v="Fresenius Medical Care"/>
    <s v="9341 E 21st St"/>
    <s v="Wichita"/>
    <s v="KS"/>
    <n v="1.24"/>
    <n v="2004"/>
    <n v="9736"/>
    <n v="221201"/>
    <n v="22.719905505341"/>
    <d v="2037-12-31T00:00:00"/>
    <n v="19.63561643835616"/>
    <s v="NN"/>
    <m/>
    <m/>
    <n v="4100100"/>
    <n v="421.1277732128184"/>
    <n v="0.05395014755737665"/>
    <x v="795"/>
    <x v="351"/>
    <s v="M&amp;M; Glass"/>
    <x v="734"/>
    <s v="Individual"/>
    <m/>
    <m/>
    <m/>
    <s v=" "/>
    <s v=" "/>
    <m/>
    <s v=" "/>
    <s v=" "/>
    <s v=" "/>
    <m/>
    <s v=" "/>
  </r>
  <r>
    <s v="DaVita Dialysis"/>
    <s v="1602 Main St"/>
    <s v="Tell City"/>
    <s v="IN"/>
    <n v="1.03"/>
    <n v="1996"/>
    <n v="5000"/>
    <n v="76250"/>
    <n v="15.25"/>
    <d v="2025-09-30T00:00:00"/>
    <n v="7.378082191780821"/>
    <s v="NN"/>
    <s v="2% annually"/>
    <s v="3, 5yr"/>
    <n v="990000"/>
    <n v="198"/>
    <n v="0.07702020202020202"/>
    <x v="796"/>
    <x v="852"/>
    <s v="PH: Peranich &amp; Huffman"/>
    <x v="735"/>
    <s v="Individual"/>
    <m/>
    <m/>
    <n v="1089000"/>
    <n v="0.07001836547291093"/>
    <n v="0.9090909090909091"/>
    <n v="1089000"/>
    <n v="0.07001836547291093"/>
    <n v="0.007001836547291085"/>
    <s v="No"/>
    <d v="2018-03-03T00:00:00"/>
    <n v="75"/>
  </r>
  <r>
    <s v="Dialyspa"/>
    <s v="1411 N Bonner St"/>
    <s v="Houston"/>
    <s v="TX"/>
    <n v="0.74"/>
    <n v="1984"/>
    <n v="7317"/>
    <n v="201218"/>
    <n v="27.50006833401667"/>
    <d v="2028-11-27T00:00:00"/>
    <n v="10.54246575342466"/>
    <s v="NN"/>
    <s v="2% annually"/>
    <s v="2, 5yr"/>
    <m/>
    <s v=" "/>
    <s v=" "/>
    <x v="797"/>
    <x v="853"/>
    <s v="PW; Maffia"/>
    <x v="0"/>
    <s v="Individual"/>
    <m/>
    <m/>
    <n v="3169000"/>
    <n v="0.06349573998106658"/>
    <s v=" "/>
    <n v="3169000"/>
    <n v="0.06349573998106658"/>
    <s v=" "/>
    <s v="No"/>
    <d v="2018-02-08T00:00:00"/>
    <n v="97"/>
  </r>
  <r>
    <s v="DaVita Dialysis"/>
    <s v="1951 Citracado Pkwy"/>
    <s v="Escondido"/>
    <s v="CA"/>
    <n v="1.869995"/>
    <n v="2017"/>
    <n v="11500"/>
    <m/>
    <s v=" "/>
    <d v="2032-03-31T00:00:00"/>
    <n v="13.8986301369863"/>
    <s v="NN"/>
    <s v="10% every 5"/>
    <s v="3, 5yrs"/>
    <n v="10325000"/>
    <n v="897.8260869565217"/>
    <s v=" "/>
    <x v="798"/>
    <x v="5"/>
    <s v="C&amp;W; Patel"/>
    <x v="736"/>
    <s v="Individual"/>
    <s v="Kidder Matthews"/>
    <m/>
    <m/>
    <s v=" "/>
    <s v=" "/>
    <m/>
    <s v=" "/>
    <s v=" "/>
    <s v=" "/>
    <m/>
    <s v=" "/>
  </r>
  <r>
    <s v="Fresenius Medical Care"/>
    <s v="1899 N Helm Ave"/>
    <s v="Fresno"/>
    <s v="CA"/>
    <n v="0.99"/>
    <n v="1974"/>
    <n v="16058"/>
    <n v="380250"/>
    <n v="23.67978577655997"/>
    <d v="2030-05-31T00:00:00"/>
    <n v="12.06301369863014"/>
    <s v="NN"/>
    <s v="1.7% annually"/>
    <s v="3, 5yr"/>
    <n v="6200000"/>
    <n v="386.1003861003861"/>
    <n v="0.06133064516129032"/>
    <x v="798"/>
    <x v="854"/>
    <s v="C&amp;W; Patel"/>
    <x v="737"/>
    <s v="Individual"/>
    <m/>
    <m/>
    <n v="7238392"/>
    <n v="0.05253238564587273"/>
    <n v="0.8565438290714291"/>
    <n v="6500000"/>
    <n v="0.0585"/>
    <n v="0.002830645161290321"/>
    <s v="Yes"/>
    <d v="2017-07-13T00:00:00"/>
    <n v="302"/>
  </r>
  <r>
    <s v="Fresenius Medical Care"/>
    <s v="1600 N Bryan Ave"/>
    <s v="Lamesa"/>
    <s v="TX"/>
    <n v="0.96"/>
    <n v="2018"/>
    <n v="5289"/>
    <n v="157148"/>
    <n v="29.71223293628285"/>
    <d v="2033-03-31T00:00:00"/>
    <n v="14.9013698630137"/>
    <s v="NN"/>
    <s v="10% every 5"/>
    <s v="2, 5 yr"/>
    <n v="2566629"/>
    <n v="485.276800907544"/>
    <n v="0.06122739203835069"/>
    <x v="799"/>
    <x v="13"/>
    <s v="M&amp;M; Mansour"/>
    <x v="0"/>
    <s v="Individual"/>
    <m/>
    <m/>
    <n v="2733000"/>
    <n v="0.05750018294914014"/>
    <n v="0.9391251372118551"/>
    <n v="2619133"/>
    <n v="0.0600000076361147"/>
    <n v="0.001227384402235993"/>
    <s v="Yes"/>
    <d v="2017-11-27T00:00:00"/>
    <n v="164"/>
  </r>
  <r>
    <s v="Fresenius Medical Care"/>
    <s v="9140 Harrison Park Ct"/>
    <s v="Indianapolis"/>
    <s v="IN"/>
    <n v="1.77"/>
    <n v="2018"/>
    <n v="7195"/>
    <n v="181961"/>
    <n v="25.28992355802641"/>
    <d v="2033-05-08T00:00:00"/>
    <n v="15.00821917808219"/>
    <s v="NN"/>
    <s v="1.02% annually"/>
    <s v="3, 5yr"/>
    <n v="3058168"/>
    <n v="425.0407227241139"/>
    <n v="0.05950000130797262"/>
    <x v="800"/>
    <x v="855"/>
    <s v="Baseline, Inc."/>
    <x v="665"/>
    <s v="Individual"/>
    <m/>
    <s v="Alderson Commercial"/>
    <n v="3220458"/>
    <n v="0.05650159076752437"/>
    <n v="0.9496065466464708"/>
    <n v="3220458"/>
    <n v="0.05650159076752437"/>
    <n v="0.002998410540448249"/>
    <s v="No"/>
    <d v="2018-01-10T00:00:00"/>
    <n v="119"/>
  </r>
  <r>
    <s v="DaVita Dialysis"/>
    <s v="3620 Martin Luther King Jr Dr SW"/>
    <s v="Atlanta"/>
    <s v="GA"/>
    <n v="4.15"/>
    <n v="1973"/>
    <n v="29731"/>
    <n v="617700"/>
    <n v="20.77629410379738"/>
    <d v="2029-06-30T00:00:00"/>
    <n v="11.15342465753425"/>
    <s v="NN"/>
    <s v="2% annually"/>
    <s v="2,  5yr"/>
    <n v="8700000"/>
    <n v="292.6238606168645"/>
    <n v="0.07099999999999999"/>
    <x v="801"/>
    <x v="768"/>
    <s v="M&amp;M; Prefontaine"/>
    <x v="267"/>
    <s v="Fund"/>
    <m/>
    <m/>
    <n v="9125000"/>
    <n v="0.06769315068493151"/>
    <n v="0.9534246575342465"/>
    <n v="9125000"/>
    <n v="0.06769315068493151"/>
    <n v="0.003306849315068486"/>
    <s v="No"/>
    <d v="2017-10-02T00:00:00"/>
    <n v="218"/>
  </r>
  <r>
    <s v="Fresenius Medical Care"/>
    <s v="2301 W Oakland Park Blvd"/>
    <s v="Fort Lauderdale"/>
    <s v="FL"/>
    <n v="0.72"/>
    <n v="2017"/>
    <n v="5933"/>
    <n v="183745"/>
    <n v="30.96999831451205"/>
    <d v="2033-01-31T00:00:00"/>
    <n v="14.74520547945206"/>
    <s v="NN"/>
    <s v="1.7% annually in base term"/>
    <s v="3, 5yr"/>
    <n v="3635000"/>
    <n v="612.674869374684"/>
    <n v="0.05054883081155433"/>
    <x v="801"/>
    <x v="759"/>
    <s v="C&amp;W; Patel"/>
    <x v="738"/>
    <s v="Individual"/>
    <m/>
    <m/>
    <n v="3674900"/>
    <n v="0.05"/>
    <n v="0.9891425617023593"/>
    <n v="3645437"/>
    <n v="0.05040410792999577"/>
    <n v="0.0001447228815585622"/>
    <s v="Yes"/>
    <d v="2017-07-11T00:00:00"/>
    <n v="301"/>
  </r>
  <r>
    <s v="Fresenius Medical Care"/>
    <s v="2301 W Oakland Park Blvd"/>
    <s v="Oakland Park"/>
    <s v="FL"/>
    <n v="0.72"/>
    <n v="2017"/>
    <n v="5933"/>
    <m/>
    <s v=" "/>
    <d v="2032-03-31T00:00:00"/>
    <n v="13.90684931506849"/>
    <s v="NN"/>
    <s v="1.7% annually"/>
    <s v="3, 5 yr"/>
    <n v="3635000"/>
    <n v="612.674869374684"/>
    <s v=" "/>
    <x v="801"/>
    <x v="759"/>
    <s v="C&amp;W; Patel"/>
    <x v="739"/>
    <s v="Individual"/>
    <s v="C&amp;W; Yuras"/>
    <m/>
    <m/>
    <s v=" "/>
    <s v=" "/>
    <m/>
    <s v=" "/>
    <s v=" "/>
    <s v=" "/>
    <m/>
    <s v=" "/>
  </r>
  <r>
    <s v="DaVita Dialysis"/>
    <s v="31470 Ecorse Rd"/>
    <s v="Romulus"/>
    <s v="MI"/>
    <n v="0.97"/>
    <n v="1998"/>
    <n v="7000"/>
    <n v="135387"/>
    <n v="19.341"/>
    <d v="2031-05-30T00:00:00"/>
    <n v="13.06849315068493"/>
    <s v="NN"/>
    <m/>
    <s v="2, 5yr"/>
    <n v="1875000"/>
    <n v="267.8571428571428"/>
    <n v="0.0722064"/>
    <x v="801"/>
    <x v="856"/>
    <s v="M&amp;M; O'Connor"/>
    <x v="0"/>
    <s v="Individual"/>
    <s v="M&amp;M Baum"/>
    <m/>
    <n v="2200000"/>
    <n v="0.06153954545454546"/>
    <n v="0.8522727272727273"/>
    <n v="2200000"/>
    <n v="0.06153954545454546"/>
    <n v="0.01066685454545455"/>
    <s v="No"/>
    <d v="2017-10-18T00:00:00"/>
    <n v="202"/>
  </r>
  <r>
    <s v="Fresenius Medical Care"/>
    <s v="25780 Commerce Dr"/>
    <s v="Madison Heights"/>
    <s v="MI"/>
    <n v="3.419995"/>
    <n v="1985"/>
    <n v="34116"/>
    <m/>
    <s v=" "/>
    <m/>
    <s v=" "/>
    <m/>
    <m/>
    <m/>
    <n v="4000000"/>
    <n v="117.2470395122523"/>
    <s v=" "/>
    <x v="802"/>
    <x v="857"/>
    <m/>
    <x v="740"/>
    <s v="Individual"/>
    <m/>
    <m/>
    <m/>
    <s v=" "/>
    <s v=" "/>
    <m/>
    <s v=" "/>
    <s v=" "/>
    <s v=" "/>
    <m/>
    <s v=" "/>
  </r>
  <r>
    <s v="U.S. Renal Care"/>
    <s v="2220 East 59th St"/>
    <s v="Anderson"/>
    <s v="IN"/>
    <n v="1.08"/>
    <n v="2018"/>
    <n v="6984"/>
    <n v="150501"/>
    <n v="21.54939862542955"/>
    <d v="2030-03-31T00:00:00"/>
    <n v="11.91506849315068"/>
    <s v="NN"/>
    <s v="$0.25 PSF annually"/>
    <s v="2, 5yr at market rate"/>
    <n v="2229650"/>
    <n v="319.2511454753723"/>
    <n v="0.06749983181216783"/>
    <x v="803"/>
    <x v="855"/>
    <s v="Baseline; Meyer"/>
    <x v="267"/>
    <s v="Fund"/>
    <m/>
    <m/>
    <n v="2312229"/>
    <n v="0.06508914125720247"/>
    <n v="0.9642859768647483"/>
    <n v="2312229"/>
    <n v="0.06508914125720247"/>
    <n v="0.002410690554965358"/>
    <s v="No"/>
    <d v="2018-01-03T00:00:00"/>
    <n v="121"/>
  </r>
  <r>
    <s v="DaVita Dialysis - Condo"/>
    <s v="100 Community Dr"/>
    <s v="Tobyhanna"/>
    <s v="PA"/>
    <n v="7.01"/>
    <n v="2003"/>
    <n v="4809"/>
    <n v="72364"/>
    <n v="15.04761904761905"/>
    <d v="2021-12-31T00:00:00"/>
    <n v="3.663013698630137"/>
    <s v="NNN"/>
    <s v="2% annually with CPI"/>
    <s v="1, 5yr"/>
    <n v="750000"/>
    <n v="155.9575795383656"/>
    <n v="0.09648533333333334"/>
    <x v="803"/>
    <x v="858"/>
    <s v="KW; Perich"/>
    <x v="741"/>
    <s v="Individual"/>
    <m/>
    <m/>
    <n v="950000"/>
    <n v="0.07617263157894737"/>
    <n v="0.7894736842105263"/>
    <n v="950000"/>
    <n v="0.07617263157894737"/>
    <n v="0.02031270175438597"/>
    <s v="No"/>
    <d v="2017-02-23T00:00:00"/>
    <n v="435"/>
  </r>
  <r>
    <s v="Fresenius Medical Care (Portfolio)"/>
    <s v="5000 Campus Dr."/>
    <s v="Fort Worth"/>
    <s v="TX"/>
    <n v="1.62"/>
    <n v="2004"/>
    <n v="69129"/>
    <n v="1246695.45"/>
    <n v="18.03433363711322"/>
    <m/>
    <s v=" "/>
    <m/>
    <m/>
    <m/>
    <n v="19179930"/>
    <n v="277.4512867248188"/>
    <n v="0.065"/>
    <x v="804"/>
    <x v="428"/>
    <m/>
    <x v="637"/>
    <s v="Fund"/>
    <m/>
    <m/>
    <m/>
    <s v=" "/>
    <s v=" "/>
    <m/>
    <s v=" "/>
    <s v=" "/>
    <s v=" "/>
    <m/>
    <s v=" "/>
  </r>
  <r>
    <s v="Fresenius Medical Care (Portfolio)"/>
    <s v="825 Dalworth St"/>
    <s v="Grand Prairie"/>
    <s v="TX"/>
    <n v="0.9469926"/>
    <n v="2007"/>
    <n v="69129"/>
    <n v="1246695.45"/>
    <n v="18.03433363711322"/>
    <m/>
    <s v=" "/>
    <m/>
    <m/>
    <m/>
    <n v="19179930"/>
    <n v="277.4512867248188"/>
    <n v="0.065"/>
    <x v="804"/>
    <x v="859"/>
    <s v="M&amp;M;"/>
    <x v="637"/>
    <s v="Fund"/>
    <m/>
    <m/>
    <m/>
    <s v=" "/>
    <s v=" "/>
    <m/>
    <s v=" "/>
    <s v=" "/>
    <s v=" "/>
    <m/>
    <s v=" "/>
  </r>
  <r>
    <s v="Fresenius Medical Care"/>
    <s v="6726 Mooretown Rd"/>
    <s v="Williamsburg"/>
    <s v="VA"/>
    <n v="1.14"/>
    <n v="2017"/>
    <n v="8201"/>
    <n v="205025"/>
    <n v="25"/>
    <d v="2029-08-31T00:00:00"/>
    <n v="11.33972602739726"/>
    <s v="NN"/>
    <s v="2.5% annually"/>
    <s v="-"/>
    <n v="3661160"/>
    <n v="446.4284843311791"/>
    <n v="0.05600001092549902"/>
    <x v="804"/>
    <x v="860"/>
    <s v="M&amp;M; Ficke"/>
    <x v="742"/>
    <s v="Individual"/>
    <s v="Steven Wiercioch"/>
    <s v="Robert Brown"/>
    <n v="3727000"/>
    <n v="0.05501073249262141"/>
    <n v="0.982334317145157"/>
    <n v="3727000"/>
    <n v="0.05501073249262141"/>
    <n v="0.0009892784328776119"/>
    <s v="No"/>
    <d v="2018-01-22T00:00:00"/>
    <n v="100"/>
  </r>
  <r>
    <s v="Fresenius Medical Care (Portfolio)"/>
    <s v="241 Meadowlane St"/>
    <s v="Eupora"/>
    <s v="MS"/>
    <m/>
    <s v="1969 | 1990"/>
    <n v="69129"/>
    <n v="1246695.45"/>
    <n v="18.03433363711322"/>
    <m/>
    <s v=" "/>
    <m/>
    <m/>
    <m/>
    <n v="19179930"/>
    <n v="277.4512867248188"/>
    <n v="0.065"/>
    <x v="805"/>
    <x v="13"/>
    <m/>
    <x v="637"/>
    <s v="Fund"/>
    <m/>
    <m/>
    <m/>
    <s v=" "/>
    <s v=" "/>
    <m/>
    <s v=" "/>
    <s v=" "/>
    <s v=" "/>
    <m/>
    <s v=" "/>
  </r>
  <r>
    <s v="Fresenius Medical Care (Portfolio)"/>
    <s v="3600 Netherland Inn Rd"/>
    <s v="Kingsport"/>
    <s v="TN"/>
    <n v="1.545156"/>
    <n v="1997"/>
    <n v="69129"/>
    <n v="1246695.45"/>
    <n v="18.03433363711322"/>
    <m/>
    <s v=" "/>
    <m/>
    <m/>
    <m/>
    <n v="19179930"/>
    <n v="277.4512867248188"/>
    <n v="0.065"/>
    <x v="805"/>
    <x v="13"/>
    <m/>
    <x v="637"/>
    <s v="Fund"/>
    <m/>
    <m/>
    <m/>
    <s v=" "/>
    <s v=" "/>
    <m/>
    <s v=" "/>
    <s v=" "/>
    <s v=" "/>
    <m/>
    <s v=" "/>
  </r>
  <r>
    <s v="Fresenius Medical Care (Portfolio)"/>
    <s v="113 E C Thurmond Cove"/>
    <s v="Martin"/>
    <s v="TN"/>
    <n v="0.514899"/>
    <n v="2002"/>
    <n v="69129"/>
    <n v="1246695.45"/>
    <n v="18.03433363711322"/>
    <m/>
    <s v=" "/>
    <m/>
    <m/>
    <m/>
    <n v="19179930"/>
    <n v="277.4512867248188"/>
    <n v="0.065"/>
    <x v="805"/>
    <x v="13"/>
    <m/>
    <x v="637"/>
    <s v="Fund"/>
    <m/>
    <m/>
    <m/>
    <s v=" "/>
    <s v=" "/>
    <m/>
    <s v=" "/>
    <s v=" "/>
    <s v=" "/>
    <m/>
    <s v=" "/>
  </r>
  <r>
    <s v="Fresenius Medical Care (Portfolio)"/>
    <s v="220 Crystal Run Rd"/>
    <s v="Middletown"/>
    <s v="NY"/>
    <n v="2.1"/>
    <s v="1988 | 200"/>
    <n v="69129"/>
    <n v="1246695.45"/>
    <n v="18.03433363711322"/>
    <m/>
    <s v=" "/>
    <m/>
    <m/>
    <m/>
    <n v="19179930"/>
    <n v="277.4512867248188"/>
    <n v="0.065"/>
    <x v="805"/>
    <x v="13"/>
    <m/>
    <x v="637"/>
    <s v="Fund"/>
    <m/>
    <m/>
    <m/>
    <s v=" "/>
    <s v=" "/>
    <m/>
    <s v=" "/>
    <s v=" "/>
    <s v=" "/>
    <m/>
    <s v=" "/>
  </r>
  <r>
    <s v="Fresenius Medical Care (Portfolio)"/>
    <s v="222 E Sinton Ave"/>
    <s v="Sinton"/>
    <s v="TX"/>
    <n v="0.3282828"/>
    <n v="1978"/>
    <n v="69129"/>
    <n v="1246695.45"/>
    <n v="18.03433363711322"/>
    <m/>
    <s v=" "/>
    <m/>
    <m/>
    <m/>
    <n v="19179930"/>
    <n v="277.4512867248188"/>
    <n v="0.065"/>
    <x v="805"/>
    <x v="13"/>
    <m/>
    <x v="637"/>
    <s v="Fund"/>
    <m/>
    <m/>
    <m/>
    <s v=" "/>
    <s v=" "/>
    <m/>
    <s v=" "/>
    <s v=" "/>
    <s v=" "/>
    <m/>
    <s v=" "/>
  </r>
  <r>
    <s v="Fresenius Medical Care (Portfolio)"/>
    <s v="9449 Grogans Mill Rd"/>
    <s v="The Woodlands"/>
    <s v="TX"/>
    <n v="1.669995"/>
    <n v="1980"/>
    <n v="69129"/>
    <n v="1246695.45"/>
    <n v="18.03433363711322"/>
    <m/>
    <s v=" "/>
    <m/>
    <m/>
    <m/>
    <n v="19179930"/>
    <n v="277.4512867248188"/>
    <n v="0.065"/>
    <x v="805"/>
    <x v="13"/>
    <m/>
    <x v="637"/>
    <s v="Fund"/>
    <m/>
    <m/>
    <m/>
    <s v=" "/>
    <s v=" "/>
    <m/>
    <s v=" "/>
    <s v=" "/>
    <s v=" "/>
    <m/>
    <s v=" "/>
  </r>
  <r>
    <s v="Fresenius Medical Care (Portfolio)"/>
    <s v="5205 McAuley Dr"/>
    <s v="Ypsilanti"/>
    <s v="MI"/>
    <n v="1.119995"/>
    <n v="1979"/>
    <n v="69129"/>
    <n v="1246695.45"/>
    <n v="18.03433363711322"/>
    <m/>
    <s v=" "/>
    <m/>
    <m/>
    <m/>
    <n v="19179930"/>
    <n v="277.4512867248188"/>
    <n v="0.065"/>
    <x v="805"/>
    <x v="428"/>
    <s v="M&amp;M;"/>
    <x v="637"/>
    <s v="Fund"/>
    <m/>
    <m/>
    <m/>
    <s v=" "/>
    <s v=" "/>
    <m/>
    <s v=" "/>
    <s v=" "/>
    <s v=" "/>
    <m/>
    <s v=" "/>
  </r>
  <r>
    <s v="Fresenius Medical Care"/>
    <s v="510 Main Street"/>
    <s v="Belpre"/>
    <s v="OH"/>
    <m/>
    <n v="2017"/>
    <n v="7516"/>
    <n v="270563.03"/>
    <n v="35.99827434805748"/>
    <d v="2032-11-30T00:00:00"/>
    <n v="14.5945205479452"/>
    <s v="NNN; R&amp;S"/>
    <s v="10% every 5 years"/>
    <s v="3, 5yr"/>
    <n v="4567221"/>
    <n v="607.6664449175094"/>
    <n v="0.05924018785164984"/>
    <x v="805"/>
    <x v="13"/>
    <s v="C&amp;W; Patel"/>
    <x v="64"/>
    <s v="Fund"/>
    <m/>
    <m/>
    <n v="4705444"/>
    <n v="0.0575"/>
    <n v="0.9706248762072187"/>
    <n v="4705444"/>
    <n v="0.0575"/>
    <n v="0.001740187851649838"/>
    <s v="No"/>
    <d v="2018-03-01T00:00:00"/>
    <n v="61"/>
  </r>
  <r>
    <s v="Fresenius Medical Care"/>
    <s v="5526 HW 62"/>
    <s v="Jeffersonville"/>
    <s v="IN"/>
    <n v="1"/>
    <n v="2017"/>
    <n v="8263"/>
    <n v="156997"/>
    <n v="19"/>
    <d v="2030-02-28T00:00:00"/>
    <n v="11.84109589041096"/>
    <s v="NN"/>
    <s v="10% every 5"/>
    <s v="Three (3), Five (5) year options at FMV"/>
    <n v="2616600"/>
    <n v="316.6646496429868"/>
    <n v="0.06000038217534204"/>
    <x v="806"/>
    <x v="861"/>
    <s v="SJC; Scrivner"/>
    <x v="743"/>
    <s v="Individual"/>
    <m/>
    <m/>
    <n v="2780000"/>
    <n v="0.05647374100719425"/>
    <n v="0.9412230215827339"/>
    <n v="2780000"/>
    <n v="0.05647374100719425"/>
    <n v="0.003526641168147798"/>
    <s v="No"/>
    <d v="2018-01-16T00:00:00"/>
    <n v="104"/>
  </r>
  <r>
    <s v="Fresenius Medical Care"/>
    <s v="5230 South Mingo Road"/>
    <s v="Tulsa"/>
    <s v="OK"/>
    <n v="1.4"/>
    <n v="2017"/>
    <n v="7217"/>
    <n v="202965.06"/>
    <n v="28.12318969100734"/>
    <d v="2032-12-31T00:00:00"/>
    <n v="14.68219178082192"/>
    <s v="NNN; R&amp;S"/>
    <s v="10% every 5"/>
    <s v="3, 5yr"/>
    <n v="3529500"/>
    <n v="489.0536233892199"/>
    <n v="0.05750532936676583"/>
    <x v="806"/>
    <x v="862"/>
    <s v="C&amp;W; Patel"/>
    <x v="744"/>
    <s v="Individual"/>
    <m/>
    <m/>
    <n v="3690274"/>
    <n v="0.05499999729017412"/>
    <n v="0.956433045351104"/>
    <n v="3690274"/>
    <n v="0.05499999729017412"/>
    <n v="0.002505332076591711"/>
    <s v="No"/>
    <d v="2017-12-11T00:00:00"/>
    <n v="140"/>
  </r>
  <r>
    <s v="American Renal - MT"/>
    <s v="1002 Telfair St"/>
    <s v="Augusta"/>
    <s v="GA"/>
    <n v="1.22"/>
    <n v="1991"/>
    <n v="22837"/>
    <n v="140135"/>
    <n v="6.136313876603757"/>
    <d v="2025-12-31T00:00:00"/>
    <n v="7.676712328767123"/>
    <s v="NNN"/>
    <s v="10% on 1/1/2021"/>
    <s v="1, 5yr"/>
    <n v="1778750"/>
    <n v="77.88895213907256"/>
    <n v="0.07878285312719606"/>
    <x v="806"/>
    <x v="13"/>
    <s v="M&amp;M; Gallagher"/>
    <x v="0"/>
    <s v="Individual"/>
    <m/>
    <m/>
    <n v="1866000"/>
    <n v="0.07509914255091103"/>
    <n v="0.9532422293676313"/>
    <m/>
    <s v=" "/>
    <s v=" "/>
    <s v=" "/>
    <d v="2017-11-02T00:00:00"/>
    <n v="179"/>
  </r>
  <r>
    <s v="U.S. Renal Care"/>
    <s v="19910 I-35 S"/>
    <s v="Lytle"/>
    <s v="TX"/>
    <n v="1.415"/>
    <n v="2017"/>
    <n v="10153"/>
    <n v="261440"/>
    <n v="25.75002462326406"/>
    <d v="2027-03-05T00:00:00"/>
    <n v="8.871232876712329"/>
    <s v="Absolute NNN"/>
    <s v="Larger of fair market value or prior year rent plus three percent (3.00%). 3.00% annual rental increases continue through options."/>
    <s v="2, 5 yr"/>
    <n v="4200000"/>
    <n v="413.6708362060475"/>
    <n v="0.06224761904761904"/>
    <x v="807"/>
    <x v="344"/>
    <s v="SJC; Scrivner"/>
    <x v="745"/>
    <s v="Individual"/>
    <m/>
    <m/>
    <n v="4230420"/>
    <n v="0.06180001040085854"/>
    <n v="0.9928092246159955"/>
    <n v="4230420"/>
    <n v="0.06180001040085854"/>
    <n v="0.0004476086467605014"/>
    <s v="No"/>
    <d v="2017-12-04T00:00:00"/>
    <n v="140"/>
  </r>
  <r>
    <s v="DaVita Dialysis"/>
    <s v="2517 Jensen Ave, Bldg B"/>
    <s v="Sanger"/>
    <s v="CA"/>
    <n v="1"/>
    <n v="2010"/>
    <n v="6500"/>
    <n v="183883.56"/>
    <n v="28.28977846153846"/>
    <d v="2022-02-01T00:00:00"/>
    <n v="3.810958904109589"/>
    <s v="NN"/>
    <s v="CPI annually; FMV at each option"/>
    <s v="2, 5yr"/>
    <n v="2900000"/>
    <n v="446.1538461538461"/>
    <n v="0.06340812413793104"/>
    <x v="808"/>
    <x v="863"/>
    <s v="Matthews; Moreno &amp; Hoover"/>
    <x v="746"/>
    <s v="Individual"/>
    <s v="KM; Tyrell"/>
    <m/>
    <n v="3064726"/>
    <n v="0.06"/>
    <n v="0.946250986221933"/>
    <n v="3064726"/>
    <n v="0.06"/>
    <n v="0.00340812413793104"/>
    <s v="No"/>
    <d v="2017-08-22T00:00:00"/>
    <n v="233"/>
  </r>
  <r>
    <s v="DaVita Dialysis"/>
    <s v="2015 N Riverside Ave"/>
    <s v="Rialto"/>
    <s v="CA"/>
    <n v="2"/>
    <n v="2009"/>
    <n v="14997"/>
    <n v="383477.5"/>
    <n v="25.57028072281123"/>
    <d v="2031-11-30T00:00:00"/>
    <n v="13.64383561643836"/>
    <s v="NN"/>
    <s v="10% every 5"/>
    <s v="3, 5 yr"/>
    <n v="6445000"/>
    <n v="429.7526171901047"/>
    <n v="0.0595"/>
    <x v="808"/>
    <x v="864"/>
    <s v="C&amp;W; Patel"/>
    <x v="658"/>
    <s v="Individual"/>
    <s v="Grady Liu"/>
    <m/>
    <m/>
    <s v=" "/>
    <s v=" "/>
    <m/>
    <s v=" "/>
    <s v=" "/>
    <s v=" "/>
    <m/>
    <s v=" "/>
  </r>
  <r>
    <s v="DaVita Dialysis"/>
    <s v="322 Washington St"/>
    <s v="Brookline"/>
    <s v="MA"/>
    <n v="0.39"/>
    <n v="2017"/>
    <n v="31072"/>
    <n v="683584"/>
    <n v="22"/>
    <d v="2031-11-30T00:00:00"/>
    <n v="13.64383561643836"/>
    <s v="NN"/>
    <s v="10% every 5 years"/>
    <s v="2, 5yr"/>
    <n v="10316471"/>
    <n v="332.0182479402678"/>
    <n v="0.06626141826987154"/>
    <x v="808"/>
    <x v="351"/>
    <s v="M&amp;M; Glass"/>
    <x v="0"/>
    <s v="Individual"/>
    <m/>
    <m/>
    <n v="13020647"/>
    <n v="0.05250000249603572"/>
    <n v="0.7923163111633392"/>
    <n v="13020647"/>
    <n v="0.05250000249603572"/>
    <n v="0.01376141577383583"/>
    <s v="No"/>
    <d v="2017-09-19T00:00:00"/>
    <n v="205"/>
  </r>
  <r>
    <s v="Fresenius Medical Care"/>
    <s v="9924 South Vincennes Ave"/>
    <s v="Chicago"/>
    <s v="IL"/>
    <n v="0.87"/>
    <n v="2017"/>
    <n v="9396"/>
    <n v="258296"/>
    <n v="27.48999574286931"/>
    <d v="2032-12-31T00:00:00"/>
    <n v="14.73698630136986"/>
    <s v="NN"/>
    <s v="10% every 5yrs"/>
    <s v="3, 5yr"/>
    <n v="4377898"/>
    <n v="465.9320987654321"/>
    <n v="0.05900000411156221"/>
    <x v="809"/>
    <x v="726"/>
    <s v="Boulder; Blankstein"/>
    <x v="0"/>
    <s v="Individual"/>
    <m/>
    <m/>
    <n v="4612429"/>
    <n v="0.05599999479666787"/>
    <n v="0.9491523880367589"/>
    <n v="4531509"/>
    <n v="0.05699999713119846"/>
    <n v="0.002000006980363754"/>
    <s v="Yes"/>
    <d v="2017-11-28T00:00:00"/>
    <n v="133"/>
  </r>
  <r>
    <s v="U.S. Renal Care"/>
    <s v="4511 N West Loop 410"/>
    <s v="San Antonio"/>
    <s v="TX"/>
    <n v="1.62"/>
    <n v="2015"/>
    <n v="9767"/>
    <n v="271816"/>
    <n v="27.8300399303778"/>
    <d v="2025-06-30T00:00:00"/>
    <n v="7.243835616438356"/>
    <s v="NNN"/>
    <s v="3.0%"/>
    <s v="2, 5yr"/>
    <n v="4380000"/>
    <n v="448.4488584007372"/>
    <n v="0.06205844748858447"/>
    <x v="810"/>
    <x v="344"/>
    <s v="SJC; Scrivner"/>
    <x v="747"/>
    <s v="Individual"/>
    <m/>
    <m/>
    <n v="4456000"/>
    <n v="0.061"/>
    <n v="0.9829443447037702"/>
    <n v="4456000"/>
    <n v="0.061"/>
    <n v="0.001058447488584476"/>
    <s v="No"/>
    <m/>
    <s v=" "/>
  </r>
  <r>
    <s v="Fresenius Medical Care"/>
    <s v="7214 Calumet Ave"/>
    <s v="Hammond"/>
    <s v="IN"/>
    <n v="0.79"/>
    <n v="2008"/>
    <n v="6834"/>
    <n v="157437"/>
    <n v="23.03731343283582"/>
    <d v="2027-09-30T00:00:00"/>
    <n v="9.495890410958904"/>
    <s v="NN"/>
    <s v="1% annually"/>
    <s v="2, 5yr"/>
    <n v="2349813"/>
    <n v="343.8415276558384"/>
    <n v="0.06699979955851806"/>
    <x v="810"/>
    <x v="13"/>
    <s v="Zach Martin"/>
    <x v="0"/>
    <s v="Individual"/>
    <m/>
    <m/>
    <n v="2422000"/>
    <n v="0.0650028901734104"/>
    <n v="0.9701952931461602"/>
    <n v="2422000"/>
    <n v="0.0650028901734104"/>
    <n v="0.001996909385107659"/>
    <s v="No"/>
    <d v="2017-12-20T00:00:00"/>
    <n v="105"/>
  </r>
  <r>
    <s v="Fresenius Medical Care"/>
    <s v="7780 Ludington Ln"/>
    <s v="Birmingham"/>
    <s v="AL"/>
    <n v="1.2"/>
    <n v="2017"/>
    <n v="10311"/>
    <n v="311825.75"/>
    <n v="30.24204732809621"/>
    <d v="2032-05-18T00:00:00"/>
    <n v="14.13424657534247"/>
    <s v="NN"/>
    <s v="10% every 5"/>
    <s v="3, 5yr"/>
    <n v="5196500"/>
    <n v="503.976335951896"/>
    <n v="0.06000687963052054"/>
    <x v="811"/>
    <x v="296"/>
    <s v="C&amp;W; Patel"/>
    <x v="35"/>
    <s v="REIT"/>
    <m/>
    <s v="Oman-Gibson"/>
    <n v="5669559"/>
    <n v="0.05500000088190281"/>
    <n v="0.9165615879471402"/>
    <n v="5519040"/>
    <n v="0.05649999818809068"/>
    <n v="0.00350688144242986"/>
    <s v="Yes"/>
    <d v="2017-08-30T00:00:00"/>
    <n v="216"/>
  </r>
  <r>
    <s v="U.S. Renal Care"/>
    <s v="230 Knollwood Dr"/>
    <s v="San Antonio"/>
    <s v="TX"/>
    <n v="1.002"/>
    <n v="2014"/>
    <n v="9360"/>
    <n v="204558"/>
    <n v="21.85448717948718"/>
    <d v="2024-11-02T00:00:00"/>
    <n v="6.589041095890411"/>
    <s v="Absolute NNN"/>
    <s v="3% annually"/>
    <s v="2, 5yr"/>
    <n v="3150000"/>
    <n v="336.5384615384615"/>
    <n v="0.06493904761904762"/>
    <x v="811"/>
    <x v="344"/>
    <s v="SJC; Scrivner"/>
    <x v="748"/>
    <s v="Individual"/>
    <m/>
    <m/>
    <n v="3300000"/>
    <n v="0.06198727272727272"/>
    <n v="0.9545454545454546"/>
    <n v="3300000"/>
    <n v="0.06198727272727272"/>
    <n v="0.002951774891774894"/>
    <s v="No"/>
    <d v="2017-10-18T00:00:00"/>
    <n v="167"/>
  </r>
  <r>
    <s v="DaVita Dialysis"/>
    <s v="109 Overland Dr"/>
    <s v="Greenwood"/>
    <s v="SC"/>
    <n v="2.01"/>
    <n v="1999"/>
    <n v="12069"/>
    <n v="192637.1611"/>
    <n v="15.96131917308808"/>
    <d v="2023-01-21T00:00:00"/>
    <n v="4.808219178082192"/>
    <s v="NNN"/>
    <s v="2% Increases every 3 Years"/>
    <s v="Two (2), five (5) year options"/>
    <n v="2548567"/>
    <n v="211.1663766674952"/>
    <n v="0.07558646137221427"/>
    <x v="812"/>
    <x v="73"/>
    <s v="CBRE"/>
    <x v="138"/>
    <s v="REIT"/>
    <m/>
    <m/>
    <m/>
    <s v=" "/>
    <s v=" "/>
    <m/>
    <s v=" "/>
    <s v=" "/>
    <s v=" "/>
    <m/>
    <s v=" "/>
  </r>
  <r>
    <s v="DaVita Dialysis"/>
    <s v="1401 N Michigan St"/>
    <s v="Elkhart"/>
    <s v="IN"/>
    <n v="1.910009"/>
    <n v="2013"/>
    <n v="6706"/>
    <n v="185328"/>
    <n v="27.63614673426783"/>
    <d v="2029-03-30T00:00:00"/>
    <n v="11"/>
    <s v="NN"/>
    <s v="10% every 5"/>
    <s v="3, 5 yr"/>
    <m/>
    <s v=" "/>
    <s v=" "/>
    <x v="812"/>
    <x v="73"/>
    <s v="CBRE"/>
    <x v="138"/>
    <s v="REIT"/>
    <m/>
    <m/>
    <m/>
    <s v=" "/>
    <s v=" "/>
    <m/>
    <s v=" "/>
    <s v=" "/>
    <s v=" "/>
    <m/>
    <s v=" "/>
  </r>
  <r>
    <s v="DaVita Dialysis"/>
    <s v="191 SE Railroad St"/>
    <s v="Sharpsburg"/>
    <s v="NC"/>
    <m/>
    <m/>
    <n v="2017"/>
    <m/>
    <s v=" "/>
    <m/>
    <s v=" "/>
    <m/>
    <m/>
    <m/>
    <n v="2599098"/>
    <n v="1288.595934556272"/>
    <s v=" "/>
    <x v="812"/>
    <x v="73"/>
    <s v="CBRE"/>
    <x v="138"/>
    <s v="REIT"/>
    <m/>
    <m/>
    <m/>
    <s v=" "/>
    <s v=" "/>
    <m/>
    <s v=" "/>
    <s v=" "/>
    <s v=" "/>
    <m/>
    <s v=" "/>
  </r>
  <r>
    <s v="Fresenius Medical Care"/>
    <s v="10545 Lake Forest Blvd"/>
    <s v="New Orleans"/>
    <s v="LA"/>
    <n v="1.40264"/>
    <n v="2000"/>
    <n v="8179"/>
    <m/>
    <s v=" "/>
    <m/>
    <s v=" "/>
    <m/>
    <m/>
    <m/>
    <n v="2862443"/>
    <n v="349.9746912825529"/>
    <s v=" "/>
    <x v="812"/>
    <x v="73"/>
    <s v="CBRE"/>
    <x v="138"/>
    <s v="REIT"/>
    <m/>
    <m/>
    <m/>
    <s v=" "/>
    <s v=" "/>
    <m/>
    <s v=" "/>
    <s v=" "/>
    <s v=" "/>
    <m/>
    <s v=" "/>
  </r>
  <r>
    <s v="Columbia Pacific Med Office Portfolio 2018"/>
    <s v="5 of 14 properties"/>
    <m/>
    <m/>
    <m/>
    <m/>
    <n v="111918"/>
    <m/>
    <s v=" "/>
    <m/>
    <s v=" "/>
    <m/>
    <m/>
    <m/>
    <m/>
    <s v=" "/>
    <s v=" "/>
    <x v="812"/>
    <x v="73"/>
    <s v="CBRE"/>
    <x v="138"/>
    <s v="REIT"/>
    <m/>
    <m/>
    <m/>
    <s v=" "/>
    <s v=" "/>
    <m/>
    <s v=" "/>
    <s v=" "/>
    <s v=" "/>
    <m/>
    <s v=" "/>
  </r>
  <r>
    <s v="DaVita Dialysis"/>
    <s v="4010 Montgomery Blvd NE"/>
    <s v="Albuquerque"/>
    <s v="NM"/>
    <n v="1.293"/>
    <n v="2007"/>
    <n v="11720"/>
    <n v="231500"/>
    <n v="19.75255972696246"/>
    <m/>
    <s v=" "/>
    <m/>
    <m/>
    <m/>
    <n v="4200000"/>
    <n v="358.3617747440273"/>
    <n v="0.05511904761904762"/>
    <x v="813"/>
    <x v="865"/>
    <m/>
    <x v="749"/>
    <s v="Individual"/>
    <m/>
    <s v="Barking Beagle Investments, LLC"/>
    <n v="4200000"/>
    <n v="0.05511904761904762"/>
    <n v="1"/>
    <m/>
    <s v=" "/>
    <s v=" "/>
    <s v=" "/>
    <d v="2017-05-31T00:00:00"/>
    <n v="304"/>
  </r>
  <r>
    <s v="Fresenius Medical Care"/>
    <s v="6525 W Main St"/>
    <s v="Belleville "/>
    <s v="IL"/>
    <n v="0.99"/>
    <n v="2017"/>
    <n v="6877"/>
    <n v="181475"/>
    <n v="26.38868692743929"/>
    <d v="2033-01-31T00:00:00"/>
    <n v="14.85205479452055"/>
    <s v="NN"/>
    <s v="1.7% annually"/>
    <s v="2, 5 yr"/>
    <n v="2975000"/>
    <n v="432.6014250399884"/>
    <n v="0.061"/>
    <x v="814"/>
    <x v="192"/>
    <m/>
    <x v="267"/>
    <s v="Fund"/>
    <s v="PG; Lesley"/>
    <m/>
    <m/>
    <s v=" "/>
    <s v=" "/>
    <m/>
    <s v=" "/>
    <s v=" "/>
    <s v=" "/>
    <m/>
    <s v=" "/>
  </r>
  <r>
    <s v="Fresenius Medical Care"/>
    <s v="1276 Kitson St"/>
    <s v="Sturgis"/>
    <s v="MI"/>
    <n v="1.5"/>
    <n v="2008"/>
    <n v="6500"/>
    <n v="76194"/>
    <n v="11.72215384615385"/>
    <d v="2021-08-31T00:00:00"/>
    <n v="3.427397260273973"/>
    <s v="NN"/>
    <s v="2% annually"/>
    <s v="3, 5yr"/>
    <n v="850000"/>
    <n v="130.7692307692308"/>
    <n v="0.08964"/>
    <x v="815"/>
    <x v="866"/>
    <s v="M&amp;M; Haron"/>
    <x v="750"/>
    <s v="Fund"/>
    <m/>
    <m/>
    <n v="896398"/>
    <n v="0.08500018964790193"/>
    <n v="0.9482395096820831"/>
    <n v="896398"/>
    <n v="0.08500018964790193"/>
    <n v="0.004639810352098067"/>
    <s v="No"/>
    <d v="2017-12-06T00:00:00"/>
    <n v="113"/>
  </r>
  <r>
    <s v="DaVita Dialysis"/>
    <s v="1190 E Church St"/>
    <s v="Bartow"/>
    <s v="FL"/>
    <m/>
    <m/>
    <n v="4528"/>
    <n v="80925"/>
    <n v="17.87212897526502"/>
    <m/>
    <s v=" "/>
    <m/>
    <m/>
    <m/>
    <n v="715000"/>
    <n v="157.9063604240283"/>
    <n v="0.1131818181818182"/>
    <x v="815"/>
    <x v="867"/>
    <s v="Encore"/>
    <x v="751"/>
    <s v="Individual"/>
    <m/>
    <m/>
    <n v="975000"/>
    <n v="0.083"/>
    <n v="0.7333333333333333"/>
    <n v="975000"/>
    <n v="0.083"/>
    <n v="0.03018181818181817"/>
    <s v="No"/>
    <d v="2017-12-06T00:00:00"/>
    <n v="113"/>
  </r>
  <r>
    <s v="Fresenius Medical Care - Hammond"/>
    <s v="7214 Calumet Ave"/>
    <s v="Hammond"/>
    <s v="IN"/>
    <n v="0.5560147"/>
    <n v="2008"/>
    <n v="6834"/>
    <m/>
    <s v=" "/>
    <m/>
    <s v=" "/>
    <m/>
    <m/>
    <m/>
    <m/>
    <s v=" "/>
    <s v=" "/>
    <x v="816"/>
    <x v="868"/>
    <m/>
    <x v="64"/>
    <s v="Fund"/>
    <m/>
    <m/>
    <m/>
    <s v=" "/>
    <s v=" "/>
    <m/>
    <s v=" "/>
    <s v=" "/>
    <s v=" "/>
    <m/>
    <s v=" "/>
  </r>
  <r>
    <s v="DaVita Dialysis"/>
    <s v="260 Hospital Rd"/>
    <s v="Canton"/>
    <s v="GA"/>
    <n v="0.88"/>
    <n v="2005"/>
    <n v="7718"/>
    <n v="134757"/>
    <n v="17.46009328841669"/>
    <d v="2026-04-30T00:00:00"/>
    <n v="8.098630136986301"/>
    <s v="NN"/>
    <s v="Annual CPI"/>
    <s v="2, 5yr"/>
    <n v="1752000"/>
    <n v="227.0018139414356"/>
    <n v="0.07691609589041096"/>
    <x v="816"/>
    <x v="869"/>
    <s v="SJC; Powell"/>
    <x v="752"/>
    <s v="Individual"/>
    <m/>
    <m/>
    <n v="1925105"/>
    <n v="0.06999981819173499"/>
    <n v="0.9100802293900853"/>
    <n v="1925105"/>
    <n v="0.06999981819173499"/>
    <n v="0.006916277698675963"/>
    <s v="No"/>
    <d v="2017-10-05T00:00:00"/>
    <n v="173"/>
  </r>
  <r>
    <s v="DaVita Dialysis"/>
    <s v="1232-1244 S Bristol"/>
    <s v="Santa Ana"/>
    <s v="CA"/>
    <n v="1.24"/>
    <n v="2018"/>
    <n v="12567"/>
    <m/>
    <s v=" "/>
    <d v="2032-12-01T00:00:00"/>
    <n v="14.6958904109589"/>
    <s v="NN"/>
    <s v="10% every 5"/>
    <s v="3, 5 yr"/>
    <n v="7940000"/>
    <n v="631.8134797485478"/>
    <s v=" "/>
    <x v="817"/>
    <x v="5"/>
    <s v="C&amp;W; Patel"/>
    <x v="753"/>
    <s v="Individual"/>
    <m/>
    <m/>
    <m/>
    <s v=" "/>
    <s v=" "/>
    <m/>
    <s v=" "/>
    <s v=" "/>
    <s v=" "/>
    <m/>
    <s v=" "/>
  </r>
  <r>
    <s v="DaVita Dialysis"/>
    <s v="2391 15 Mile Rd"/>
    <s v="Sterling Heights "/>
    <s v="MI"/>
    <m/>
    <n v="2018"/>
    <n v="7275"/>
    <n v="117360"/>
    <n v="16.1319587628866"/>
    <m/>
    <s v=" "/>
    <m/>
    <m/>
    <m/>
    <n v="1956000"/>
    <n v="268.8659793814433"/>
    <n v="0.06"/>
    <x v="817"/>
    <x v="870"/>
    <s v="Encore; Bistolarides "/>
    <x v="754"/>
    <s v="Individual"/>
    <m/>
    <m/>
    <m/>
    <s v=" "/>
    <s v=" "/>
    <m/>
    <s v=" "/>
    <s v=" "/>
    <s v=" "/>
    <m/>
    <s v=" "/>
  </r>
  <r>
    <s v="DaVita Dialysis"/>
    <s v="2669 Church Street"/>
    <s v="East Point"/>
    <s v="GA"/>
    <n v="1.17"/>
    <n v="2017"/>
    <n v="10560"/>
    <n v="166608"/>
    <n v="15.77727272727273"/>
    <d v="2028-11-19T00:00:00"/>
    <n v="10.66849315068493"/>
    <s v="NN"/>
    <s v="2% annually"/>
    <s v="2, 5 yr"/>
    <n v="2340000"/>
    <n v="221.5909090909091"/>
    <n v="0.0712"/>
    <x v="818"/>
    <x v="768"/>
    <s v="M&amp;M; Prefontaine"/>
    <x v="267"/>
    <s v="Fund"/>
    <m/>
    <m/>
    <n v="2465000"/>
    <n v="0.0675894523326572"/>
    <n v="0.949290060851927"/>
    <n v="2465000"/>
    <n v="0.0675894523326572"/>
    <n v="0.003610547667342798"/>
    <s v="No"/>
    <d v="2017-10-03T00:00:00"/>
    <n v="171"/>
  </r>
  <r>
    <s v="DaVita Dialysis"/>
    <s v="267 Shrewsbury St"/>
    <s v="Worcester"/>
    <s v="MA"/>
    <n v="0.46"/>
    <n v="2017"/>
    <n v="11080"/>
    <n v="264121"/>
    <n v="23.83763537906137"/>
    <d v="2032-03-21T00:00:00"/>
    <n v="14.00821917808219"/>
    <s v="NN"/>
    <s v="10% every 5 years"/>
    <s v="2, 5yr"/>
    <n v="4487950"/>
    <n v="405.0496389891697"/>
    <n v="0.058851145846099"/>
    <x v="819"/>
    <x v="66"/>
    <s v="M&amp;M; Cook"/>
    <x v="755"/>
    <s v="Individual"/>
    <s v="M&amp;M; Kook"/>
    <m/>
    <n v="5282400"/>
    <n v="0.05000018930789035"/>
    <n v="0.8496043465091625"/>
    <n v="4936850"/>
    <n v="0.05349990378480205"/>
    <n v="0.005351242061296946"/>
    <s v="Yes"/>
    <d v="2017-07-17T00:00:00"/>
    <n v="248"/>
  </r>
  <r>
    <s v="DaVita Dialysis"/>
    <s v="5105 W Main St"/>
    <s v="Belleville"/>
    <s v="IL"/>
    <n v="0.48"/>
    <n v="1982"/>
    <n v="15500"/>
    <n v="313784"/>
    <n v="20.24412903225807"/>
    <d v="2024-03-31T00:00:00"/>
    <n v="6.03013698630137"/>
    <s v="NN"/>
    <s v="10% every 5"/>
    <s v="3, 5 yr"/>
    <n v="5155500"/>
    <n v="332.6129032258065"/>
    <n v="0.06086393172340219"/>
    <x v="819"/>
    <x v="73"/>
    <s v="CBRE"/>
    <x v="138"/>
    <s v="REIT"/>
    <m/>
    <m/>
    <m/>
    <s v=" "/>
    <s v=" "/>
    <m/>
    <s v=" "/>
    <s v=" "/>
    <s v=" "/>
    <m/>
    <s v=" "/>
  </r>
  <r>
    <s v="Fresenius Medical Care"/>
    <s v="120 Victor Heights Pky"/>
    <s v="Victor"/>
    <s v="NY"/>
    <n v="2.3"/>
    <n v="1998"/>
    <n v="8684"/>
    <n v="174331.767"/>
    <n v="20.07505377706126"/>
    <d v="2024-08-31T00:00:00"/>
    <n v="6.449315068493151"/>
    <s v="NN"/>
    <s v="2.5% annually"/>
    <s v="2, 5 yr"/>
    <n v="2455377"/>
    <n v="282.7472362966375"/>
    <n v="0.07099999999999999"/>
    <x v="819"/>
    <x v="73"/>
    <s v="CBRE"/>
    <x v="138"/>
    <s v="REIT"/>
    <m/>
    <m/>
    <m/>
    <s v=" "/>
    <s v=" "/>
    <m/>
    <s v=" "/>
    <s v=" "/>
    <s v=" "/>
    <m/>
    <s v=" "/>
  </r>
  <r>
    <s v="Fresenius Medical Care"/>
    <s v="3253 Shawnee Dr S"/>
    <s v="Bedford"/>
    <s v="IN"/>
    <n v="1.5"/>
    <n v="2009"/>
    <n v="6900"/>
    <n v="161095"/>
    <n v="23.34710144927536"/>
    <d v="2028-03-30T00:00:00"/>
    <n v="10.03013698630137"/>
    <s v="NN"/>
    <s v="10% every 5 years"/>
    <s v="3, 5 yr"/>
    <n v="2244899"/>
    <n v="325.3476811594203"/>
    <n v="0.07176046672923815"/>
    <x v="819"/>
    <x v="73"/>
    <s v="CBRE"/>
    <x v="138"/>
    <s v="REIT"/>
    <m/>
    <m/>
    <m/>
    <s v=" "/>
    <s v=" "/>
    <m/>
    <s v=" "/>
    <s v=" "/>
    <s v=" "/>
    <m/>
    <s v=" "/>
  </r>
  <r>
    <s v="Fresenius Medical Care"/>
    <s v="4100 Salem Ave"/>
    <s v="Trotwood"/>
    <s v="OH"/>
    <n v="1.28"/>
    <n v="2008"/>
    <n v="8000"/>
    <n v="140804.4"/>
    <n v="17.60055"/>
    <d v="2028-06-20T00:00:00"/>
    <n v="10.25479452054794"/>
    <s v="NN"/>
    <s v="10% every 5 years"/>
    <s v="3, 5 yr"/>
    <n v="1813700"/>
    <n v="226.7125"/>
    <n v="0.07763378728565916"/>
    <x v="819"/>
    <x v="73"/>
    <s v="CBRE"/>
    <x v="138"/>
    <s v="REIT"/>
    <m/>
    <m/>
    <m/>
    <s v=" "/>
    <s v=" "/>
    <m/>
    <s v=" "/>
    <s v=" "/>
    <s v=" "/>
    <m/>
    <s v=" "/>
  </r>
  <r>
    <s v="DaVita Dialysis"/>
    <s v="3402 W 111th ST"/>
    <s v="Chicago"/>
    <s v="IL"/>
    <n v="0.35"/>
    <n v="1965"/>
    <n v="6127"/>
    <n v="122889.4"/>
    <n v="20.057026277134"/>
    <m/>
    <s v=" "/>
    <s v="NN"/>
    <s v="Yes"/>
    <m/>
    <n v="1608500"/>
    <n v="262.5265219520157"/>
    <n v="0.0764"/>
    <x v="819"/>
    <x v="73"/>
    <m/>
    <x v="138"/>
    <s v="REIT"/>
    <m/>
    <m/>
    <m/>
    <s v=" "/>
    <s v=" "/>
    <m/>
    <s v=" "/>
    <s v=" "/>
    <s v=" "/>
    <m/>
    <s v=" "/>
  </r>
  <r>
    <s v="DaVita Dialysis"/>
    <s v="5201 San Mateo Blvd NE"/>
    <s v="Albuquerque"/>
    <s v="NM"/>
    <n v="1.05"/>
    <m/>
    <n v="8456"/>
    <m/>
    <s v=" "/>
    <m/>
    <s v=" "/>
    <m/>
    <m/>
    <m/>
    <m/>
    <s v=" "/>
    <s v=" "/>
    <x v="819"/>
    <x v="73"/>
    <s v="CBRE; Pike"/>
    <x v="138"/>
    <s v="REIT"/>
    <m/>
    <m/>
    <m/>
    <s v=" "/>
    <s v=" "/>
    <m/>
    <s v=" "/>
    <s v=" "/>
    <s v=" "/>
    <m/>
    <s v=" "/>
  </r>
  <r>
    <s v="DaVita Dialysis"/>
    <s v="16 Central Henderson Rd"/>
    <s v="Boaz"/>
    <s v="AL"/>
    <n v="2.88"/>
    <n v="1999"/>
    <n v="4400"/>
    <m/>
    <s v=" "/>
    <m/>
    <s v=" "/>
    <m/>
    <m/>
    <m/>
    <m/>
    <s v=" "/>
    <s v=" "/>
    <x v="819"/>
    <x v="73"/>
    <s v="CBRE"/>
    <x v="138"/>
    <s v="REIT"/>
    <m/>
    <m/>
    <m/>
    <s v=" "/>
    <s v=" "/>
    <m/>
    <s v=" "/>
    <s v=" "/>
    <s v=" "/>
    <m/>
    <s v=" "/>
  </r>
  <r>
    <s v="DaVita Dialysis"/>
    <s v="2800 Rainbow Dr"/>
    <s v="Rainbow City"/>
    <s v="AL"/>
    <n v="1.18"/>
    <n v="1999"/>
    <n v="7170"/>
    <m/>
    <s v=" "/>
    <m/>
    <s v=" "/>
    <m/>
    <m/>
    <m/>
    <m/>
    <s v=" "/>
    <s v=" "/>
    <x v="819"/>
    <x v="73"/>
    <s v="CBRE"/>
    <x v="138"/>
    <s v="REIT"/>
    <m/>
    <m/>
    <m/>
    <s v=" "/>
    <s v=" "/>
    <m/>
    <s v=" "/>
    <s v=" "/>
    <s v=" "/>
    <m/>
    <s v=" "/>
  </r>
  <r>
    <s v="Fresenius Medical Care"/>
    <s v="1735 W 2700 N"/>
    <s v="Farr West"/>
    <s v="UT"/>
    <n v="1.12"/>
    <n v="2017"/>
    <n v="7256"/>
    <n v="307431.2325"/>
    <n v="42.36924372932745"/>
    <d v="2032-02-23T00:00:00"/>
    <n v="13.93972602739726"/>
    <s v="NN"/>
    <s v="1.7% annually"/>
    <s v="3, 5yr"/>
    <n v="5062000"/>
    <n v="697.6295479603087"/>
    <n v="0.06073315537337021"/>
    <x v="820"/>
    <x v="494"/>
    <s v="C&amp;W; Trautvetter"/>
    <x v="756"/>
    <s v="Individual"/>
    <m/>
    <m/>
    <n v="5855833"/>
    <n v="0.0525"/>
    <n v="0.8644372201188114"/>
    <n v="5489839"/>
    <n v="0.05600004526544403"/>
    <n v="0.004733110107926181"/>
    <s v="Yes"/>
    <d v="2017-03-27T00:00:00"/>
    <n v="358"/>
  </r>
  <r>
    <s v="DaVita Dialysis"/>
    <s v="409 S 1st St"/>
    <s v="Gadsden"/>
    <s v="AL"/>
    <n v="0.64"/>
    <n v="1998"/>
    <n v="7935"/>
    <m/>
    <s v=" "/>
    <m/>
    <s v=" "/>
    <m/>
    <m/>
    <m/>
    <m/>
    <s v=" "/>
    <s v=" "/>
    <x v="820"/>
    <x v="73"/>
    <s v="CBRE"/>
    <x v="138"/>
    <s v="REIT"/>
    <m/>
    <m/>
    <m/>
    <s v=" "/>
    <s v=" "/>
    <m/>
    <s v=" "/>
    <s v=" "/>
    <s v=" "/>
    <m/>
    <s v=" "/>
  </r>
  <r>
    <s v="Fresenius Medical Care"/>
    <s v="301 Katie Michelle Blvd"/>
    <s v="Edmond"/>
    <s v="OK"/>
    <n v="2"/>
    <n v="2011"/>
    <n v="7049"/>
    <n v="162832"/>
    <n v="23.10001418640942"/>
    <d v="2030-07-31T00:00:00"/>
    <n v="12.37260273972603"/>
    <s v="NN"/>
    <s v="5% every 5 years"/>
    <s v="3, 5yr"/>
    <n v="2669377"/>
    <n v="378.6887501773301"/>
    <n v="0.06100000112385774"/>
    <x v="820"/>
    <x v="13"/>
    <s v="Will Lightfoot"/>
    <x v="0"/>
    <s v="Individual"/>
    <m/>
    <m/>
    <n v="2832000"/>
    <n v="0.05749717514124294"/>
    <n v="0.9425766242937853"/>
    <n v="2832000"/>
    <n v="0.05749717514124294"/>
    <n v="0.003502825982614803"/>
    <s v="No"/>
    <d v="2017-11-02T00:00:00"/>
    <n v="138"/>
  </r>
  <r>
    <s v="Fresenius Medical Care"/>
    <s v="1010 S Spruce St"/>
    <s v="Vivian"/>
    <s v="LA"/>
    <n v="0.68"/>
    <n v="2018"/>
    <n v="4914"/>
    <n v="118550"/>
    <n v="24.12494912494913"/>
    <d v="2033-03-31T00:00:00"/>
    <n v="15.05205479452055"/>
    <s v="NN"/>
    <s v="10% every 5 years"/>
    <s v="3, 5yr"/>
    <m/>
    <s v=" "/>
    <s v=" "/>
    <x v="821"/>
    <x v="13"/>
    <s v="PH: Peranich &amp; Huffman"/>
    <x v="0"/>
    <s v="Individual"/>
    <m/>
    <m/>
    <n v="2062000"/>
    <n v="0.05749272550921435"/>
    <s v=" "/>
    <n v="1976000"/>
    <n v="0.05999493927125506"/>
    <s v=" "/>
    <s v="Yes"/>
    <d v="2018-01-05T00:00:00"/>
    <n v="70"/>
  </r>
  <r>
    <s v="Fresenius Medical Care"/>
    <s v="220 Crystal Run Rd"/>
    <s v="Middletown"/>
    <s v="NY"/>
    <n v="2.1"/>
    <n v="1988"/>
    <n v="10000"/>
    <m/>
    <s v=" "/>
    <m/>
    <s v=" "/>
    <m/>
    <m/>
    <m/>
    <n v="2750000"/>
    <n v="275"/>
    <s v=" "/>
    <x v="822"/>
    <x v="871"/>
    <s v="M&amp;M;"/>
    <x v="272"/>
    <s v="User"/>
    <m/>
    <m/>
    <m/>
    <s v=" "/>
    <s v=" "/>
    <m/>
    <s v=" "/>
    <s v=" "/>
    <s v=" "/>
    <m/>
    <s v=" "/>
  </r>
  <r>
    <s v="DaVita Dialysis"/>
    <s v="515 East Ln"/>
    <s v="Ontario"/>
    <s v="OR"/>
    <n v="3.39"/>
    <n v="2003"/>
    <n v="5622"/>
    <n v="114958"/>
    <n v="20.44788331554607"/>
    <d v="2021-03-31T00:00:00"/>
    <n v="3.054794520547945"/>
    <s v="NN"/>
    <s v="CPI annually"/>
    <s v="1, 5yr"/>
    <n v="1742000"/>
    <n v="309.8541444325863"/>
    <n v="0.06599196326061997"/>
    <x v="823"/>
    <x v="872"/>
    <s v="Terry Frohnmayer"/>
    <x v="757"/>
    <s v="Individual"/>
    <s v="Colliers; Anderson"/>
    <m/>
    <n v="2000000"/>
    <n v="0.057479"/>
    <n v="0.871"/>
    <n v="2000000"/>
    <n v="0.057479"/>
    <n v="0.008512963260619968"/>
    <s v="No"/>
    <d v="2016-09-01T00:00:00"/>
    <n v="557"/>
  </r>
  <r>
    <s v="DaVita Dialysis"/>
    <s v="400 Palm Ave"/>
    <s v="Wasco"/>
    <s v="CA"/>
    <n v="1.12"/>
    <n v="2017"/>
    <n v="8712"/>
    <n v="274390"/>
    <n v="31.49563820018366"/>
    <d v="2032-10-31T00:00:00"/>
    <n v="14.66027397260274"/>
    <s v="NN"/>
    <s v="10% every 5 years"/>
    <s v="2, 5yr"/>
    <n v="4836989.52"/>
    <n v="555.21"/>
    <n v="0.05672743322379577"/>
    <x v="824"/>
    <x v="5"/>
    <s v="PW; Maffia"/>
    <x v="0"/>
    <s v="Individual"/>
    <m/>
    <m/>
    <n v="5186000"/>
    <n v="0.05290975703817972"/>
    <n v="0.9327014114924799"/>
    <n v="4989000"/>
    <n v="0.05499899779514933"/>
    <n v="0.001728435428646445"/>
    <s v="Yes"/>
    <d v="2017-08-01T00:00:00"/>
    <n v="219"/>
  </r>
  <r>
    <s v="DaVita Dialysis"/>
    <s v="9505 S Colfax Ave"/>
    <s v="Chicago"/>
    <s v="IL"/>
    <n v="0.8"/>
    <n v="2017"/>
    <n v="7770"/>
    <n v="210000"/>
    <n v="27.02702702702703"/>
    <d v="2032-05-30T00:00:00"/>
    <n v="14.24109589041096"/>
    <s v="NN"/>
    <s v="10% every 5 years"/>
    <s v="3, 5yr"/>
    <n v="3700000"/>
    <n v="476.1904761904762"/>
    <n v="0.05675675675675676"/>
    <x v="825"/>
    <x v="670"/>
    <s v="Mansour; Mansour Group"/>
    <x v="656"/>
    <s v="Individual"/>
    <m/>
    <m/>
    <m/>
    <s v=" "/>
    <s v=" "/>
    <m/>
    <s v=" "/>
    <s v=" "/>
    <s v=" "/>
    <m/>
    <s v=" "/>
  </r>
  <r>
    <s v="DaVita Kidney Care"/>
    <s v="9510 S Torrence Ave"/>
    <s v="Chicago"/>
    <s v="IL"/>
    <n v="0.8189164"/>
    <n v="2017"/>
    <n v="10322"/>
    <m/>
    <s v=" "/>
    <m/>
    <s v=" "/>
    <m/>
    <m/>
    <m/>
    <n v="3700000"/>
    <n v="358.4576632435575"/>
    <s v=" "/>
    <x v="825"/>
    <x v="670"/>
    <s v="M&amp;M;"/>
    <x v="656"/>
    <s v="Individual"/>
    <m/>
    <m/>
    <m/>
    <s v=" "/>
    <s v=" "/>
    <m/>
    <s v=" "/>
    <s v=" "/>
    <s v=" "/>
    <m/>
    <s v=" "/>
  </r>
  <r>
    <s v="Independent"/>
    <s v="10410 Copper Pointe Way NE"/>
    <s v="Albuquerque"/>
    <s v="NM"/>
    <n v="1.3"/>
    <n v="2017"/>
    <n v="8514"/>
    <m/>
    <s v=" "/>
    <m/>
    <s v=" "/>
    <m/>
    <m/>
    <m/>
    <m/>
    <s v=" "/>
    <s v=" "/>
    <x v="826"/>
    <x v="66"/>
    <m/>
    <x v="111"/>
    <s v="Fund"/>
    <m/>
    <s v="Genesis"/>
    <m/>
    <s v=" "/>
    <s v=" "/>
    <m/>
    <s v=" "/>
    <s v=" "/>
    <s v=" "/>
    <m/>
    <s v=" "/>
  </r>
  <r>
    <s v="Fresenius Medical Care"/>
    <s v="3290 Grant St"/>
    <s v="Gary"/>
    <s v="IN"/>
    <n v="1.1"/>
    <n v="2009"/>
    <n v="9580"/>
    <m/>
    <s v=" "/>
    <d v="2024-06-30T00:00:00"/>
    <n v="6.334246575342465"/>
    <s v="NN"/>
    <s v="CPI annually"/>
    <s v="2, 5 yr"/>
    <m/>
    <s v=" "/>
    <s v=" "/>
    <x v="827"/>
    <x v="873"/>
    <m/>
    <x v="267"/>
    <s v="Fund"/>
    <m/>
    <m/>
    <m/>
    <s v=" "/>
    <s v=" "/>
    <m/>
    <s v=" "/>
    <s v=" "/>
    <s v=" "/>
    <m/>
    <s v=" "/>
  </r>
  <r>
    <s v="DaVita Dialysis"/>
    <s v="515 Pecan Dr"/>
    <s v="Bolivar"/>
    <s v="TN"/>
    <m/>
    <n v="1989"/>
    <n v="5000"/>
    <n v="65000"/>
    <n v="13"/>
    <d v="2027-03-31T00:00:00"/>
    <n v="9.09041095890411"/>
    <s v="NN"/>
    <s v="None"/>
    <s v="2, 5 yr"/>
    <n v="847458"/>
    <n v="169.4916"/>
    <n v="0.07669996625201485"/>
    <x v="828"/>
    <x v="874"/>
    <s v="M&amp;M;"/>
    <x v="229"/>
    <s v="REIT"/>
    <m/>
    <m/>
    <m/>
    <s v=" "/>
    <s v=" "/>
    <m/>
    <s v=" "/>
    <s v=" "/>
    <s v=" "/>
    <m/>
    <s v=" "/>
  </r>
  <r>
    <s v="DaVita Dialysis"/>
    <s v="380 N Dupree Ave"/>
    <s v="Brownsville"/>
    <s v="TN"/>
    <n v="1.06"/>
    <n v="1992"/>
    <n v="8324"/>
    <n v="111625"/>
    <n v="13.41001922152811"/>
    <d v="2026-04-16T00:00:00"/>
    <n v="8.136986301369863"/>
    <s v="NN"/>
    <s v="Flat"/>
    <s v="2, 5yr"/>
    <n v="1465111"/>
    <n v="176.0104517059106"/>
    <n v="0.07618876658492087"/>
    <x v="829"/>
    <x v="874"/>
    <s v="M&amp;M;"/>
    <x v="229"/>
    <s v="REIT"/>
    <m/>
    <m/>
    <n v="1550000"/>
    <n v="0.07201612903225807"/>
    <n v="0.9452329032258064"/>
    <n v="1498000"/>
    <n v="0.07451602136181576"/>
    <n v="0.001672745223105107"/>
    <s v="Yes"/>
    <d v="2017-08-24T00:00:00"/>
    <n v="187"/>
  </r>
  <r>
    <s v="DaVita Dialysis"/>
    <s v="1498 Southgate Ave"/>
    <s v="Daly City"/>
    <s v="CA"/>
    <n v="1.08"/>
    <n v="2017"/>
    <n v="15140"/>
    <n v="474672"/>
    <n v="31.35217965653897"/>
    <d v="2031-11-30T00:00:00"/>
    <n v="13.76712328767123"/>
    <s v="NN"/>
    <s v="10% every 5 years"/>
    <s v="2, 5yr"/>
    <n v="8850000"/>
    <n v="584.5442536327608"/>
    <n v="0.05363525423728813"/>
    <x v="830"/>
    <x v="351"/>
    <s v="M&amp;M; Glass"/>
    <x v="0"/>
    <s v="Individual"/>
    <m/>
    <m/>
    <n v="9493440"/>
    <n v="0.05"/>
    <n v="0.9322226716553746"/>
    <n v="9493440"/>
    <n v="0.05"/>
    <n v="0.003635254237288131"/>
    <s v="No"/>
    <d v="2017-09-19T00:00:00"/>
    <n v="160"/>
  </r>
  <r>
    <s v="DaVita Dialysis"/>
    <s v="1220 Magnolia Village Way"/>
    <s v="Leland"/>
    <s v="NC"/>
    <n v="1.34"/>
    <n v="2016"/>
    <n v="8500"/>
    <n v="167694"/>
    <n v="19.72870588235294"/>
    <d v="2032-12-01T00:00:00"/>
    <n v="14.78904109589041"/>
    <s v="NN"/>
    <s v="10% every 5 years"/>
    <s v="2, 5yr"/>
    <n v="2970000"/>
    <n v="349.4117647058824"/>
    <n v="0.05646262626262626"/>
    <x v="831"/>
    <x v="66"/>
    <s v="M&amp;M; Cook"/>
    <x v="586"/>
    <s v="Individual"/>
    <s v="SJC; Butler"/>
    <m/>
    <n v="2970000"/>
    <n v="0.05646262626262626"/>
    <n v="1"/>
    <n v="2970000"/>
    <n v="0.05646262626262626"/>
    <n v="0"/>
    <s v="No"/>
    <d v="2017-06-07T00:00:00"/>
    <n v="258"/>
  </r>
  <r>
    <s v="U.S. Renal Care"/>
    <s v="205 22nd St"/>
    <s v="Hondo"/>
    <s v="TX"/>
    <n v="1.07"/>
    <n v="2015"/>
    <n v="7300"/>
    <n v="151898"/>
    <n v="20.80794520547945"/>
    <d v="2025-07-31T00:00:00"/>
    <n v="7.454794520547945"/>
    <s v="NNN"/>
    <s v="2% annually"/>
    <s v="2, 5yr"/>
    <n v="2200000"/>
    <n v="301.3698630136986"/>
    <n v="0.06904454545454546"/>
    <x v="832"/>
    <x v="875"/>
    <s v="Ron Heller"/>
    <x v="0"/>
    <s v="Individual"/>
    <s v="Ron Heller"/>
    <m/>
    <n v="2700000"/>
    <n v="0.05625851851851852"/>
    <n v="0.8148148148148148"/>
    <n v="2300000"/>
    <n v="0.06604260869565218"/>
    <n v="0.003001936758893278"/>
    <s v="Yes"/>
    <d v="2017-07-10T00:00:00"/>
    <n v="222"/>
  </r>
  <r>
    <s v="Fresenius Medical Care"/>
    <s v="2021 Apperson Dr"/>
    <s v="Salem"/>
    <s v="VA"/>
    <n v="1.130992"/>
    <n v="2004"/>
    <n v="13075"/>
    <m/>
    <s v=" "/>
    <d v="2020-01-31T00:00:00"/>
    <n v="1.983561643835617"/>
    <s v="NN"/>
    <s v="1.7% annually"/>
    <s v="3, 5yr"/>
    <n v="3203685"/>
    <n v="245.0237093690249"/>
    <s v=" "/>
    <x v="833"/>
    <x v="696"/>
    <m/>
    <x v="267"/>
    <s v="Fund"/>
    <m/>
    <m/>
    <m/>
    <s v=" "/>
    <s v=" "/>
    <m/>
    <s v=" "/>
    <s v=" "/>
    <s v=" "/>
    <m/>
    <s v=" "/>
  </r>
  <r>
    <s v="DaVita Dialysis"/>
    <s v="7281 Alameda Avenue"/>
    <s v="El Paso"/>
    <s v="TX"/>
    <n v="1.82"/>
    <n v="2017"/>
    <n v="10500"/>
    <n v="227660.9575"/>
    <n v="21.68199595238096"/>
    <d v="2032-12-31T00:00:00"/>
    <n v="14.90958904109589"/>
    <s v="NN"/>
    <s v="10% every 5"/>
    <s v="2, 5 yr"/>
    <n v="3959321"/>
    <n v="377.0781904761905"/>
    <n v="0.0575"/>
    <x v="833"/>
    <x v="66"/>
    <s v="SJC; Briggs"/>
    <x v="758"/>
    <s v="Individual"/>
    <s v="Matthews; Moreno"/>
    <m/>
    <n v="4409564"/>
    <n v="0.0516289042408728"/>
    <n v="0.8978939867977878"/>
    <n v="4409564"/>
    <n v="0.0516289042408728"/>
    <n v="0.005871095759127205"/>
    <s v="No"/>
    <d v="2017-06-26T00:00:00"/>
    <n v="225"/>
  </r>
  <r>
    <s v="Fresenius Medical Care - Condo"/>
    <s v="400 McClanahan"/>
    <s v="Roanoke"/>
    <s v="VA"/>
    <n v="1.75"/>
    <n v="2007"/>
    <n v="6300"/>
    <n v="265975.29"/>
    <n v="42.21830000000001"/>
    <d v="2027-12-31T00:00:00"/>
    <n v="9.906849315068493"/>
    <s v="NN"/>
    <s v="1.7% annually"/>
    <s v="2,  5yr"/>
    <n v="3799647"/>
    <n v="603.1185714285714"/>
    <n v="0.07000000000000001"/>
    <x v="834"/>
    <x v="876"/>
    <m/>
    <x v="267"/>
    <s v="Fund"/>
    <m/>
    <m/>
    <m/>
    <s v=" "/>
    <s v=" "/>
    <m/>
    <s v=" "/>
    <s v=" "/>
    <s v=" "/>
    <m/>
    <s v=" "/>
  </r>
  <r>
    <s v="Fresenius Medical Care"/>
    <s v="1326 7th St NE"/>
    <s v="Roanoke"/>
    <s v="VA"/>
    <n v="2.1"/>
    <n v="2001"/>
    <n v="9567"/>
    <n v="300742.05"/>
    <n v="31.43535591094387"/>
    <d v="2027-12-31T00:00:00"/>
    <n v="9.906849315068493"/>
    <s v="NN"/>
    <s v="1.7% annually"/>
    <s v="2,  5yr"/>
    <n v="4296315"/>
    <n v="449.0765130134839"/>
    <n v="0.07000000000000001"/>
    <x v="834"/>
    <x v="876"/>
    <m/>
    <x v="267"/>
    <s v="Fund"/>
    <m/>
    <m/>
    <m/>
    <s v=" "/>
    <s v=" "/>
    <m/>
    <s v=" "/>
    <s v=" "/>
    <s v=" "/>
    <m/>
    <s v=" "/>
  </r>
  <r>
    <s v="DaVita Dialysis"/>
    <s v="123 North US HWY 75"/>
    <s v="Denison"/>
    <s v="TX"/>
    <n v="1.19"/>
    <n v="2017"/>
    <n v="9800"/>
    <n v="203999"/>
    <n v="20.81622448979592"/>
    <d v="2032-12-31T00:00:00"/>
    <n v="14.92054794520548"/>
    <s v="NN"/>
    <s v="10% every 5"/>
    <s v="2, 5 yr"/>
    <n v="3610600"/>
    <n v="368.4285714285714"/>
    <n v="0.05650002769622777"/>
    <x v="835"/>
    <x v="66"/>
    <s v="SJC; Briggs"/>
    <x v="111"/>
    <s v="Fund"/>
    <m/>
    <m/>
    <n v="3743100.917431192"/>
    <n v="0.0545"/>
    <n v="0.9646012970651817"/>
    <n v="3743100.917431192"/>
    <n v="0.0545"/>
    <n v="0.002000027696227771"/>
    <s v="No"/>
    <d v="2017-06-26T00:00:00"/>
    <n v="221"/>
  </r>
  <r>
    <s v="Fresenius Medical Care (Leasehold)"/>
    <s v="880 Crosstown Ave"/>
    <s v="Silvis"/>
    <s v="IL"/>
    <n v="6.33"/>
    <n v="2006"/>
    <n v="6031"/>
    <n v="126651"/>
    <n v="21"/>
    <d v="2031-04-28T00:00:00"/>
    <n v="13.24109589041096"/>
    <s v="NN"/>
    <s v="10% every 5 years"/>
    <s v="3, 5yr"/>
    <n v="1800000"/>
    <n v="298.4579671696236"/>
    <n v="0.07036166666666667"/>
    <x v="835"/>
    <x v="13"/>
    <s v="M&amp;M; Lollio"/>
    <x v="349"/>
    <s v="REIT"/>
    <m/>
    <m/>
    <n v="1896000"/>
    <n v="0.06679905063291139"/>
    <n v="0.9493670886075949"/>
    <n v="1800000"/>
    <n v="0.07036166666666667"/>
    <n v="0"/>
    <s v="Yes"/>
    <d v="2017-07-13T00:00:00"/>
    <n v="204"/>
  </r>
  <r>
    <s v="Fresenius Medical Care"/>
    <s v="400 John Deere Rd"/>
    <s v="Moline"/>
    <s v="IL"/>
    <n v="1.03"/>
    <n v="1996"/>
    <n v="21142"/>
    <n v="401789"/>
    <n v="19.00430422854981"/>
    <d v="2031-04-28T00:00:00"/>
    <n v="13.24109589041096"/>
    <s v="NNN"/>
    <s v="10% every 5 years"/>
    <s v="3, 5yr"/>
    <n v="5740000"/>
    <n v="271.4974931416139"/>
    <n v="0.06999808362369338"/>
    <x v="835"/>
    <x v="13"/>
    <s v="M&amp;M; Lollio"/>
    <x v="349"/>
    <s v="REIT"/>
    <m/>
    <m/>
    <n v="5900000"/>
    <n v="0.06809983050847458"/>
    <n v="0.9728813559322034"/>
    <n v="5740000"/>
    <n v="0.06999808362369338"/>
    <n v="0"/>
    <s v="Yes"/>
    <d v="2017-09-29T00:00:00"/>
    <n v="126"/>
  </r>
  <r>
    <s v="Fresenius Medical Care"/>
    <s v="4465 Stone Mountain Hwy"/>
    <s v="Lilburn"/>
    <s v="GA"/>
    <n v="2.68"/>
    <n v="2017"/>
    <n v="8263"/>
    <n v="308464"/>
    <n v="37.33075154302311"/>
    <d v="2032-10-31T00:00:00"/>
    <n v="14.75342465753425"/>
    <s v="NN"/>
    <s v="10% every 5 years"/>
    <s v="3, 5yr"/>
    <n v="5365000"/>
    <n v="649.2799225462907"/>
    <n v="0.05749561975768872"/>
    <x v="835"/>
    <x v="36"/>
    <s v="C&amp;W; Patel"/>
    <x v="759"/>
    <s v="Individual"/>
    <m/>
    <m/>
    <n v="5608488"/>
    <n v="0.05499949362466319"/>
    <n v="0.9565858035178109"/>
    <n v="5608488"/>
    <n v="0.05499949362466319"/>
    <n v="0.002496126133025536"/>
    <s v="No"/>
    <d v="2017-10-05T00:00:00"/>
    <n v="120"/>
  </r>
  <r>
    <s v="Fresenius Medical Care"/>
    <s v="1000 New Stone Ridge Rd"/>
    <s v="Ripley"/>
    <s v="WV"/>
    <n v="1.3"/>
    <n v="2007"/>
    <n v="6372"/>
    <m/>
    <s v=" "/>
    <m/>
    <s v=" "/>
    <m/>
    <m/>
    <m/>
    <m/>
    <s v=" "/>
    <s v=" "/>
    <x v="836"/>
    <x v="428"/>
    <m/>
    <x v="330"/>
    <s v="Fund"/>
    <m/>
    <m/>
    <m/>
    <s v=" "/>
    <s v=" "/>
    <m/>
    <s v=" "/>
    <s v=" "/>
    <s v=" "/>
    <m/>
    <s v=" "/>
  </r>
  <r>
    <s v="DaVita Dialysis"/>
    <s v="309 Callowhill St"/>
    <s v="Philadelphia"/>
    <s v="PA"/>
    <n v="0.4017906"/>
    <n v="2007"/>
    <n v="6588"/>
    <m/>
    <s v=" "/>
    <m/>
    <s v=" "/>
    <m/>
    <m/>
    <m/>
    <n v="776118.1"/>
    <n v="117.8078476017001"/>
    <s v=" "/>
    <x v="837"/>
    <x v="328"/>
    <m/>
    <x v="760"/>
    <s v="Individual"/>
    <m/>
    <m/>
    <m/>
    <s v=" "/>
    <s v=" "/>
    <m/>
    <s v=" "/>
    <s v=" "/>
    <s v=" "/>
    <m/>
    <s v=" "/>
  </r>
  <r>
    <s v="Seymore Rubin Associates PA Mixed Portfolio 2018"/>
    <s v="1 of 4 properties"/>
    <m/>
    <m/>
    <m/>
    <m/>
    <n v="234855"/>
    <m/>
    <s v=" "/>
    <m/>
    <s v=" "/>
    <m/>
    <m/>
    <m/>
    <m/>
    <s v=" "/>
    <s v=" "/>
    <x v="837"/>
    <x v="328"/>
    <m/>
    <x v="760"/>
    <s v="Individual"/>
    <m/>
    <m/>
    <m/>
    <s v=" "/>
    <s v=" "/>
    <m/>
    <s v=" "/>
    <s v=" "/>
    <s v=" "/>
    <m/>
    <s v=" "/>
  </r>
  <r>
    <s v="DaVita Dialysis"/>
    <s v="14337 Imperial Hwy"/>
    <s v="La Mirada"/>
    <s v="CA"/>
    <n v="0.74"/>
    <n v="2017"/>
    <n v="9950"/>
    <n v="439614"/>
    <n v="44.18231155778894"/>
    <d v="2032-08-31T00:00:00"/>
    <n v="14.61369863013699"/>
    <s v="NN"/>
    <s v="10% every 5 years"/>
    <s v="2, 5yr"/>
    <n v="7808000"/>
    <n v="784.7236180904523"/>
    <n v="0.05630302254098361"/>
    <x v="837"/>
    <x v="5"/>
    <s v="C&amp;W; Patel"/>
    <x v="761"/>
    <s v="Individual"/>
    <s v="Grady Liu"/>
    <m/>
    <n v="8375910"/>
    <n v="0.05248552097622825"/>
    <n v="0.9321972179739276"/>
    <n v="8375910"/>
    <n v="0.05248552097622825"/>
    <n v="0.003817501564755355"/>
    <s v="No"/>
    <d v="2017-08-02T00:00:00"/>
    <n v="174"/>
  </r>
  <r>
    <s v="DaVita Dialysis"/>
    <s v="14337 Imperial Hwy"/>
    <s v="Whittier"/>
    <s v="CA"/>
    <n v="0.7378328"/>
    <n v="2017"/>
    <n v="9950"/>
    <m/>
    <s v=" "/>
    <m/>
    <s v=" "/>
    <m/>
    <m/>
    <m/>
    <n v="7808000"/>
    <n v="784.7236180904523"/>
    <s v=" "/>
    <x v="837"/>
    <x v="5"/>
    <s v="C&amp;W; "/>
    <x v="761"/>
    <s v="Individual"/>
    <m/>
    <m/>
    <m/>
    <s v=" "/>
    <s v=" "/>
    <m/>
    <s v=" "/>
    <s v=" "/>
    <s v=" "/>
    <m/>
    <s v=" "/>
  </r>
  <r>
    <s v="DaVita Dialysis"/>
    <s v="8110 Network Dr."/>
    <s v="Plainfield"/>
    <s v="IN"/>
    <n v="1.38"/>
    <n v="2008"/>
    <n v="7475"/>
    <n v="192305"/>
    <n v="25.72642140468227"/>
    <d v="2023-10-27T00:00:00"/>
    <n v="5.761643835616439"/>
    <s v="NNN"/>
    <s v="CPI, no greater than 3%"/>
    <s v="3 x 5 yr options"/>
    <n v="2564000"/>
    <n v="343.010033444816"/>
    <n v="0.07500195007800312"/>
    <x v="837"/>
    <x v="877"/>
    <s v="SJC; Feller"/>
    <x v="762"/>
    <s v="Individual"/>
    <m/>
    <m/>
    <n v="2652483"/>
    <n v="0.07249999340240823"/>
    <n v="0.9666414450158587"/>
    <n v="2652483"/>
    <n v="0.07249999340240823"/>
    <n v="0.002501956675594885"/>
    <s v="No"/>
    <d v="2017-06-30T00:00:00"/>
    <n v="207"/>
  </r>
  <r>
    <s v="Fresenius Medical Care"/>
    <s v="4016 Saint Stephens Rd"/>
    <s v="Prichard"/>
    <s v="AL"/>
    <m/>
    <n v="2010"/>
    <n v="9375"/>
    <m/>
    <s v=" "/>
    <m/>
    <s v=" "/>
    <m/>
    <m/>
    <m/>
    <n v="3080500"/>
    <n v="328.5866666666666"/>
    <s v=" "/>
    <x v="837"/>
    <x v="878"/>
    <m/>
    <x v="330"/>
    <s v="Fund"/>
    <m/>
    <m/>
    <m/>
    <s v=" "/>
    <s v=" "/>
    <m/>
    <s v=" "/>
    <s v=" "/>
    <s v=" "/>
    <m/>
    <s v=" "/>
  </r>
  <r>
    <s v="Fresenius Medical Care"/>
    <s v="4016 Freedom Lake Dr"/>
    <s v="Durham"/>
    <s v="NC"/>
    <n v="1.69"/>
    <n v="1991"/>
    <n v="8956"/>
    <n v="191750"/>
    <n v="21.41022778025905"/>
    <d v="2026-06-30T00:00:00"/>
    <n v="8.449315068493151"/>
    <s v="NN"/>
    <s v="1.7% annually"/>
    <s v="2, 5 yr"/>
    <n v="2500000"/>
    <n v="279.1424743188924"/>
    <n v="0.0767"/>
    <x v="838"/>
    <x v="879"/>
    <s v="M&amp;M; Doherty"/>
    <x v="267"/>
    <s v="Fund"/>
    <m/>
    <m/>
    <n v="2600000"/>
    <n v="0.07375"/>
    <n v="0.9615384615384616"/>
    <n v="2600000"/>
    <n v="0.07375"/>
    <n v="0.002950000000000008"/>
    <s v="No"/>
    <m/>
    <s v=" "/>
  </r>
  <r>
    <s v="Fresenius Medical Care"/>
    <s v="3441 Fence Rd"/>
    <s v="Dacula"/>
    <s v="GA"/>
    <n v="1.310009"/>
    <n v="2017"/>
    <n v="8300"/>
    <m/>
    <s v=" "/>
    <m/>
    <s v=" "/>
    <m/>
    <m/>
    <m/>
    <n v="2771600"/>
    <n v="333.9277108433735"/>
    <s v=" "/>
    <x v="839"/>
    <x v="880"/>
    <m/>
    <x v="111"/>
    <s v="Fund"/>
    <m/>
    <m/>
    <m/>
    <s v=" "/>
    <s v=" "/>
    <m/>
    <s v=" "/>
    <s v=" "/>
    <s v=" "/>
    <m/>
    <s v=" "/>
  </r>
  <r>
    <s v="Fresenius Medical Care"/>
    <s v="160 N Main St"/>
    <s v="Breese"/>
    <s v="IL"/>
    <n v="0.25"/>
    <n v="2017"/>
    <n v="5000"/>
    <n v="44000"/>
    <n v="8.800000000000001"/>
    <d v="2028-01-31T00:00:00"/>
    <n v="10.05753424657534"/>
    <s v="NN"/>
    <s v="15% every 5 years"/>
    <s v="2, 5yr"/>
    <m/>
    <s v=" "/>
    <s v=" "/>
    <x v="839"/>
    <x v="13"/>
    <s v="C&amp;W; Patel"/>
    <x v="0"/>
    <s v="Individual"/>
    <m/>
    <m/>
    <n v="610000"/>
    <n v="0.07213114754098361"/>
    <s v=" "/>
    <n v="610000"/>
    <n v="0.07213114754098361"/>
    <s v=" "/>
    <s v="No"/>
    <d v="2017-10-23T00:00:00"/>
    <n v="81"/>
  </r>
  <r>
    <s v="Fresenius Medical Care"/>
    <s v="4008 E Parham Rd"/>
    <s v="Richmond"/>
    <s v="VA"/>
    <n v="1.02"/>
    <n v="2017"/>
    <n v="7194"/>
    <n v="206010"/>
    <n v="28.63636363636364"/>
    <d v="2032-06-30T00:00:00"/>
    <n v="14.48219178082192"/>
    <s v="NN"/>
    <s v="1.7% annually"/>
    <s v="3, 5yr"/>
    <n v="3689000"/>
    <n v="512.7884348067835"/>
    <n v="0.05584440227703985"/>
    <x v="840"/>
    <x v="494"/>
    <s v="C&amp;W; Trautvetter"/>
    <x v="763"/>
    <s v="Individual"/>
    <s v="M&amp;M; Zang"/>
    <s v="MDG Development Group, LLC"/>
    <n v="3924000"/>
    <n v="0.0525"/>
    <n v="0.9401121304791029"/>
    <n v="3924000"/>
    <n v="0.0525"/>
    <n v="0.003344402277039853"/>
    <s v="No"/>
    <d v="2017-07-22T00:00:00"/>
    <n v="171"/>
  </r>
  <r>
    <s v="Fresenius Medical Care"/>
    <s v="4008 E Parham Rd"/>
    <s v="Henrico"/>
    <s v="VA"/>
    <n v="1.021993"/>
    <n v="2017"/>
    <n v="7194"/>
    <m/>
    <s v=" "/>
    <m/>
    <s v=" "/>
    <m/>
    <m/>
    <m/>
    <n v="3689000"/>
    <n v="512.7884348067835"/>
    <s v=" "/>
    <x v="840"/>
    <x v="494"/>
    <s v="M&amp;M;"/>
    <x v="764"/>
    <s v="Individual"/>
    <m/>
    <m/>
    <m/>
    <s v=" "/>
    <s v=" "/>
    <m/>
    <s v=" "/>
    <s v=" "/>
    <s v=" "/>
    <m/>
    <s v=" "/>
  </r>
  <r>
    <s v="DaVita Dialysis"/>
    <s v="220 S Orange Ave"/>
    <s v="Eufaula"/>
    <s v="AL"/>
    <n v="1.03"/>
    <n v="2003"/>
    <n v="4700"/>
    <n v="49196"/>
    <n v="10.46723404255319"/>
    <d v="2022-03-09T00:00:00"/>
    <n v="4.167123287671233"/>
    <m/>
    <s v="Increase in Mar 2018 and at option"/>
    <s v="1, 5yr"/>
    <n v="550000"/>
    <n v="117.0212765957447"/>
    <n v="0.08944727272727272"/>
    <x v="841"/>
    <x v="881"/>
    <s v="Bull; Michael Bull"/>
    <x v="0"/>
    <s v="Individual"/>
    <m/>
    <m/>
    <n v="650000"/>
    <n v="0.07568615384615385"/>
    <n v="0.8461538461538461"/>
    <n v="650000"/>
    <n v="0.07568615384615385"/>
    <n v="0.01376111888111888"/>
    <s v="No"/>
    <d v="2017-07-27T00:00:00"/>
    <n v="165"/>
  </r>
  <r>
    <s v="DaVita Dialysis"/>
    <s v="6450 Bannington Rd"/>
    <s v="Charlotte"/>
    <s v="NC"/>
    <n v="2.39"/>
    <n v="1999"/>
    <n v="7400"/>
    <n v="114017.355"/>
    <n v="15.40775067567568"/>
    <d v="2026-06-30T00:00:00"/>
    <n v="8.484931506849316"/>
    <s v="NN"/>
    <s v="10% every 5"/>
    <s v="3, 5y"/>
    <n v="1689146"/>
    <n v="228.262972972973"/>
    <n v="0.0675"/>
    <x v="842"/>
    <x v="73"/>
    <s v="CBRE"/>
    <x v="571"/>
    <s v="REIT"/>
    <m/>
    <m/>
    <m/>
    <s v=" "/>
    <s v=" "/>
    <m/>
    <s v=" "/>
    <s v=" "/>
    <s v=" "/>
    <m/>
    <s v=" "/>
  </r>
  <r>
    <s v="DaVita Dialysis"/>
    <s v="17123 Commerce Centre Dr"/>
    <s v="Prairieville"/>
    <s v="LA"/>
    <n v="1.2"/>
    <m/>
    <n v="7842"/>
    <m/>
    <s v=" "/>
    <m/>
    <s v=" "/>
    <m/>
    <m/>
    <m/>
    <n v="3855689"/>
    <n v="491.6716398877837"/>
    <s v=" "/>
    <x v="842"/>
    <x v="73"/>
    <s v="CBRE"/>
    <x v="571"/>
    <s v="REIT"/>
    <m/>
    <m/>
    <m/>
    <s v=" "/>
    <s v=" "/>
    <m/>
    <s v=" "/>
    <s v=" "/>
    <s v=" "/>
    <m/>
    <s v=" "/>
  </r>
  <r>
    <s v="DaVita Portfolio 2018"/>
    <s v="3 of 5 properties"/>
    <m/>
    <m/>
    <m/>
    <m/>
    <n v="48215"/>
    <m/>
    <s v=" "/>
    <m/>
    <s v=" "/>
    <m/>
    <m/>
    <m/>
    <m/>
    <s v=" "/>
    <s v=" "/>
    <x v="842"/>
    <x v="73"/>
    <s v="CBRE"/>
    <x v="571"/>
    <s v="REIT"/>
    <m/>
    <m/>
    <m/>
    <s v=" "/>
    <s v=" "/>
    <m/>
    <s v=" "/>
    <s v=" "/>
    <s v=" "/>
    <m/>
    <s v=" "/>
  </r>
  <r>
    <s v="DaVita Dialysis"/>
    <s v="2906 Washington Blvd"/>
    <s v="Belpre"/>
    <s v="OH"/>
    <n v="0.52"/>
    <m/>
    <n v="22651"/>
    <n v="73621.8"/>
    <n v="3.250267096375436"/>
    <d v="2024-03-31T00:00:00"/>
    <n v="6.238356164383561"/>
    <s v="NN"/>
    <s v="11% at option 1; 15% at option 2"/>
    <s v="2, 5yr"/>
    <n v="885000"/>
    <n v="39.07112268774006"/>
    <n v="0.0831884745762712"/>
    <x v="843"/>
    <x v="882"/>
    <s v="SCS Realty"/>
    <x v="0"/>
    <s v="Individual"/>
    <m/>
    <m/>
    <n v="876450"/>
    <n v="0.08400000000000001"/>
    <n v="1.009755262707513"/>
    <n v="876450"/>
    <n v="0.08400000000000001"/>
    <n v="-0.0008115254237288094"/>
    <s v="No"/>
    <d v="2017-02-27T00:00:00"/>
    <n v="312"/>
  </r>
  <r>
    <s v="Central Florida Kidney Center"/>
    <s v="1745 Lakeland Hills Blvd"/>
    <s v="Lakeland"/>
    <s v="FL"/>
    <n v="0.26"/>
    <n v="1987"/>
    <n v="3264"/>
    <n v="103566"/>
    <n v="31.72977941176471"/>
    <d v="2021-06-30T00:00:00"/>
    <n v="3.487671232876712"/>
    <s v="Modified Gross"/>
    <s v="3% annually"/>
    <s v="3,5 yr"/>
    <n v="1150000"/>
    <n v="352.328431372549"/>
    <n v="0.09005739130434783"/>
    <x v="844"/>
    <x v="883"/>
    <s v="Patrick Berman"/>
    <x v="765"/>
    <s v="Individual"/>
    <m/>
    <m/>
    <n v="1150000"/>
    <n v="0.09005739130434783"/>
    <n v="1"/>
    <n v="1150000"/>
    <n v="0.09005739130434783"/>
    <n v="0"/>
    <s v="No"/>
    <d v="2017-07-05T00:00:00"/>
    <n v="183"/>
  </r>
  <r>
    <s v="American Renal Associates"/>
    <s v="5615 US Hwy 6"/>
    <s v="Portage"/>
    <s v="IN"/>
    <n v="3.08"/>
    <n v="2016"/>
    <n v="11555"/>
    <n v="270800"/>
    <n v="23.43574210298572"/>
    <d v="2031-10-31T00:00:00"/>
    <n v="13.83013698630137"/>
    <m/>
    <s v="3% annually"/>
    <m/>
    <n v="4000000"/>
    <n v="346.1704889658157"/>
    <n v="0.0677"/>
    <x v="844"/>
    <x v="884"/>
    <s v="M&amp;M; Roti"/>
    <x v="0"/>
    <s v="Individual"/>
    <m/>
    <m/>
    <n v="4165125"/>
    <n v="0.06501605594069806"/>
    <n v="0.9603553314726448"/>
    <n v="4165125"/>
    <n v="0.06501605594069806"/>
    <n v="0.002683944059301932"/>
    <s v="No"/>
    <d v="2017-10-05T00:00:00"/>
    <n v="91"/>
  </r>
  <r>
    <s v="Fresenius Medical Care"/>
    <s v="1000 New Stone Ridge Rd"/>
    <s v="Ripley"/>
    <s v="WV"/>
    <n v="1.3"/>
    <n v="2007"/>
    <n v="6372"/>
    <m/>
    <s v=" "/>
    <m/>
    <s v=" "/>
    <m/>
    <m/>
    <m/>
    <m/>
    <s v=" "/>
    <s v=" "/>
    <x v="845"/>
    <x v="885"/>
    <m/>
    <x v="272"/>
    <s v="User"/>
    <m/>
    <m/>
    <m/>
    <s v=" "/>
    <s v=" "/>
    <m/>
    <s v=" "/>
    <s v=" "/>
    <s v=" "/>
    <m/>
    <s v=" "/>
  </r>
  <r>
    <s v="Fresenius Medical Care"/>
    <s v="692 Covered Bridge Pky"/>
    <s v="Prattville"/>
    <s v="AL"/>
    <n v="1.25"/>
    <n v="2010"/>
    <n v="9368"/>
    <m/>
    <s v=" "/>
    <m/>
    <s v=" "/>
    <m/>
    <m/>
    <m/>
    <n v="2494750"/>
    <n v="266.3055081127242"/>
    <s v=" "/>
    <x v="846"/>
    <x v="73"/>
    <s v="CBRE"/>
    <x v="272"/>
    <s v="User"/>
    <m/>
    <m/>
    <m/>
    <s v=" "/>
    <s v=" "/>
    <m/>
    <s v=" "/>
    <s v=" "/>
    <s v=" "/>
    <m/>
    <s v=" "/>
  </r>
  <r>
    <s v="Fresenius Medical Care"/>
    <s v="4700 Mike Colalillo Dr"/>
    <s v="Duluth"/>
    <s v="MN"/>
    <n v="0.6999311"/>
    <n v="2002"/>
    <n v="9052"/>
    <m/>
    <s v=" "/>
    <m/>
    <s v=" "/>
    <m/>
    <m/>
    <m/>
    <n v="3752197.4"/>
    <n v="414.5158418029165"/>
    <s v=" "/>
    <x v="847"/>
    <x v="886"/>
    <s v="CBRE"/>
    <x v="766"/>
    <s v="Individual"/>
    <m/>
    <m/>
    <m/>
    <s v=" "/>
    <s v=" "/>
    <m/>
    <s v=" "/>
    <s v=" "/>
    <s v=" "/>
    <m/>
    <s v=" "/>
  </r>
  <r>
    <s v="DaVita Dialysis"/>
    <s v="4907 Telephone Rd"/>
    <s v="Pascagoula"/>
    <s v="MS"/>
    <n v="1.13"/>
    <n v="1999"/>
    <n v="8000"/>
    <n v="107683"/>
    <n v="13.460375"/>
    <d v="2019-12-02T00:00:00"/>
    <n v="1.926027397260274"/>
    <s v="NN"/>
    <s v="9.5% in 2025 &amp; at each option"/>
    <s v="3, 5yr"/>
    <n v="1285000"/>
    <n v="160.625"/>
    <n v="0.0838"/>
    <x v="847"/>
    <x v="13"/>
    <s v="Matthews; Hoover"/>
    <x v="767"/>
    <s v="Individual"/>
    <m/>
    <m/>
    <m/>
    <s v=" "/>
    <s v=" "/>
    <m/>
    <s v=" "/>
    <s v=" "/>
    <s v=" "/>
    <m/>
    <s v=" "/>
  </r>
  <r>
    <s v="Fresenius Medical Care"/>
    <s v="314 W Spring St"/>
    <s v="Sylacauga"/>
    <s v="AL"/>
    <n v="0.98"/>
    <n v="1998"/>
    <n v="5018"/>
    <n v="86786.03932093075"/>
    <n v="17.294946058376"/>
    <d v="2037-12-30T00:00:00"/>
    <n v="20.01917808219178"/>
    <s v="Absolute NNN"/>
    <s v="CPI annually"/>
    <s v="3, 5yr"/>
    <n v="1404889"/>
    <n v="279.9699083300119"/>
    <n v="0.06177430339402668"/>
    <x v="848"/>
    <x v="428"/>
    <m/>
    <x v="330"/>
    <s v="Fund"/>
    <m/>
    <m/>
    <m/>
    <s v=" "/>
    <s v=" "/>
    <m/>
    <s v=" "/>
    <s v=" "/>
    <s v=" "/>
    <m/>
    <s v=" "/>
  </r>
  <r>
    <s v="Fresenius Medical Care"/>
    <s v="3300 N Main St"/>
    <s v="East Peoria"/>
    <s v="IL"/>
    <n v="3.52"/>
    <n v="1997"/>
    <n v="10280"/>
    <m/>
    <s v=" "/>
    <m/>
    <s v=" "/>
    <m/>
    <m/>
    <m/>
    <n v="2479512"/>
    <n v="241.1976653696498"/>
    <s v=" "/>
    <x v="848"/>
    <x v="887"/>
    <m/>
    <x v="272"/>
    <s v="User"/>
    <m/>
    <m/>
    <m/>
    <s v=" "/>
    <s v=" "/>
    <m/>
    <s v=" "/>
    <s v=" "/>
    <s v=" "/>
    <m/>
    <s v=" "/>
  </r>
  <r>
    <s v="Fresenius Medical Care"/>
    <s v="923 S Broadway"/>
    <s v="Portland"/>
    <s v="TN"/>
    <n v="1.19"/>
    <n v="2001"/>
    <n v="4576"/>
    <n v="91519"/>
    <n v="19.99978146853147"/>
    <d v="2038-02-01T00:00:00"/>
    <n v="20.10958904109589"/>
    <s v="Absolute NNN"/>
    <s v="CPI annually"/>
    <s v="3, 5yr"/>
    <m/>
    <s v=" "/>
    <s v=" "/>
    <x v="848"/>
    <x v="351"/>
    <s v="M&amp;M; Glass"/>
    <x v="768"/>
    <s v="Individual"/>
    <m/>
    <s v="Dialysis Associates, LLC/FMC"/>
    <n v="1743211"/>
    <n v="0.05250024236882397"/>
    <s v=" "/>
    <n v="1743211"/>
    <n v="0.05250024236882397"/>
    <s v=" "/>
    <s v="No"/>
    <d v="2021-02-03T00:00:00"/>
    <n v="-1133"/>
  </r>
  <r>
    <s v="Fresenius Medical Care"/>
    <s v="108 D Anna Pl"/>
    <s v="Helena"/>
    <s v="AR"/>
    <n v="1.22"/>
    <m/>
    <n v="10500"/>
    <n v="173199"/>
    <n v="16.49514285714286"/>
    <m/>
    <s v=" "/>
    <m/>
    <m/>
    <m/>
    <n v="1321122"/>
    <n v="125.8211428571429"/>
    <n v="0.1310999286969712"/>
    <x v="848"/>
    <x v="888"/>
    <s v="Anne Williams"/>
    <x v="73"/>
    <s v="Fund"/>
    <m/>
    <s v="Renal Care, Inc."/>
    <m/>
    <s v=" "/>
    <s v=" "/>
    <m/>
    <s v=" "/>
    <s v=" "/>
    <s v=" "/>
    <m/>
    <s v=" "/>
  </r>
  <r>
    <s v="Fresenius (Portfolio 8)"/>
    <s v="7640 Wolf River Circle"/>
    <s v="Germantown"/>
    <s v="TN"/>
    <n v="0.9399999999999999"/>
    <n v="2002"/>
    <n v="7194"/>
    <n v="395890"/>
    <n v="55.03058103975535"/>
    <d v="2037-12-31T00:00:00"/>
    <n v="20.02191780821918"/>
    <s v="Absolute NNN"/>
    <s v="Annual CPI"/>
    <s v="3, 5yr"/>
    <n v="6490000"/>
    <n v="902.1406727828746"/>
    <n v="0.061"/>
    <x v="848"/>
    <x v="428"/>
    <m/>
    <x v="330"/>
    <s v="Fund"/>
    <m/>
    <m/>
    <m/>
    <s v=" "/>
    <s v=" "/>
    <m/>
    <s v=" "/>
    <s v=" "/>
    <s v=" "/>
    <m/>
    <s v=" "/>
  </r>
  <r>
    <s v="Fresenius Medical Care"/>
    <s v="275 Health Center Dr"/>
    <s v="Clanton"/>
    <s v="AL"/>
    <n v="0.58"/>
    <n v="2002"/>
    <n v="10500"/>
    <n v="182624"/>
    <n v="17.3927619047619"/>
    <d v="2038-02-01T00:00:00"/>
    <n v="20.10958904109589"/>
    <s v="NNN"/>
    <s v="CPI annually"/>
    <s v="3, 5yr"/>
    <m/>
    <s v=" "/>
    <s v=" "/>
    <x v="848"/>
    <x v="889"/>
    <m/>
    <x v="330"/>
    <s v="Fund"/>
    <m/>
    <m/>
    <m/>
    <s v=" "/>
    <s v=" "/>
    <m/>
    <s v=" "/>
    <s v=" "/>
    <s v=" "/>
    <m/>
    <s v=" "/>
  </r>
  <r>
    <s v="Fresenius Medical Care"/>
    <s v="219 Mills Ave"/>
    <s v="Ruston"/>
    <s v="LA"/>
    <n v="1.22"/>
    <n v="1999"/>
    <n v="10481"/>
    <n v="138553"/>
    <n v="13.21944470947429"/>
    <d v="2038-02-01T00:00:00"/>
    <n v="20.10958904109589"/>
    <s v="Absolute NNN"/>
    <s v="CPI annually"/>
    <s v="3, 5yr"/>
    <m/>
    <s v=" "/>
    <s v=" "/>
    <x v="848"/>
    <x v="428"/>
    <m/>
    <x v="330"/>
    <s v="Fund"/>
    <m/>
    <m/>
    <m/>
    <s v=" "/>
    <s v=" "/>
    <m/>
    <s v=" "/>
    <s v=" "/>
    <s v=" "/>
    <m/>
    <s v=" "/>
  </r>
  <r>
    <s v="Fresenius Medical Care"/>
    <s v="2845 E Skelly Dr"/>
    <s v="Tulsa"/>
    <s v="OK"/>
    <n v="3.35"/>
    <n v="2018"/>
    <n v="13212"/>
    <n v="363484.495"/>
    <n v="27.51169353617923"/>
    <d v="2032-03-31T00:00:00"/>
    <n v="14.26849315068493"/>
    <s v="NN"/>
    <s v="10% every 5"/>
    <s v="2, 5 year"/>
    <n v="4567000"/>
    <n v="345.6706024825916"/>
    <n v="0.07958933544996716"/>
    <x v="849"/>
    <x v="703"/>
    <s v="None"/>
    <x v="769"/>
    <s v="Individual"/>
    <m/>
    <m/>
    <m/>
    <s v=" "/>
    <s v=" "/>
    <m/>
    <s v=" "/>
    <s v=" "/>
    <s v=" "/>
    <m/>
    <s v=" "/>
  </r>
  <r>
    <s v="DaVita Dialysis"/>
    <s v="2303 W Morehead St"/>
    <s v="Charlotte"/>
    <s v="NC"/>
    <n v="2.17"/>
    <n v="1988"/>
    <n v="12500"/>
    <n v="412493"/>
    <n v="32.99944"/>
    <d v="2026-06-30T00:00:00"/>
    <n v="8.526027397260274"/>
    <s v="NN"/>
    <s v="10% every 5"/>
    <s v="3, 5y"/>
    <n v="6111000"/>
    <n v="488.88"/>
    <n v="0.06750008181966945"/>
    <x v="850"/>
    <x v="73"/>
    <s v="CBRE"/>
    <x v="571"/>
    <s v="REIT"/>
    <m/>
    <m/>
    <m/>
    <s v=" "/>
    <s v=" "/>
    <m/>
    <s v=" "/>
    <s v=" "/>
    <s v=" "/>
    <m/>
    <s v=" "/>
  </r>
  <r>
    <s v="DaVita Dialysis"/>
    <s v="10921 E 81st St"/>
    <s v="Tulsa"/>
    <s v="OK"/>
    <n v="1.14"/>
    <n v="2016"/>
    <n v="9368"/>
    <n v="267743.04"/>
    <n v="28.58059777967549"/>
    <d v="2031-08-31T00:00:00"/>
    <n v="13.6986301369863"/>
    <s v="NN"/>
    <s v="10% every 5"/>
    <s v="2, 5yr"/>
    <n v="3940000"/>
    <n v="420.5807002561913"/>
    <n v="0.06795508629441624"/>
    <x v="850"/>
    <x v="73"/>
    <s v="CBRE"/>
    <x v="571"/>
    <s v="REIT"/>
    <m/>
    <m/>
    <m/>
    <s v=" "/>
    <s v=" "/>
    <m/>
    <s v=" "/>
    <s v=" "/>
    <s v=" "/>
    <m/>
    <s v=" "/>
  </r>
  <r>
    <s v="DaVita Bay Breeze"/>
    <s v="11550 Ulmerton Rd"/>
    <s v="Largo"/>
    <s v="FL"/>
    <n v="1.299311"/>
    <n v="1995"/>
    <n v="7247"/>
    <m/>
    <s v=" "/>
    <m/>
    <s v=" "/>
    <m/>
    <m/>
    <m/>
    <m/>
    <s v=" "/>
    <s v=" "/>
    <x v="850"/>
    <x v="890"/>
    <m/>
    <x v="770"/>
    <s v="Individual"/>
    <m/>
    <m/>
    <m/>
    <s v=" "/>
    <s v=" "/>
    <m/>
    <s v=" "/>
    <s v=" "/>
    <s v=" "/>
    <m/>
    <s v=" "/>
  </r>
  <r>
    <s v="DaVita Dialysis"/>
    <s v="1724 Birmingham"/>
    <s v="College Station"/>
    <s v="TX"/>
    <n v="1.58"/>
    <n v="2017"/>
    <n v="9770"/>
    <n v="238826.25"/>
    <n v="24.44485670419652"/>
    <d v="2032-12-31T00:00:00"/>
    <n v="15.03835616438356"/>
    <s v="NN"/>
    <s v="10% every 5"/>
    <s v="2, 5yr"/>
    <n v="4153500"/>
    <n v="425.1279426816786"/>
    <n v="0.0575"/>
    <x v="851"/>
    <x v="66"/>
    <s v="SJC; Briggs"/>
    <x v="111"/>
    <s v="Fund"/>
    <m/>
    <m/>
    <n v="4549071.428571429"/>
    <n v="0.05249999999999999"/>
    <n v="0.9130434782608695"/>
    <n v="4549071.428571429"/>
    <n v="0.05249999999999999"/>
    <n v="0.005000000000000011"/>
    <s v="No"/>
    <d v="2017-06-26T00:00:00"/>
    <n v="178"/>
  </r>
  <r>
    <s v="Lithonia Dialysis Center"/>
    <s v="2701 Evans Mill Rd"/>
    <s v="Lithonia"/>
    <s v="GA"/>
    <n v="1.7"/>
    <n v="2005"/>
    <n v="7480"/>
    <m/>
    <s v=" "/>
    <m/>
    <s v=" "/>
    <m/>
    <m/>
    <m/>
    <n v="2223100"/>
    <n v="297.2058823529412"/>
    <s v=" "/>
    <x v="851"/>
    <x v="891"/>
    <m/>
    <x v="64"/>
    <s v="Fund"/>
    <m/>
    <m/>
    <m/>
    <s v=" "/>
    <s v=" "/>
    <m/>
    <s v=" "/>
    <s v=" "/>
    <s v=" "/>
    <m/>
    <s v=" "/>
  </r>
  <r>
    <s v="DaVita Dialysis"/>
    <s v="2450 Temple Ave N"/>
    <s v="Fayette"/>
    <s v="AL"/>
    <n v="2"/>
    <n v="2008"/>
    <n v="4000"/>
    <n v="64000"/>
    <n v="16"/>
    <d v="2022-05-31T00:00:00"/>
    <n v="4.446575342465754"/>
    <s v="Absolute NNN"/>
    <s v="10% in August 2017; 2% annually in following months of base term"/>
    <s v="2, 5yr remaining"/>
    <n v="915000"/>
    <n v="228.75"/>
    <n v="0.06994535519125683"/>
    <x v="852"/>
    <x v="13"/>
    <m/>
    <x v="0"/>
    <s v="Individual"/>
    <m/>
    <m/>
    <n v="948148"/>
    <n v="0.06750001054687665"/>
    <n v="0.9650392132873771"/>
    <n v="948148"/>
    <n v="0.06750001054687665"/>
    <n v="0.002445344644380176"/>
    <s v="No"/>
    <d v="2017-01-30T00:00:00"/>
    <n v="324"/>
  </r>
  <r>
    <s v="DaVita Dialysis"/>
    <s v="115 N Virginia St"/>
    <s v="Hopkinsville"/>
    <s v="KY"/>
    <n v="1.04"/>
    <n v="2017"/>
    <n v="7869"/>
    <n v="169784.16"/>
    <n v="21.57633244376668"/>
    <d v="2032-04-29T00:00:00"/>
    <n v="14.36986301369863"/>
    <s v="NN"/>
    <s v="10% every 5 years"/>
    <s v="2, 5yr"/>
    <n v="2927313"/>
    <n v="372.0057186427754"/>
    <n v="0.05800000204966124"/>
    <x v="853"/>
    <x v="13"/>
    <s v="C&amp;W; Patel"/>
    <x v="0"/>
    <s v="Individual"/>
    <m/>
    <m/>
    <n v="3086985"/>
    <n v="0.0549999951408899"/>
    <n v="0.948275744780101"/>
    <n v="3086985"/>
    <n v="0.0549999951408899"/>
    <n v="0.003000006908771342"/>
    <s v="No"/>
    <d v="2017-07-31T00:00:00"/>
    <n v="141"/>
  </r>
  <r>
    <s v="DaVita Dialysis - Condo"/>
    <s v="3727 N Goldenrod Rd, Ste 101-102"/>
    <s v="Winter Park"/>
    <s v="FL"/>
    <n v="2.3"/>
    <n v="2006"/>
    <n v="5092"/>
    <n v="102806"/>
    <n v="20.18970934799686"/>
    <d v="2022-08-22T00:00:00"/>
    <n v="4.67945205479452"/>
    <s v="NNN"/>
    <s v="2% annually"/>
    <s v="2, 5yr"/>
    <n v="1300000"/>
    <n v="255.3024351924587"/>
    <n v="0.07908153846153847"/>
    <x v="854"/>
    <x v="892"/>
    <s v="Foundry Commercial"/>
    <x v="771"/>
    <s v="Individual"/>
    <s v="Horizon Title"/>
    <m/>
    <n v="1326529"/>
    <n v="0.07750000188461767"/>
    <n v="0.9800011910783707"/>
    <n v="1326529"/>
    <n v="0.07750000188461767"/>
    <n v="0.001581536576920797"/>
    <s v="No"/>
    <d v="2017-08-23T00:00:00"/>
    <n v="117"/>
  </r>
  <r>
    <s v="Fresenius Medical Care"/>
    <s v="4622 S Bishop"/>
    <s v="Chicago"/>
    <s v="IL"/>
    <n v="0.42"/>
    <n v="2016"/>
    <n v="10200"/>
    <n v="317750"/>
    <n v="31.15196078431373"/>
    <d v="2031-10-19T00:00:00"/>
    <n v="13.85205479452055"/>
    <s v="NN"/>
    <s v="2.5% annually"/>
    <s v="3, 5yr"/>
    <n v="5209500"/>
    <n v="510.7352941176471"/>
    <n v="0.06099433726845187"/>
    <x v="855"/>
    <x v="566"/>
    <s v="Stream"/>
    <x v="64"/>
    <s v="Fund"/>
    <m/>
    <m/>
    <n v="5526087"/>
    <n v="0.05749999954760032"/>
    <n v="0.9427104567843394"/>
    <n v="5526087"/>
    <n v="0.05749999954760032"/>
    <n v="0.003494337720851552"/>
    <s v="No"/>
    <d v="2017-08-08T00:00:00"/>
    <n v="129"/>
  </r>
  <r>
    <s v="Fresenius Medical Care"/>
    <s v="14619 County Rd 565A"/>
    <s v="Groveland"/>
    <s v="FL"/>
    <n v="1.14"/>
    <n v="2017"/>
    <n v="7104"/>
    <n v="267952.685"/>
    <n v="37.71856489301802"/>
    <d v="2032-09-29T00:00:00"/>
    <n v="14.8"/>
    <s v="NN"/>
    <s v="1.7% annually; 10% at options"/>
    <s v="3, 5yr"/>
    <n v="4683303"/>
    <n v="659.2487331081081"/>
    <n v="0.05721446701185039"/>
    <x v="855"/>
    <x v="494"/>
    <s v="C&amp;W; Trautvetter"/>
    <x v="772"/>
    <s v="Individual"/>
    <s v="Laurence Liebowitz"/>
    <s v="MDG Development Group, LLC"/>
    <n v="4871867"/>
    <n v="0.055"/>
    <n v="0.9612953309275479"/>
    <n v="4871867"/>
    <n v="0.055"/>
    <n v="0.002214467011850393"/>
    <s v="No"/>
    <d v="2017-08-22T00:00:00"/>
    <n v="115"/>
  </r>
  <r>
    <s v="DaVita Dialysis"/>
    <s v="11500 S Pulaski Rd"/>
    <s v="Alsip"/>
    <s v="IL"/>
    <n v="0.62"/>
    <n v="2013"/>
    <n v="6831"/>
    <n v="142888"/>
    <n v="20.91758161323379"/>
    <d v="2019-11-30T00:00:00"/>
    <n v="1.961643835616438"/>
    <s v="NN"/>
    <s v="FMV"/>
    <s v="2, 5 yr"/>
    <n v="1775000"/>
    <n v="259.8448250622164"/>
    <n v="0.08050028169014084"/>
    <x v="856"/>
    <x v="598"/>
    <s v="M&amp;M; Cook"/>
    <x v="773"/>
    <s v="Individual"/>
    <s v="M&amp;M; Levy"/>
    <m/>
    <n v="1843056"/>
    <n v="0.07752775824500178"/>
    <n v="0.9630743721297671"/>
    <n v="1843056"/>
    <n v="0.07752775824500178"/>
    <n v="0.002972523445139055"/>
    <s v="No"/>
    <d v="2016-11-28T00:00:00"/>
    <n v="381"/>
  </r>
  <r>
    <s v="DaVita Dialysis"/>
    <s v="5155 Lee Street NE"/>
    <s v="Washington"/>
    <s v="DC"/>
    <n v="0.93"/>
    <n v="2002"/>
    <n v="9110"/>
    <n v="162191"/>
    <n v="17.80362239297475"/>
    <d v="2022-05-31T00:00:00"/>
    <n v="4.468493150684932"/>
    <s v="Absolute NNN"/>
    <s v="2% annually"/>
    <s v="2, 5yr"/>
    <n v="2825000"/>
    <n v="310.0987925356751"/>
    <n v="0.05741274336283186"/>
    <x v="857"/>
    <x v="893"/>
    <s v="Encore"/>
    <x v="774"/>
    <s v="Individual"/>
    <m/>
    <m/>
    <n v="3604250"/>
    <n v="0.04499993063744191"/>
    <n v="0.7837969064299092"/>
    <n v="2900000"/>
    <n v="0.05592793103448276"/>
    <n v="0.0014848123283491"/>
    <s v="Yes"/>
    <d v="2017-03-30T00:00:00"/>
    <n v="257"/>
  </r>
  <r>
    <s v="DaVita Dialysis"/>
    <s v="125 E Arbor Vitae St"/>
    <s v="Inglewood"/>
    <s v="CA"/>
    <n v="0.65"/>
    <n v="1989"/>
    <n v="8872"/>
    <n v="221800"/>
    <n v="25"/>
    <d v="2031-10-31T00:00:00"/>
    <n v="13.8958904109589"/>
    <s v="NN"/>
    <s v="10% every 5 years"/>
    <s v="2, 5yr"/>
    <n v="4436000"/>
    <n v="500"/>
    <n v="0.05"/>
    <x v="858"/>
    <x v="351"/>
    <s v="M&amp;M; Glass"/>
    <x v="775"/>
    <s v="Individual"/>
    <s v="Sanjo; Farhat"/>
    <s v="DaVita"/>
    <n v="4436000"/>
    <n v="0.05"/>
    <n v="1"/>
    <n v="4436000"/>
    <n v="0.05"/>
    <n v="0"/>
    <s v="No"/>
    <d v="2017-09-20T00:00:00"/>
    <n v="82"/>
  </r>
  <r>
    <s v="Sanderling Healthcare"/>
    <s v="711 W Valley"/>
    <s v="Tehachapi"/>
    <s v="CA"/>
    <n v="0.44"/>
    <n v="2015"/>
    <n v="3864"/>
    <n v="213840"/>
    <n v="55.3416149068323"/>
    <d v="2030-09-30T00:00:00"/>
    <n v="12.81917808219178"/>
    <s v="NNN"/>
    <m/>
    <m/>
    <n v="2970000"/>
    <n v="768.6335403726708"/>
    <n v="0.07199999999999999"/>
    <x v="859"/>
    <x v="13"/>
    <s v="M&amp;M; Anderson"/>
    <x v="637"/>
    <s v="Fund"/>
    <m/>
    <m/>
    <n v="3155481"/>
    <n v="0.06776779831664333"/>
    <n v="0.9412194210644906"/>
    <n v="3155481"/>
    <n v="0.06776779831664333"/>
    <n v="0.004232201683356668"/>
    <s v="No"/>
    <d v="2016-11-14T00:00:00"/>
    <n v="389"/>
  </r>
  <r>
    <s v="Fresenius Medical Care"/>
    <s v="1725 E Legacy Pky E"/>
    <s v="Maplewood "/>
    <s v="MN"/>
    <n v="2.5"/>
    <n v="2012"/>
    <n v="21257"/>
    <m/>
    <s v=" "/>
    <m/>
    <s v=" "/>
    <m/>
    <m/>
    <m/>
    <n v="5500000"/>
    <n v="258.7382979724326"/>
    <s v=" "/>
    <x v="860"/>
    <x v="894"/>
    <s v="Colliers, Lunceford"/>
    <x v="267"/>
    <s v="Fund"/>
    <m/>
    <s v="MSP Commercial"/>
    <m/>
    <s v=" "/>
    <s v=" "/>
    <m/>
    <s v=" "/>
    <s v=" "/>
    <s v=" "/>
    <m/>
    <s v=" "/>
  </r>
  <r>
    <s v="DaVita Dialysis"/>
    <s v="215-225 S Allison Ave"/>
    <s v="Xenia"/>
    <s v="OH"/>
    <n v="0.88"/>
    <n v="1976"/>
    <n v="14551"/>
    <n v="132240"/>
    <n v="9.088035186585115"/>
    <m/>
    <s v=" "/>
    <m/>
    <m/>
    <m/>
    <n v="1450000"/>
    <n v="99.64950862483678"/>
    <n v="0.0912"/>
    <x v="861"/>
    <x v="895"/>
    <s v="JLL; Berres"/>
    <x v="776"/>
    <s v="Individual"/>
    <m/>
    <m/>
    <n v="1600000"/>
    <n v="0.08265"/>
    <n v="0.90625"/>
    <n v="1600000"/>
    <n v="0.08265"/>
    <n v="0.008550000000000002"/>
    <s v="No"/>
    <d v="2016-09-19T00:00:00"/>
    <n v="441"/>
  </r>
  <r>
    <s v="Fresenius Medical Care (MT)"/>
    <s v="2450 Fire Mesa St"/>
    <s v="Las Vegas"/>
    <s v="NV"/>
    <n v="4.39"/>
    <n v="2020"/>
    <n v="55323"/>
    <m/>
    <s v=" "/>
    <d v="2028-09-01T00:00:00"/>
    <n v="10.75890410958904"/>
    <s v="NN"/>
    <m/>
    <m/>
    <n v="8900000"/>
    <n v="160.8734161198778"/>
    <s v=" "/>
    <x v="862"/>
    <x v="896"/>
    <s v="David Strickland"/>
    <x v="777"/>
    <s v="Individual"/>
    <m/>
    <m/>
    <m/>
    <s v=" "/>
    <s v=" "/>
    <m/>
    <s v=" "/>
    <s v=" "/>
    <s v=" "/>
    <m/>
    <s v=" "/>
  </r>
  <r>
    <s v="Fresenius Medical Care"/>
    <s v="3800 Hughes Ct"/>
    <s v="Dickinson"/>
    <s v="TX"/>
    <n v="0.8"/>
    <n v="2001"/>
    <n v="6025"/>
    <n v="153638"/>
    <n v="25.50008298755187"/>
    <d v="2023-12-31T00:00:00"/>
    <n v="6.087671232876712"/>
    <s v="NN"/>
    <s v="Flat"/>
    <s v="2, 5yr"/>
    <m/>
    <s v=" "/>
    <s v=" "/>
    <x v="863"/>
    <x v="746"/>
    <s v="PH: Peranich &amp; Huffman"/>
    <x v="269"/>
    <s v="Fund"/>
    <s v="Erik Conrad"/>
    <m/>
    <n v="2226000"/>
    <n v="0.06901976639712488"/>
    <s v=" "/>
    <n v="2226000"/>
    <n v="0.06901976639712488"/>
    <s v=" "/>
    <s v="No"/>
    <d v="2017-06-20T00:00:00"/>
    <n v="163"/>
  </r>
  <r>
    <s v="Fresenius Medical Care"/>
    <s v="5953 Jacobs Point Blvd"/>
    <s v="Ravenel"/>
    <s v="SC"/>
    <n v="1.15"/>
    <n v="2006"/>
    <n v="6175"/>
    <n v="175950"/>
    <n v="28.49392712550607"/>
    <d v="2026-04-20T00:00:00"/>
    <n v="8.391780821917807"/>
    <s v="NN"/>
    <s v="2% annually; 2.25% annually at options"/>
    <s v="2, 5yr"/>
    <n v="2070000"/>
    <n v="335.2226720647773"/>
    <n v="0.08500000000000001"/>
    <x v="863"/>
    <x v="897"/>
    <s v="None"/>
    <x v="269"/>
    <s v="Fund"/>
    <m/>
    <m/>
    <m/>
    <s v=" "/>
    <s v=" "/>
    <m/>
    <s v=" "/>
    <s v=" "/>
    <s v=" "/>
    <m/>
    <s v=" "/>
  </r>
  <r>
    <s v="DaVita Dialysis"/>
    <s v="3111 Long Beach Blvd"/>
    <s v="Long Beach"/>
    <s v="CA"/>
    <n v="0.66"/>
    <n v="2002"/>
    <n v="8352"/>
    <n v="267658"/>
    <n v="32.04717432950191"/>
    <d v="2019-06-30T00:00:00"/>
    <n v="1.580821917808219"/>
    <s v="NNN"/>
    <s v="CPI annually"/>
    <s v="1, 5yr"/>
    <n v="3885000"/>
    <n v="465.1580459770115"/>
    <n v="0.06889523809523809"/>
    <x v="863"/>
    <x v="898"/>
    <s v="Tinetti"/>
    <x v="778"/>
    <s v="Individual"/>
    <m/>
    <m/>
    <n v="4395000"/>
    <n v="0.06090056882821388"/>
    <n v="0.8839590443686007"/>
    <n v="4395000"/>
    <n v="0.06090056882821388"/>
    <n v="0.007994669267024211"/>
    <s v="No"/>
    <d v="2017-02-13T00:00:00"/>
    <n v="290"/>
  </r>
  <r>
    <s v="Fresenius Medical Care"/>
    <s v="100 Main St"/>
    <s v="Elkins"/>
    <s v="WV"/>
    <n v="1.03"/>
    <n v="2001"/>
    <n v="8500"/>
    <n v="121932"/>
    <n v="14.34494117647059"/>
    <d v="2022-07-31T00:00:00"/>
    <n v="4.673972602739726"/>
    <s v="NN"/>
    <s v="FMV at option"/>
    <s v="1, 5yr"/>
    <n v="1400000"/>
    <n v="164.7058823529412"/>
    <n v="0.08709428571428571"/>
    <x v="864"/>
    <x v="899"/>
    <s v="Matthews; Moreno"/>
    <x v="269"/>
    <s v="Fund"/>
    <m/>
    <m/>
    <n v="1575000"/>
    <n v="0.07741714285714285"/>
    <n v="0.8888888888888888"/>
    <n v="1575000"/>
    <n v="0.07741714285714285"/>
    <n v="0.009677142857142856"/>
    <s v="No"/>
    <d v="2017-09-06T00:00:00"/>
    <n v="83"/>
  </r>
  <r>
    <s v="DaVita Dialysis"/>
    <s v="1930 E Parrish Ave"/>
    <s v="Owensboro"/>
    <s v="KY"/>
    <n v="1.85"/>
    <n v="2000"/>
    <n v="11831"/>
    <n v="216964"/>
    <n v="18.33860197785479"/>
    <d v="2032-09-30T00:00:00"/>
    <n v="14.84931506849315"/>
    <s v="NN"/>
    <s v="10% every 5"/>
    <s v="3, 5yr"/>
    <n v="3287333"/>
    <n v="277.8575775505029"/>
    <n v="0.06600000669235517"/>
    <x v="864"/>
    <x v="852"/>
    <s v="M&amp;M; Johnson"/>
    <x v="779"/>
    <s v="Individual"/>
    <m/>
    <m/>
    <m/>
    <s v=" "/>
    <s v=" "/>
    <m/>
    <s v=" "/>
    <s v=" "/>
    <s v=" "/>
    <m/>
    <s v=" "/>
  </r>
  <r>
    <s v="Fresenius Medical Care"/>
    <s v="1830 E Broadway St"/>
    <s v="Pearland"/>
    <s v="TX"/>
    <n v="0.65"/>
    <n v="2002"/>
    <n v="6025"/>
    <m/>
    <s v=" "/>
    <m/>
    <s v=" "/>
    <m/>
    <m/>
    <m/>
    <m/>
    <s v=" "/>
    <s v=" "/>
    <x v="865"/>
    <x v="746"/>
    <s v="PH: Peranich &amp; Huffman"/>
    <x v="269"/>
    <s v="Fund"/>
    <m/>
    <m/>
    <m/>
    <s v=" "/>
    <s v=" "/>
    <m/>
    <s v=" "/>
    <s v=" "/>
    <s v=" "/>
    <m/>
    <s v=" "/>
  </r>
  <r>
    <s v="Fresenius Medical Care"/>
    <s v="959 Behrman Hwy"/>
    <s v="Gretna"/>
    <s v="LA"/>
    <n v="2.01"/>
    <n v="2015"/>
    <n v="7682"/>
    <n v="232402.669722"/>
    <n v="30.25288593100754"/>
    <d v="2030-06-30T00:00:00"/>
    <n v="12.61095890410959"/>
    <s v="NN"/>
    <s v="1.7% annually"/>
    <s v="3, 5yr"/>
    <n v="3972701"/>
    <n v="517.1441030981515"/>
    <n v="0.05849991472350926"/>
    <x v="865"/>
    <x v="55"/>
    <m/>
    <x v="780"/>
    <s v="Individual"/>
    <m/>
    <s v="MDG Development"/>
    <m/>
    <s v=" "/>
    <s v=" "/>
    <m/>
    <s v=" "/>
    <s v=" "/>
    <s v=" "/>
    <m/>
    <s v=" "/>
  </r>
  <r>
    <s v="Fresenius Medical Care"/>
    <s v="1101 Winchester Rd"/>
    <s v="Lexington"/>
    <s v="KY"/>
    <n v="0.48"/>
    <n v="1972"/>
    <n v="12429"/>
    <n v="176505"/>
    <n v="14.20106203234371"/>
    <d v="2022-05-31T00:00:00"/>
    <n v="4.526027397260274"/>
    <s v="NN"/>
    <s v="3% annually"/>
    <s v="2, 5yr"/>
    <n v="2425000"/>
    <n v="195.1082146592646"/>
    <n v="0.07278556701030928"/>
    <x v="866"/>
    <x v="900"/>
    <s v="Fortis"/>
    <x v="393"/>
    <s v="Individual"/>
    <m/>
    <m/>
    <n v="2500000"/>
    <n v="0.070602"/>
    <n v="0.97"/>
    <n v="2450000"/>
    <n v="0.07204285714285714"/>
    <n v="0.0007427098674521321"/>
    <s v="Yes"/>
    <d v="2017-06-14T00:00:00"/>
    <n v="160"/>
  </r>
  <r>
    <s v="DaVita Dialysis"/>
    <s v="966 East Ave"/>
    <s v="Chico"/>
    <s v="CA"/>
    <n v="1.039991"/>
    <n v="2017"/>
    <n v="10800"/>
    <m/>
    <s v=" "/>
    <m/>
    <s v=" "/>
    <m/>
    <m/>
    <m/>
    <n v="6155000"/>
    <n v="569.9074074074074"/>
    <s v=" "/>
    <x v="866"/>
    <x v="901"/>
    <s v="CBRE"/>
    <x v="781"/>
    <s v="Individual"/>
    <m/>
    <m/>
    <m/>
    <s v=" "/>
    <s v=" "/>
    <m/>
    <s v=" "/>
    <s v=" "/>
    <s v=" "/>
    <m/>
    <s v=" "/>
  </r>
  <r>
    <s v="American Renal"/>
    <s v="466 Shawnee Lane"/>
    <s v="Chillicothe"/>
    <s v="OH"/>
    <n v="1"/>
    <n v="2005"/>
    <n v="8103"/>
    <n v="97200"/>
    <n v="11.99555720103665"/>
    <m/>
    <s v=" "/>
    <m/>
    <m/>
    <m/>
    <n v="1350000"/>
    <n v="166.6049611255091"/>
    <n v="0.07199999999999999"/>
    <x v="867"/>
    <x v="902"/>
    <m/>
    <x v="782"/>
    <s v="Individual"/>
    <m/>
    <m/>
    <n v="1495000"/>
    <n v="0.06501672240802675"/>
    <n v="0.903010033444816"/>
    <n v="1495000"/>
    <n v="0.06501672240802675"/>
    <n v="0.006983277591973244"/>
    <s v="No"/>
    <d v="2017-07-20T00:00:00"/>
    <n v="118"/>
  </r>
  <r>
    <s v="American Renal Associates"/>
    <s v="465 N Shawnee Ln"/>
    <s v="Chillicothe"/>
    <s v="OH"/>
    <n v="1"/>
    <n v="2005"/>
    <n v="8103"/>
    <n v="97175"/>
    <n v="11.99247192397877"/>
    <d v="2027-04-30T00:00:00"/>
    <n v="9.46027397260274"/>
    <s v="NNN"/>
    <m/>
    <s v="2, 5yr"/>
    <n v="1350000"/>
    <n v="166.6049611255091"/>
    <n v="0.07198148148148148"/>
    <x v="867"/>
    <x v="13"/>
    <s v="Allen Faires"/>
    <x v="0"/>
    <s v="Individual"/>
    <m/>
    <m/>
    <n v="1495000"/>
    <n v="0.065"/>
    <n v="0.903010033444816"/>
    <n v="1495000"/>
    <n v="0.065"/>
    <n v="0.006981481481481477"/>
    <s v="No"/>
    <d v="2017-07-27T00:00:00"/>
    <n v="111"/>
  </r>
  <r>
    <s v="Fresenius Medical Care"/>
    <s v="6541 Saint Johns Ave"/>
    <s v="Palatka"/>
    <s v="FL"/>
    <n v="2.92"/>
    <n v="2001"/>
    <n v="9574"/>
    <n v="182798.44"/>
    <n v="19.09321495717569"/>
    <d v="2021-04-30T00:00:00"/>
    <n v="3.471232876712329"/>
    <s v="NN"/>
    <s v="2% annually"/>
    <s v="2, 5yr"/>
    <n v="2200000"/>
    <n v="229.7890119072488"/>
    <n v="0.0830902"/>
    <x v="868"/>
    <x v="903"/>
    <s v="Matthews; Hoover"/>
    <x v="398"/>
    <s v="Individual"/>
    <s v="Medi Vakili"/>
    <m/>
    <n v="2611100"/>
    <n v="0.07000821109877063"/>
    <n v="0.8425567768373482"/>
    <n v="2611100"/>
    <n v="0.07000821109877063"/>
    <n v="0.01308198890122937"/>
    <s v="No"/>
    <d v="2017-07-28T00:00:00"/>
    <n v="105"/>
  </r>
  <r>
    <s v="Fresenius Medical Care"/>
    <s v="2701 Evans Mill Rd"/>
    <s v="Lithonia"/>
    <s v="GA"/>
    <n v="1.61"/>
    <n v="2005"/>
    <n v="7740"/>
    <n v="169506"/>
    <n v="21.9"/>
    <d v="2020-08-31T00:00:00"/>
    <n v="2.808219178082192"/>
    <s v="NN"/>
    <s v="5% in option"/>
    <s v="1, 5yr remaining"/>
    <n v="1695060"/>
    <n v="219"/>
    <n v="0.1"/>
    <x v="868"/>
    <x v="904"/>
    <s v="M&amp;M; Kunofsky"/>
    <x v="294"/>
    <s v="Fund"/>
    <m/>
    <m/>
    <n v="1832497"/>
    <n v="0.09250001500684585"/>
    <n v="0.9250001500684585"/>
    <n v="1832497"/>
    <n v="0.09250001500684585"/>
    <n v="0.007499984993154157"/>
    <s v="No"/>
    <d v="2017-02-10T00:00:00"/>
    <n v="273"/>
  </r>
  <r>
    <s v="Fresenius Medical Care"/>
    <s v="1005 Harvard Ave"/>
    <s v="Bethlehem"/>
    <s v="PA"/>
    <n v="2.91"/>
    <n v="2017"/>
    <n v="8275"/>
    <n v="211757.25"/>
    <n v="25.59"/>
    <d v="2029-05-01T00:00:00"/>
    <n v="11.49041095890411"/>
    <s v="NN"/>
    <s v="2% annually"/>
    <s v="3, 5yr"/>
    <n v="3259283"/>
    <n v="393.8710574018127"/>
    <n v="0.06497050118078117"/>
    <x v="869"/>
    <x v="905"/>
    <s v="Matthews; Hoover"/>
    <x v="64"/>
    <s v="Fund"/>
    <m/>
    <s v="Sage Design Build"/>
    <n v="3726204"/>
    <n v="0.05682921546968443"/>
    <n v="0.8746925825853872"/>
    <n v="3726204"/>
    <n v="0.05682921546968443"/>
    <n v="0.008141285711096735"/>
    <s v="No"/>
    <d v="2017-06-07T00:00:00"/>
    <n v="152"/>
  </r>
  <r>
    <s v="DaVita Dialysis"/>
    <s v="815 NW 13th St"/>
    <s v="Fruitland"/>
    <s v="ID"/>
    <n v="1.13"/>
    <n v="2017"/>
    <n v="6173"/>
    <n v="174716"/>
    <n v="28.303256115341"/>
    <d v="2031-11-05T00:00:00"/>
    <n v="14.00547945205479"/>
    <s v="NN"/>
    <s v="10% every 5 years"/>
    <s v="2, 5yr"/>
    <n v="3091150"/>
    <n v="500.7532804147092"/>
    <n v="0.05652135936463776"/>
    <x v="869"/>
    <x v="66"/>
    <s v="M&amp;M; Cook"/>
    <x v="783"/>
    <s v="Individual"/>
    <m/>
    <m/>
    <n v="3205800"/>
    <n v="0.05449996880653815"/>
    <n v="0.9642366959885208"/>
    <n v="3205800"/>
    <n v="0.05449996880653815"/>
    <n v="0.002021390558099606"/>
    <s v="No"/>
    <d v="2017-07-18T00:00:00"/>
    <n v="111"/>
  </r>
  <r>
    <s v="DaVita Dialysis - Condo"/>
    <s v="6609-6615 Reisterstown Rd"/>
    <s v="Baltimore "/>
    <s v="MD"/>
    <n v="1.55"/>
    <n v="1997"/>
    <n v="8085"/>
    <n v="121275"/>
    <n v="15"/>
    <d v="2022-11-30T00:00:00"/>
    <n v="5.082191780821918"/>
    <s v="NN"/>
    <s v="10% every 5"/>
    <s v="3, 5 yr"/>
    <n v="1725000"/>
    <n v="213.3580705009277"/>
    <n v="0.07030434782608695"/>
    <x v="870"/>
    <x v="906"/>
    <m/>
    <x v="267"/>
    <s v="Fund"/>
    <m/>
    <m/>
    <m/>
    <s v=" "/>
    <s v=" "/>
    <m/>
    <s v=" "/>
    <s v=" "/>
    <s v=" "/>
    <m/>
    <s v=" "/>
  </r>
  <r>
    <s v="DaVita Dialysis"/>
    <s v="1900 N Saint Joseph Ave"/>
    <s v="Hastings"/>
    <s v="NE"/>
    <n v="1.03"/>
    <n v="2000"/>
    <n v="7453"/>
    <n v="98924"/>
    <n v="13.27304441164632"/>
    <d v="2029-07-31T00:00:00"/>
    <n v="11.75616438356164"/>
    <s v="Absolute NNN"/>
    <s v="10% at year 8"/>
    <s v="3, 5yr"/>
    <n v="1584000"/>
    <n v="212.5318663625386"/>
    <n v="0.0624520202020202"/>
    <x v="871"/>
    <x v="907"/>
    <s v="Hiroshi Wada"/>
    <x v="784"/>
    <s v="Individual"/>
    <m/>
    <m/>
    <n v="1651500"/>
    <n v="0.05989948531637905"/>
    <n v="0.9591280653950953"/>
    <n v="1651500"/>
    <n v="0.05989948531637905"/>
    <n v="0.002552534885641153"/>
    <s v="No"/>
    <d v="2017-07-25T00:00:00"/>
    <n v="98"/>
  </r>
  <r>
    <s v="DaVita Dialysis"/>
    <s v="802-806 Jules St"/>
    <s v="Saint Joseph"/>
    <s v="MO"/>
    <n v="0.77"/>
    <n v="1998"/>
    <n v="9846"/>
    <n v="160000"/>
    <n v="16.25025391021735"/>
    <d v="2032-05-01T00:00:00"/>
    <n v="14.50958904109589"/>
    <s v="NN"/>
    <s v="10% every 5 years"/>
    <s v="2, 5yr"/>
    <n v="2909091"/>
    <n v="295.4591712370506"/>
    <n v="0.05499999828125005"/>
    <x v="871"/>
    <x v="167"/>
    <s v="C&amp;W; Patel"/>
    <x v="785"/>
    <s v="Individual"/>
    <m/>
    <m/>
    <n v="2909091"/>
    <n v="0.05499999828125005"/>
    <n v="1"/>
    <n v="2909091"/>
    <n v="0.05499999828125005"/>
    <n v="0"/>
    <s v="No"/>
    <d v="2017-05-30T00:00:00"/>
    <n v="154"/>
  </r>
  <r>
    <s v="DaVita Dialysis"/>
    <s v="1103 New River Pkwy"/>
    <s v="Fallon"/>
    <s v="NV"/>
    <n v="1.3"/>
    <n v="2007"/>
    <n v="8000"/>
    <n v="193732"/>
    <n v="24.2165"/>
    <d v="2024-01-31T00:00:00"/>
    <n v="6.257534246575342"/>
    <s v="NN"/>
    <s v="2.5% annually"/>
    <m/>
    <n v="2525000"/>
    <n v="315.625"/>
    <n v="0.07672554455445545"/>
    <x v="872"/>
    <x v="908"/>
    <s v="M&amp;M; Alvino"/>
    <x v="786"/>
    <s v="Individual"/>
    <m/>
    <m/>
    <n v="2650000"/>
    <n v="0.07310641509433963"/>
    <n v="0.9528301886792453"/>
    <n v="2650000"/>
    <n v="0.07310641509433963"/>
    <n v="0.003619129460115819"/>
    <s v="No"/>
    <d v="2017-01-31T00:00:00"/>
    <n v="272"/>
  </r>
  <r>
    <s v="Fresenius Medical Care"/>
    <s v="401 Whitmer St"/>
    <s v="Central City"/>
    <s v="KY"/>
    <n v="1.5"/>
    <n v="2016"/>
    <n v="8530"/>
    <n v="232443"/>
    <n v="27.25005861664713"/>
    <d v="2031-02-28T00:00:00"/>
    <n v="13.35890410958904"/>
    <s v="NN"/>
    <s v="10% every 5 years"/>
    <s v="3, 5yr"/>
    <n v="3811000"/>
    <n v="446.7760844079718"/>
    <n v="0.06099265284702178"/>
    <x v="873"/>
    <x v="909"/>
    <s v="PH: Peranich &amp; Huffman"/>
    <x v="787"/>
    <s v="Individual"/>
    <m/>
    <m/>
    <n v="3811000"/>
    <n v="0.06099265284702178"/>
    <n v="1"/>
    <n v="3811000"/>
    <n v="0.06099265284702178"/>
    <n v="0"/>
    <s v="No"/>
    <d v="2017-07-12T00:00:00"/>
    <n v="103"/>
  </r>
  <r>
    <s v="DaVita Dialysis"/>
    <s v="1221 S Capitol Ave"/>
    <s v="San Jose"/>
    <s v="CA"/>
    <n v="1.09"/>
    <n v="2017"/>
    <n v="10328"/>
    <n v="572993"/>
    <n v="55.47957010069713"/>
    <d v="2032-10-04T00:00:00"/>
    <n v="14.96712328767123"/>
    <s v="NN"/>
    <s v="10% every 5 years"/>
    <s v="2, 5yr"/>
    <n v="11228831"/>
    <n v="1087.222211463981"/>
    <n v="0.05102873130782715"/>
    <x v="874"/>
    <x v="5"/>
    <s v="C&amp;W; Patel"/>
    <x v="452"/>
    <s v="Individual"/>
    <s v="SJC; Briggs"/>
    <s v="Market Street Development"/>
    <n v="11215110"/>
    <n v="0.0510911618343467"/>
    <n v="1.001223438735777"/>
    <n v="11215110"/>
    <n v="0.0510911618343467"/>
    <n v="-6.243052651955239e-05"/>
    <s v="No"/>
    <d v="2017-07-06T00:00:00"/>
    <n v="106"/>
  </r>
  <r>
    <s v="U.S. Renal Care"/>
    <s v="10502 Sandia Dr"/>
    <s v="Laredo"/>
    <s v="TX"/>
    <n v="1.264532"/>
    <n v="2016"/>
    <n v="9607"/>
    <m/>
    <s v=" "/>
    <d v="2027-10-31T00:00:00"/>
    <n v="10.03835616438356"/>
    <s v="Absolute NNN"/>
    <s v="2.5% annually"/>
    <s v="3, 5 yr"/>
    <m/>
    <s v=" "/>
    <s v=" "/>
    <x v="875"/>
    <x v="910"/>
    <m/>
    <x v="267"/>
    <s v="Fund"/>
    <m/>
    <m/>
    <m/>
    <s v=" "/>
    <s v=" "/>
    <m/>
    <s v=" "/>
    <s v=" "/>
    <s v=" "/>
    <m/>
    <s v=" "/>
  </r>
  <r>
    <s v="U.S. Renal Care"/>
    <s v="200 W 2 Mile Rd"/>
    <s v="Mission "/>
    <s v="TX"/>
    <n v="1.11"/>
    <n v="2017"/>
    <n v="9093"/>
    <n v="145414.5333799724"/>
    <n v="15.99192053007505"/>
    <d v="2027-10-31T00:00:00"/>
    <n v="10.03835616438356"/>
    <s v="Absolute NNN"/>
    <s v="2.5% annually"/>
    <s v="2, 5yr"/>
    <m/>
    <s v=" "/>
    <s v=" "/>
    <x v="875"/>
    <x v="911"/>
    <m/>
    <x v="267"/>
    <s v="Fund"/>
    <m/>
    <m/>
    <m/>
    <s v=" "/>
    <s v=" "/>
    <m/>
    <s v=" "/>
    <s v=" "/>
    <s v=" "/>
    <m/>
    <s v=" "/>
  </r>
  <r>
    <s v="U.S. Renal Care"/>
    <s v="7831 Westchase Dr"/>
    <s v="San Antonio"/>
    <s v="TX"/>
    <n v="2.89"/>
    <n v="2016"/>
    <n v="7496"/>
    <n v="184278"/>
    <n v="24.58351120597652"/>
    <d v="2027-10-31T00:00:00"/>
    <n v="10.03835616438356"/>
    <s v="Absolute NNN"/>
    <s v="2% annually; 2.5% in options"/>
    <s v="2, 5yr"/>
    <m/>
    <s v=" "/>
    <s v=" "/>
    <x v="875"/>
    <x v="910"/>
    <s v="TW; Watkins"/>
    <x v="267"/>
    <s v="Fund"/>
    <m/>
    <m/>
    <m/>
    <s v=" "/>
    <s v=" "/>
    <m/>
    <s v=" "/>
    <s v=" "/>
    <s v=" "/>
    <m/>
    <s v=" "/>
  </r>
  <r>
    <s v="Fresenius Medical Care"/>
    <s v="300 N Commercial St."/>
    <s v="Neenah"/>
    <s v="WI"/>
    <n v="0.83"/>
    <n v="2008"/>
    <n v="15000"/>
    <n v="320500"/>
    <n v="21.36666666666667"/>
    <d v="2028-11-30T00:00:00"/>
    <n v="11.12602739726027"/>
    <s v="NN"/>
    <s v="10% on 12/1/2023"/>
    <s v="Three Five year options"/>
    <n v="4900000"/>
    <n v="326.6666666666667"/>
    <n v="0.06540816326530612"/>
    <x v="876"/>
    <x v="114"/>
    <s v="SJC; Scrivner"/>
    <x v="137"/>
    <s v="Individual"/>
    <m/>
    <m/>
    <n v="5207000"/>
    <n v="0.06155175724985596"/>
    <n v="0.9410409064720568"/>
    <n v="5207000"/>
    <n v="0.06155175724985596"/>
    <n v="0.003856406015450155"/>
    <s v="No"/>
    <d v="2017-03-09T00:00:00"/>
    <n v="223"/>
  </r>
  <r>
    <s v="Fresenius Medical Care"/>
    <s v="9085 Blackberry St"/>
    <s v="Anchorage"/>
    <s v="AK"/>
    <n v="1.47"/>
    <n v="2008"/>
    <n v="9065"/>
    <n v="394740"/>
    <n v="43.54550468836183"/>
    <d v="2029-11-30T00:00:00"/>
    <n v="12.12876712328767"/>
    <s v="NN"/>
    <s v="1.7% annually"/>
    <s v="3, 5yr"/>
    <n v="4386000"/>
    <n v="483.8389409817981"/>
    <n v="0.09"/>
    <x v="877"/>
    <x v="912"/>
    <m/>
    <x v="267"/>
    <s v="Fund"/>
    <s v="Matthews; Moreno"/>
    <s v="Okmok /Pfeffer Development"/>
    <m/>
    <s v=" "/>
    <s v=" "/>
    <m/>
    <s v=" "/>
    <s v=" "/>
    <s v=" "/>
    <m/>
    <s v=" "/>
  </r>
  <r>
    <s v="DaVita Dialysis"/>
    <s v="125 Corporate Pl"/>
    <s v="Vallejo"/>
    <s v="CA"/>
    <n v="1.59"/>
    <n v="1987"/>
    <n v="20223"/>
    <n v="301667"/>
    <n v="14.91702516936162"/>
    <d v="2027-06-30T00:00:00"/>
    <n v="9.728767123287671"/>
    <s v="NN"/>
    <s v="10% every 5 years"/>
    <s v="3, 5yr"/>
    <n v="4665246"/>
    <n v="230.6901053256194"/>
    <n v="0.06466261371854774"/>
    <x v="878"/>
    <x v="913"/>
    <s v="Matthews; Moreno"/>
    <x v="788"/>
    <s v="Individual"/>
    <s v="K&amp;G; Johnson"/>
    <m/>
    <m/>
    <s v=" "/>
    <s v=" "/>
    <m/>
    <s v=" "/>
    <s v=" "/>
    <s v=" "/>
    <d v="2017-06-12T00:00:00"/>
    <n v="119"/>
  </r>
  <r>
    <s v="Fresenius Medical Care"/>
    <s v="1509 S. Lincoln Street"/>
    <s v="Shawano"/>
    <s v="WI"/>
    <n v="1.5"/>
    <m/>
    <n v="6200"/>
    <n v="113336"/>
    <n v="18.28"/>
    <d v="2030-10-31T00:00:00"/>
    <n v="13.07671232876712"/>
    <s v="NN"/>
    <s v="10% every 5 years"/>
    <s v="3, 5yr"/>
    <n v="1888933"/>
    <n v="304.6666129032258"/>
    <n v="0.06000001058798803"/>
    <x v="879"/>
    <x v="114"/>
    <s v="SJC; Scrivner"/>
    <x v="789"/>
    <s v="Individual"/>
    <s v="KW"/>
    <s v="First Development Group"/>
    <n v="1940000"/>
    <n v="0.05842061855670103"/>
    <n v="0.9736768041237114"/>
    <n v="1940000"/>
    <n v="0.05842061855670103"/>
    <n v="0.001579392031287"/>
    <s v="No"/>
    <d v="2017-04-17T00:00:00"/>
    <n v="172"/>
  </r>
  <r>
    <s v="DaVita Dialysis"/>
    <s v="E10196 County Road P"/>
    <s v="Wisconsin Dells"/>
    <s v="WI"/>
    <n v="1.04"/>
    <n v="2016"/>
    <n v="8000"/>
    <n v="240720"/>
    <n v="30.09"/>
    <d v="2031-05-12T00:00:00"/>
    <n v="13.60547945205479"/>
    <s v="NNN"/>
    <s v="3.75% annually"/>
    <s v="3 Five year options"/>
    <n v="4380000"/>
    <n v="547.5"/>
    <n v="0.05495890410958904"/>
    <x v="879"/>
    <x v="114"/>
    <s v="SJC; Scrivner"/>
    <x v="789"/>
    <s v="Individual"/>
    <s v="KW"/>
    <s v="First Development Group"/>
    <n v="4219000"/>
    <n v="0.05705617444892155"/>
    <n v="1.038160701588054"/>
    <n v="4380000"/>
    <n v="0.05495890410958904"/>
    <n v="0"/>
    <s v="Yes"/>
    <d v="2017-05-17T00:00:00"/>
    <n v="142"/>
  </r>
  <r>
    <s v="DaVita Dialysis"/>
    <s v="830 Fairgrounds Road"/>
    <s v="Winnemucca"/>
    <s v="NV"/>
    <n v="0.78"/>
    <n v="2012"/>
    <n v="6558"/>
    <n v="159916.609125"/>
    <n v="24.38496631976212"/>
    <d v="2027-06-26T00:00:00"/>
    <n v="9.728767123287671"/>
    <s v="NN"/>
    <s v="2.5% annually"/>
    <s v="3, 5yr"/>
    <n v="2331000"/>
    <n v="355.4437328453797"/>
    <n v="0.06860429391891891"/>
    <x v="880"/>
    <x v="914"/>
    <s v="PH: Peranich &amp; Huffman"/>
    <x v="790"/>
    <s v="Individual"/>
    <s v="Rene Nelson"/>
    <m/>
    <n v="2330000"/>
    <n v="0.0686337378218884"/>
    <n v="1.000429184549356"/>
    <n v="2330000"/>
    <n v="0.0686337378218884"/>
    <n v="-2.944390296949484e-05"/>
    <s v="No"/>
    <d v="2017-02-01T00:00:00"/>
    <n v="246"/>
  </r>
  <r>
    <s v="Fresenius Medical Care"/>
    <s v="121 Townsgate Plz"/>
    <s v="Clovis"/>
    <s v="NM"/>
    <n v="2.25"/>
    <n v="2017"/>
    <n v="12472"/>
    <n v="188414.92"/>
    <n v="15.10703335471456"/>
    <d v="2031-10-31T00:00:00"/>
    <n v="14.08493150684932"/>
    <s v="NN"/>
    <s v="10% every 5 years"/>
    <s v="3, 5yr"/>
    <n v="3140248"/>
    <n v="251.7838357921745"/>
    <n v="0.06000001273784746"/>
    <x v="881"/>
    <x v="915"/>
    <s v="C&amp;W; Patel"/>
    <x v="791"/>
    <s v="Individual"/>
    <s v="M&amp;M"/>
    <s v="Wellington Development"/>
    <n v="3276781"/>
    <n v="0.05750000381471939"/>
    <n v="0.9583331934602892"/>
    <n v="3276781"/>
    <n v="0.05750000381471939"/>
    <n v="0.002500008923128072"/>
    <s v="No"/>
    <d v="2017-05-18T00:00:00"/>
    <n v="138"/>
  </r>
  <r>
    <s v="Fresenius Medical Care"/>
    <s v="2585 Alluvial Ave"/>
    <s v="Clovis"/>
    <s v="CA"/>
    <n v="1.37"/>
    <n v="2017"/>
    <n v="10804"/>
    <n v="346178"/>
    <n v="32.04165124028138"/>
    <d v="2032-09-30T00:00:00"/>
    <n v="15.0027397260274"/>
    <s v="NN"/>
    <s v="2% annually"/>
    <s v="3, 5yr"/>
    <m/>
    <s v=" "/>
    <s v=" "/>
    <x v="881"/>
    <x v="13"/>
    <s v="C&amp;W; Patel"/>
    <x v="0"/>
    <s v="Individual"/>
    <m/>
    <m/>
    <n v="6923560"/>
    <n v="0.05"/>
    <s v=" "/>
    <m/>
    <s v=" "/>
    <s v=" "/>
    <s v=" "/>
    <d v="2017-07-31T00:00:00"/>
    <n v="64"/>
  </r>
  <r>
    <s v="DaVita Dialysis"/>
    <s v="1940 Webster Ave"/>
    <s v="Bronx"/>
    <s v="NY"/>
    <n v="0.27462"/>
    <n v="2015"/>
    <n v="19979"/>
    <n v="323645.0000000001"/>
    <n v="16.1992592221833"/>
    <d v="2030-10-23T00:00:00"/>
    <n v="13.06575342465753"/>
    <s v="NN"/>
    <s v="10% every 5 years"/>
    <s v="3, 5yr"/>
    <n v="8150000"/>
    <n v="407.928324740978"/>
    <n v="0.03971104294478529"/>
    <x v="882"/>
    <x v="167"/>
    <s v="C&amp;W; Patel"/>
    <x v="792"/>
    <s v="Individual"/>
    <m/>
    <m/>
    <m/>
    <s v=" "/>
    <s v=" "/>
    <m/>
    <s v=" "/>
    <s v=" "/>
    <s v=" "/>
    <m/>
    <s v=" "/>
  </r>
  <r>
    <s v="Satellite Healthcare"/>
    <s v="210 Plaza Dr"/>
    <s v="Folsom"/>
    <s v="CA"/>
    <n v="0.25"/>
    <n v="2007"/>
    <n v="11133"/>
    <n v="228884"/>
    <n v="20.55905865445073"/>
    <d v="2027-08-31T00:00:00"/>
    <n v="9.917808219178083"/>
    <s v="NN"/>
    <s v="10% every 5 years during base; FMV at each option"/>
    <s v="3, 5yr"/>
    <n v="3800000"/>
    <n v="341.3275846582233"/>
    <n v="0.06023263157894737"/>
    <x v="882"/>
    <x v="916"/>
    <s v="CP; David Lucas"/>
    <x v="793"/>
    <s v="Individual"/>
    <s v="M&amp;M; Flynn"/>
    <m/>
    <n v="4581000"/>
    <n v="0.04996376337044314"/>
    <n v="0.8295132067234229"/>
    <n v="3980000"/>
    <n v="0.05750854271356784"/>
    <n v="0.002724088865379531"/>
    <s v="Yes"/>
    <d v="2017-05-08T00:00:00"/>
    <n v="147"/>
  </r>
  <r>
    <s v="Satellite Healthcare"/>
    <s v="2980 Poplar Ave"/>
    <s v="Memphis"/>
    <s v="TN"/>
    <n v="2.34"/>
    <n v="2014"/>
    <n v="14087"/>
    <n v="230880"/>
    <n v="16.38957904450912"/>
    <d v="2029-09-30T00:00:00"/>
    <n v="12.01095890410959"/>
    <s v="NN"/>
    <s v="10% every 5 years"/>
    <s v="2, 5yr"/>
    <n v="3700000"/>
    <n v="262.6535103286718"/>
    <n v="0.0624"/>
    <x v="883"/>
    <x v="820"/>
    <s v="C&amp;W; Sheldon"/>
    <x v="794"/>
    <s v="Individual"/>
    <m/>
    <m/>
    <m/>
    <s v=" "/>
    <s v=" "/>
    <m/>
    <s v=" "/>
    <s v=" "/>
    <s v=" "/>
    <m/>
    <s v=" "/>
  </r>
  <r>
    <s v="Fresenius Medical Care"/>
    <s v="960144 Gateway Blvd"/>
    <s v="Fernandina Beach"/>
    <s v="FL"/>
    <n v="1.38"/>
    <n v="2017"/>
    <n v="7107"/>
    <n v="186002"/>
    <n v="26.17166174194456"/>
    <d v="2032-07-31T00:00:00"/>
    <n v="14.84657534246575"/>
    <s v="NN"/>
    <s v="10% every 5 years"/>
    <s v="3, 5yr"/>
    <n v="3542895"/>
    <n v="498.507809202195"/>
    <n v="0.05250000352818811"/>
    <x v="883"/>
    <x v="494"/>
    <s v="C&amp;W; Trautvetter"/>
    <x v="795"/>
    <s v="Individual"/>
    <s v="Nick Barbato"/>
    <s v="MDG Development Group, LLC"/>
    <m/>
    <s v=" "/>
    <s v=" "/>
    <m/>
    <s v=" "/>
    <s v=" "/>
    <s v=" "/>
    <m/>
    <s v=" "/>
  </r>
  <r>
    <s v="DaVita Dialysis"/>
    <s v="5601 Tuckaseegee Rd"/>
    <s v="Charlotte"/>
    <s v="NC"/>
    <n v="1.81"/>
    <n v="2017"/>
    <n v="10834"/>
    <n v="221555.3"/>
    <n v="20.45"/>
    <d v="2032-11-30T00:00:00"/>
    <n v="15.18082191780822"/>
    <s v="NN"/>
    <s v="10% every 5 years"/>
    <s v="3, 5yr"/>
    <n v="4220101"/>
    <n v="389.5238139191434"/>
    <n v="0.05249999940759711"/>
    <x v="883"/>
    <x v="917"/>
    <s v="C&amp;W; Patel"/>
    <x v="796"/>
    <s v="Individual"/>
    <m/>
    <m/>
    <n v="4220101"/>
    <n v="0.05249999940759711"/>
    <n v="1"/>
    <n v="4220101"/>
    <n v="0.05249999940759711"/>
    <n v="0"/>
    <s v="No"/>
    <d v="2017-05-16T00:00:00"/>
    <n v="136"/>
  </r>
  <r>
    <s v="Fresenius Medical Care"/>
    <s v="7474 NW ML King Blvd"/>
    <s v="Portland"/>
    <s v="OR"/>
    <n v="0.54"/>
    <n v="2017"/>
    <n v="8844"/>
    <n v="243000"/>
    <n v="27.47625508819539"/>
    <d v="2032-05-31T00:00:00"/>
    <n v="14.67945205479452"/>
    <s v="NN"/>
    <s v="1.7% annually"/>
    <s v="3, 5yr"/>
    <n v="4800000"/>
    <n v="542.7408412483039"/>
    <n v="0.050625"/>
    <x v="883"/>
    <x v="918"/>
    <s v="C&amp;W; Patel"/>
    <x v="797"/>
    <s v="Individual"/>
    <m/>
    <m/>
    <m/>
    <s v=" "/>
    <s v=" "/>
    <m/>
    <s v=" "/>
    <s v=" "/>
    <s v=" "/>
    <m/>
    <s v=" "/>
  </r>
  <r>
    <s v="Fresenius Medical Care"/>
    <s v="15 Independence Dr"/>
    <s v="Chicago Heights"/>
    <s v="IL"/>
    <n v="1.23"/>
    <n v="2017"/>
    <n v="9467"/>
    <n v="210000"/>
    <n v="22.18231752403084"/>
    <d v="2032-05-31T00:00:00"/>
    <n v="14.67945205479452"/>
    <s v="NN"/>
    <s v="2% annually; greater of 95% FMV or $21.02 PSF at each option"/>
    <s v="3, 5yr"/>
    <n v="3557500"/>
    <n v="375.7790218654273"/>
    <n v="0.05903021784961349"/>
    <x v="883"/>
    <x v="566"/>
    <s v="Stream"/>
    <x v="0"/>
    <s v="Individual"/>
    <m/>
    <m/>
    <n v="3652174"/>
    <n v="0.05749999863095241"/>
    <n v="0.9740773577600629"/>
    <n v="3652174"/>
    <n v="0.05749999863095241"/>
    <n v="0.001530219218661082"/>
    <s v="No"/>
    <d v="2017-03-17T00:00:00"/>
    <n v="196"/>
  </r>
  <r>
    <s v="Fresenius Medical Care"/>
    <s v="1320 Eastchester Dr"/>
    <s v="High Point"/>
    <s v="NC"/>
    <n v="0.64"/>
    <n v="2017"/>
    <n v="6969"/>
    <n v="227845"/>
    <n v="32.69407375520161"/>
    <m/>
    <s v=" "/>
    <s v="NNN"/>
    <m/>
    <m/>
    <n v="3847500"/>
    <n v="552.0878174773999"/>
    <n v="0.05921897335932424"/>
    <x v="884"/>
    <x v="13"/>
    <s v="Essa Commercial Real Estate, Inc."/>
    <x v="0"/>
    <s v="Individual"/>
    <m/>
    <m/>
    <n v="3797417"/>
    <n v="0.05999999473326211"/>
    <n v="1.013188701688543"/>
    <n v="3797417"/>
    <n v="0.05999999473326211"/>
    <n v="-0.0007810213739378735"/>
    <s v="No"/>
    <d v="2017-05-10T00:00:00"/>
    <n v="141"/>
  </r>
  <r>
    <s v="Fresenius Medical Care"/>
    <s v="14355 US Hwy 1"/>
    <s v="Sebastian"/>
    <s v="FL"/>
    <n v="1.1"/>
    <n v="2017"/>
    <n v="7104"/>
    <n v="230850"/>
    <n v="32.49577702702702"/>
    <d v="2032-06-30T00:00:00"/>
    <n v="14.79178082191781"/>
    <s v="NNN"/>
    <s v="1.7% annually"/>
    <m/>
    <n v="4160000"/>
    <n v="585.5855855855856"/>
    <n v="0.05549278846153846"/>
    <x v="885"/>
    <x v="759"/>
    <s v="M&amp;M; Ryan"/>
    <x v="798"/>
    <s v="Individual"/>
    <m/>
    <s v="Akshar Development"/>
    <m/>
    <s v=" "/>
    <s v=" "/>
    <m/>
    <s v=" "/>
    <s v=" "/>
    <s v=" "/>
    <m/>
    <s v=" "/>
  </r>
  <r>
    <s v="Fresenius Medical Care"/>
    <s v="14335 US-1"/>
    <s v="Roseland"/>
    <s v="FL"/>
    <n v="1.1"/>
    <n v="2017"/>
    <n v="7104"/>
    <m/>
    <s v=" "/>
    <m/>
    <s v=" "/>
    <m/>
    <m/>
    <m/>
    <n v="4160000"/>
    <n v="585.5855855855856"/>
    <s v=" "/>
    <x v="885"/>
    <x v="759"/>
    <s v="M&amp;M;"/>
    <x v="799"/>
    <s v="Individual"/>
    <m/>
    <m/>
    <m/>
    <s v=" "/>
    <s v=" "/>
    <m/>
    <s v=" "/>
    <s v=" "/>
    <s v=" "/>
    <m/>
    <s v=" "/>
  </r>
  <r>
    <s v="U.S. Renal Care"/>
    <s v="8555 N Wayne Dr"/>
    <s v="Hayden"/>
    <s v="ID"/>
    <n v="0.74"/>
    <n v="2009"/>
    <n v="7500"/>
    <m/>
    <s v=" "/>
    <m/>
    <s v=" "/>
    <m/>
    <m/>
    <m/>
    <m/>
    <s v=" "/>
    <s v=" "/>
    <x v="886"/>
    <x v="919"/>
    <m/>
    <x v="800"/>
    <s v="Individual"/>
    <m/>
    <m/>
    <m/>
    <s v=" "/>
    <s v=" "/>
    <m/>
    <s v=" "/>
    <s v=" "/>
    <s v=" "/>
    <m/>
    <s v=" "/>
  </r>
  <r>
    <s v="Fresenius Medical Care"/>
    <s v="2349 US Hwy 74 W"/>
    <s v="Wadesboro"/>
    <s v="NC"/>
    <n v="1.57"/>
    <n v="2009"/>
    <n v="7762"/>
    <n v="181186.5"/>
    <n v="23.34275959804174"/>
    <d v="2022-06-30T00:00:00"/>
    <n v="4.83013698630137"/>
    <s v="NN"/>
    <s v="Options"/>
    <s v="2, 5 yrs"/>
    <n v="2085000"/>
    <n v="268.6163359958774"/>
    <n v="0.08690000000000001"/>
    <x v="887"/>
    <x v="920"/>
    <s v="Matthews; Moreno"/>
    <x v="267"/>
    <s v="Fund"/>
    <m/>
    <m/>
    <m/>
    <s v=" "/>
    <s v=" "/>
    <m/>
    <s v=" "/>
    <s v=" "/>
    <s v=" "/>
    <m/>
    <s v=" "/>
  </r>
  <r>
    <s v="DaVita Dialysis"/>
    <s v="1704 Wayne Memorial Dr"/>
    <s v="Goldsboro "/>
    <s v="NC"/>
    <n v="1.66"/>
    <n v="1996"/>
    <n v="5960"/>
    <n v="125160"/>
    <n v="21"/>
    <d v="2032-09-30T00:00:00"/>
    <n v="15.09041095890411"/>
    <s v="NN"/>
    <s v="10% every 5 years"/>
    <s v="2, 5yr"/>
    <n v="1963000"/>
    <n v="329.3624161073826"/>
    <n v="0.06375955170657158"/>
    <x v="887"/>
    <x v="66"/>
    <s v="AY; Kropfl"/>
    <x v="330"/>
    <s v="Fund"/>
    <m/>
    <m/>
    <m/>
    <s v=" "/>
    <s v=" "/>
    <m/>
    <s v=" "/>
    <s v=" "/>
    <s v=" "/>
    <m/>
    <s v=" "/>
  </r>
  <r>
    <s v="DaVita Dialysis"/>
    <s v="719 Bunny Trail"/>
    <s v="Sun Prairie"/>
    <s v="WI"/>
    <n v="1.014"/>
    <n v="2015"/>
    <n v="7825"/>
    <n v="195390.25"/>
    <n v="24.97"/>
    <d v="2030-08-31T00:00:00"/>
    <n v="13.00821917808219"/>
    <s v="NN"/>
    <s v="2% annually"/>
    <s v="2, 5yr"/>
    <n v="3400000"/>
    <n v="434.5047923322684"/>
    <n v="0.05746772058823529"/>
    <x v="888"/>
    <x v="114"/>
    <s v="SJC; Scrivner"/>
    <x v="801"/>
    <s v="Individual"/>
    <s v="K. Zueger"/>
    <s v="First Development Group"/>
    <n v="3400000"/>
    <n v="0.05746772058823529"/>
    <n v="1"/>
    <n v="3400000"/>
    <n v="0.05746772058823529"/>
    <n v="0"/>
    <s v="No"/>
    <d v="2017-04-24T00:00:00"/>
    <n v="129"/>
  </r>
  <r>
    <s v="Fresenius Medical Care"/>
    <s v="1135 S Claremont Ave"/>
    <s v="Independence "/>
    <s v="MO"/>
    <n v="0.51"/>
    <m/>
    <n v="6000"/>
    <n v="86954"/>
    <n v="14.49233333333333"/>
    <d v="2027-01-31T00:00:00"/>
    <n v="9.424657534246576"/>
    <s v="NN"/>
    <s v="Yes"/>
    <s v="1, 5 yr"/>
    <n v="1122000"/>
    <n v="187"/>
    <n v="0.07749910873440286"/>
    <x v="888"/>
    <x v="921"/>
    <s v="M&amp;M; Lutz"/>
    <x v="98"/>
    <s v="Individual"/>
    <m/>
    <m/>
    <n v="1122000"/>
    <n v="0.07749910873440286"/>
    <n v="1"/>
    <n v="1122000"/>
    <n v="0.07749910873440286"/>
    <n v="0"/>
    <s v="No"/>
    <d v="2017-03-27T00:00:00"/>
    <n v="157"/>
  </r>
  <r>
    <s v="Fresenius Medical Care"/>
    <s v="1135 S Claremont Ave"/>
    <s v="Independence"/>
    <s v="MO"/>
    <n v="0.91"/>
    <n v="1996"/>
    <n v="5604"/>
    <n v="86955"/>
    <n v="15.51659528907923"/>
    <d v="2022-01-31T00:00:00"/>
    <n v="4.421917808219178"/>
    <s v="NNN"/>
    <s v="CPI at each option"/>
    <s v="2, 5yr remaining"/>
    <n v="1122000"/>
    <n v="200.2141327623126"/>
    <n v="0.0775"/>
    <x v="888"/>
    <x v="13"/>
    <s v="M&amp;M; Silver"/>
    <x v="0"/>
    <s v="Individual"/>
    <m/>
    <m/>
    <n v="1122000"/>
    <n v="0.0775"/>
    <n v="1"/>
    <n v="1122000"/>
    <n v="0.0775"/>
    <n v="0"/>
    <s v="No"/>
    <m/>
    <s v=" "/>
  </r>
  <r>
    <s v="Fresenius Medical Care"/>
    <s v="3500 W Grand Ave"/>
    <s v="Chicago"/>
    <s v="IL"/>
    <n v="1.93"/>
    <n v="2016"/>
    <n v="15680"/>
    <n v="486080"/>
    <n v="31"/>
    <d v="2032-03-31T00:00:00"/>
    <n v="14.5945205479452"/>
    <s v="NN"/>
    <s v="2% annually in base; 1% annually in options"/>
    <s v="3, 5yr"/>
    <n v="8237000"/>
    <n v="525.3188775510204"/>
    <n v="0.05901177613208693"/>
    <x v="889"/>
    <x v="13"/>
    <s v="Boulder; Blankstein"/>
    <x v="0"/>
    <s v="Individual"/>
    <m/>
    <m/>
    <n v="8680000"/>
    <n v="0.056"/>
    <n v="0.948963133640553"/>
    <n v="8680000"/>
    <n v="0.056"/>
    <n v="0.003011776132086925"/>
    <s v="No"/>
    <d v="2016-11-28T00:00:00"/>
    <n v="275"/>
  </r>
  <r>
    <s v="DaVita Dialysis"/>
    <s v="539 Fair St"/>
    <s v="Baxley"/>
    <s v="GA"/>
    <n v="0.89"/>
    <n v="1998"/>
    <n v="5032"/>
    <m/>
    <s v=" "/>
    <m/>
    <s v=" "/>
    <m/>
    <m/>
    <m/>
    <n v="780000"/>
    <n v="155.0079491255962"/>
    <s v=" "/>
    <x v="890"/>
    <x v="922"/>
    <m/>
    <x v="802"/>
    <s v="Individual"/>
    <m/>
    <m/>
    <m/>
    <s v=" "/>
    <s v=" "/>
    <m/>
    <s v=" "/>
    <s v=" "/>
    <s v=" "/>
    <m/>
    <s v=" "/>
  </r>
  <r>
    <s v="DaVita Dialysis"/>
    <s v="80851 Hwy 59"/>
    <s v="Stilwell"/>
    <s v="OK"/>
    <n v="0.89"/>
    <n v="2011"/>
    <n v="7124"/>
    <m/>
    <s v=" "/>
    <m/>
    <s v=" "/>
    <s v="Absolute NNN"/>
    <s v="2% annually"/>
    <m/>
    <m/>
    <s v=" "/>
    <s v=" "/>
    <x v="891"/>
    <x v="13"/>
    <s v="PH: Peranich &amp; Huffman"/>
    <x v="0"/>
    <s v="Individual"/>
    <m/>
    <m/>
    <n v="1706106"/>
    <s v=" "/>
    <s v=" "/>
    <n v="1706106"/>
    <s v=" "/>
    <s v=" "/>
    <s v="No"/>
    <d v="2017-03-23T00:00:00"/>
    <n v="156"/>
  </r>
  <r>
    <s v="DaVita Dialysis"/>
    <s v="80851 Highway 59"/>
    <s v="Stilwell"/>
    <s v="OK"/>
    <n v="0.89"/>
    <m/>
    <n v="7124"/>
    <m/>
    <s v=" "/>
    <m/>
    <s v=" "/>
    <m/>
    <m/>
    <m/>
    <m/>
    <s v=" "/>
    <s v=" "/>
    <x v="891"/>
    <x v="13"/>
    <s v="PH: Peranich &amp; Huffman"/>
    <x v="0"/>
    <s v="Individual"/>
    <m/>
    <m/>
    <n v="1706106"/>
    <s v=" "/>
    <s v=" "/>
    <n v="1706106"/>
    <s v=" "/>
    <s v=" "/>
    <s v="No"/>
    <d v="2017-04-15T00:00:00"/>
    <n v="133"/>
  </r>
  <r>
    <s v="DaVita Dialysis"/>
    <s v="111 Tarhe Trl"/>
    <s v="Upper Sandusky"/>
    <s v="OH"/>
    <n v="2.02"/>
    <n v="2006"/>
    <n v="5420"/>
    <n v="140920"/>
    <n v="26"/>
    <d v="2032-01-31T00:00:00"/>
    <n v="14.44657534246575"/>
    <s v="NN"/>
    <s v="10% every 5 years"/>
    <s v="3, 5yr"/>
    <n v="2400000"/>
    <n v="442.8044280442804"/>
    <n v="0.05871666666666667"/>
    <x v="892"/>
    <x v="724"/>
    <s v="Boulder"/>
    <x v="801"/>
    <s v="Individual"/>
    <s v="K. Zueger"/>
    <s v="Dayton Street Partners"/>
    <n v="2430000"/>
    <n v="0.0579917695473251"/>
    <n v="0.9876543209876543"/>
    <n v="2430000"/>
    <n v="0.0579917695473251"/>
    <n v="0.0007248971193415665"/>
    <s v="No"/>
    <d v="2017-04-19T00:00:00"/>
    <n v="127"/>
  </r>
  <r>
    <s v="DaVita Dialysis"/>
    <s v="1987 Candler Rd"/>
    <s v="Decatur"/>
    <s v="GA"/>
    <n v="2.11"/>
    <n v="1998"/>
    <n v="16270"/>
    <n v="129810.89831164"/>
    <n v="7.978543227513213"/>
    <d v="2027-03-31T00:00:00"/>
    <n v="9.605479452054794"/>
    <s v="NN"/>
    <s v="CPI annually"/>
    <s v="2, 5 yr"/>
    <n v="4000000"/>
    <n v="245.8512599877074"/>
    <n v="0.03245272457790999"/>
    <x v="892"/>
    <x v="768"/>
    <s v="M&amp;M; Johnson"/>
    <x v="267"/>
    <s v="Fund"/>
    <m/>
    <m/>
    <n v="4450000"/>
    <n v="0.0291709883846382"/>
    <n v="0.898876404494382"/>
    <n v="4450000"/>
    <n v="0.0291709883846382"/>
    <n v="0.003281736193271795"/>
    <s v="No"/>
    <d v="2017-05-16T00:00:00"/>
    <n v="100"/>
  </r>
  <r>
    <s v="Fresenius Medical Care"/>
    <s v="6826 Madison Ave"/>
    <s v="Indianapolis"/>
    <s v="IN"/>
    <n v="1.23"/>
    <n v="2017"/>
    <n v="11847"/>
    <n v="190252"/>
    <n v="16.05908668861315"/>
    <d v="2032-05-31T00:00:00"/>
    <n v="14.77808219178082"/>
    <s v="NN"/>
    <s v="1.017% annually"/>
    <s v="3, 5yr"/>
    <n v="3367292"/>
    <n v="284.2316198193636"/>
    <n v="0.05650000059394909"/>
    <x v="892"/>
    <x v="855"/>
    <s v="Baseline"/>
    <x v="803"/>
    <s v="Individual"/>
    <s v="M&amp;M; Glass"/>
    <s v="Alderson Commercial"/>
    <n v="3367292"/>
    <n v="0.05650000059394909"/>
    <n v="1"/>
    <n v="3367292"/>
    <n v="0.05650000059394909"/>
    <n v="0"/>
    <s v="No"/>
    <d v="2017-04-03T00:00:00"/>
    <n v="143"/>
  </r>
  <r>
    <s v="DaVita Dialysis"/>
    <s v="513 W Elm St"/>
    <s v="Wrightsville"/>
    <s v="GA"/>
    <n v="2.22"/>
    <n v="2002"/>
    <n v="4230"/>
    <n v="77784"/>
    <n v="18.3886524822695"/>
    <d v="2022-05-03T00:00:00"/>
    <n v="4.715068493150685"/>
    <s v="NN"/>
    <s v="10% at each option"/>
    <s v="2, 5yr"/>
    <n v="700000"/>
    <n v="165.4846335697399"/>
    <n v="0.11112"/>
    <x v="893"/>
    <x v="13"/>
    <m/>
    <x v="0"/>
    <s v="Individual"/>
    <m/>
    <m/>
    <n v="840908"/>
    <n v="0.09250001189190732"/>
    <n v="0.8324335123461781"/>
    <n v="777840"/>
    <n v="0.1"/>
    <n v="0.01111999999999999"/>
    <s v="Yes"/>
    <d v="2017-02-17T00:00:00"/>
    <n v="180"/>
  </r>
  <r>
    <s v="DaVita Dialysis"/>
    <s v="9223 S Taft St"/>
    <s v="Merrillville"/>
    <s v="IN"/>
    <n v="1.32"/>
    <n v="2002"/>
    <n v="6802"/>
    <n v="148056"/>
    <n v="21.76653925316084"/>
    <d v="2024-12-31T00:00:00"/>
    <n v="7.386301369863014"/>
    <s v="NN"/>
    <s v="10% every 5"/>
    <s v="3, 5 yr"/>
    <n v="1990000"/>
    <n v="292.5610114672155"/>
    <n v="0.07439999999999999"/>
    <x v="894"/>
    <x v="923"/>
    <s v="M&amp;M; Patton"/>
    <x v="267"/>
    <s v="Fund"/>
    <s v="M&amp;M; Rowlett"/>
    <m/>
    <m/>
    <s v=" "/>
    <s v=" "/>
    <m/>
    <s v=" "/>
    <s v=" "/>
    <s v=" "/>
    <m/>
    <s v=" "/>
  </r>
  <r>
    <s v="Fresenius Medical Care"/>
    <s v="14786 S 77 Hwy"/>
    <s v="Mammoth"/>
    <s v="AZ"/>
    <n v="1.65"/>
    <n v="2002"/>
    <n v="5940"/>
    <n v="101002.2"/>
    <n v="17.00373737373737"/>
    <d v="2022-11-30T00:00:00"/>
    <n v="5.306849315068493"/>
    <s v="NN"/>
    <s v="3% in 2018; FMV at each option"/>
    <s v="2, 5yr"/>
    <n v="1010000"/>
    <n v="170.03367003367"/>
    <n v="0.1000021782178218"/>
    <x v="895"/>
    <x v="924"/>
    <s v="Matthews; Hoover &amp; Matthews"/>
    <x v="804"/>
    <s v="Individual"/>
    <s v="Colin Maxwell"/>
    <m/>
    <n v="1122246"/>
    <n v="0.09000005346421372"/>
    <n v="0.8999809310971035"/>
    <n v="1122246"/>
    <n v="0.09000005346421372"/>
    <n v="0.01000212475360807"/>
    <s v="No"/>
    <d v="2017-03-23T00:00:00"/>
    <n v="141"/>
  </r>
  <r>
    <s v="Fresenius Medical Care"/>
    <s v="1200 E Lake Silver Dr"/>
    <s v="Winter Haven"/>
    <s v="FL"/>
    <n v="1.49"/>
    <n v="2017"/>
    <n v="11187"/>
    <m/>
    <s v=" "/>
    <d v="2032-03-31T00:00:00"/>
    <n v="14.64657534246575"/>
    <s v="NN"/>
    <s v="1.7% annually; 10% at each option"/>
    <s v="3, 5yr"/>
    <n v="6105385"/>
    <n v="545.7571288102262"/>
    <s v=" "/>
    <x v="895"/>
    <x v="494"/>
    <s v="C&amp;W; Trautvetter"/>
    <x v="772"/>
    <s v="Individual"/>
    <s v="Laurence Liebowitz"/>
    <s v="MDG Development Group, LLC"/>
    <n v="6205607"/>
    <s v=" "/>
    <n v="0.9838497668318344"/>
    <n v="6205607"/>
    <s v=" "/>
    <s v=" "/>
    <s v="No"/>
    <d v="2017-04-24T00:00:00"/>
    <n v="109"/>
  </r>
  <r>
    <s v="Fresenius Medical Care"/>
    <s v="121 S Orem Blvd"/>
    <s v="Orem"/>
    <s v="UT"/>
    <n v="2.208471"/>
    <n v="2017"/>
    <n v="9663"/>
    <n v="375755"/>
    <n v="38.88595674221256"/>
    <d v="2032-07-31T00:00:00"/>
    <n v="14.98356164383562"/>
    <s v="NN"/>
    <s v="1.7% annually"/>
    <s v="3, 5yr"/>
    <n v="6616791"/>
    <n v="684.7553554796647"/>
    <n v="0.05678810166438686"/>
    <x v="896"/>
    <x v="100"/>
    <s v="C&amp;W; Patel"/>
    <x v="805"/>
    <s v="Individual"/>
    <s v="Colliers; Nielsoen"/>
    <m/>
    <n v="6831927"/>
    <n v="0.05499985582398641"/>
    <n v="0.9685102021728277"/>
    <n v="6832927"/>
    <n v="0.05499180658596235"/>
    <n v="0.001796295078424506"/>
    <s v="Yes"/>
    <d v="2017-02-08T00:00:00"/>
    <n v="183"/>
  </r>
  <r>
    <s v="11717 Euclid Avenue"/>
    <s v="11717 Euclid Ave"/>
    <s v="Cleveland"/>
    <s v="OH"/>
    <n v="1.893113"/>
    <n v="1963"/>
    <n v="43105"/>
    <m/>
    <s v=" "/>
    <m/>
    <s v=" "/>
    <m/>
    <m/>
    <m/>
    <n v="3075000"/>
    <n v="71.33743185245331"/>
    <s v=" "/>
    <x v="897"/>
    <x v="925"/>
    <m/>
    <x v="806"/>
    <s v="Individual"/>
    <m/>
    <m/>
    <m/>
    <s v=" "/>
    <s v=" "/>
    <m/>
    <s v=" "/>
    <s v=" "/>
    <s v=" "/>
    <m/>
    <s v=" "/>
  </r>
  <r>
    <s v="Fresenius Medical Care"/>
    <s v="110 S Park Dr"/>
    <s v="Brownwood"/>
    <s v="TX"/>
    <n v="2.4"/>
    <n v="2007"/>
    <n v="11089"/>
    <n v="170000"/>
    <n v="15.33050771034358"/>
    <d v="2032-06-30T00:00:00"/>
    <n v="14.91780821917808"/>
    <s v="NN"/>
    <s v="1.7% annually"/>
    <s v="3, 5yr"/>
    <n v="2740000"/>
    <n v="247.0917125078907"/>
    <n v="0.06204379562043796"/>
    <x v="898"/>
    <x v="926"/>
    <s v="PH: Peranich &amp; Huffman"/>
    <x v="398"/>
    <s v="Individual"/>
    <m/>
    <m/>
    <m/>
    <s v=" "/>
    <s v=" "/>
    <m/>
    <s v=" "/>
    <s v=" "/>
    <s v=" "/>
    <d v="2016-12-06T00:00:00"/>
    <n v="240"/>
  </r>
  <r>
    <s v="DaVita Dialysis"/>
    <s v="6018 Parkway Dr"/>
    <s v="Corpus Christi"/>
    <s v="TX"/>
    <n v="4.37"/>
    <n v="2017"/>
    <n v="9585"/>
    <n v="275000"/>
    <n v="28.69066249347939"/>
    <d v="2032-06-30T00:00:00"/>
    <n v="14.92328767123288"/>
    <s v="NN"/>
    <s v="10% every 5"/>
    <s v="2, 5yr"/>
    <n v="4984055"/>
    <n v="519.9848721961398"/>
    <n v="0.05517595612407969"/>
    <x v="899"/>
    <x v="167"/>
    <s v="C&amp;W; Patel"/>
    <x v="807"/>
    <s v="Individual"/>
    <s v="SRS; Frazer"/>
    <s v="Palestra Properties"/>
    <m/>
    <s v=" "/>
    <s v=" "/>
    <m/>
    <s v=" "/>
    <s v=" "/>
    <s v=" "/>
    <m/>
    <s v=" "/>
  </r>
  <r>
    <s v="Fresenius Medical Care"/>
    <s v="1338 E Sunset Dr"/>
    <s v="Monroe"/>
    <s v="NC"/>
    <n v="1.71"/>
    <n v="2000"/>
    <n v="16160"/>
    <n v="237155"/>
    <n v="14.67543316831683"/>
    <d v="2024-09-30T00:00:00"/>
    <n v="7.16986301369863"/>
    <s v="NN"/>
    <s v="1.7% annually"/>
    <s v="3, 5 yr"/>
    <n v="3100000"/>
    <n v="191.8316831683168"/>
    <n v="0.07650161290322581"/>
    <x v="899"/>
    <x v="927"/>
    <s v="Flagship Healthcare"/>
    <x v="267"/>
    <s v="Fund"/>
    <m/>
    <m/>
    <n v="3400000"/>
    <n v="0.06975147058823529"/>
    <n v="0.9117647058823529"/>
    <n v="3400000"/>
    <n v="0.06975147058823529"/>
    <n v="0.00675014231499052"/>
    <s v="No"/>
    <d v="2017-05-30T00:00:00"/>
    <n v="63"/>
  </r>
  <r>
    <s v="DaVita Dialysis"/>
    <s v="1900 Outlet Center Dr"/>
    <s v="Oxnard"/>
    <s v="CA"/>
    <n v="0.19"/>
    <n v="2006"/>
    <n v="7830"/>
    <n v="159072"/>
    <n v="20.31570881226054"/>
    <d v="2027-07-31T00:00:00"/>
    <n v="10.01369863013699"/>
    <s v="Modified Gross"/>
    <s v="10% in 2022; FMV at each option"/>
    <s v="3, 5yr"/>
    <n v="3060000"/>
    <n v="390.8045977011494"/>
    <n v="0.05198431372549019"/>
    <x v="900"/>
    <x v="928"/>
    <s v="Matthews; Moreno"/>
    <x v="808"/>
    <s v="Individual"/>
    <s v="CBRE; Poutier"/>
    <s v="Martin Teitlebaum"/>
    <n v="3095388"/>
    <n v="0.05139000345029444"/>
    <n v="0.9885675075305583"/>
    <n v="3095388"/>
    <n v="0.05139000345029444"/>
    <n v="0.0005943102751957557"/>
    <s v="No"/>
    <d v="2017-05-11T00:00:00"/>
    <n v="78"/>
  </r>
  <r>
    <s v="Fresenius Medical Care"/>
    <s v="204 Ross Blvd"/>
    <s v="Dodge City"/>
    <s v="KS"/>
    <n v="0.46"/>
    <n v="2000"/>
    <n v="4150"/>
    <n v="70051"/>
    <n v="16.87975903614458"/>
    <d v="2020-12-31T00:00:00"/>
    <n v="3.432876712328767"/>
    <s v="NN"/>
    <s v="Flat"/>
    <s v="2, 5yr"/>
    <n v="849103"/>
    <n v="204.6031325301205"/>
    <n v="0.08250000294428356"/>
    <x v="901"/>
    <x v="929"/>
    <s v="SRS; Carter | Rogers"/>
    <x v="809"/>
    <s v="Individual"/>
    <m/>
    <m/>
    <n v="849103"/>
    <n v="0.08250000294428356"/>
    <n v="1"/>
    <n v="849103"/>
    <n v="0.08250000294428356"/>
    <n v="0"/>
    <s v="No"/>
    <d v="2016-04-21T00:00:00"/>
    <n v="462"/>
  </r>
  <r>
    <s v="Fresenius Medical Care"/>
    <s v="3408 SE 29th St"/>
    <s v="Topeka"/>
    <s v="KS"/>
    <n v="1.03"/>
    <n v="2017"/>
    <n v="5220"/>
    <n v="174806.995"/>
    <n v="33.48793007662835"/>
    <d v="2031-09-30T00:00:00"/>
    <n v="14.20547945205479"/>
    <s v="NN"/>
    <s v="1.7% annually"/>
    <s v="3, 5yr"/>
    <n v="3040000"/>
    <n v="582.3754789272031"/>
    <n v="0.0575023009868421"/>
    <x v="902"/>
    <x v="494"/>
    <s v="C&amp;W; Trautvetter"/>
    <x v="810"/>
    <s v="Individual"/>
    <s v="CIRE; Tomkins"/>
    <s v="MDG Development Group, LLC"/>
    <n v="3178309"/>
    <n v="0.055"/>
    <n v="0.9564834633762797"/>
    <n v="3178309"/>
    <n v="0.055"/>
    <n v="0.0025023009868421"/>
    <s v="No"/>
    <d v="2017-01-26T00:00:00"/>
    <n v="175"/>
  </r>
  <r>
    <s v="Fresenius Medical Care"/>
    <s v="1781 Santa Clara Dr"/>
    <s v="Roseville"/>
    <s v="CA"/>
    <n v="1.02"/>
    <n v="2017"/>
    <n v="7200"/>
    <n v="373120"/>
    <n v="51.82222222222222"/>
    <d v="2032-02-29T00:00:00"/>
    <n v="14.62191780821918"/>
    <s v="NN"/>
    <s v="1.7% annually"/>
    <s v="3, 5yr"/>
    <n v="6411000"/>
    <n v="890.4166666666666"/>
    <n v="0.05819996880361878"/>
    <x v="902"/>
    <x v="192"/>
    <m/>
    <x v="305"/>
    <s v="Fund"/>
    <s v="PG; Lesley"/>
    <s v="PCI | HealthDev"/>
    <m/>
    <s v=" "/>
    <s v=" "/>
    <m/>
    <s v=" "/>
    <s v=" "/>
    <s v=" "/>
    <m/>
    <s v=" "/>
  </r>
  <r>
    <s v="Fresenius Medical Care"/>
    <s v="15801 W Dodge"/>
    <s v="Omaha"/>
    <s v="NE"/>
    <n v="0.37"/>
    <n v="2017"/>
    <n v="6413"/>
    <m/>
    <s v=" "/>
    <d v="2032-04-29T00:00:00"/>
    <n v="14.78904109589041"/>
    <s v="NNN"/>
    <s v="1.7% yearly"/>
    <s v="3, 5yr"/>
    <n v="2361000"/>
    <n v="368.1584281927335"/>
    <s v=" "/>
    <x v="903"/>
    <x v="13"/>
    <s v="Paul Kerber"/>
    <x v="0"/>
    <s v="Individual"/>
    <m/>
    <m/>
    <n v="2480000"/>
    <s v=" "/>
    <n v="0.9520161290322581"/>
    <n v="2480000"/>
    <s v=" "/>
    <s v=" "/>
    <s v="No"/>
    <d v="2017-04-26T00:00:00"/>
    <n v="84"/>
  </r>
  <r>
    <s v="DaVita Dialysis"/>
    <s v="1424 E Whitmore Ave"/>
    <s v="Ceres"/>
    <s v="CA"/>
    <n v="1.3"/>
    <n v="2015"/>
    <n v="9066"/>
    <n v="251031.25"/>
    <n v="27.68930619898522"/>
    <d v="2031-03-31T00:00:00"/>
    <n v="13.71232876712329"/>
    <s v="NN"/>
    <s v="10% every 5"/>
    <s v="3, 5 yr"/>
    <n v="4016500"/>
    <n v="443.0288991837635"/>
    <n v="0.0625"/>
    <x v="904"/>
    <x v="930"/>
    <s v="PH: Peranich &amp; Huffman"/>
    <x v="305"/>
    <s v="Fund"/>
    <m/>
    <m/>
    <n v="4162500"/>
    <n v="0.0603078078078078"/>
    <n v="0.9649249249249249"/>
    <n v="4162500"/>
    <n v="0.0603078078078078"/>
    <n v="0.002192192192192195"/>
    <s v="No"/>
    <m/>
    <s v=" "/>
  </r>
  <r>
    <s v="Fresenius Medical Care"/>
    <s v="504-510 N MacArthur Ave"/>
    <s v="Panama City"/>
    <s v="FL"/>
    <n v="1.34"/>
    <n v="1985"/>
    <n v="14513"/>
    <n v="276345"/>
    <n v="19.04120443740095"/>
    <m/>
    <s v=" "/>
    <m/>
    <m/>
    <m/>
    <n v="3105000"/>
    <n v="213.946117274168"/>
    <n v="0.089"/>
    <x v="905"/>
    <x v="931"/>
    <s v="M&amp;M; James"/>
    <x v="811"/>
    <s v="Individual"/>
    <m/>
    <m/>
    <m/>
    <s v=" "/>
    <s v=" "/>
    <m/>
    <s v=" "/>
    <s v=" "/>
    <s v=" "/>
    <m/>
    <s v=" "/>
  </r>
  <r>
    <s v="DaVita Dialysis"/>
    <s v="56845 29 Palms Hwy"/>
    <s v="Yucca Valley"/>
    <s v="CA"/>
    <n v="1.57"/>
    <n v="1971"/>
    <n v="19500"/>
    <n v="277000"/>
    <n v="14.2051282051282"/>
    <d v="2031-11-30T00:00:00"/>
    <n v="14.38904109589041"/>
    <s v="NN"/>
    <s v="10% every 5 years"/>
    <s v="2, 5yr"/>
    <n v="5000000"/>
    <n v="256.4102564102564"/>
    <n v="0.0554"/>
    <x v="905"/>
    <x v="66"/>
    <s v="M&amp;M; Cook"/>
    <x v="812"/>
    <s v="Individual"/>
    <s v="Newmark; Dowd"/>
    <m/>
    <n v="5038800"/>
    <n v="0.05497340636659522"/>
    <n v="0.9922997539096611"/>
    <n v="5038800"/>
    <n v="0.05497340636659522"/>
    <n v="0.000426593633404776"/>
    <s v="No"/>
    <d v="2016-11-16T00:00:00"/>
    <n v="240"/>
  </r>
  <r>
    <s v="Fresenius Medical Care"/>
    <s v="390 E Penn Dr"/>
    <s v="Enola"/>
    <s v="PA"/>
    <n v="1"/>
    <n v="1999"/>
    <n v="5139"/>
    <n v="125000"/>
    <n v="24.32379840435883"/>
    <d v="2031-08-31T00:00:00"/>
    <n v="14.15890410958904"/>
    <s v="NN"/>
    <s v="1.75% annually"/>
    <s v="2, 5yr"/>
    <n v="1926000"/>
    <n v="374.7810858143608"/>
    <n v="0.06490134994807892"/>
    <x v="906"/>
    <x v="932"/>
    <s v="Boulder"/>
    <x v="813"/>
    <s v="Individual"/>
    <s v="William Rothman"/>
    <s v="RSR Realtors"/>
    <n v="2000000"/>
    <n v="0.0625"/>
    <n v="0.963"/>
    <n v="2000000"/>
    <n v="0.0625"/>
    <n v="0.002401349948078918"/>
    <s v="No"/>
    <d v="2017-02-06T00:00:00"/>
    <n v="151"/>
  </r>
  <r>
    <s v="DaVita Dialysis"/>
    <s v="400 N Wiget Ln"/>
    <s v="Walnut Creek"/>
    <s v="CA"/>
    <n v="0.4"/>
    <n v="1978"/>
    <n v="15938"/>
    <n v="454656.6"/>
    <n v="28.52657798971013"/>
    <d v="2027-01-01T00:00:00"/>
    <n v="9.493150684931507"/>
    <s v="NN"/>
    <s v="-"/>
    <m/>
    <n v="7577610"/>
    <n v="475.4429664951688"/>
    <n v="0.06"/>
    <x v="906"/>
    <x v="933"/>
    <s v="Lee"/>
    <x v="814"/>
    <s v="Individual"/>
    <s v="CP"/>
    <m/>
    <m/>
    <s v=" "/>
    <s v=" "/>
    <m/>
    <s v=" "/>
    <s v=" "/>
    <s v=" "/>
    <m/>
    <s v=" "/>
  </r>
  <r>
    <s v="DaVita Dialysis"/>
    <s v="618 E Court St"/>
    <s v="Seguin"/>
    <s v="TX"/>
    <n v="0.71"/>
    <n v="2011"/>
    <n v="7242"/>
    <n v="155980"/>
    <n v="21.53824910245789"/>
    <d v="2027-07-31T00:00:00"/>
    <n v="10.07397260273973"/>
    <s v="NN"/>
    <s v="2% annually"/>
    <s v="3, 5yr"/>
    <n v="2200000"/>
    <n v="303.7834852250759"/>
    <n v="0.0709"/>
    <x v="907"/>
    <x v="934"/>
    <s v="M&amp;M; Ryan"/>
    <x v="267"/>
    <s v="Fund"/>
    <m/>
    <s v="RK Hoover"/>
    <m/>
    <s v=" "/>
    <s v=" "/>
    <m/>
    <s v=" "/>
    <s v=" "/>
    <s v=" "/>
    <m/>
    <s v=" "/>
  </r>
  <r>
    <s v="Fresenius Medical Care"/>
    <s v="8840 Tyler Blvd"/>
    <s v="Mentor"/>
    <s v="OH"/>
    <n v="1.75"/>
    <n v="2012"/>
    <n v="9204"/>
    <n v="164414.192808528"/>
    <n v="17.86334124386441"/>
    <d v="2027-07-31T00:00:00"/>
    <n v="10.07671232876712"/>
    <s v="NN"/>
    <s v="2% annually"/>
    <s v="3, 5 yr"/>
    <n v="2170000"/>
    <n v="235.7670578009561"/>
    <n v="0.07576690912835392"/>
    <x v="908"/>
    <x v="935"/>
    <m/>
    <x v="267"/>
    <s v="Fund"/>
    <m/>
    <m/>
    <m/>
    <s v=" "/>
    <s v=" "/>
    <m/>
    <s v=" "/>
    <s v=" "/>
    <s v=" "/>
    <m/>
    <s v=" "/>
  </r>
  <r>
    <s v="DaVita Dialysis"/>
    <s v="894 E Hardt St"/>
    <s v="San Bernardino"/>
    <s v="CA"/>
    <m/>
    <m/>
    <n v="17600"/>
    <n v="215140"/>
    <n v="12.22386363636364"/>
    <m/>
    <s v=" "/>
    <m/>
    <m/>
    <m/>
    <n v="3470000"/>
    <n v="197.1590909090909"/>
    <n v="0.062"/>
    <x v="909"/>
    <x v="936"/>
    <s v="SIG"/>
    <x v="815"/>
    <s v="Individual"/>
    <m/>
    <m/>
    <m/>
    <s v=" "/>
    <s v=" "/>
    <m/>
    <s v=" "/>
    <s v=" "/>
    <s v=" "/>
    <m/>
    <s v=" "/>
  </r>
  <r>
    <s v="320 Gideon Creek Way"/>
    <s v="320 Gideon Creek Way"/>
    <s v="Raleigh"/>
    <s v="NC"/>
    <n v="2.919995"/>
    <n v="2004"/>
    <n v="18802"/>
    <m/>
    <s v=" "/>
    <m/>
    <s v=" "/>
    <m/>
    <m/>
    <m/>
    <n v="4513000"/>
    <n v="240.0276566322732"/>
    <s v=" "/>
    <x v="910"/>
    <x v="937"/>
    <m/>
    <x v="816"/>
    <s v="Individual"/>
    <m/>
    <m/>
    <m/>
    <s v=" "/>
    <s v=" "/>
    <m/>
    <s v=" "/>
    <s v=" "/>
    <s v=" "/>
    <m/>
    <s v=" "/>
  </r>
  <r>
    <s v="Fresenius Medical Care"/>
    <s v="1061 Husband Rd"/>
    <s v="Paducah"/>
    <s v="KY"/>
    <n v="0.6899999999999999"/>
    <n v="2002"/>
    <n v="5682"/>
    <n v="153222.5"/>
    <n v="26.96629707849349"/>
    <d v="2022-09-30T00:00:00"/>
    <n v="5.257534246575342"/>
    <s v="NN"/>
    <s v="CPI annually"/>
    <s v="2, 5yr"/>
    <n v="1835000"/>
    <n v="322.9496656107004"/>
    <n v="0.0835"/>
    <x v="910"/>
    <x v="938"/>
    <s v="Matthews; Moreno"/>
    <x v="817"/>
    <s v="Individual"/>
    <m/>
    <m/>
    <n v="1996000"/>
    <n v="0.07676477955911824"/>
    <n v="0.9193386773547094"/>
    <n v="1996000"/>
    <n v="0.07676477955911824"/>
    <n v="0.006735220440881762"/>
    <s v="No"/>
    <d v="2016-11-03T00:00:00"/>
    <n v="238"/>
  </r>
  <r>
    <s v="DaVita Dialysis"/>
    <s v="504 6th Avenue"/>
    <s v="Terre Haute"/>
    <s v="IN"/>
    <n v="1.5"/>
    <n v="2016"/>
    <n v="6650"/>
    <n v="212235"/>
    <n v="31.91503759398496"/>
    <d v="2032-01-08T00:00:00"/>
    <n v="14.53698630136986"/>
    <s v="NN"/>
    <s v="10% every 5"/>
    <s v="2, 5 yr"/>
    <n v="3728888"/>
    <n v="560.735037593985"/>
    <n v="0.05691643192286816"/>
    <x v="910"/>
    <x v="66"/>
    <s v="SJC; Briggs"/>
    <x v="452"/>
    <s v="Individual"/>
    <m/>
    <m/>
    <n v="3858818"/>
    <n v="0.05500000259146713"/>
    <n v="0.9663290676056762"/>
    <n v="3858818"/>
    <n v="0.05500000259146713"/>
    <n v="0.001916429331401029"/>
    <s v="No"/>
    <d v="2017-04-24T00:00:00"/>
    <n v="66"/>
  </r>
  <r>
    <s v="Fresenius Medical Care"/>
    <s v="Portfolio of Three"/>
    <s v="Raleigh"/>
    <s v="NC"/>
    <n v="7.16"/>
    <n v="2004"/>
    <n v="47379"/>
    <m/>
    <s v=" "/>
    <m/>
    <s v=" "/>
    <m/>
    <m/>
    <m/>
    <n v="13486000"/>
    <n v="284.6408746491061"/>
    <s v=" "/>
    <x v="910"/>
    <x v="939"/>
    <m/>
    <x v="818"/>
    <s v="Individual"/>
    <m/>
    <m/>
    <m/>
    <s v=" "/>
    <s v=" "/>
    <m/>
    <s v=" "/>
    <s v=" "/>
    <s v=" "/>
    <m/>
    <s v=" "/>
  </r>
  <r>
    <s v="DaVita Dialysis"/>
    <s v="6116 Sports Village Rd"/>
    <s v="Frisco"/>
    <s v="TX"/>
    <n v="1.59"/>
    <n v="2015"/>
    <n v="8136"/>
    <n v="207468"/>
    <n v="25.5"/>
    <d v="2030-12-20T00:00:00"/>
    <n v="13.48767123287671"/>
    <s v="NN"/>
    <s v="2% annually"/>
    <s v="3, 5yr"/>
    <n v="3722000"/>
    <n v="457.4729596853491"/>
    <n v="0.05574099946265448"/>
    <x v="911"/>
    <x v="940"/>
    <s v="M&amp;M; Levy"/>
    <x v="819"/>
    <s v="Individual"/>
    <m/>
    <s v="Rochester Group"/>
    <n v="4149000"/>
    <n v="0.05000433839479393"/>
    <n v="0.8970836346107496"/>
    <n v="4149000"/>
    <n v="0.05000433839479393"/>
    <n v="0.005736661067860555"/>
    <s v="No"/>
    <d v="2016-12-15T00:00:00"/>
    <n v="195"/>
  </r>
  <r>
    <s v="3821 Masthead Street"/>
    <s v="3821 Masthead St"/>
    <s v="Albuquerque"/>
    <s v="NM"/>
    <n v="1.800207"/>
    <n v="2013"/>
    <n v="9875"/>
    <m/>
    <s v=" "/>
    <m/>
    <s v=" "/>
    <m/>
    <m/>
    <m/>
    <m/>
    <s v=" "/>
    <s v=" "/>
    <x v="911"/>
    <x v="941"/>
    <m/>
    <x v="820"/>
    <s v="Individual"/>
    <m/>
    <m/>
    <m/>
    <s v=" "/>
    <s v=" "/>
    <m/>
    <s v=" "/>
    <s v=" "/>
    <s v=" "/>
    <m/>
    <s v=" "/>
  </r>
  <r>
    <s v="DaVita Dialysis"/>
    <s v="4930 Paramount Blvd"/>
    <s v="Lakewood "/>
    <s v="CA"/>
    <n v="1.43"/>
    <n v="2001"/>
    <n v="17012"/>
    <n v="357252"/>
    <n v="21"/>
    <m/>
    <s v=" "/>
    <m/>
    <s v="2% annually"/>
    <s v="3, 5yr"/>
    <n v="7050000"/>
    <n v="414.4133552786269"/>
    <n v="0.05067404255319149"/>
    <x v="912"/>
    <x v="942"/>
    <s v="M&amp;M; Cutler"/>
    <x v="821"/>
    <s v="Individual"/>
    <m/>
    <m/>
    <n v="7000000"/>
    <n v="0.051036"/>
    <n v="1.007142857142857"/>
    <n v="7000000"/>
    <n v="0.051036"/>
    <n v="-0.0003619574468085099"/>
    <s v="No"/>
    <d v="2017-02-02T00:00:00"/>
    <n v="141"/>
  </r>
  <r>
    <s v="Fresenius Medical Care"/>
    <s v="2010 Wells Pond Ct"/>
    <s v="Orange Park"/>
    <s v="FL"/>
    <n v="1.28"/>
    <n v="2016"/>
    <n v="7232"/>
    <n v="289025"/>
    <n v="39.96474004424779"/>
    <d v="2031-07-01T00:00:00"/>
    <n v="14.03287671232877"/>
    <s v="NN"/>
    <s v="1.7% annually"/>
    <s v="3, 5yr"/>
    <n v="4650000"/>
    <n v="642.9756637168142"/>
    <n v="0.06215591397849463"/>
    <x v="913"/>
    <x v="494"/>
    <s v="C&amp;W; Trautvetter"/>
    <x v="35"/>
    <s v="REIT"/>
    <m/>
    <s v="MDG Development Group, LLC"/>
    <n v="5255000"/>
    <n v="0.055"/>
    <n v="0.884871550903901"/>
    <n v="5255000"/>
    <n v="0.055"/>
    <n v="0.007155913978494625"/>
    <s v="No"/>
    <d v="2016-10-04T00:00:00"/>
    <n v="261"/>
  </r>
  <r>
    <s v="DaVita Dialysis"/>
    <s v="5819 US Hwy 90"/>
    <s v="Milton"/>
    <s v="FL"/>
    <n v="0.46"/>
    <n v="1997"/>
    <n v="4379"/>
    <n v="58916"/>
    <n v="13.45421329070564"/>
    <d v="2022-06-30T00:00:00"/>
    <n v="5.024657534246575"/>
    <s v="Modified Gross"/>
    <s v="2% annually"/>
    <s v="1, 5yr"/>
    <n v="780000"/>
    <n v="178.1228591002512"/>
    <n v="0.07553333333333333"/>
    <x v="913"/>
    <x v="943"/>
    <s v="Matthews; Moreno"/>
    <x v="822"/>
    <s v="Individual"/>
    <m/>
    <m/>
    <n v="796162"/>
    <n v="0.07400001507230941"/>
    <n v="0.9797001112838845"/>
    <n v="796162"/>
    <n v="0.07400001507230941"/>
    <n v="0.001533318261023917"/>
    <s v="No"/>
    <m/>
    <s v=" "/>
  </r>
  <r>
    <s v="Fresenius Medical Care"/>
    <s v="65 Whitehall Dr"/>
    <s v="Saint Augustine"/>
    <s v="FL"/>
    <n v="1.62"/>
    <n v="2016"/>
    <n v="7107"/>
    <n v="261153"/>
    <n v="36.74588433938371"/>
    <d v="2032-03-01T00:00:00"/>
    <n v="14.7013698630137"/>
    <s v="NN"/>
    <s v="1.7% annually"/>
    <s v="3, 5yr"/>
    <n v="4650000"/>
    <n v="654.2845082313212"/>
    <n v="0.05616193548387097"/>
    <x v="913"/>
    <x v="494"/>
    <s v="C&amp;W; Trautvetter"/>
    <x v="823"/>
    <s v="Individual"/>
    <s v="Ryan O'Connell"/>
    <s v="MDG Development Group, LLC"/>
    <n v="4881364"/>
    <n v="0.05350000532638009"/>
    <n v="0.9526025922262712"/>
    <n v="4881364"/>
    <n v="0.05350000532638009"/>
    <n v="0.002661930157490881"/>
    <s v="No"/>
    <d v="2017-02-08T00:00:00"/>
    <n v="134"/>
  </r>
  <r>
    <s v="DaVita Dialysis"/>
    <s v="601 N 99th St"/>
    <s v="Wauwatosa"/>
    <s v="WI"/>
    <n v="7.55"/>
    <m/>
    <n v="38900"/>
    <m/>
    <s v=" "/>
    <m/>
    <s v=" "/>
    <m/>
    <m/>
    <m/>
    <n v="3500000"/>
    <n v="89.97429305912597"/>
    <s v=" "/>
    <x v="913"/>
    <x v="944"/>
    <m/>
    <x v="824"/>
    <s v="Individual"/>
    <m/>
    <m/>
    <m/>
    <s v=" "/>
    <s v=" "/>
    <m/>
    <s v=" "/>
    <s v=" "/>
    <s v=" "/>
    <m/>
    <s v=" "/>
  </r>
  <r>
    <s v="Fresenius Medical Care"/>
    <s v="2355 S Hamilton Rd"/>
    <s v="Columbus"/>
    <s v="OH"/>
    <n v="1.86"/>
    <n v="1989"/>
    <n v="11200"/>
    <n v="117820"/>
    <n v="10.51964285714286"/>
    <d v="2022-04-30T00:00:00"/>
    <n v="4.873972602739726"/>
    <s v="NN"/>
    <s v="Flat"/>
    <s v="2, 5yr"/>
    <n v="1720000"/>
    <n v="153.5714285714286"/>
    <n v="0.06850000000000001"/>
    <x v="914"/>
    <x v="945"/>
    <s v="Matthews; Moreno"/>
    <x v="825"/>
    <s v="Individual"/>
    <s v="M&amp;M; Terry Jacobs"/>
    <m/>
    <n v="1757664"/>
    <n v="0.06703215176507001"/>
    <n v="0.9785715586141606"/>
    <n v="1757664"/>
    <n v="0.06703215176507001"/>
    <n v="0.00146784823493"/>
    <s v="No"/>
    <d v="2017-02-27T00:00:00"/>
    <n v="109"/>
  </r>
  <r>
    <s v="Fresenius Medical Care"/>
    <s v="140 Highland Center Dr"/>
    <s v="Columbia"/>
    <s v="SC"/>
    <n v="0.8100000000000001"/>
    <n v="2014"/>
    <n v="9710"/>
    <n v="234110"/>
    <n v="24.11019567456231"/>
    <d v="2029-08-31T00:00:00"/>
    <n v="12.21917808219178"/>
    <s v="NN"/>
    <s v="2% annually"/>
    <s v="2, 5yr"/>
    <n v="3775000"/>
    <n v="388.7744593202884"/>
    <n v="0.0620158940397351"/>
    <x v="915"/>
    <x v="946"/>
    <s v="NAI; Logaker"/>
    <x v="826"/>
    <s v="Individual"/>
    <s v="SDA"/>
    <m/>
    <n v="4100000"/>
    <n v="0.0571"/>
    <n v="0.9207317073170732"/>
    <n v="4100000"/>
    <n v="0.0571"/>
    <n v="0.004915894039735101"/>
    <s v="No"/>
    <d v="2017-01-10T00:00:00"/>
    <n v="156"/>
  </r>
  <r>
    <s v="Fresenius Medical Care"/>
    <s v="12245 Rojas Dr"/>
    <s v="El Paso"/>
    <s v="TX"/>
    <n v="1.5"/>
    <n v="2006"/>
    <n v="9690"/>
    <m/>
    <s v=" "/>
    <d v="2024-09-30T00:00:00"/>
    <n v="7.301369863013699"/>
    <m/>
    <m/>
    <m/>
    <m/>
    <s v=" "/>
    <s v=" "/>
    <x v="916"/>
    <x v="947"/>
    <m/>
    <x v="267"/>
    <s v="Fund"/>
    <m/>
    <m/>
    <m/>
    <s v=" "/>
    <s v=" "/>
    <m/>
    <s v=" "/>
    <s v=" "/>
    <s v=" "/>
    <m/>
    <s v=" "/>
  </r>
  <r>
    <s v="Fresenius Medical Care"/>
    <s v="1061 Husband Rd"/>
    <s v="Farley"/>
    <s v="KY"/>
    <m/>
    <m/>
    <n v="5682"/>
    <m/>
    <s v=" "/>
    <m/>
    <s v=" "/>
    <m/>
    <m/>
    <m/>
    <n v="1835000"/>
    <n v="322.9496656107004"/>
    <s v=" "/>
    <x v="917"/>
    <x v="938"/>
    <s v="Matthews; "/>
    <x v="827"/>
    <s v="Individual"/>
    <m/>
    <m/>
    <m/>
    <s v=" "/>
    <s v=" "/>
    <m/>
    <s v=" "/>
    <s v=" "/>
    <s v=" "/>
    <m/>
    <s v=" "/>
  </r>
  <r>
    <s v="DaVita Dialysis"/>
    <s v="2443 Monarch"/>
    <s v="Laredo"/>
    <s v="TX"/>
    <m/>
    <m/>
    <n v="10525"/>
    <n v="221025"/>
    <n v="21"/>
    <d v="2032-06-30T00:00:00"/>
    <n v="15.09315068493151"/>
    <s v="NN"/>
    <m/>
    <m/>
    <n v="3500000"/>
    <n v="332.541567695962"/>
    <n v="0.06315"/>
    <x v="918"/>
    <x v="948"/>
    <s v="NAI; Uribe"/>
    <x v="828"/>
    <s v="Individual"/>
    <m/>
    <m/>
    <m/>
    <s v=" "/>
    <s v=" "/>
    <m/>
    <s v=" "/>
    <s v=" "/>
    <s v=" "/>
    <m/>
    <s v=" "/>
  </r>
  <r>
    <s v="Satellite Healthcare Dialysis "/>
    <s v="3330 Telegraph Ave"/>
    <s v="Oakland"/>
    <s v="CA"/>
    <n v="0.405"/>
    <n v="1970"/>
    <n v="9694"/>
    <n v="407969"/>
    <n v="42.0846915617908"/>
    <d v="2023-11-27T12:00:00"/>
    <n v="6.5"/>
    <m/>
    <m/>
    <m/>
    <n v="7085000"/>
    <n v="730.8644522384981"/>
    <n v="0.05758207480592802"/>
    <x v="919"/>
    <x v="949"/>
    <m/>
    <x v="829"/>
    <s v="Individual"/>
    <m/>
    <m/>
    <n v="7095000"/>
    <n v="0.05750091613812544"/>
    <n v="0.9985905567300916"/>
    <m/>
    <s v=" "/>
    <s v=" "/>
    <s v=" "/>
    <d v="2017-05-02T00:00:00"/>
    <n v="28"/>
  </r>
  <r>
    <s v="Fresenius Medical Care"/>
    <s v="1501 Santa Rosa Rd"/>
    <s v="Richmond"/>
    <s v="VA"/>
    <n v="1.07"/>
    <n v="2007"/>
    <n v="10300"/>
    <n v="201500"/>
    <n v="19.5631067961165"/>
    <d v="2022-09-30T00:00:00"/>
    <n v="5.358904109589041"/>
    <s v="NN"/>
    <s v="CPI annually"/>
    <s v="2, 5 yr"/>
    <n v="2700000"/>
    <n v="262.1359223300971"/>
    <n v="0.07462962962962963"/>
    <x v="920"/>
    <x v="950"/>
    <s v="C&amp;W; Levin"/>
    <x v="267"/>
    <s v="Fund"/>
    <m/>
    <m/>
    <n v="3100000"/>
    <n v="0.065"/>
    <n v="0.8709677419354839"/>
    <n v="3100000"/>
    <n v="0.065"/>
    <n v="0.009629629629629627"/>
    <s v="No"/>
    <m/>
    <s v=" "/>
  </r>
  <r>
    <s v="DaVita Dialysis"/>
    <s v="16910 Mathis Church Road"/>
    <s v="Houston"/>
    <s v="TX"/>
    <n v="2.5"/>
    <n v="2007"/>
    <n v="14450"/>
    <n v="281300"/>
    <n v="19.46712802768166"/>
    <d v="2024-07-31T00:00:00"/>
    <n v="7.202739726027398"/>
    <s v="NN"/>
    <s v="10% every 5"/>
    <s v="2, 5 yr"/>
    <n v="3657160"/>
    <n v="253.0906574394464"/>
    <n v="0.07691760819871157"/>
    <x v="921"/>
    <x v="951"/>
    <s v="Matthews; Moreno"/>
    <x v="626"/>
    <s v="Individual"/>
    <s v="J. Kuper"/>
    <m/>
    <n v="4018571.428571428"/>
    <n v="0.07000000000000001"/>
    <n v="0.9100646996089585"/>
    <n v="4018571.428571428"/>
    <n v="0.07000000000000001"/>
    <n v="0.006917608198711567"/>
    <s v="No"/>
    <d v="2016-06-01T00:00:00"/>
    <n v="353"/>
  </r>
  <r>
    <s v="DaVita Dialysis"/>
    <s v="2870 Bund Ave"/>
    <s v="New Port Richey"/>
    <s v="FL"/>
    <n v="1.02"/>
    <n v="2017"/>
    <n v="7000"/>
    <n v="139020"/>
    <n v="19.86"/>
    <d v="2032-05-01T00:00:00"/>
    <n v="14.96712328767123"/>
    <s v="NN"/>
    <s v="10% every 5 years"/>
    <s v="3, 5yr"/>
    <n v="2550825"/>
    <n v="364.4035714285714"/>
    <n v="0.05450001470112611"/>
    <x v="922"/>
    <x v="952"/>
    <s v="M&amp;M; Sambazis"/>
    <x v="830"/>
    <s v="Individual"/>
    <m/>
    <s v="JB Realty Partners"/>
    <n v="2648000"/>
    <n v="0.0525"/>
    <n v="0.96330249244713"/>
    <n v="2648000"/>
    <n v="0.0525"/>
    <n v="0.00200001470112611"/>
    <s v="No"/>
    <d v="2017-02-07T00:00:00"/>
    <n v="99"/>
  </r>
  <r>
    <s v="DaVita Dialysis"/>
    <s v="2624 Stockton Blvd"/>
    <s v="Sacramento"/>
    <s v="CA"/>
    <n v="0.99"/>
    <n v="2015"/>
    <n v="11000"/>
    <n v="299500"/>
    <n v="27.22727272727273"/>
    <d v="2030-09-30T00:00:00"/>
    <n v="13.38630136986301"/>
    <s v="NN"/>
    <s v="10% every 5 years"/>
    <s v="3, 5yr"/>
    <n v="5900000"/>
    <n v="536.3636363636364"/>
    <n v="0.05076271186440678"/>
    <x v="923"/>
    <x v="953"/>
    <s v="M&amp;M; Mansour"/>
    <x v="831"/>
    <s v="Individual"/>
    <s v="Grady Liu"/>
    <m/>
    <n v="5990000"/>
    <n v="0.05"/>
    <n v="0.9849749582637729"/>
    <n v="5990000"/>
    <n v="0.05"/>
    <n v="0.0007627118644067746"/>
    <s v="No"/>
    <d v="2016-02-17T00:00:00"/>
    <n v="453"/>
  </r>
  <r>
    <s v="DaVita Dialysis"/>
    <s v="9716 Jensen Dr"/>
    <s v="Houston"/>
    <s v="TX"/>
    <m/>
    <n v="2008"/>
    <n v="8690"/>
    <n v="185497.7186"/>
    <n v="21.34611261219793"/>
    <d v="2024-07-31T00:00:00"/>
    <n v="7.216438356164383"/>
    <s v="NN"/>
    <s v="10% every 5"/>
    <s v="2, 5 yr"/>
    <n v="2412194"/>
    <n v="277.5827387802071"/>
    <n v="0.0769"/>
    <x v="923"/>
    <x v="951"/>
    <s v="Matthews; Moreno"/>
    <x v="626"/>
    <s v="Individual"/>
    <s v="J. Kuper"/>
    <m/>
    <n v="2649967.408571428"/>
    <n v="0.07000000000000001"/>
    <n v="0.9102730819245776"/>
    <n v="2649967.408571428"/>
    <n v="0.07000000000000001"/>
    <n v="0.006899999999999989"/>
    <s v="No"/>
    <d v="2016-05-27T00:00:00"/>
    <n v="353"/>
  </r>
  <r>
    <s v="Houston DaVita Medical Office Portfolio 2017"/>
    <s v="1 of 2 properties"/>
    <m/>
    <m/>
    <m/>
    <m/>
    <n v="32028"/>
    <m/>
    <s v=" "/>
    <m/>
    <s v=" "/>
    <m/>
    <m/>
    <m/>
    <m/>
    <s v=" "/>
    <s v=" "/>
    <x v="923"/>
    <x v="951"/>
    <s v="Matthews; "/>
    <x v="626"/>
    <s v="Individual"/>
    <m/>
    <m/>
    <m/>
    <s v=" "/>
    <s v=" "/>
    <m/>
    <s v=" "/>
    <s v=" "/>
    <s v=" "/>
    <m/>
    <s v=" "/>
  </r>
  <r>
    <s v="Fresenius Medical Care"/>
    <s v="810 E Manning Ave"/>
    <s v="Reedley"/>
    <s v="CA"/>
    <n v="1.41"/>
    <n v="2016"/>
    <n v="8280"/>
    <n v="200480"/>
    <n v="24.21256038647343"/>
    <d v="2031-07-31T00:00:00"/>
    <n v="14.23013698630137"/>
    <s v="NN"/>
    <s v="1.7% annually"/>
    <s v="2, 5 yr"/>
    <n v="3580000"/>
    <n v="432.3671497584541"/>
    <n v="0.056"/>
    <x v="924"/>
    <x v="954"/>
    <s v="M&amp;M; Mansour"/>
    <x v="832"/>
    <s v="Individual"/>
    <s v="Grady Liu"/>
    <m/>
    <n v="3715000"/>
    <n v="0.0539650067294751"/>
    <n v="0.9636608344549125"/>
    <n v="3715000"/>
    <n v="0.0539650067294751"/>
    <n v="0.0020349932705249"/>
    <s v="No"/>
    <d v="2016-10-25T00:00:00"/>
    <n v="198"/>
  </r>
  <r>
    <s v="DaVita Dialysis"/>
    <s v="6406 Tupelo Dr"/>
    <s v="Citrus Heights"/>
    <s v="CA"/>
    <n v="0.72"/>
    <n v="1985"/>
    <n v="11370"/>
    <n v="204660"/>
    <n v="18"/>
    <d v="2023-12-31T00:00:00"/>
    <n v="6.646575342465753"/>
    <s v="NN"/>
    <s v="2.5% annually"/>
    <s v="2, 5yr"/>
    <n v="3425000"/>
    <n v="301.231310466139"/>
    <n v="0.05975474452554744"/>
    <x v="925"/>
    <x v="955"/>
    <s v="C&amp;W; Jay Patel"/>
    <x v="833"/>
    <s v="Individual"/>
    <s v="Voskanian"/>
    <m/>
    <n v="3468813"/>
    <n v="0.05900000951334073"/>
    <n v="0.9873694546232386"/>
    <n v="3468813"/>
    <n v="0.05900000951334073"/>
    <n v="0.0007547350122067142"/>
    <s v="No"/>
    <d v="2017-01-06T00:00:00"/>
    <n v="124"/>
  </r>
  <r>
    <s v="Fresenius Medical Care"/>
    <s v="2101 W Broadway St"/>
    <s v="Bolivar"/>
    <s v="MO"/>
    <n v="1.24"/>
    <n v="2017"/>
    <n v="8141"/>
    <n v="272316.45"/>
    <n v="33.45"/>
    <d v="2032-02-01T00:00:00"/>
    <n v="14.73972602739726"/>
    <s v="NN"/>
    <s v="1.7% annually"/>
    <s v="3, 5yr"/>
    <n v="4200000"/>
    <n v="515.9071367153912"/>
    <n v="0.06483725"/>
    <x v="925"/>
    <x v="192"/>
    <m/>
    <x v="193"/>
    <s v="Fund"/>
    <s v="PG; Lesley"/>
    <m/>
    <m/>
    <s v=" "/>
    <s v=" "/>
    <m/>
    <s v=" "/>
    <s v=" "/>
    <s v=" "/>
    <m/>
    <s v=" "/>
  </r>
  <r>
    <s v="DaVita Dialysis"/>
    <s v="412 El Camino Real"/>
    <s v="Mountain View"/>
    <s v="CA"/>
    <m/>
    <n v="2017"/>
    <n v="8426"/>
    <n v="299340"/>
    <n v="35.5257536197484"/>
    <m/>
    <s v=" "/>
    <m/>
    <m/>
    <m/>
    <n v="4989000"/>
    <n v="592.0958936624733"/>
    <n v="0.06"/>
    <x v="926"/>
    <x v="511"/>
    <s v="CBRE; Stache"/>
    <x v="834"/>
    <s v="Individual"/>
    <m/>
    <s v="Meridian Property Co."/>
    <m/>
    <s v=" "/>
    <s v=" "/>
    <m/>
    <s v=" "/>
    <s v=" "/>
    <s v=" "/>
    <m/>
    <s v=" "/>
  </r>
  <r>
    <s v="Fresenius Medical Care"/>
    <s v="4901 East Sam Houston Parkway South"/>
    <s v="Houston"/>
    <s v="TX"/>
    <n v="1.796"/>
    <n v="2016"/>
    <n v="11570"/>
    <n v="322964"/>
    <n v="27.91391529818496"/>
    <d v="2031-04-30T00:00:00"/>
    <n v="13.98356164383562"/>
    <s v="NN"/>
    <s v="10% during the primary term"/>
    <s v="3, 5 year"/>
    <n v="5630000"/>
    <n v="486.6032843560934"/>
    <n v="0.05736483126110124"/>
    <x v="926"/>
    <x v="956"/>
    <s v="SJC"/>
    <x v="305"/>
    <s v="Fund"/>
    <m/>
    <m/>
    <n v="5616765"/>
    <n v="0.05750000222548032"/>
    <n v="1.002356338568553"/>
    <n v="5616765"/>
    <n v="0.05750000222548032"/>
    <n v="-0.0001351709643790805"/>
    <s v="No"/>
    <m/>
    <s v=" "/>
  </r>
  <r>
    <s v="Fresenius Medical Care"/>
    <s v="4625 Center St"/>
    <s v="Deer Park"/>
    <s v="TX"/>
    <n v="1.06"/>
    <n v="2016"/>
    <n v="8334"/>
    <n v="220434.3"/>
    <n v="26.45"/>
    <d v="2031-05-01T00:00:00"/>
    <n v="13.98630136986301"/>
    <s v="NN"/>
    <s v="10% every 5"/>
    <s v="3, 5yr"/>
    <n v="3676650"/>
    <n v="441.1627069834413"/>
    <n v="0.05995520378605524"/>
    <x v="926"/>
    <x v="192"/>
    <m/>
    <x v="305"/>
    <s v="Fund"/>
    <m/>
    <m/>
    <m/>
    <s v=" "/>
    <s v=" "/>
    <m/>
    <s v=" "/>
    <s v=" "/>
    <s v=" "/>
    <m/>
    <s v=" "/>
  </r>
  <r>
    <s v="Fresenius Medical Care"/>
    <s v="4901 E Sam Houston Pkwy"/>
    <s v="Pasadena"/>
    <s v="TX"/>
    <m/>
    <n v="2016"/>
    <n v="11570"/>
    <m/>
    <s v=" "/>
    <m/>
    <s v=" "/>
    <m/>
    <m/>
    <m/>
    <n v="5670000"/>
    <n v="490.0605012964564"/>
    <s v=" "/>
    <x v="926"/>
    <x v="957"/>
    <s v="SJC"/>
    <x v="305"/>
    <s v="Fund"/>
    <m/>
    <m/>
    <m/>
    <s v=" "/>
    <s v=" "/>
    <m/>
    <s v=" "/>
    <s v=" "/>
    <s v=" "/>
    <m/>
    <s v=" "/>
  </r>
  <r>
    <s v="DaVita Dialysis"/>
    <s v="1427 S Glendale Ave"/>
    <s v="Glendale"/>
    <s v="CA"/>
    <n v="0.59"/>
    <n v="1956"/>
    <n v="9669"/>
    <n v="330130.35"/>
    <n v="34.14317406143345"/>
    <d v="2023-08-31T00:00:00"/>
    <n v="6.331506849315068"/>
    <s v="NN"/>
    <s v="10% every 5 years"/>
    <s v="3, 5 yr"/>
    <n v="6385500"/>
    <n v="660.4095563139932"/>
    <n v="0.0517"/>
    <x v="927"/>
    <x v="958"/>
    <s v="C&amp;W; Patel"/>
    <x v="835"/>
    <s v="Individual"/>
    <m/>
    <m/>
    <n v="6599670"/>
    <n v="0.05002225111255564"/>
    <n v="0.9675483774188709"/>
    <n v="6599500"/>
    <n v="0.05002353966209562"/>
    <n v="0.001676460337904383"/>
    <s v="Yes"/>
    <d v="2017-01-25T00:00:00"/>
    <n v="98"/>
  </r>
  <r>
    <s v="DaVita - Portfolio of 3"/>
    <s v="1203 N Central Ave"/>
    <s v="Kissimmee"/>
    <s v="FL"/>
    <s v="1.53"/>
    <n v="2013"/>
    <n v="12000"/>
    <m/>
    <s v=" "/>
    <d v="2022-08-19T12:00:00"/>
    <n v="5.3"/>
    <m/>
    <m/>
    <m/>
    <n v="1318367"/>
    <n v="109.8639166666667"/>
    <s v=" "/>
    <x v="927"/>
    <x v="959"/>
    <m/>
    <x v="836"/>
    <s v="Individual"/>
    <m/>
    <m/>
    <n v="4500000"/>
    <s v=" "/>
    <n v="0.2929704444444444"/>
    <m/>
    <s v=" "/>
    <s v=" "/>
    <s v=" "/>
    <d v="2016-11-29T00:00:00"/>
    <n v="155"/>
  </r>
  <r>
    <s v="Fresenius Medical Care"/>
    <s v="2101 W Broadway St"/>
    <s v="Bolivar"/>
    <s v="MO"/>
    <n v="1.24"/>
    <n v="2017"/>
    <n v="8141"/>
    <n v="272316.45"/>
    <n v="33.45"/>
    <d v="2032-02-01T00:00:00"/>
    <n v="14.76438356164384"/>
    <s v="NN"/>
    <s v="1.7% annually"/>
    <s v="3, 5yr"/>
    <n v="4004064"/>
    <n v="491.8393317774229"/>
    <n v="0.06801001432544534"/>
    <x v="928"/>
    <x v="499"/>
    <m/>
    <x v="305"/>
    <s v="Fund"/>
    <m/>
    <m/>
    <m/>
    <s v=" "/>
    <s v=" "/>
    <m/>
    <s v=" "/>
    <s v=" "/>
    <s v=" "/>
    <m/>
    <s v=" "/>
  </r>
  <r>
    <s v="DaVita Dialysis"/>
    <s v="213-221 Sterling Farm Dr"/>
    <s v="Jackson"/>
    <s v="TN"/>
    <n v="2.61"/>
    <n v="2009"/>
    <n v="18437"/>
    <n v="421040"/>
    <n v="22.83668709659923"/>
    <d v="2026-01-31T00:00:00"/>
    <n v="8.767123287671232"/>
    <s v="NN"/>
    <s v="2% annually"/>
    <s v="2, 5yr"/>
    <n v="5350000"/>
    <n v="290.1773607419862"/>
    <n v="0.07869906542056075"/>
    <x v="929"/>
    <x v="960"/>
    <s v="PH: Peranich &amp; Huffman"/>
    <x v="267"/>
    <s v="Fund"/>
    <m/>
    <m/>
    <n v="5540000"/>
    <n v="0.076"/>
    <n v="0.9657039711191335"/>
    <n v="5540000"/>
    <n v="0.076"/>
    <n v="0.002699065420560753"/>
    <s v="No"/>
    <d v="2017-02-17T00:00:00"/>
    <n v="70"/>
  </r>
  <r>
    <s v="Liberty Dialysis"/>
    <s v="4494 W Broad St"/>
    <s v="Columbus"/>
    <s v="OH"/>
    <n v="0.8510101"/>
    <n v="2015"/>
    <n v="14650"/>
    <m/>
    <s v=" "/>
    <m/>
    <s v=" "/>
    <m/>
    <m/>
    <m/>
    <n v="2690000"/>
    <n v="183.617747440273"/>
    <s v=" "/>
    <x v="929"/>
    <x v="961"/>
    <m/>
    <x v="837"/>
    <s v="Individual"/>
    <m/>
    <m/>
    <m/>
    <s v=" "/>
    <s v=" "/>
    <m/>
    <s v=" "/>
    <s v=" "/>
    <s v=" "/>
    <m/>
    <s v=" "/>
  </r>
  <r>
    <s v="DaVita Dialysis"/>
    <s v="109 Greenland Dr"/>
    <s v="Goose Creek"/>
    <s v="SC"/>
    <n v="1.16"/>
    <n v="2004"/>
    <n v="7600"/>
    <n v="310080"/>
    <n v="40.8"/>
    <d v="2025-09-30T00:00:00"/>
    <n v="8.435616438356165"/>
    <s v="NN"/>
    <s v="Flat"/>
    <s v="2, 5yr"/>
    <n v="3876000"/>
    <n v="510"/>
    <n v="0.08"/>
    <x v="930"/>
    <x v="962"/>
    <s v="PH: Peranich &amp; Huffman"/>
    <x v="267"/>
    <s v="Fund"/>
    <m/>
    <m/>
    <n v="4248000"/>
    <n v="0.07299435028248588"/>
    <n v="0.9124293785310734"/>
    <n v="4248000"/>
    <n v="0.07299435028248588"/>
    <n v="0.00700564971751412"/>
    <s v="No"/>
    <d v="2016-11-02T00:00:00"/>
    <n v="175"/>
  </r>
  <r>
    <s v="DaVita Dialysis"/>
    <s v="3801 Faber Pl Dr"/>
    <s v="North Charleston"/>
    <s v="SC"/>
    <n v="1.3"/>
    <n v="2004"/>
    <n v="7233"/>
    <n v="310080"/>
    <n v="42.87017834923268"/>
    <d v="2025-09-30T00:00:00"/>
    <n v="8.435616438356165"/>
    <s v="NN"/>
    <s v="Flat"/>
    <s v="2, 5yr"/>
    <n v="3876000"/>
    <n v="535.8772293654085"/>
    <n v="0.08"/>
    <x v="930"/>
    <x v="962"/>
    <s v="PH: Peranich &amp; Huffman"/>
    <x v="267"/>
    <s v="Fund"/>
    <m/>
    <m/>
    <n v="4248000"/>
    <n v="0.07299435028248588"/>
    <n v="0.9124293785310734"/>
    <n v="4248000"/>
    <n v="0.07299435028248588"/>
    <n v="0.00700564971751412"/>
    <s v="No"/>
    <d v="2016-11-02T00:00:00"/>
    <n v="175"/>
  </r>
  <r>
    <s v="DaVita Dialysis"/>
    <s v="3801 Faber Pl Dr"/>
    <s v="North Charleston"/>
    <s v="NC"/>
    <n v="1.3"/>
    <n v="2004"/>
    <n v="7233"/>
    <n v="310080"/>
    <n v="42.87017834923268"/>
    <m/>
    <s v=" "/>
    <m/>
    <m/>
    <m/>
    <n v="3876000"/>
    <n v="535.8772293654085"/>
    <n v="0.08"/>
    <x v="930"/>
    <x v="962"/>
    <s v="PH: Peranich &amp; Huffman"/>
    <x v="267"/>
    <s v="Fund"/>
    <m/>
    <m/>
    <n v="4248000"/>
    <n v="0.07299435028248588"/>
    <n v="0.9124293785310734"/>
    <n v="4248000"/>
    <n v="0.07299435028248588"/>
    <n v="0.00700564971751412"/>
    <s v="No"/>
    <d v="2016-11-02T00:00:00"/>
    <n v="175"/>
  </r>
  <r>
    <s v="DaVita Dialysis"/>
    <s v="Portfolio of Two"/>
    <m/>
    <s v="AL"/>
    <n v="1.12"/>
    <m/>
    <n v="11466"/>
    <n v="203474.4105"/>
    <n v="17.74589311878598"/>
    <m/>
    <s v=" "/>
    <m/>
    <m/>
    <m/>
    <n v="2611995"/>
    <n v="227.8035060177917"/>
    <n v="0.0779"/>
    <x v="931"/>
    <x v="963"/>
    <s v="M&amp;M; Cook"/>
    <x v="838"/>
    <s v="Individual"/>
    <m/>
    <m/>
    <n v="2718000"/>
    <n v="0.07486181401766004"/>
    <n v="0.9609988962472407"/>
    <n v="2718000"/>
    <n v="0.07486181401766004"/>
    <n v="0.003038185982339958"/>
    <s v="No"/>
    <d v="2016-05-25T00:00:00"/>
    <n v="334"/>
  </r>
  <r>
    <s v="Fresenius Medical Care"/>
    <s v="2501 Ohio Avenue"/>
    <s v="Ft. Pierce"/>
    <s v="FL"/>
    <n v="0.87"/>
    <n v="2000"/>
    <n v="7955"/>
    <n v="143190"/>
    <n v="18"/>
    <d v="2024-06-30T00:00:00"/>
    <n v="7.197260273972603"/>
    <s v="NN"/>
    <s v="2.5% annually"/>
    <s v="1, 5 year option"/>
    <n v="2091021"/>
    <n v="262.8561910747957"/>
    <n v="0.06847850882415815"/>
    <x v="932"/>
    <x v="964"/>
    <s v="SJC"/>
    <x v="839"/>
    <s v="Individual"/>
    <s v="Matthews; Ivankovich"/>
    <m/>
    <n v="2122000"/>
    <n v="0.06747879359095194"/>
    <n v="0.9854010367577757"/>
    <n v="2122000"/>
    <n v="0.06747879359095194"/>
    <n v="0.0009997152332062165"/>
    <s v="No"/>
    <m/>
    <s v=" "/>
  </r>
  <r>
    <s v="Fresenius Medical Care"/>
    <s v="2501 Ohio Ave"/>
    <s v="Fort Pierce"/>
    <s v="FL"/>
    <m/>
    <n v="2000"/>
    <n v="7820"/>
    <m/>
    <s v=" "/>
    <m/>
    <s v=" "/>
    <m/>
    <m/>
    <m/>
    <n v="2091021"/>
    <n v="267.393989769821"/>
    <s v=" "/>
    <x v="932"/>
    <x v="965"/>
    <s v="SJC"/>
    <x v="840"/>
    <s v="Individual"/>
    <m/>
    <m/>
    <m/>
    <s v=" "/>
    <s v=" "/>
    <m/>
    <s v=" "/>
    <s v=" "/>
    <s v=" "/>
    <m/>
    <s v=" "/>
  </r>
  <r>
    <s v="Fresenius Medical Care"/>
    <s v="2989 Fruitville Rd"/>
    <s v="Sarasota"/>
    <s v="FL"/>
    <n v="0.92"/>
    <n v="2005"/>
    <n v="8777"/>
    <m/>
    <s v=" "/>
    <d v="2025-07-31T00:00:00"/>
    <n v="8.293150684931506"/>
    <s v="NN"/>
    <s v="1.7% annually"/>
    <s v="3, 5 yr"/>
    <n v="2887800"/>
    <n v="329.0190270023926"/>
    <s v=" "/>
    <x v="933"/>
    <x v="966"/>
    <s v="M&amp;M"/>
    <x v="267"/>
    <s v="Fund"/>
    <m/>
    <m/>
    <m/>
    <s v=" "/>
    <s v=" "/>
    <m/>
    <s v=" "/>
    <s v=" "/>
    <s v=" "/>
    <m/>
    <s v=" "/>
  </r>
  <r>
    <s v="Fresenius Medical Care"/>
    <s v="3090 McBride Ct"/>
    <s v="Hamilton"/>
    <s v="OH"/>
    <n v="1.562994"/>
    <n v="2003"/>
    <n v="23184"/>
    <m/>
    <s v=" "/>
    <m/>
    <s v=" "/>
    <m/>
    <m/>
    <m/>
    <n v="7320000"/>
    <n v="315.7349896480331"/>
    <s v=" "/>
    <x v="934"/>
    <x v="967"/>
    <s v="C&amp;W; "/>
    <x v="841"/>
    <s v="Individual"/>
    <m/>
    <m/>
    <m/>
    <s v=" "/>
    <s v=" "/>
    <m/>
    <s v=" "/>
    <s v=" "/>
    <s v=" "/>
    <m/>
    <s v=" "/>
  </r>
  <r>
    <s v="Duke Realty OH MOB Portfolio 2017"/>
    <s v="1 of 7 properties"/>
    <m/>
    <m/>
    <m/>
    <m/>
    <n v="330470"/>
    <m/>
    <s v=" "/>
    <m/>
    <s v=" "/>
    <m/>
    <m/>
    <m/>
    <m/>
    <s v=" "/>
    <s v=" "/>
    <x v="934"/>
    <x v="967"/>
    <s v="C&amp;W; "/>
    <x v="841"/>
    <s v="Individual"/>
    <m/>
    <m/>
    <m/>
    <s v=" "/>
    <s v=" "/>
    <m/>
    <s v=" "/>
    <s v=" "/>
    <s v=" "/>
    <m/>
    <s v=" "/>
  </r>
  <r>
    <s v="Fresenius Medical Care"/>
    <s v="712 N Klein Ct"/>
    <s v="Derby"/>
    <s v="KS"/>
    <n v="0.49"/>
    <n v="2012"/>
    <n v="5876"/>
    <n v="114120"/>
    <n v="19.4213750850919"/>
    <d v="2023-12-31T00:00:00"/>
    <n v="6.723287671232876"/>
    <s v="NN"/>
    <s v="10% every 5"/>
    <s v="3, 5 yr"/>
    <n v="1585000"/>
    <n v="269.7413206262764"/>
    <n v="0.07199999999999999"/>
    <x v="935"/>
    <x v="968"/>
    <s v="Trivanta; Hoover"/>
    <x v="398"/>
    <s v="Individual"/>
    <s v="Medi Vakili"/>
    <m/>
    <n v="1652000"/>
    <n v="0.06907990314769975"/>
    <n v="0.9594430992736077"/>
    <n v="1652000"/>
    <n v="0.06907990314769975"/>
    <n v="0.002920096852300241"/>
    <s v="No"/>
    <d v="2016-10-27T00:00:00"/>
    <n v="167"/>
  </r>
  <r>
    <s v="Fresenius Medical Care"/>
    <s v="3280-3294 W 25th St"/>
    <s v="Cleveland"/>
    <s v="OH"/>
    <n v="1.177502"/>
    <n v="2017"/>
    <n v="9800"/>
    <m/>
    <s v=" "/>
    <m/>
    <s v=" "/>
    <m/>
    <m/>
    <m/>
    <n v="4606700"/>
    <n v="470.0714285714286"/>
    <s v=" "/>
    <x v="936"/>
    <x v="520"/>
    <m/>
    <x v="305"/>
    <s v="Fund"/>
    <m/>
    <m/>
    <m/>
    <s v=" "/>
    <s v=" "/>
    <m/>
    <s v=" "/>
    <s v=" "/>
    <s v=" "/>
    <m/>
    <s v=" "/>
  </r>
  <r>
    <s v="Fresenius Northeast Portfolio"/>
    <s v="3 of 3 properties"/>
    <m/>
    <m/>
    <m/>
    <m/>
    <n v="27069"/>
    <m/>
    <s v=" "/>
    <m/>
    <s v=" "/>
    <m/>
    <m/>
    <m/>
    <n v="15165000"/>
    <n v="560.2349551147068"/>
    <s v=" "/>
    <x v="936"/>
    <x v="520"/>
    <m/>
    <x v="305"/>
    <s v="Fund"/>
    <m/>
    <m/>
    <m/>
    <s v=" "/>
    <s v=" "/>
    <m/>
    <s v=" "/>
    <s v=" "/>
    <s v=" "/>
    <m/>
    <s v=" "/>
  </r>
  <r>
    <s v="Fresenius Medical Care"/>
    <s v="1306 Enterprise Rd"/>
    <s v="Socorro"/>
    <s v="NM"/>
    <n v="2.07"/>
    <n v="2016"/>
    <n v="4437"/>
    <n v="146604"/>
    <n v="33.04124408384043"/>
    <d v="2031-03-31T00:00:00"/>
    <n v="13.97808219178082"/>
    <s v="NN"/>
    <s v="10% every 5 years; FMV at each option"/>
    <s v="3, 5yr"/>
    <n v="2335000"/>
    <n v="526.2564796033356"/>
    <n v="0.06278543897216274"/>
    <x v="936"/>
    <x v="969"/>
    <s v="Dan Lem"/>
    <x v="842"/>
    <s v="Fund"/>
    <m/>
    <s v="Choice One Property"/>
    <n v="2383805"/>
    <n v="0.0614999968537695"/>
    <n v="0.9795264293849539"/>
    <n v="2383805"/>
    <n v="0.0614999968537695"/>
    <n v="0.001285442118393237"/>
    <s v="No"/>
    <d v="2016-11-29T00:00:00"/>
    <n v="133"/>
  </r>
  <r>
    <s v="Fresenius Medical Care"/>
    <s v="3280 W 25th St"/>
    <s v="Cleveland"/>
    <s v="OH"/>
    <n v="1.187"/>
    <n v="2016"/>
    <n v="9800"/>
    <n v="276850"/>
    <n v="28.25"/>
    <d v="2031-12-01T00:00:00"/>
    <n v="14.65205479452055"/>
    <s v="NN"/>
    <s v="10% every 5 years"/>
    <s v="3, 5yr"/>
    <n v="4366300"/>
    <n v="445.5408163265306"/>
    <n v="0.06340608753406775"/>
    <x v="937"/>
    <x v="36"/>
    <m/>
    <x v="305"/>
    <s v="Fund"/>
    <m/>
    <s v="Choice One"/>
    <m/>
    <s v=" "/>
    <s v=" "/>
    <m/>
    <s v=" "/>
    <s v=" "/>
    <s v=" "/>
    <m/>
    <s v=" "/>
  </r>
  <r>
    <s v="Fresenius Medical Care"/>
    <s v="1515 State St"/>
    <s v="Springfield"/>
    <s v="MA"/>
    <n v="1.22"/>
    <n v="2017"/>
    <n v="10165"/>
    <n v="366077.24"/>
    <n v="36.01350122970979"/>
    <d v="2032-01-01T00:00:00"/>
    <n v="14.73698630136986"/>
    <s v="NN"/>
    <s v="10% every 5yrs"/>
    <s v="3, 5yr"/>
    <n v="5915000"/>
    <n v="581.8986719134284"/>
    <n v="0.06188964327979712"/>
    <x v="937"/>
    <x v="36"/>
    <m/>
    <x v="305"/>
    <s v="Fund"/>
    <m/>
    <s v="Choice One"/>
    <m/>
    <s v=" "/>
    <s v=" "/>
    <m/>
    <s v=" "/>
    <s v=" "/>
    <s v=" "/>
    <m/>
    <s v=" "/>
  </r>
  <r>
    <s v="Fresenius Medical Care"/>
    <s v="321 Meridian Ave"/>
    <s v="Scranton"/>
    <s v="PA"/>
    <n v="1.21"/>
    <n v="2017"/>
    <n v="7104"/>
    <n v="262682.88"/>
    <n v="36.97675675675676"/>
    <d v="2032-02-01T00:00:00"/>
    <n v="14.82191780821918"/>
    <s v="NN"/>
    <s v="10% every 5 years"/>
    <s v="3, 5yr"/>
    <n v="4372000"/>
    <n v="615.427927927928"/>
    <n v="0.06008300091491309"/>
    <x v="937"/>
    <x v="36"/>
    <m/>
    <x v="305"/>
    <s v="Fund"/>
    <m/>
    <s v="Choice One"/>
    <m/>
    <s v=" "/>
    <s v=" "/>
    <m/>
    <s v=" "/>
    <s v=" "/>
    <s v=" "/>
    <m/>
    <s v=" "/>
  </r>
  <r>
    <s v="DaVita Dialysis"/>
    <s v="2980 Advantage Way"/>
    <s v="Sacramento"/>
    <s v="CA"/>
    <n v="1.2"/>
    <n v="2016"/>
    <n v="12500"/>
    <n v="292742.64"/>
    <n v="23.4194112"/>
    <d v="2031-12-31T00:00:00"/>
    <n v="14.74246575342466"/>
    <s v="NN"/>
    <s v="10% every 5 years"/>
    <m/>
    <n v="5350000"/>
    <n v="428"/>
    <n v="0.05471825046728972"/>
    <x v="938"/>
    <x v="970"/>
    <s v="CBRE; Stache"/>
    <x v="843"/>
    <s v="Individual"/>
    <m/>
    <m/>
    <m/>
    <s v=" "/>
    <s v=" "/>
    <m/>
    <s v=" "/>
    <s v=" "/>
    <s v=" "/>
    <m/>
    <s v=" "/>
  </r>
  <r>
    <s v="Atlanta Home Dialysis"/>
    <s v="120 Piedmont Ave NE"/>
    <s v="Atlanta"/>
    <s v="GA"/>
    <n v="0.7995868"/>
    <n v="1950"/>
    <n v="22492"/>
    <m/>
    <s v=" "/>
    <m/>
    <s v=" "/>
    <m/>
    <m/>
    <m/>
    <n v="5500000"/>
    <n v="244.5313889382892"/>
    <s v=" "/>
    <x v="938"/>
    <x v="971"/>
    <m/>
    <x v="844"/>
    <s v="Individual"/>
    <m/>
    <m/>
    <m/>
    <s v=" "/>
    <s v=" "/>
    <m/>
    <s v=" "/>
    <s v=" "/>
    <s v=" "/>
    <m/>
    <s v=" "/>
  </r>
  <r>
    <s v="Fresenius Medical Care"/>
    <s v="5316 Hoag Dr"/>
    <s v="Elyria"/>
    <s v="OH"/>
    <n v="1.25"/>
    <n v="1997"/>
    <n v="8156"/>
    <n v="75449"/>
    <n v="9.250735654732711"/>
    <d v="2020-03-15T00:00:00"/>
    <n v="2.93972602739726"/>
    <m/>
    <m/>
    <m/>
    <n v="895000"/>
    <n v="109.7351642962236"/>
    <n v="0.08430055865921787"/>
    <x v="938"/>
    <x v="13"/>
    <s v="Ryan Moore"/>
    <x v="0"/>
    <s v="Individual"/>
    <m/>
    <m/>
    <n v="945000"/>
    <n v="0.07984021164021164"/>
    <n v="0.9470899470899471"/>
    <n v="945000"/>
    <n v="0.07984021164021164"/>
    <n v="0.004460347019006231"/>
    <s v="No"/>
    <d v="2016-09-12T00:00:00"/>
    <n v="207"/>
  </r>
  <r>
    <s v="DaVita Dialysis"/>
    <s v="16151 Slater Road"/>
    <s v="North Fort Myers"/>
    <s v="FL"/>
    <n v="0.54"/>
    <n v="2016"/>
    <n v="6500"/>
    <n v="118365"/>
    <n v="18.21"/>
    <d v="2031-11-30T00:00:00"/>
    <n v="14.66575342465753"/>
    <s v="NNN"/>
    <s v="10% every 5 years"/>
    <s v="10% every 5; FMV in Optins"/>
    <n v="2191944"/>
    <n v="337.2221538461538"/>
    <n v="0.05400001094918484"/>
    <x v="939"/>
    <x v="952"/>
    <s v="CP; "/>
    <x v="845"/>
    <s v="Individual"/>
    <s v="Alan Fruitman"/>
    <s v="JB Realty Partners"/>
    <n v="2255000"/>
    <n v="0.052490022172949"/>
    <n v="0.9720372505543238"/>
    <n v="2255000"/>
    <n v="0.052490022172949"/>
    <n v="0.001509988776235836"/>
    <s v="No"/>
    <d v="2016-12-01T00:00:00"/>
    <n v="124"/>
  </r>
  <r>
    <s v="Fresenius Medical Care"/>
    <s v="100 W Park Dr"/>
    <s v="Livingston"/>
    <s v="TX"/>
    <n v="1.86"/>
    <n v="2016"/>
    <n v="7105"/>
    <m/>
    <s v=" "/>
    <m/>
    <s v=" "/>
    <m/>
    <m/>
    <m/>
    <m/>
    <s v=" "/>
    <s v=" "/>
    <x v="940"/>
    <x v="254"/>
    <m/>
    <x v="846"/>
    <s v="Individual"/>
    <m/>
    <s v="Wellington Development"/>
    <m/>
    <s v=" "/>
    <s v=" "/>
    <m/>
    <s v=" "/>
    <s v=" "/>
    <s v=" "/>
    <m/>
    <s v=" "/>
  </r>
  <r>
    <s v="DaVita Dialysis"/>
    <s v="3524 NE Sandy Blvd"/>
    <s v="Portland"/>
    <s v="OR"/>
    <n v="0.79"/>
    <n v="2016"/>
    <n v="8160"/>
    <n v="259700"/>
    <n v="31.82598039215686"/>
    <m/>
    <s v=" "/>
    <m/>
    <m/>
    <m/>
    <n v="5300000"/>
    <n v="649.5098039215686"/>
    <n v="0.049"/>
    <x v="940"/>
    <x v="972"/>
    <s v="KM"/>
    <x v="847"/>
    <s v="Individual"/>
    <s v="KM; "/>
    <m/>
    <m/>
    <s v=" "/>
    <s v=" "/>
    <m/>
    <s v=" "/>
    <s v=" "/>
    <s v=" "/>
    <m/>
    <s v=" "/>
  </r>
  <r>
    <s v="Fresenius Medical Care"/>
    <s v="4302 S Main St"/>
    <s v="Farmville"/>
    <s v="NC"/>
    <n v="2.15"/>
    <n v="2015"/>
    <n v="7186"/>
    <n v="227555"/>
    <n v="31.6664347342054"/>
    <d v="2030-10-31T00:00:00"/>
    <n v="13.6027397260274"/>
    <s v="NN"/>
    <s v="1.7% annually"/>
    <s v="2, 5yr"/>
    <n v="3550000"/>
    <n v="494.0161424993042"/>
    <n v="0.0641"/>
    <x v="941"/>
    <x v="973"/>
    <s v="PH: Peranich &amp; Huffman"/>
    <x v="137"/>
    <s v="Individual"/>
    <s v="HT; Horvath"/>
    <m/>
    <n v="3750000"/>
    <n v="0.06068133333333334"/>
    <n v="0.9466666666666667"/>
    <n v="3750000"/>
    <n v="0.06068133333333334"/>
    <n v="0.00341866666666666"/>
    <s v="No"/>
    <d v="2016-10-18T00:00:00"/>
    <n v="161"/>
  </r>
  <r>
    <s v="DaVita Dialysis"/>
    <s v="2410 W Grant Ave"/>
    <s v="Pauls Valley"/>
    <s v="OK"/>
    <n v="1.4"/>
    <n v="2016"/>
    <n v="6064"/>
    <n v="156754"/>
    <n v="25.84993403693931"/>
    <d v="2031-12-31T00:00:00"/>
    <n v="14.78904109589041"/>
    <s v="NN"/>
    <s v="10% every 5 years"/>
    <s v="3, 5yr"/>
    <n v="2375500"/>
    <n v="391.7381266490765"/>
    <n v="0.06598779204378026"/>
    <x v="942"/>
    <x v="974"/>
    <m/>
    <x v="848"/>
    <s v="Individual"/>
    <m/>
    <m/>
    <m/>
    <s v=" "/>
    <s v=" "/>
    <m/>
    <s v=" "/>
    <s v=" "/>
    <s v=" "/>
    <m/>
    <s v=" "/>
  </r>
  <r>
    <s v="DaVita Dialysis"/>
    <s v="20 W Newell Rd"/>
    <s v="Danville"/>
    <s v="IL"/>
    <n v="6.139991"/>
    <n v="2016"/>
    <n v="5800"/>
    <n v="175877.46"/>
    <n v="30.3237"/>
    <d v="2031-11-30T00:00:00"/>
    <n v="14.71506849315069"/>
    <s v="NN"/>
    <s v="10% every 5"/>
    <s v="3, 5yr"/>
    <n v="2756700"/>
    <n v="475.2931034482759"/>
    <n v="0.0638"/>
    <x v="943"/>
    <x v="66"/>
    <s v="M&amp;M; Cook"/>
    <x v="111"/>
    <s v="Fund"/>
    <m/>
    <s v="DaVita"/>
    <n v="3196000"/>
    <n v="0.05503049436795995"/>
    <n v="0.8625469336670839"/>
    <n v="3196000"/>
    <n v="0.05503049436795995"/>
    <n v="0.008769505632040049"/>
    <s v="No"/>
    <d v="2017-01-01T00:00:00"/>
    <n v="75"/>
  </r>
  <r>
    <s v="DaVita Dialysis"/>
    <s v="101 Davita Ln"/>
    <s v="Elizabeth City"/>
    <s v="NC"/>
    <n v="2.79"/>
    <n v="2016"/>
    <n v="9993"/>
    <n v="221375"/>
    <n v="22.15300710497348"/>
    <d v="2031-07-01T00:00:00"/>
    <n v="14.2986301369863"/>
    <s v="NN"/>
    <s v="10% every 5 years"/>
    <s v="2, 5yr"/>
    <n v="3850000"/>
    <n v="385.2696887821475"/>
    <n v="0.0575"/>
    <x v="943"/>
    <x v="296"/>
    <s v="C&amp;W; Patel"/>
    <x v="849"/>
    <s v="Individual"/>
    <s v="M&amp;M; Medress"/>
    <s v="OGA Realty"/>
    <n v="3850000"/>
    <n v="0.0575"/>
    <n v="1"/>
    <n v="3850000"/>
    <n v="0.0575"/>
    <n v="0"/>
    <s v="No"/>
    <m/>
    <s v=" "/>
  </r>
  <r>
    <m/>
    <s v="449 N Broad St"/>
    <s v="Philadelphia"/>
    <s v="PA"/>
    <n v="0.4688705"/>
    <n v="2012"/>
    <n v="9180"/>
    <m/>
    <m/>
    <m/>
    <s v=" "/>
    <m/>
    <m/>
    <m/>
    <n v="4000000"/>
    <n v="435.7298474945534"/>
    <s v=" "/>
    <x v="944"/>
    <x v="975"/>
    <m/>
    <x v="850"/>
    <s v="Individual"/>
    <m/>
    <m/>
    <m/>
    <s v=" "/>
    <s v=" "/>
    <m/>
    <s v=" "/>
    <s v=" "/>
    <s v=" "/>
    <m/>
    <s v=" "/>
  </r>
  <r>
    <s v="Fresenius Medical Care"/>
    <s v="2635 Hampton Ave"/>
    <s v="Saint Louis"/>
    <s v="MO"/>
    <n v="0.64"/>
    <n v="1941"/>
    <n v="7500"/>
    <n v="231525"/>
    <n v="30.87"/>
    <d v="2029-08-31T00:00:00"/>
    <n v="12.50684931506849"/>
    <s v="NN"/>
    <s v="1.7% annually"/>
    <s v="3, 5 yr"/>
    <n v="3704400"/>
    <n v="493.92"/>
    <n v="0.0625"/>
    <x v="945"/>
    <x v="976"/>
    <s v="Fortis Net Lease"/>
    <x v="64"/>
    <s v="Fund"/>
    <m/>
    <m/>
    <n v="3704400"/>
    <n v="0.0625"/>
    <n v="1"/>
    <n v="3704400"/>
    <n v="0.0625"/>
    <n v="0"/>
    <s v="No"/>
    <d v="2017-01-03T00:00:00"/>
    <n v="58"/>
  </r>
  <r>
    <s v="DaVita Dialysis"/>
    <s v="14204 Prairie Ave"/>
    <s v="Hawthorne"/>
    <s v="CA"/>
    <n v="90250"/>
    <n v="2013"/>
    <n v="8400"/>
    <n v="268464"/>
    <n v="31.96"/>
    <d v="2028-11-07T00:00:00"/>
    <n v="11.6986301369863"/>
    <s v="NN"/>
    <s v="FMV "/>
    <s v="3, 5yr"/>
    <n v="5065358"/>
    <n v="603.0188095238095"/>
    <n v="0.05300000513290472"/>
    <x v="946"/>
    <x v="977"/>
    <s v="Kase Group; Cisternino"/>
    <x v="851"/>
    <s v="Individual"/>
    <m/>
    <m/>
    <n v="5213000"/>
    <n v="0.05149894494532899"/>
    <n v="0.9716781124112795"/>
    <n v="5123000"/>
    <n v="0.05240366972477064"/>
    <n v="0.0005963354081340855"/>
    <s v="Yes"/>
    <d v="2016-04-19T00:00:00"/>
    <n v="315"/>
  </r>
  <r>
    <s v="DaVita Dialysis"/>
    <s v="2901 Transport St"/>
    <s v="Albuquerque"/>
    <s v="NM"/>
    <n v="8.35"/>
    <n v="2016"/>
    <n v="85726"/>
    <n v="2088000"/>
    <n v="24.35667125492849"/>
    <d v="2037-01-31T00:00:00"/>
    <n v="19.93698630136986"/>
    <s v="NNN"/>
    <s v="10% every 5"/>
    <s v="3, 5 yr"/>
    <n v="35836160"/>
    <n v="418.0314023750087"/>
    <n v="0.05826517126835018"/>
    <x v="946"/>
    <x v="66"/>
    <s v="M&amp;M; Cook"/>
    <x v="492"/>
    <s v="Fund"/>
    <m/>
    <m/>
    <m/>
    <s v=" "/>
    <s v=" "/>
    <m/>
    <s v=" "/>
    <s v=" "/>
    <s v=" "/>
    <m/>
    <s v=" "/>
  </r>
  <r>
    <s v="DaVita Dialysis"/>
    <s v="200 Burley Ave"/>
    <s v="Hopkinsville"/>
    <s v="KY"/>
    <n v="0.76"/>
    <n v="2001"/>
    <n v="5132"/>
    <n v="85800"/>
    <n v="16.71862821512081"/>
    <d v="2024-01-31T00:00:00"/>
    <n v="6.926027397260274"/>
    <s v="NN"/>
    <s v="2% annually"/>
    <s v="3, 5 yr"/>
    <n v="1175000"/>
    <n v="228.9555728760717"/>
    <n v="0.07302127659574469"/>
    <x v="946"/>
    <x v="296"/>
    <s v="C&amp;W; Patel"/>
    <x v="852"/>
    <s v="Individual"/>
    <s v="Judith Jackola"/>
    <m/>
    <n v="1183974"/>
    <n v="0.07246780757009867"/>
    <n v="0.9924204416651041"/>
    <n v="1183974"/>
    <n v="0.07246780757009867"/>
    <n v="0.000553469025646014"/>
    <s v="No"/>
    <d v="2016-09-14T00:00:00"/>
    <n v="167"/>
  </r>
  <r>
    <s v="DaVita Dialysis"/>
    <s v="1559 7th St W"/>
    <s v="Saint Paul"/>
    <s v="MN"/>
    <n v="0.44"/>
    <n v="2007"/>
    <n v="5366"/>
    <m/>
    <s v=" "/>
    <m/>
    <s v=" "/>
    <m/>
    <m/>
    <m/>
    <n v="2020000"/>
    <n v="376.4442787923966"/>
    <s v=" "/>
    <x v="947"/>
    <x v="13"/>
    <m/>
    <x v="853"/>
    <s v="Individual"/>
    <m/>
    <m/>
    <m/>
    <s v=" "/>
    <s v=" "/>
    <m/>
    <s v=" "/>
    <s v=" "/>
    <s v=" "/>
    <m/>
    <s v=" "/>
  </r>
  <r>
    <s v="Fresenius Medical Care"/>
    <s v="4635 Binz Engleman Road"/>
    <s v="San Antonio"/>
    <s v="TX"/>
    <n v="1.29"/>
    <n v="1999"/>
    <n v="12500"/>
    <n v="253000"/>
    <n v="20.24"/>
    <d v="2021-06-30T00:00:00"/>
    <n v="4.375342465753425"/>
    <s v="NNN"/>
    <s v="1% annually"/>
    <s v="2, 5-Year renewal options"/>
    <n v="3150000"/>
    <n v="252"/>
    <n v="0.08031746031746032"/>
    <x v="948"/>
    <x v="232"/>
    <s v="SJC"/>
    <x v="854"/>
    <s v="Individual"/>
    <m/>
    <m/>
    <n v="3323890"/>
    <n v="0.07611563559564245"/>
    <n v="0.9476847910129397"/>
    <n v="3323890"/>
    <n v="0.07611563559564245"/>
    <n v="0.004201824721817862"/>
    <s v="No"/>
    <m/>
    <s v=" "/>
  </r>
  <r>
    <s v="Fresenius Medical Care"/>
    <s v="6646 Regal Oaks Dr"/>
    <s v="Charlotte"/>
    <s v="NC"/>
    <n v="2.932"/>
    <n v="2016"/>
    <n v="12195"/>
    <n v="391297"/>
    <n v="32.08667486674867"/>
    <d v="2031-12-31T00:00:00"/>
    <n v="14.9041095890411"/>
    <s v="NN"/>
    <s v="10% every 5 years"/>
    <s v="3, 5yr"/>
    <n v="4469000"/>
    <n v="366.4616646166461"/>
    <n v="0.08755806668158425"/>
    <x v="949"/>
    <x v="138"/>
    <m/>
    <x v="855"/>
    <s v="Individual"/>
    <m/>
    <m/>
    <m/>
    <s v=" "/>
    <s v=" "/>
    <m/>
    <s v=" "/>
    <s v=" "/>
    <s v=" "/>
    <m/>
    <s v=" "/>
  </r>
  <r>
    <s v="DaVita Dialysis"/>
    <s v="401 Town Park Blvd"/>
    <s v="Evans"/>
    <s v="GA"/>
    <n v="1.221993"/>
    <n v="2016"/>
    <n v="7682"/>
    <n v="194206.545"/>
    <n v="25.28072702421244"/>
    <d v="2031-06-30T00:00:00"/>
    <n v="14.41369863013699"/>
    <s v="NN"/>
    <s v="10% every 5"/>
    <s v="3, 5yr"/>
    <n v="3157830"/>
    <n v="411.0687321010154"/>
    <n v="0.06149999999999999"/>
    <x v="950"/>
    <x v="66"/>
    <s v="M&amp;M; Cook"/>
    <x v="111"/>
    <s v="Fund"/>
    <m/>
    <m/>
    <n v="3439000"/>
    <n v="0.05647180721139865"/>
    <n v="0.9182407676650189"/>
    <n v="3439000"/>
    <n v="0.05647180721139865"/>
    <n v="0.005028192788601338"/>
    <s v="No"/>
    <d v="2016-11-04T00:00:00"/>
    <n v="90"/>
  </r>
  <r>
    <s v="Fresenius Medical Care"/>
    <s v="604 Canterbury Rd"/>
    <s v="Kings Mountain"/>
    <s v="NC"/>
    <n v="41.23"/>
    <n v="2017"/>
    <n v="9970"/>
    <n v="301021"/>
    <n v="30.19267803410231"/>
    <d v="2032-06-30T00:00:00"/>
    <n v="15.41917808219178"/>
    <s v="NN"/>
    <s v="10% every 5 years"/>
    <s v="3, 5yr"/>
    <m/>
    <s v=" "/>
    <s v=" "/>
    <x v="951"/>
    <x v="978"/>
    <m/>
    <x v="855"/>
    <s v="Individual"/>
    <m/>
    <m/>
    <m/>
    <s v=" "/>
    <s v=" "/>
    <m/>
    <s v=" "/>
    <s v=" "/>
    <s v=" "/>
    <m/>
    <s v=" "/>
  </r>
  <r>
    <s v="Fresenius Medical Care"/>
    <s v="207 W Laurel Ave"/>
    <s v="New Castle"/>
    <s v="PA"/>
    <n v="3.31"/>
    <n v="2004"/>
    <n v="6300"/>
    <n v="104395.5"/>
    <n v="16.57071428571428"/>
    <d v="2024-10-31T00:00:00"/>
    <n v="7.753424657534246"/>
    <s v="NN"/>
    <s v="Flat"/>
    <s v="2, 5yr"/>
    <n v="1045000"/>
    <n v="165.8730158730159"/>
    <n v="0.0999"/>
    <x v="952"/>
    <x v="13"/>
    <s v="M&amp;M; Patton"/>
    <x v="267"/>
    <s v="Fund"/>
    <m/>
    <m/>
    <m/>
    <s v=" "/>
    <s v=" "/>
    <m/>
    <s v=" "/>
    <s v=" "/>
    <s v=" "/>
    <m/>
    <s v=" "/>
  </r>
  <r>
    <s v="Fresenius Medical Care"/>
    <s v="8704 University Ave"/>
    <s v="Lubbock"/>
    <s v="TX"/>
    <n v="1.8"/>
    <n v="2016"/>
    <n v="8387"/>
    <n v="327045"/>
    <n v="38.99427685704066"/>
    <d v="2031-08-30T00:00:00"/>
    <n v="14.58630136986301"/>
    <s v="NN"/>
    <s v="1.7% annually"/>
    <s v="3, 5yr"/>
    <n v="5737635"/>
    <n v="684.1105281984023"/>
    <n v="0.05699996601387157"/>
    <x v="952"/>
    <x v="494"/>
    <s v="C&amp;W; Trautvetter"/>
    <x v="856"/>
    <s v="Individual"/>
    <s v="Brad Wiseman"/>
    <s v="MDG Development Group, LLC"/>
    <n v="5944564"/>
    <n v="0.05501580940166512"/>
    <n v="0.9651902141183104"/>
    <n v="5944564"/>
    <n v="0.05501580940166512"/>
    <n v="0.001984156612206453"/>
    <s v="No"/>
    <d v="2016-05-19T00:00:00"/>
    <n v="257"/>
  </r>
  <r>
    <m/>
    <s v="510 East N Way"/>
    <s v="Dinuba"/>
    <s v="CA"/>
    <n v="1.080005"/>
    <n v="2013"/>
    <n v="9000"/>
    <n v="211092"/>
    <n v="23.45466666666667"/>
    <m/>
    <s v=" "/>
    <m/>
    <m/>
    <m/>
    <n v="3590000"/>
    <n v="398.8888888888889"/>
    <n v="0.0588"/>
    <x v="953"/>
    <x v="979"/>
    <s v="M&amp;M"/>
    <x v="857"/>
    <s v="Individual"/>
    <s v="M&amp;M;"/>
    <m/>
    <m/>
    <s v=" "/>
    <s v=" "/>
    <m/>
    <s v=" "/>
    <s v=" "/>
    <s v=" "/>
    <m/>
    <s v=" "/>
  </r>
  <r>
    <s v="Fresenius Medical Care"/>
    <s v="935 N Main St"/>
    <s v="Louisburg"/>
    <s v="NC"/>
    <n v="3.674426"/>
    <n v="2016"/>
    <n v="8200"/>
    <n v="265429.23"/>
    <n v="32.36941829268292"/>
    <d v="2031-10-31T00:00:00"/>
    <n v="14.77534246575343"/>
    <s v="NN"/>
    <s v="10% every 5"/>
    <s v="2, 5 yr"/>
    <n v="4084000"/>
    <n v="498.0487804878049"/>
    <n v="0.06499246571988246"/>
    <x v="954"/>
    <x v="138"/>
    <s v="PH: Peranich &amp; Huffman"/>
    <x v="637"/>
    <s v="Fund"/>
    <m/>
    <m/>
    <m/>
    <s v=" "/>
    <s v=" "/>
    <m/>
    <s v=" "/>
    <s v=" "/>
    <s v=" "/>
    <m/>
    <s v=" "/>
  </r>
  <r>
    <s v="Fresenius Medical Care"/>
    <s v="856 Casteel Rd"/>
    <s v="Bruceton Mills"/>
    <s v="VA"/>
    <n v="1.45"/>
    <n v="2006"/>
    <n v="7416"/>
    <n v="115838"/>
    <n v="15.62001078748652"/>
    <d v="2026-10-31T00:00:00"/>
    <n v="9.775342465753425"/>
    <s v="NN"/>
    <s v="None"/>
    <s v="2, 5yr"/>
    <n v="1287355"/>
    <n v="173.5915587918015"/>
    <n v="0.0899813959630405"/>
    <x v="955"/>
    <x v="980"/>
    <s v="NAI; Sillery"/>
    <x v="858"/>
    <s v="Individual"/>
    <m/>
    <m/>
    <n v="1287356"/>
    <n v="0.08998132606676008"/>
    <n v="0.9999992232140915"/>
    <n v="1287356"/>
    <n v="0.08998132606676008"/>
    <n v="6.989628041631502e-08"/>
    <s v="No"/>
    <d v="2016-06-08T00:00:00"/>
    <n v="229"/>
  </r>
  <r>
    <s v="DaVita Dialysis"/>
    <s v="20025 Chasewood Park Dr"/>
    <s v="Houston"/>
    <s v="TX"/>
    <n v="1.73"/>
    <n v="2015"/>
    <n v="8074"/>
    <n v="280386"/>
    <n v="34.72702501857815"/>
    <d v="2030-10-31T00:00:00"/>
    <n v="13.78904109589041"/>
    <s v="NN"/>
    <s v="10% every 5 years"/>
    <s v="2, 5yr"/>
    <n v="5150000"/>
    <n v="637.8498885310875"/>
    <n v="0.05444388349514563"/>
    <x v="956"/>
    <x v="981"/>
    <s v="Unique Properties"/>
    <x v="859"/>
    <s v="Individual"/>
    <m/>
    <m/>
    <m/>
    <s v=" "/>
    <s v=" "/>
    <m/>
    <s v=" "/>
    <s v=" "/>
    <s v=" "/>
    <m/>
    <s v=" "/>
  </r>
  <r>
    <s v="Fresenius Medical Care"/>
    <s v="1355 Palm Bay Rd NE"/>
    <s v="Melbourne"/>
    <s v="FL"/>
    <n v="1.48"/>
    <n v="2016"/>
    <n v="10392"/>
    <n v="335135.547"/>
    <n v="32.24937904157044"/>
    <d v="2031-11-30T00:00:00"/>
    <n v="14.87397260273973"/>
    <m/>
    <m/>
    <m/>
    <n v="5879571"/>
    <n v="565.7785796766743"/>
    <n v="0.057"/>
    <x v="957"/>
    <x v="982"/>
    <m/>
    <x v="860"/>
    <s v="Individual"/>
    <m/>
    <m/>
    <m/>
    <s v=" "/>
    <s v=" "/>
    <m/>
    <s v=" "/>
    <s v=" "/>
    <s v=" "/>
    <m/>
    <s v=" "/>
  </r>
  <r>
    <s v="Fresenius Medical Care"/>
    <s v="57 Soldiers Field Ln"/>
    <s v="Melbourne"/>
    <s v="FL"/>
    <n v="1.480005"/>
    <n v="2016"/>
    <n v="10395"/>
    <n v="335142.045"/>
    <n v="32.24069696969697"/>
    <m/>
    <s v=" "/>
    <m/>
    <m/>
    <m/>
    <n v="5879685"/>
    <n v="565.6262626262626"/>
    <n v="0.057"/>
    <x v="957"/>
    <x v="759"/>
    <s v="M&amp;M"/>
    <x v="861"/>
    <s v="Individual"/>
    <s v="M&amp;M;"/>
    <s v="Akshar Development"/>
    <m/>
    <s v=" "/>
    <s v=" "/>
    <m/>
    <s v=" "/>
    <s v=" "/>
    <s v=" "/>
    <m/>
    <s v=" "/>
  </r>
  <r>
    <s v="Fresenius Medical Care"/>
    <s v="211 E Lincoln Trail Blvd"/>
    <s v="Radcliff"/>
    <s v="KY"/>
    <n v="1.1"/>
    <n v="2016"/>
    <n v="7154"/>
    <m/>
    <s v=" "/>
    <d v="2030-12-14T00:00:00"/>
    <n v="13.91506849315068"/>
    <s v="NN"/>
    <s v="10% every 5"/>
    <s v="3, 5 yr"/>
    <n v="3253441"/>
    <n v="454.7722952194576"/>
    <s v=" "/>
    <x v="958"/>
    <x v="983"/>
    <m/>
    <x v="267"/>
    <s v="Fund"/>
    <m/>
    <m/>
    <m/>
    <s v=" "/>
    <s v=" "/>
    <m/>
    <s v=" "/>
    <s v=" "/>
    <s v=" "/>
    <m/>
    <s v=" "/>
  </r>
  <r>
    <s v="Fresenius Medical Care"/>
    <s v="345 Newberry Commons"/>
    <s v="Etters"/>
    <s v="PA"/>
    <n v="1.3"/>
    <n v="2016"/>
    <n v="8006"/>
    <m/>
    <s v=" "/>
    <d v="2031-06-30T00:00:00"/>
    <n v="14.45753424657534"/>
    <s v="NN"/>
    <s v="1.7% annually"/>
    <s v="3, 5 yr"/>
    <n v="4035000"/>
    <n v="503.9970022483138"/>
    <s v=" "/>
    <x v="958"/>
    <x v="983"/>
    <m/>
    <x v="267"/>
    <s v="Fund"/>
    <m/>
    <m/>
    <m/>
    <s v=" "/>
    <s v=" "/>
    <m/>
    <s v=" "/>
    <s v=" "/>
    <s v=" "/>
    <m/>
    <s v=" "/>
  </r>
  <r>
    <s v="Fresenius Medical Care"/>
    <s v="1211 St Johns Bluff Rd N"/>
    <s v="Jacksonville"/>
    <s v="FL"/>
    <n v="1.457094"/>
    <n v="2016"/>
    <n v="7131"/>
    <m/>
    <s v=" "/>
    <m/>
    <s v=" "/>
    <m/>
    <m/>
    <m/>
    <n v="3482500"/>
    <n v="488.3606787266863"/>
    <s v=" "/>
    <x v="958"/>
    <x v="494"/>
    <s v="C&amp;W; Trautvetter"/>
    <x v="862"/>
    <s v="Individual"/>
    <m/>
    <m/>
    <m/>
    <s v=" "/>
    <s v=" "/>
    <m/>
    <s v=" "/>
    <s v=" "/>
    <s v=" "/>
    <m/>
    <s v=" "/>
  </r>
  <r>
    <s v="Fresenius Medical Care (MT)"/>
    <s v="86-080 Farrington Hwy"/>
    <s v="Waianae"/>
    <s v="HI"/>
    <n v="1.06"/>
    <n v="1974"/>
    <n v="18000"/>
    <m/>
    <s v=" "/>
    <m/>
    <s v=" "/>
    <m/>
    <m/>
    <m/>
    <m/>
    <s v=" "/>
    <s v=" "/>
    <x v="959"/>
    <x v="984"/>
    <m/>
    <x v="863"/>
    <s v="Individual"/>
    <m/>
    <m/>
    <m/>
    <s v=" "/>
    <s v=" "/>
    <m/>
    <s v=" "/>
    <s v=" "/>
    <s v=" "/>
    <m/>
    <s v=" "/>
  </r>
  <r>
    <s v="AKD&amp;HC w/ Fresenius"/>
    <m/>
    <s v="Portfolio of Three"/>
    <s v="AZ"/>
    <m/>
    <m/>
    <m/>
    <m/>
    <s v=" "/>
    <m/>
    <s v=" "/>
    <m/>
    <m/>
    <m/>
    <n v="8800000"/>
    <s v=" "/>
    <s v=" "/>
    <x v="960"/>
    <x v="985"/>
    <m/>
    <x v="864"/>
    <s v="Fund"/>
    <m/>
    <m/>
    <m/>
    <s v=" "/>
    <s v=" "/>
    <m/>
    <s v=" "/>
    <s v=" "/>
    <s v=" "/>
    <m/>
    <s v=" "/>
  </r>
  <r>
    <s v="Fresenius Medical Care"/>
    <s v="387 W Milltown Rd"/>
    <s v="Wooster"/>
    <s v="OH"/>
    <n v="1.4"/>
    <n v="1998"/>
    <n v="6538"/>
    <m/>
    <s v=" "/>
    <m/>
    <s v=" "/>
    <m/>
    <m/>
    <m/>
    <n v="1090000"/>
    <n v="166.7176506576935"/>
    <s v=" "/>
    <x v="961"/>
    <x v="986"/>
    <s v="Landmark; Kukes"/>
    <x v="865"/>
    <s v="Individual"/>
    <m/>
    <m/>
    <m/>
    <s v=" "/>
    <s v=" "/>
    <m/>
    <s v=" "/>
    <s v=" "/>
    <s v=" "/>
    <m/>
    <s v=" "/>
  </r>
  <r>
    <s v="Fresenius Medical Care"/>
    <s v="4101 W Pioneer Pky"/>
    <s v="West Valley City"/>
    <s v="UT"/>
    <n v="0.46"/>
    <n v="2017"/>
    <n v="9655"/>
    <n v="333984"/>
    <n v="34.59181771103055"/>
    <d v="2032-12-31T00:00:00"/>
    <n v="15.98082191780822"/>
    <s v="NN"/>
    <s v="2% annually"/>
    <s v="3, 5yr"/>
    <n v="5828705"/>
    <n v="603.6980838943552"/>
    <n v="0.05729986334871983"/>
    <x v="961"/>
    <x v="987"/>
    <s v="SVN; Barber"/>
    <x v="866"/>
    <s v="Individual"/>
    <s v="LemRx; Lee"/>
    <m/>
    <n v="6320407"/>
    <n v="0.05284216665160962"/>
    <n v="0.9222040605929334"/>
    <n v="6320407"/>
    <n v="0.05284216665160962"/>
    <n v="0.004457696697110214"/>
    <s v="No"/>
    <d v="2016-08-03T00:00:00"/>
    <n v="161"/>
  </r>
  <r>
    <m/>
    <s v="15625 Lakewood Blvd"/>
    <s v="Paramount"/>
    <s v="CA"/>
    <n v="1.18"/>
    <n v="2016"/>
    <n v="13085"/>
    <m/>
    <s v=" "/>
    <d v="2031-08-31T00:00:00"/>
    <n v="15"/>
    <s v="NN"/>
    <m/>
    <s v="2, 5yr"/>
    <n v="8985000"/>
    <n v="686.6641192204814"/>
    <s v=" "/>
    <x v="962"/>
    <x v="988"/>
    <s v="Colliers International"/>
    <x v="324"/>
    <s v="Individual"/>
    <s v="Core Commercial"/>
    <m/>
    <m/>
    <s v=" "/>
    <s v=" "/>
    <m/>
    <s v=" "/>
    <s v=" "/>
    <s v=" "/>
    <m/>
    <s v=" "/>
  </r>
  <r>
    <s v="Davita Dialysis"/>
    <s v="4078 Golf Course Rd"/>
    <s v="Antioch"/>
    <s v="CA"/>
    <n v="0.7460055"/>
    <n v="2016"/>
    <n v="11530"/>
    <m/>
    <s v=" "/>
    <m/>
    <s v=" "/>
    <m/>
    <m/>
    <m/>
    <n v="6990000"/>
    <n v="606.244579358196"/>
    <s v=" "/>
    <x v="962"/>
    <x v="5"/>
    <s v="Colliers International"/>
    <x v="867"/>
    <s v="Individual"/>
    <m/>
    <m/>
    <m/>
    <s v=" "/>
    <s v=" "/>
    <m/>
    <s v=" "/>
    <s v=" "/>
    <s v=" "/>
    <m/>
    <s v=" "/>
  </r>
  <r>
    <s v="DaVita Dialysis"/>
    <s v="312 Medical Arts Dr"/>
    <s v="Edenton "/>
    <s v="NC"/>
    <n v="1.37"/>
    <n v="2014"/>
    <n v="7887"/>
    <n v="130692"/>
    <n v="16.57055914796501"/>
    <d v="2030-12-30T00:00:00"/>
    <n v="14.00821917808219"/>
    <s v="NN"/>
    <s v="10% every 5 years"/>
    <s v="2, 5yr"/>
    <n v="2376210"/>
    <n v="301.2818562190947"/>
    <n v="0.05500018937720151"/>
    <x v="962"/>
    <x v="296"/>
    <s v="C&amp;W; Patel"/>
    <x v="852"/>
    <s v="Individual"/>
    <s v="Judith Jackola"/>
    <m/>
    <m/>
    <s v=" "/>
    <s v=" "/>
    <m/>
    <s v=" "/>
    <s v=" "/>
    <s v=" "/>
    <m/>
    <s v=" "/>
  </r>
  <r>
    <s v="DaVita Dialysis"/>
    <s v="2227 Sherman Drive"/>
    <s v="Princeton"/>
    <s v="IN"/>
    <n v="2"/>
    <n v="2001"/>
    <n v="5458"/>
    <n v="69098"/>
    <n v="12.6599486991572"/>
    <d v="2030-02-27T00:00:00"/>
    <n v="13.17534246575342"/>
    <s v="Absolute NNN"/>
    <s v="2% annually"/>
    <s v="2, 5yr"/>
    <n v="1050000"/>
    <n v="192.378160498351"/>
    <n v="0.06580761904761905"/>
    <x v="963"/>
    <x v="989"/>
    <m/>
    <x v="868"/>
    <s v="Individual"/>
    <m/>
    <m/>
    <n v="1256000"/>
    <n v="0.05501433121019108"/>
    <n v="0.8359872611464968"/>
    <n v="1256000"/>
    <n v="0.05501433121019108"/>
    <n v="0.01079328783742797"/>
    <s v="No"/>
    <m/>
    <s v=" "/>
  </r>
  <r>
    <m/>
    <s v="2065 N Las Vegas Blvd"/>
    <s v="North Las Vegas"/>
    <s v="NV"/>
    <n v="0.7"/>
    <n v="1956"/>
    <n v="10249"/>
    <n v="197296"/>
    <n v="19.25026831886038"/>
    <m/>
    <s v=" "/>
    <m/>
    <m/>
    <m/>
    <n v="3245000"/>
    <n v="316.6162552444141"/>
    <n v="0.0608"/>
    <x v="964"/>
    <x v="990"/>
    <s v="M&amp;M"/>
    <x v="869"/>
    <s v="Individual"/>
    <s v="M&amp;M;"/>
    <m/>
    <m/>
    <s v=" "/>
    <s v=" "/>
    <m/>
    <s v=" "/>
    <s v=" "/>
    <s v=" "/>
    <m/>
    <s v=" "/>
  </r>
  <r>
    <s v="Fresenius Medical Care"/>
    <s v="1004 Forestdale Blvd."/>
    <s v="Birmingham"/>
    <s v="AL"/>
    <n v="1.48"/>
    <n v="2011"/>
    <n v="7896"/>
    <n v="120724"/>
    <n v="15.28926038500507"/>
    <d v="2025-12-31T00:00:00"/>
    <n v="9.032876712328767"/>
    <s v="NN"/>
    <s v="7.5% every 5 years in primary term"/>
    <s v="Three (3), five (5) year options"/>
    <n v="1777691"/>
    <n v="225.1381712259372"/>
    <n v="0.06791056488444842"/>
    <x v="964"/>
    <x v="991"/>
    <s v="SJC; Butler"/>
    <x v="870"/>
    <s v="Individual"/>
    <m/>
    <m/>
    <n v="1900000"/>
    <n v="0.06353894736842106"/>
    <n v="0.9356268421052631"/>
    <n v="1900000"/>
    <n v="0.06353894736842106"/>
    <n v="0.004371617516027368"/>
    <s v="No"/>
    <d v="2016-09-14T00:00:00"/>
    <n v="98"/>
  </r>
  <r>
    <m/>
    <s v="3355 Earl Campbell Pkwy"/>
    <s v="Tyler"/>
    <s v="TX"/>
    <m/>
    <n v="2016"/>
    <n v="80000"/>
    <m/>
    <s v=" "/>
    <m/>
    <s v=" "/>
    <m/>
    <m/>
    <m/>
    <n v="19396000"/>
    <n v="242.45"/>
    <s v=" "/>
    <x v="965"/>
    <x v="992"/>
    <m/>
    <x v="871"/>
    <s v="REIT"/>
    <m/>
    <m/>
    <m/>
    <s v=" "/>
    <s v=" "/>
    <m/>
    <s v=" "/>
    <s v=" "/>
    <s v=" "/>
    <m/>
    <s v=" "/>
  </r>
  <r>
    <s v="DaVita Dialysis"/>
    <s v="150 S Valley View Blvd"/>
    <s v="Las Vegas"/>
    <s v="NV"/>
    <n v="1.33"/>
    <n v="1985"/>
    <n v="12277"/>
    <n v="373465.32"/>
    <n v="30.4199169178138"/>
    <d v="2025-11-15T00:00:00"/>
    <n v="8.920547945205479"/>
    <s v="NN"/>
    <s v="2% annually"/>
    <s v="3, 5 yr"/>
    <n v="5685591"/>
    <n v="463.1091471857946"/>
    <n v="0.06568627957937882"/>
    <x v="965"/>
    <x v="993"/>
    <s v="MDL; Katz"/>
    <x v="267"/>
    <s v="Fund"/>
    <m/>
    <m/>
    <n v="6225000"/>
    <n v="0.05999442891566265"/>
    <n v="0.9133479518072289"/>
    <n v="6225000"/>
    <n v="0.05999442891566265"/>
    <n v="0.005691850663716171"/>
    <s v="No"/>
    <d v="2016-08-20T00:00:00"/>
    <n v="118"/>
  </r>
  <r>
    <s v="DaVita Dialysis"/>
    <s v="297 Pete Hollis Blvd"/>
    <s v="Greenville"/>
    <s v="SC"/>
    <n v="1.41"/>
    <n v="2013"/>
    <n v="6659"/>
    <n v="179568.372"/>
    <n v="26.96626700705811"/>
    <d v="2029-03-31T00:00:00"/>
    <n v="12.2958904109589"/>
    <s v="NN"/>
    <s v="10% every 5"/>
    <s v="3, 5 yr"/>
    <n v="2147947"/>
    <n v="322.5629974470641"/>
    <n v="0.08360000130357033"/>
    <x v="965"/>
    <x v="389"/>
    <m/>
    <x v="267"/>
    <s v="Fund"/>
    <m/>
    <m/>
    <m/>
    <s v=" "/>
    <s v=" "/>
    <m/>
    <s v=" "/>
    <s v=" "/>
    <s v=" "/>
    <m/>
    <s v=" "/>
  </r>
  <r>
    <s v="DaVita Dialysis"/>
    <s v="8024 White Ave"/>
    <s v="Spartanburg"/>
    <s v="SC"/>
    <n v="1.74"/>
    <n v="2015"/>
    <n v="6400"/>
    <m/>
    <s v=" "/>
    <d v="2029-06-30T00:00:00"/>
    <n v="12.54520547945205"/>
    <s v="NN"/>
    <s v="10% every 5"/>
    <s v="3, 5 yr"/>
    <n v="1524383"/>
    <n v="238.18484375"/>
    <s v=" "/>
    <x v="965"/>
    <x v="389"/>
    <m/>
    <x v="267"/>
    <s v="Fund"/>
    <m/>
    <m/>
    <m/>
    <s v=" "/>
    <s v=" "/>
    <m/>
    <s v=" "/>
    <s v=" "/>
    <s v=" "/>
    <m/>
    <s v=" "/>
  </r>
  <r>
    <s v="U.S. Renal Care"/>
    <s v="1032 Bateman Dr"/>
    <s v="Social Circle"/>
    <s v="GA"/>
    <n v="1.38"/>
    <n v="2019"/>
    <n v="7203"/>
    <m/>
    <s v=" "/>
    <m/>
    <s v=" "/>
    <m/>
    <m/>
    <m/>
    <n v="1965000"/>
    <n v="272.8029987505206"/>
    <s v=" "/>
    <x v="965"/>
    <x v="389"/>
    <m/>
    <x v="267"/>
    <s v="Fund"/>
    <m/>
    <m/>
    <m/>
    <s v=" "/>
    <s v=" "/>
    <m/>
    <s v=" "/>
    <s v=" "/>
    <s v=" "/>
    <m/>
    <s v=" "/>
  </r>
  <r>
    <s v="Fresenius Medical Care"/>
    <s v="185 Old Peachtree Rd NW"/>
    <s v="Suwanee"/>
    <s v="GA"/>
    <n v="1.02"/>
    <n v="2006"/>
    <n v="7740"/>
    <n v="144080"/>
    <n v="18.61498708010336"/>
    <d v="2026-09-30T00:00:00"/>
    <n v="9.816438356164383"/>
    <s v="NN"/>
    <s v="5% every 5 years"/>
    <s v="1, 5yr"/>
    <n v="2214000"/>
    <n v="286.046511627907"/>
    <n v="0.06507678410117435"/>
    <x v="966"/>
    <x v="994"/>
    <s v="Neal Jernigan"/>
    <x v="872"/>
    <s v="Individual"/>
    <s v="Archway"/>
    <m/>
    <m/>
    <s v=" "/>
    <s v=" "/>
    <m/>
    <s v=" "/>
    <s v=" "/>
    <s v=" "/>
    <m/>
    <s v=" "/>
  </r>
  <r>
    <s v="Fresenius Medical Care"/>
    <s v="2834 Spring Ave SW"/>
    <s v="Decatur"/>
    <s v="AL"/>
    <n v="1.3"/>
    <n v="2015"/>
    <n v="8200"/>
    <n v="269990"/>
    <n v="32.92560975609756"/>
    <d v="2031-09-30T00:00:00"/>
    <n v="14.84109589041096"/>
    <s v="NN"/>
    <s v="10% every 5"/>
    <s v="3, 5yr"/>
    <n v="3824633"/>
    <n v="466.4186585365854"/>
    <n v="0.07059239409376011"/>
    <x v="967"/>
    <x v="995"/>
    <s v="SVN; Rich"/>
    <x v="873"/>
    <s v="Individual"/>
    <m/>
    <s v="Huntsville Renal Clinic"/>
    <m/>
    <s v=" "/>
    <s v=" "/>
    <m/>
    <s v=" "/>
    <s v=" "/>
    <s v=" "/>
    <m/>
    <s v=" "/>
  </r>
  <r>
    <s v="Fresenius Medical Care"/>
    <s v="812 US Hwy 271 N"/>
    <s v="Gilmer"/>
    <s v="TX"/>
    <m/>
    <n v="2016"/>
    <n v="7104"/>
    <m/>
    <s v=" "/>
    <m/>
    <s v=" "/>
    <m/>
    <m/>
    <m/>
    <m/>
    <m/>
    <s v=" "/>
    <x v="968"/>
    <x v="996"/>
    <s v="M&amp;M"/>
    <x v="874"/>
    <s v="Individual"/>
    <s v="M&amp;M;"/>
    <m/>
    <m/>
    <s v=" "/>
    <s v=" "/>
    <m/>
    <s v=" "/>
    <s v=" "/>
    <s v=" "/>
    <m/>
    <s v=" "/>
  </r>
  <r>
    <s v="DaVita Dialysis"/>
    <s v="5933 N Broad St"/>
    <s v="Philadelphia"/>
    <s v="PA"/>
    <n v="0.43"/>
    <n v="1925"/>
    <n v="11526"/>
    <n v="230520"/>
    <n v="20"/>
    <d v="2031-11-29T00:00:00"/>
    <n v="15.03835616438356"/>
    <s v="NN"/>
    <s v="10% every 5"/>
    <s v="3, 5yr"/>
    <n v="3589387"/>
    <n v="311.4165365261149"/>
    <n v="0.06422266531861848"/>
    <x v="969"/>
    <x v="66"/>
    <s v="AY; Kropfl"/>
    <x v="330"/>
    <s v="Fund"/>
    <m/>
    <m/>
    <m/>
    <s v=" "/>
    <s v=" "/>
    <m/>
    <s v=" "/>
    <s v=" "/>
    <s v=" "/>
    <m/>
    <s v=" "/>
  </r>
  <r>
    <s v="DaVita Dialysis"/>
    <s v="231 Hillcrest Drive "/>
    <s v="Clarksville"/>
    <s v="TN"/>
    <n v="0.72"/>
    <n v="2016"/>
    <n v="4968"/>
    <n v="99360"/>
    <n v="20"/>
    <d v="2031-11-30T00:00:00"/>
    <n v="15.04109589041096"/>
    <s v="NNN"/>
    <s v="10% every 5 years"/>
    <s v="2, 5yr"/>
    <n v="1547117"/>
    <n v="311.4164653784219"/>
    <n v="0.06422267999123531"/>
    <x v="969"/>
    <x v="66"/>
    <s v="AY; Kropfl"/>
    <x v="330"/>
    <s v="Fund"/>
    <m/>
    <m/>
    <m/>
    <s v=" "/>
    <s v=" "/>
    <m/>
    <s v=" "/>
    <s v=" "/>
    <s v=" "/>
    <m/>
    <s v=" "/>
  </r>
  <r>
    <s v="DaVita Dialysis"/>
    <s v="1625 Unity Way NW"/>
    <s v="Winter Haven"/>
    <s v="FL"/>
    <m/>
    <n v="2016"/>
    <n v="6416"/>
    <n v="127800"/>
    <n v="19.91895261845386"/>
    <d v="2031-11-30T00:00:00"/>
    <n v="15.04109589041096"/>
    <s v="NNN"/>
    <s v="10% every 5 years"/>
    <s v="2, 5yr"/>
    <n v="1990000"/>
    <n v="310.1620947630923"/>
    <n v="0.0642211055276382"/>
    <x v="969"/>
    <x v="66"/>
    <s v="AY; Kropfl"/>
    <x v="330"/>
    <s v="Fund"/>
    <m/>
    <m/>
    <m/>
    <s v=" "/>
    <s v=" "/>
    <m/>
    <s v=" "/>
    <s v=" "/>
    <s v=" "/>
    <m/>
    <s v=" "/>
  </r>
  <r>
    <s v="DaVita Dialysis"/>
    <s v="1090 W McKinley Ave"/>
    <s v="Decatur"/>
    <s v="IL"/>
    <n v="1.82"/>
    <n v="2016"/>
    <n v="10589"/>
    <n v="190602"/>
    <n v="18"/>
    <d v="2031-11-30T00:00:00"/>
    <n v="15.04109589041096"/>
    <s v="NN"/>
    <s v="10% every 5 years"/>
    <s v="2, 5yr"/>
    <n v="2968000"/>
    <n v="280.2908678817641"/>
    <n v="0.06421900269541779"/>
    <x v="969"/>
    <x v="66"/>
    <s v="AY; Kropfl"/>
    <x v="330"/>
    <s v="Fund"/>
    <m/>
    <m/>
    <m/>
    <s v=" "/>
    <s v=" "/>
    <m/>
    <s v=" "/>
    <s v=" "/>
    <s v=" "/>
    <m/>
    <s v=" "/>
  </r>
  <r>
    <s v="DaVita Dialysis"/>
    <s v="1265 Rock Canyon Dr"/>
    <s v="Katy"/>
    <s v="TX"/>
    <n v="0.58"/>
    <n v="2000"/>
    <n v="5525"/>
    <n v="101260"/>
    <n v="18.32760180995475"/>
    <d v="2031-11-30T00:00:00"/>
    <n v="15.04109589041096"/>
    <s v="NN"/>
    <s v="10% every 5 years"/>
    <s v="2, 5yr"/>
    <m/>
    <s v=" "/>
    <s v=" "/>
    <x v="969"/>
    <x v="66"/>
    <s v="AY; Kropfl"/>
    <x v="330"/>
    <s v="Fund"/>
    <m/>
    <m/>
    <m/>
    <s v=" "/>
    <s v=" "/>
    <m/>
    <s v=" "/>
    <s v=" "/>
    <s v=" "/>
    <m/>
    <s v=" "/>
  </r>
  <r>
    <s v="Fresenius Medical Care"/>
    <s v="160 Jack Burton Dr"/>
    <s v="Cleburne"/>
    <s v="TX"/>
    <n v="3.5"/>
    <n v="2002"/>
    <n v="7000"/>
    <n v="132020"/>
    <n v="18.86"/>
    <d v="2029-06-30T00:00:00"/>
    <n v="12.62465753424657"/>
    <s v="NN"/>
    <s v="Lesser of FMV or CPI"/>
    <s v="3, 5yr"/>
    <n v="1579000"/>
    <n v="225.5714285714286"/>
    <n v="0.08360987967067765"/>
    <x v="970"/>
    <x v="997"/>
    <s v="PH: Peranich &amp; Huffman"/>
    <x v="735"/>
    <s v="Individual"/>
    <m/>
    <m/>
    <m/>
    <s v=" "/>
    <s v=" "/>
    <m/>
    <s v=" "/>
    <s v=" "/>
    <s v=" "/>
    <m/>
    <s v=" "/>
  </r>
  <r>
    <s v="Fresenius Medical Care"/>
    <s v="978 Chas Dr"/>
    <s v="Lexington"/>
    <s v="KY"/>
    <n v="1.2"/>
    <n v="2016"/>
    <n v="6838"/>
    <m/>
    <s v=" "/>
    <d v="2030-11-30T00:00:00"/>
    <n v="14.04931506849315"/>
    <s v="NN"/>
    <s v="1.7% annually"/>
    <s v="3, 5yr"/>
    <n v="3398394"/>
    <n v="496.986545773618"/>
    <s v=" "/>
    <x v="971"/>
    <x v="983"/>
    <m/>
    <x v="267"/>
    <s v="Fund"/>
    <m/>
    <m/>
    <m/>
    <s v=" "/>
    <s v=" "/>
    <m/>
    <s v=" "/>
    <s v=" "/>
    <s v=" "/>
    <m/>
    <s v=" "/>
  </r>
  <r>
    <s v="American Renal (MT)"/>
    <s v="1649 Gordon Hwy"/>
    <s v="Augusta"/>
    <s v="GA"/>
    <n v="1.38"/>
    <n v="1971"/>
    <n v="32500"/>
    <m/>
    <s v=" "/>
    <m/>
    <s v=" "/>
    <m/>
    <m/>
    <m/>
    <n v="837500"/>
    <n v="25.76923076923077"/>
    <s v=" "/>
    <x v="971"/>
    <x v="13"/>
    <m/>
    <x v="0"/>
    <s v="Individual"/>
    <m/>
    <m/>
    <m/>
    <s v=" "/>
    <s v=" "/>
    <m/>
    <s v=" "/>
    <s v=" "/>
    <s v=" "/>
    <m/>
    <s v=" "/>
  </r>
  <r>
    <s v="DaVita Dialysis"/>
    <s v="248 Elm Drive"/>
    <s v="Waynesburg"/>
    <s v="PA"/>
    <n v="0.88"/>
    <n v="2016"/>
    <n v="5679"/>
    <n v="73827"/>
    <n v="13"/>
    <d v="2031-11-30T00:00:00"/>
    <n v="15.05205479452055"/>
    <s v="NNN"/>
    <s v="10% every 5 years"/>
    <s v="2, 5yr"/>
    <n v="1074345"/>
    <n v="189.1785525620708"/>
    <n v="0.06871814919788335"/>
    <x v="972"/>
    <x v="66"/>
    <s v="AY; Kropfl"/>
    <x v="330"/>
    <s v="Fund"/>
    <m/>
    <m/>
    <m/>
    <s v=" "/>
    <s v=" "/>
    <m/>
    <s v=" "/>
    <s v=" "/>
    <s v=" "/>
    <m/>
    <s v=" "/>
  </r>
  <r>
    <s v="DaVita Dialysis"/>
    <s v="38454 5th St W"/>
    <s v="Palmdale"/>
    <s v="CA"/>
    <n v="2.91"/>
    <n v="2015"/>
    <n v="13750"/>
    <n v="348500"/>
    <n v="25.34545454545454"/>
    <d v="2031-07-31T00:00:00"/>
    <n v="14.73424657534247"/>
    <s v="NN"/>
    <s v="10% every 5 years"/>
    <m/>
    <n v="6970000"/>
    <n v="506.9090909090909"/>
    <n v="0.05"/>
    <x v="973"/>
    <x v="511"/>
    <s v="CBRE; Stache"/>
    <x v="875"/>
    <s v="Individual"/>
    <m/>
    <s v="Meridian Property Co."/>
    <n v="6972000"/>
    <n v="0.04998565691336776"/>
    <n v="0.9997131382673551"/>
    <n v="6972000"/>
    <n v="0.04998565691336776"/>
    <n v="1.434308663224304e-05"/>
    <s v="No"/>
    <d v="2016-06-17T00:00:00"/>
    <n v="144"/>
  </r>
  <r>
    <s v="DaVita Dialysis"/>
    <s v="8980 Natural Bridge Road"/>
    <s v="St. Louis"/>
    <s v="MO"/>
    <n v="1.14"/>
    <n v="2016"/>
    <n v="8052"/>
    <n v="173118"/>
    <n v="21.5"/>
    <d v="2031-08-31T00:00:00"/>
    <n v="14.83287671232877"/>
    <s v="NN"/>
    <s v="5.81% in yr 6, 7.69% in year 11"/>
    <s v="Increases 10% in each Option"/>
    <n v="2705000"/>
    <n v="335.9413810233482"/>
    <n v="0.06399926062846581"/>
    <x v="974"/>
    <x v="998"/>
    <s v="SJC"/>
    <x v="305"/>
    <s v="Fund"/>
    <m/>
    <m/>
    <n v="2885300"/>
    <n v="0.06"/>
    <n v="0.9375108307628323"/>
    <n v="2885300"/>
    <n v="0.06"/>
    <n v="0.003999260628465812"/>
    <s v="No"/>
    <m/>
    <s v=" "/>
  </r>
  <r>
    <s v="DaVita Dialysis"/>
    <s v="125 E Arbor Vitae St"/>
    <s v="Inglewood"/>
    <s v="CA"/>
    <n v="0.65"/>
    <n v="1989"/>
    <n v="8872"/>
    <n v="221800"/>
    <n v="25"/>
    <d v="2031-10-31T00:00:00"/>
    <n v="15"/>
    <s v="NN"/>
    <s v="10% every 5 years"/>
    <s v="2, 5yr"/>
    <n v="3761000"/>
    <n v="423.9179440937782"/>
    <n v="0.05897367721350705"/>
    <x v="974"/>
    <x v="66"/>
    <m/>
    <x v="330"/>
    <s v="Fund"/>
    <m/>
    <s v="Davita"/>
    <m/>
    <s v=" "/>
    <s v=" "/>
    <m/>
    <s v=" "/>
    <s v=" "/>
    <s v=" "/>
    <m/>
    <s v=" "/>
  </r>
  <r>
    <s v="DaVita Dialysis"/>
    <s v="1000 E Palmer Ave"/>
    <s v="Glendale"/>
    <s v="CA"/>
    <n v="0.5"/>
    <n v="1985"/>
    <n v="6556"/>
    <n v="268260"/>
    <n v="40.91824283099451"/>
    <d v="2031-10-31T00:00:00"/>
    <n v="15"/>
    <s v="NN"/>
    <s v="10% every 5 years"/>
    <s v="2, 5yr"/>
    <n v="4549000"/>
    <n v="693.8682123245882"/>
    <n v="0.05897120246207958"/>
    <x v="974"/>
    <x v="66"/>
    <m/>
    <x v="330"/>
    <s v="Fund"/>
    <m/>
    <s v="Davita"/>
    <m/>
    <s v=" "/>
    <s v=" "/>
    <m/>
    <s v=" "/>
    <s v=" "/>
    <s v=" "/>
    <m/>
    <s v=" "/>
  </r>
  <r>
    <s v="DaVita Dialysis"/>
    <s v="1498 Southgate Ave"/>
    <s v="Daly City"/>
    <s v="CA"/>
    <n v="1.08"/>
    <n v="2015"/>
    <n v="19678"/>
    <n v="474672"/>
    <n v="24.12196361418843"/>
    <d v="2031-10-31T00:00:00"/>
    <n v="15"/>
    <s v="NN"/>
    <s v="10% every 5 years"/>
    <s v="2, 5yr"/>
    <n v="8049000"/>
    <n v="409.0354710844598"/>
    <n v="0.05897279165113679"/>
    <x v="974"/>
    <x v="66"/>
    <m/>
    <x v="330"/>
    <s v="Fund"/>
    <m/>
    <s v="Davita"/>
    <m/>
    <s v=" "/>
    <s v=" "/>
    <m/>
    <s v=" "/>
    <s v=" "/>
    <s v=" "/>
    <m/>
    <s v=" "/>
  </r>
  <r>
    <s v="DaVita Dialysis"/>
    <s v="322 Washington St"/>
    <s v="Brookline"/>
    <s v="MA"/>
    <n v="0.41"/>
    <n v="1955"/>
    <n v="15536"/>
    <n v="683583.9675"/>
    <n v="43.99999790808445"/>
    <d v="2031-10-31T00:00:00"/>
    <n v="15"/>
    <s v="NN"/>
    <s v="10% every 5 years"/>
    <s v="2, 5yr"/>
    <n v="10260000"/>
    <n v="660.4016477857879"/>
    <n v="0.06662611769005848"/>
    <x v="974"/>
    <x v="66"/>
    <s v="AY; Kropfl"/>
    <x v="330"/>
    <s v="Fund"/>
    <m/>
    <s v="Davita"/>
    <m/>
    <s v=" "/>
    <s v=" "/>
    <m/>
    <s v=" "/>
    <s v=" "/>
    <s v=" "/>
    <m/>
    <s v=" "/>
  </r>
  <r>
    <m/>
    <s v="520 Physicians Ln"/>
    <s v="Sumter"/>
    <s v="SC"/>
    <n v="1.480005"/>
    <n v="2015"/>
    <n v="10155"/>
    <m/>
    <s v=" "/>
    <m/>
    <s v=" "/>
    <m/>
    <m/>
    <m/>
    <n v="4755541"/>
    <n v="468.2955194485475"/>
    <s v=" "/>
    <x v="975"/>
    <x v="885"/>
    <m/>
    <x v="64"/>
    <s v="Fund"/>
    <m/>
    <m/>
    <m/>
    <s v=" "/>
    <s v=" "/>
    <m/>
    <s v=" "/>
    <s v=" "/>
    <s v=" "/>
    <m/>
    <s v=" "/>
  </r>
  <r>
    <s v="Fresenius Medical Care"/>
    <s v="604 Airport Rd"/>
    <s v="Kinston"/>
    <s v="NC"/>
    <m/>
    <n v="1997"/>
    <n v="10880"/>
    <n v="155430"/>
    <n v="14.28584558823529"/>
    <d v="2022-12-31T00:00:00"/>
    <n v="6.167123287671233"/>
    <s v="NN"/>
    <s v="1.7% annually"/>
    <s v="2, 5 yr"/>
    <n v="1980000"/>
    <n v="181.9852941176471"/>
    <n v="0.0785"/>
    <x v="976"/>
    <x v="999"/>
    <m/>
    <x v="637"/>
    <s v="Fund"/>
    <m/>
    <m/>
    <m/>
    <s v=" "/>
    <s v=" "/>
    <m/>
    <s v=" "/>
    <s v=" "/>
    <s v=" "/>
    <m/>
    <s v=" "/>
  </r>
  <r>
    <s v="Fresenius Medical Care"/>
    <s v="4810 E Sam Houston Pkwy N"/>
    <s v="Houston"/>
    <s v="TX"/>
    <n v="2.796005"/>
    <n v="2015"/>
    <n v="8403"/>
    <n v="282600"/>
    <n v="33.63084612638343"/>
    <m/>
    <s v=" "/>
    <m/>
    <m/>
    <m/>
    <n v="4710000"/>
    <n v="560.5141021063906"/>
    <n v="0.06"/>
    <x v="977"/>
    <x v="13"/>
    <s v="SJC"/>
    <x v="637"/>
    <s v="Fund"/>
    <s v="SJC"/>
    <m/>
    <m/>
    <s v=" "/>
    <s v=" "/>
    <m/>
    <s v=" "/>
    <s v=" "/>
    <s v=" "/>
    <m/>
    <s v=" "/>
  </r>
  <r>
    <s v="Fresenius Medical Care"/>
    <s v="2001 E Bowie Ave"/>
    <s v="Crockett"/>
    <s v="TX"/>
    <n v="1.41"/>
    <n v="2015"/>
    <n v="8317"/>
    <n v="291297"/>
    <n v="35.02428760370326"/>
    <d v="2031-01-31T00:00:00"/>
    <n v="14.26027397260274"/>
    <s v="NN"/>
    <s v="1.7% annually"/>
    <s v="3, 5 yr"/>
    <n v="4445000"/>
    <n v="534.4475171335819"/>
    <n v="0.06553363329583801"/>
    <x v="977"/>
    <x v="192"/>
    <m/>
    <x v="305"/>
    <s v="Fund"/>
    <s v="PG; Lesley"/>
    <m/>
    <n v="4660752"/>
    <n v="0.0625"/>
    <n v="0.9537087577283666"/>
    <n v="4660752"/>
    <n v="0.0625"/>
    <n v="0.003033633295838015"/>
    <s v="No"/>
    <m/>
    <s v=" "/>
  </r>
  <r>
    <s v="Fresenius Medical Care"/>
    <s v="262 Natchez Trace Ave"/>
    <s v="Bowling Green"/>
    <s v="KY"/>
    <n v="1.43"/>
    <n v="2015"/>
    <n v="9704"/>
    <m/>
    <s v=" "/>
    <m/>
    <s v=" "/>
    <m/>
    <m/>
    <m/>
    <m/>
    <s v=" "/>
    <s v=" "/>
    <x v="978"/>
    <x v="13"/>
    <m/>
    <x v="267"/>
    <s v="Fund"/>
    <m/>
    <m/>
    <m/>
    <s v=" "/>
    <s v=" "/>
    <m/>
    <s v=" "/>
    <s v=" "/>
    <s v=" "/>
    <m/>
    <s v=" "/>
  </r>
  <r>
    <s v="Fresenius Medical Care"/>
    <s v="2840 Target Dr"/>
    <s v="Saint Louis"/>
    <s v="MO"/>
    <n v="1.69"/>
    <n v="2016"/>
    <n v="7700"/>
    <n v="340108.5"/>
    <n v="44.16993506493507"/>
    <d v="2031-06-30T00:00:00"/>
    <n v="14.67397260273973"/>
    <s v="NN"/>
    <s v="1.7% annually"/>
    <s v="3, 5 yr"/>
    <n v="5273000"/>
    <n v="684.8051948051948"/>
    <n v="0.0645"/>
    <x v="978"/>
    <x v="192"/>
    <m/>
    <x v="305"/>
    <s v="Fund"/>
    <s v="PG; Lesley"/>
    <m/>
    <m/>
    <s v=" "/>
    <s v=" "/>
    <m/>
    <s v=" "/>
    <s v=" "/>
    <s v=" "/>
    <m/>
    <s v=" "/>
  </r>
  <r>
    <s v="Fresenius Medical Care"/>
    <s v="1534 N Hoskins Rd"/>
    <s v="Charlotte"/>
    <s v="NC"/>
    <n v="3"/>
    <n v="2002"/>
    <n v="10000"/>
    <n v="214327.5"/>
    <n v="21.43275"/>
    <d v="2026-09-30T00:00:00"/>
    <n v="9.92876712328767"/>
    <s v="NN"/>
    <s v="1.7% annually"/>
    <s v="3, 5yr"/>
    <n v="3075000"/>
    <n v="307.5"/>
    <n v="0.0697"/>
    <x v="979"/>
    <x v="1000"/>
    <s v="Matthews; Moreno"/>
    <x v="267"/>
    <s v="Fund"/>
    <m/>
    <m/>
    <m/>
    <s v=" "/>
    <s v=" "/>
    <m/>
    <s v=" "/>
    <s v=" "/>
    <s v=" "/>
    <m/>
    <s v=" "/>
  </r>
  <r>
    <s v="Fresenius Medical Care"/>
    <s v="2429 Martin Luther King Jr Dr"/>
    <s v="Cleveland"/>
    <s v="OH"/>
    <n v="2.42"/>
    <n v="2016"/>
    <n v="31365"/>
    <n v="640969.9684893417"/>
    <n v="20.43583511842314"/>
    <d v="2031-10-30T00:00:00"/>
    <n v="15.01643835616438"/>
    <s v="NN"/>
    <s v="1.7% annually"/>
    <s v="3, 5yr"/>
    <n v="10740000"/>
    <n v="342.4198947871832"/>
    <n v="0.05968063021316031"/>
    <x v="980"/>
    <x v="520"/>
    <m/>
    <x v="305"/>
    <s v="Fund"/>
    <m/>
    <m/>
    <m/>
    <s v=" "/>
    <s v=" "/>
    <m/>
    <s v=" "/>
    <s v=" "/>
    <s v=" "/>
    <m/>
    <s v=" "/>
  </r>
  <r>
    <s v="DaVita Dialysis"/>
    <s v="1205 Marlin Rd"/>
    <s v="Memphis"/>
    <s v="TN"/>
    <n v="1.07"/>
    <n v="2002"/>
    <n v="5814"/>
    <n v="87645"/>
    <n v="15.07481940144479"/>
    <d v="2025-08-31T00:00:00"/>
    <n v="8.854794520547944"/>
    <s v="NN"/>
    <s v="10% every 5"/>
    <s v="2, 5 yr"/>
    <n v="1252000"/>
    <n v="215.3422772617819"/>
    <n v="0.07000399361022364"/>
    <x v="981"/>
    <x v="296"/>
    <s v="C&amp;W; Jay Patel"/>
    <x v="876"/>
    <s v="Individual"/>
    <s v="M&amp;M; Blair"/>
    <m/>
    <n v="1298444"/>
    <n v="0.06750002310457748"/>
    <n v="0.9642310334523476"/>
    <n v="1298444"/>
    <n v="0.06750002310457748"/>
    <n v="0.002503970505646158"/>
    <s v="No"/>
    <d v="2016-08-09T00:00:00"/>
    <n v="77"/>
  </r>
  <r>
    <s v="Fresenius Medical Care"/>
    <s v="6107 N FM 2100"/>
    <s v="Crosby"/>
    <s v="TX"/>
    <n v="0.98"/>
    <n v="2005"/>
    <n v="6000"/>
    <n v="136500"/>
    <n v="22.75"/>
    <d v="2020-01-31T00:00:00"/>
    <n v="3.271232876712329"/>
    <s v="NN"/>
    <s v="FMV at each option"/>
    <s v="3, 5yr"/>
    <n v="1875000"/>
    <n v="312.5"/>
    <n v="0.0728"/>
    <x v="982"/>
    <x v="435"/>
    <s v="Michael Campbell"/>
    <x v="877"/>
    <s v="Individual"/>
    <m/>
    <m/>
    <n v="1875000"/>
    <n v="0.0728"/>
    <n v="1"/>
    <n v="1875000"/>
    <n v="0.0728"/>
    <n v="0"/>
    <s v="No"/>
    <d v="2015-08-26T00:00:00"/>
    <n v="425"/>
  </r>
  <r>
    <m/>
    <s v="2455 Sister Mary Columba Dr"/>
    <s v="Red Bluff"/>
    <s v="CA"/>
    <n v="0.8899908"/>
    <n v="1978"/>
    <n v="6300"/>
    <m/>
    <s v=" "/>
    <m/>
    <s v=" "/>
    <m/>
    <m/>
    <m/>
    <n v="3300000"/>
    <n v="523.8095238095239"/>
    <s v=" "/>
    <x v="983"/>
    <x v="1001"/>
    <m/>
    <x v="878"/>
    <s v="Individual"/>
    <s v="KM; "/>
    <m/>
    <m/>
    <s v=" "/>
    <s v=" "/>
    <m/>
    <s v=" "/>
    <s v=" "/>
    <s v=" "/>
    <m/>
    <s v=" "/>
  </r>
  <r>
    <s v="DaVita Dialysis"/>
    <s v="1786 Blanding Blvd"/>
    <s v="Middleburg"/>
    <s v="FL"/>
    <n v="24.21"/>
    <m/>
    <n v="62252"/>
    <n v="981750"/>
    <n v="15.77057765212363"/>
    <d v="2024-04-30T00:00:00"/>
    <n v="7.531506849315068"/>
    <s v="NN"/>
    <s v="10% every 5 years"/>
    <s v="2, 5 yr"/>
    <n v="11900000"/>
    <n v="191.1585169954379"/>
    <n v="0.0825"/>
    <x v="983"/>
    <x v="1002"/>
    <s v="Matthews; Moreno"/>
    <x v="879"/>
    <s v="Individual"/>
    <m/>
    <m/>
    <m/>
    <s v=" "/>
    <s v=" "/>
    <m/>
    <s v=" "/>
    <s v=" "/>
    <s v=" "/>
    <d v="2016-06-15T00:00:00"/>
    <n v="127"/>
  </r>
  <r>
    <s v="DaVita Dialysis"/>
    <s v="605 Lemoyne Rd"/>
    <s v="Northwood"/>
    <s v="OH"/>
    <n v="1.53"/>
    <n v="1988"/>
    <n v="8924"/>
    <n v="72000.03200000001"/>
    <n v="8.068134468848051"/>
    <d v="2024-08-31T00:00:00"/>
    <n v="7.868493150684931"/>
    <s v="NN"/>
    <s v="FMV at each option"/>
    <s v="2, 5 yr"/>
    <n v="890000"/>
    <n v="99.73106230389959"/>
    <n v="0.08089891235955057"/>
    <x v="983"/>
    <x v="1003"/>
    <s v="SVN; Synder"/>
    <x v="880"/>
    <s v="Individual"/>
    <m/>
    <m/>
    <n v="1058824"/>
    <n v="0.068"/>
    <n v="0.8405551819754746"/>
    <n v="1058824"/>
    <n v="0.068"/>
    <n v="0.01289891235955057"/>
    <s v="No"/>
    <d v="2016-06-27T00:00:00"/>
    <n v="115"/>
  </r>
  <r>
    <s v="Fresenius Medical Care"/>
    <s v="38910 Trade Center Dr"/>
    <s v="Palmdale"/>
    <s v="CA"/>
    <n v="0.75"/>
    <n v="2016"/>
    <n v="9120"/>
    <n v="191520"/>
    <n v="21"/>
    <d v="2026-11-30T00:00:00"/>
    <n v="10.12054794520548"/>
    <s v="NN"/>
    <s v="3% annually"/>
    <s v="3, 5 yr"/>
    <n v="2860000"/>
    <n v="313.5964912280702"/>
    <n v="0.06696503496503496"/>
    <x v="984"/>
    <x v="1004"/>
    <s v="Coldwell; Holloway"/>
    <x v="267"/>
    <s v="Fund"/>
    <s v="Pasha Darvishian"/>
    <m/>
    <n v="2736000"/>
    <n v="0.07000000000000001"/>
    <n v="1.045321637426901"/>
    <n v="2736000"/>
    <n v="0.07000000000000001"/>
    <n v="-0.003034965034965045"/>
    <s v="No"/>
    <m/>
    <s v=" "/>
  </r>
  <r>
    <s v="DaVita Dialysis"/>
    <s v="425 MB Lane "/>
    <s v="Chilton"/>
    <s v="WI"/>
    <n v="1.1"/>
    <n v="2014"/>
    <n v="7847"/>
    <n v="156076.83"/>
    <n v="19.89"/>
    <d v="2029-12-31T00:00:00"/>
    <n v="13.21095890410959"/>
    <s v="NN"/>
    <s v="2.5% annual"/>
    <s v="3, 5yr"/>
    <n v="2462471"/>
    <n v="313.810500828342"/>
    <n v="0.06338220023707893"/>
    <x v="985"/>
    <x v="114"/>
    <s v="SJC; Scrivner"/>
    <x v="881"/>
    <s v="Individual"/>
    <m/>
    <m/>
    <n v="2497230"/>
    <n v="0.06249998198003387"/>
    <n v="0.9860809777233175"/>
    <n v="2497230"/>
    <n v="0.06249998198003387"/>
    <n v="0.000882218257045056"/>
    <s v="No"/>
    <m/>
    <s v=" "/>
  </r>
  <r>
    <s v="DaVita Dialysis"/>
    <s v="423 Oak Street"/>
    <s v="Berlin"/>
    <s v="WI"/>
    <n v="1"/>
    <n v="2016"/>
    <n v="6858"/>
    <n v="152865"/>
    <n v="22.29002624671916"/>
    <d v="2030-10-31T00:00:00"/>
    <n v="14.04383561643836"/>
    <s v="NN"/>
    <s v="2.5% annual"/>
    <s v="3, 5 yr options"/>
    <n v="2426587"/>
    <n v="353.8330417031204"/>
    <n v="0.06299588681551496"/>
    <x v="985"/>
    <x v="114"/>
    <s v="SJC; Scrivner"/>
    <x v="881"/>
    <s v="Individual"/>
    <m/>
    <m/>
    <n v="2446000"/>
    <n v="0.06249591169255928"/>
    <n v="0.9920633687653312"/>
    <n v="2446000"/>
    <n v="0.06249591169255928"/>
    <n v="0.0004999751229556801"/>
    <s v="No"/>
    <d v="2016-06-28T00:00:00"/>
    <n v="112"/>
  </r>
  <r>
    <s v="DaVita Dialysis At Home Condo"/>
    <s v="1203 St Claire Blvd"/>
    <s v="Mission"/>
    <s v="TX"/>
    <m/>
    <n v="2005"/>
    <n v="6370"/>
    <n v="111500"/>
    <n v="17.50392464678179"/>
    <d v="2019-09-30T00:00:00"/>
    <n v="2.956164383561644"/>
    <s v="NN"/>
    <s v="110% every 5"/>
    <s v="2, 5 yr"/>
    <n v="1321000"/>
    <n v="207.3783359497645"/>
    <n v="0.08440575321725965"/>
    <x v="986"/>
    <x v="1005"/>
    <s v="PH: Peranich &amp; Huffman"/>
    <x v="882"/>
    <s v="Individual"/>
    <m/>
    <m/>
    <m/>
    <s v=" "/>
    <s v=" "/>
    <m/>
    <s v=" "/>
    <s v=" "/>
    <s v=" "/>
    <m/>
    <s v=" "/>
  </r>
  <r>
    <m/>
    <s v="3960 3rd Ave"/>
    <s v="San Diego"/>
    <s v="CA"/>
    <n v="0.1548898"/>
    <n v="1972"/>
    <n v="6600"/>
    <n v="141919.221"/>
    <n v="21.50291227272727"/>
    <m/>
    <s v=" "/>
    <m/>
    <m/>
    <m/>
    <n v="2200298"/>
    <n v="333.3784848484848"/>
    <n v="0.0645"/>
    <x v="987"/>
    <x v="1006"/>
    <s v="Siemienowski &amp; Associates"/>
    <x v="883"/>
    <s v="Individual"/>
    <m/>
    <m/>
    <m/>
    <s v=" "/>
    <s v=" "/>
    <m/>
    <s v=" "/>
    <s v=" "/>
    <s v=" "/>
    <m/>
    <s v=" "/>
  </r>
  <r>
    <s v="DaVita Dialysis"/>
    <s v="7515 Barlite Blvd"/>
    <s v="San Antonio"/>
    <s v="TX"/>
    <n v="1.77"/>
    <m/>
    <n v="11022"/>
    <n v="222063.771947616"/>
    <n v="20.14732098962221"/>
    <m/>
    <s v=" "/>
    <m/>
    <m/>
    <m/>
    <n v="3625000"/>
    <n v="328.8876791870804"/>
    <n v="0.06125897157175614"/>
    <x v="988"/>
    <x v="1007"/>
    <s v="M&amp;M;"/>
    <x v="884"/>
    <s v="Individual"/>
    <s v="M&amp;M;"/>
    <m/>
    <m/>
    <s v=" "/>
    <s v=" "/>
    <m/>
    <s v=" "/>
    <s v=" "/>
    <s v=" "/>
    <m/>
    <s v=" "/>
  </r>
  <r>
    <s v="Fresenius Medical Care"/>
    <s v="6144 Mae Anne Ave"/>
    <s v="Reno"/>
    <s v="NV"/>
    <n v="0.2153"/>
    <n v="2005"/>
    <n v="8755"/>
    <n v="244640"/>
    <n v="27.94288977727013"/>
    <d v="2029-02-28T00:00:00"/>
    <n v="12.4054794520548"/>
    <s v="NN"/>
    <s v="1.7% annually"/>
    <s v="3, 5 yr"/>
    <n v="4100000"/>
    <n v="468.3038263849229"/>
    <n v="0.05966829268292683"/>
    <x v="989"/>
    <x v="1008"/>
    <s v="Ribeiro Corp; Yuill"/>
    <x v="885"/>
    <s v="Individual"/>
    <m/>
    <m/>
    <m/>
    <s v=" "/>
    <s v=" "/>
    <m/>
    <s v=" "/>
    <s v=" "/>
    <s v=" "/>
    <m/>
    <s v=" "/>
  </r>
  <r>
    <s v="DaVita Dialysis"/>
    <s v="240 Churchill Ave"/>
    <s v="Voorhees"/>
    <s v="NJ"/>
    <n v="1.1"/>
    <n v="2002"/>
    <n v="8415"/>
    <n v="160080"/>
    <n v="19.02317290552585"/>
    <d v="2031-02-28T00:00:00"/>
    <n v="14.41095890410959"/>
    <s v="NN"/>
    <s v="1.7% annually"/>
    <s v="3, 5yr"/>
    <n v="2668000"/>
    <n v="317.0528817587641"/>
    <n v="0.06"/>
    <x v="990"/>
    <x v="69"/>
    <s v="C&amp;W; Patel"/>
    <x v="886"/>
    <s v="Individual"/>
    <s v="CIRE; Arbi Goce"/>
    <m/>
    <n v="2784418"/>
    <n v="0.05749136803454079"/>
    <n v="0.9581894672423465"/>
    <n v="2784418"/>
    <n v="0.05749136803454079"/>
    <n v="0.00250863196545921"/>
    <s v="No"/>
    <d v="2016-07-31T00:00:00"/>
    <n v="65"/>
  </r>
  <r>
    <s v="Fresenius Medical Care"/>
    <s v="234 Kings Bay Rd"/>
    <s v="Kingsland"/>
    <s v="GA"/>
    <n v="1.5"/>
    <n v="2016"/>
    <n v="7104"/>
    <n v="153139.4796"/>
    <n v="21.55679611486486"/>
    <d v="2031-04-30T00:00:00"/>
    <n v="14.58082191780822"/>
    <s v="NN"/>
    <s v="1.7% annually"/>
    <s v="3, 5yr"/>
    <n v="2715300"/>
    <n v="382.2212837837838"/>
    <n v="0.05639873295768423"/>
    <x v="991"/>
    <x v="494"/>
    <s v="C&amp;W; Trautvetter"/>
    <x v="887"/>
    <s v="Individual"/>
    <s v="Wiercioch"/>
    <s v="MDG Development Group, LLC"/>
    <m/>
    <s v=" "/>
    <s v=" "/>
    <m/>
    <s v=" "/>
    <s v=" "/>
    <s v=" "/>
    <m/>
    <s v=" "/>
  </r>
  <r>
    <s v="Fresenius Medical Care"/>
    <s v="3134 W 76th St"/>
    <s v="Chicago"/>
    <s v="IL"/>
    <n v="1.49"/>
    <n v="2016"/>
    <n v="10947"/>
    <n v="232642"/>
    <n v="21.25166712341281"/>
    <d v="2021-12-31T00:00:00"/>
    <n v="5.246575342465754"/>
    <s v="NN"/>
    <s v="2% annually, FMV in Options"/>
    <s v="2, 5 yr"/>
    <n v="2930000"/>
    <n v="267.6532383301361"/>
    <n v="0.0794"/>
    <x v="991"/>
    <x v="1009"/>
    <s v="M&amp;M; Cook"/>
    <x v="267"/>
    <s v="Fund"/>
    <m/>
    <m/>
    <m/>
    <s v=" "/>
    <s v=" "/>
    <m/>
    <s v=" "/>
    <s v=" "/>
    <s v=" "/>
    <m/>
    <s v=" "/>
  </r>
  <r>
    <s v="Fresenius Medical Care"/>
    <s v="168 Sargeant Stanley Hoffman Blvd"/>
    <s v="Lehighton"/>
    <s v="PA"/>
    <n v="0.53"/>
    <n v="1925"/>
    <n v="7641"/>
    <n v="34545"/>
    <n v="4.521005104043973"/>
    <d v="2019-04-30T00:00:00"/>
    <n v="2.575342465753425"/>
    <m/>
    <m/>
    <m/>
    <n v="350000"/>
    <n v="45.80552283732496"/>
    <n v="0.0987"/>
    <x v="992"/>
    <x v="1010"/>
    <s v="Matthews; Hoover"/>
    <x v="888"/>
    <s v="Individual"/>
    <m/>
    <m/>
    <m/>
    <s v=" "/>
    <s v=" "/>
    <m/>
    <s v=" "/>
    <s v=" "/>
    <s v=" "/>
    <m/>
    <s v=" "/>
  </r>
  <r>
    <s v="Fresenius Medical Care"/>
    <s v="814 W Union St"/>
    <s v="Morganton"/>
    <s v="NC"/>
    <n v="1.93"/>
    <n v="2016"/>
    <n v="13132"/>
    <n v="384767.6"/>
    <n v="29.3"/>
    <d v="2031-08-31T00:00:00"/>
    <n v="14.92876712328767"/>
    <s v="NN"/>
    <s v="10% every 5"/>
    <s v="2, 5 yr"/>
    <n v="6270000"/>
    <n v="477.4596405726469"/>
    <n v="0.06136644338118022"/>
    <x v="993"/>
    <x v="138"/>
    <s v="Transwestern"/>
    <x v="637"/>
    <s v="Fund"/>
    <m/>
    <m/>
    <m/>
    <s v=" "/>
    <s v=" "/>
    <m/>
    <s v=" "/>
    <s v=" "/>
    <s v=" "/>
    <m/>
    <s v=" "/>
  </r>
  <r>
    <s v="DaVita Dialysis"/>
    <s v="1059 SE 82nd St"/>
    <s v="Oklahoma City"/>
    <s v="OK"/>
    <n v="0.76"/>
    <n v="2009"/>
    <n v="7000"/>
    <n v="128835"/>
    <n v="18.405"/>
    <d v="2021-11-30T00:00:00"/>
    <n v="5.178082191780822"/>
    <s v="NN"/>
    <s v="10% every 5"/>
    <s v="3, 5 yr"/>
    <n v="1550000"/>
    <n v="221.4285714285714"/>
    <n v="0.08311935483870968"/>
    <x v="994"/>
    <x v="1011"/>
    <s v="M&amp;M; Ficke"/>
    <x v="889"/>
    <s v="Individual"/>
    <s v="Josh White"/>
    <m/>
    <n v="1575000"/>
    <n v="0.0818"/>
    <n v="0.9841269841269841"/>
    <n v="1575000"/>
    <n v="0.0818"/>
    <n v="0.00131935483870968"/>
    <s v="No"/>
    <d v="2016-08-11T00:00:00"/>
    <n v="47"/>
  </r>
  <r>
    <s v="DaVita Dialysis"/>
    <s v="17123 Commerce Centre Dr"/>
    <s v="Prairieville"/>
    <s v="LA"/>
    <m/>
    <m/>
    <m/>
    <m/>
    <s v=" "/>
    <m/>
    <s v=" "/>
    <m/>
    <m/>
    <m/>
    <m/>
    <s v=" "/>
    <s v=" "/>
    <x v="995"/>
    <x v="66"/>
    <m/>
    <x v="267"/>
    <s v="Fund"/>
    <m/>
    <m/>
    <m/>
    <s v=" "/>
    <s v=" "/>
    <m/>
    <s v=" "/>
    <s v=" "/>
    <s v=" "/>
    <m/>
    <s v=" "/>
  </r>
  <r>
    <s v="DaVita Dialysis"/>
    <m/>
    <s v="Pittsburg"/>
    <s v="KS"/>
    <m/>
    <m/>
    <m/>
    <m/>
    <s v=" "/>
    <m/>
    <s v=" "/>
    <m/>
    <m/>
    <m/>
    <m/>
    <s v=" "/>
    <s v=" "/>
    <x v="996"/>
    <x v="66"/>
    <m/>
    <x v="267"/>
    <s v="Fund"/>
    <m/>
    <m/>
    <m/>
    <s v=" "/>
    <s v=" "/>
    <m/>
    <s v=" "/>
    <s v=" "/>
    <s v=" "/>
    <m/>
    <s v=" "/>
  </r>
  <r>
    <s v="DaVita (DARK)"/>
    <s v="101 N 37th st"/>
    <s v="Rogers"/>
    <s v="AR"/>
    <n v="0.8100000000000001"/>
    <n v="2011"/>
    <n v="7080"/>
    <n v="115921"/>
    <n v="16.37302259887006"/>
    <d v="2024-10-31T00:00:00"/>
    <n v="8.115068493150686"/>
    <s v="NN"/>
    <s v="FMV in Options"/>
    <s v="2, 5 yr"/>
    <n v="1081800"/>
    <n v="152.7966101694915"/>
    <n v="0.1071556664817896"/>
    <x v="997"/>
    <x v="1012"/>
    <s v="M&amp;M; Ficke"/>
    <x v="890"/>
    <s v="Individual"/>
    <m/>
    <m/>
    <n v="1783000"/>
    <n v="0.06501458216489063"/>
    <n v="0.6067302299495233"/>
    <n v="1783000"/>
    <n v="0.06501458216489063"/>
    <n v="0.04214108431689897"/>
    <s v="No"/>
    <d v="2016-07-20T00:00:00"/>
    <n v="63"/>
  </r>
  <r>
    <s v="DaVita Dialysis"/>
    <s v="2977 Redondo Ave"/>
    <s v="Long Beach"/>
    <s v="CA"/>
    <n v="0.7382919999999999"/>
    <n v="1968"/>
    <n v="9966"/>
    <n v="340560"/>
    <n v="34.17218543046358"/>
    <d v="2029-09-30T00:00:00"/>
    <n v="13.03287671232877"/>
    <s v="NN"/>
    <s v="10% every 5"/>
    <s v="3, 5 yr"/>
    <n v="6880000"/>
    <n v="690.3471804134056"/>
    <n v="0.0495"/>
    <x v="997"/>
    <x v="1013"/>
    <s v="M&amp;M; Mansour"/>
    <x v="891"/>
    <s v="Individual"/>
    <s v="Grady Liu"/>
    <m/>
    <n v="7550000"/>
    <n v="0.04510728476821192"/>
    <n v="0.9112582781456954"/>
    <n v="7550000"/>
    <n v="0.04510728476821192"/>
    <n v="0.00439271523178808"/>
    <s v="No"/>
    <d v="2016-03-31T00:00:00"/>
    <n v="174"/>
  </r>
  <r>
    <s v="DaVita Dialysis"/>
    <s v="10921 E 81st St"/>
    <s v="Tulsa"/>
    <s v="OK"/>
    <n v="1.14"/>
    <n v="2016"/>
    <n v="9368"/>
    <n v="267743.04"/>
    <n v="28.58059777967549"/>
    <d v="2031-08-31T00:00:00"/>
    <n v="14.97260273972603"/>
    <s v="NN"/>
    <s v="10% every 5"/>
    <s v="2, 5yr"/>
    <n v="4119500"/>
    <n v="439.7416737830914"/>
    <n v="0.06499406238621191"/>
    <x v="998"/>
    <x v="66"/>
    <m/>
    <x v="267"/>
    <s v="Fund"/>
    <m/>
    <m/>
    <m/>
    <s v=" "/>
    <s v=" "/>
    <m/>
    <s v=" "/>
    <s v=" "/>
    <s v=" "/>
    <m/>
    <s v=" "/>
  </r>
  <r>
    <s v="Fresenius Medical Care"/>
    <s v="2345 E Pershing St"/>
    <s v="Salem"/>
    <s v="OH"/>
    <n v="1.687006"/>
    <n v="2008"/>
    <n v="8700"/>
    <n v="209550"/>
    <n v="24.08620689655172"/>
    <d v="2018-09-30T00:00:00"/>
    <n v="2.07945205479452"/>
    <s v="NN"/>
    <s v="FMV"/>
    <s v="3, 5yr"/>
    <n v="2540000"/>
    <n v="291.9540229885058"/>
    <n v="0.0825"/>
    <x v="999"/>
    <x v="1014"/>
    <s v="CBRE; Gorman/Shover"/>
    <x v="267"/>
    <s v="Fund"/>
    <m/>
    <m/>
    <m/>
    <s v=" "/>
    <s v=" "/>
    <m/>
    <s v=" "/>
    <s v=" "/>
    <s v=" "/>
    <m/>
    <s v=" "/>
  </r>
  <r>
    <s v="DaVita Dialysis"/>
    <s v="2511 Crockett"/>
    <s v="Brownwood"/>
    <s v="TX"/>
    <n v="1.06"/>
    <n v="2015"/>
    <n v="7005"/>
    <n v="145751"/>
    <n v="20.80670949321913"/>
    <d v="2031-07-31T00:00:00"/>
    <n v="14.92328767123288"/>
    <s v="NN"/>
    <m/>
    <m/>
    <m/>
    <s v=" "/>
    <s v=" "/>
    <x v="1000"/>
    <x v="1015"/>
    <m/>
    <x v="267"/>
    <s v="Fund"/>
    <m/>
    <m/>
    <m/>
    <s v=" "/>
    <s v=" "/>
    <m/>
    <s v=" "/>
    <s v=" "/>
    <s v=" "/>
    <m/>
    <s v=" "/>
  </r>
  <r>
    <s v="Fresenius Medical Care"/>
    <s v="510 Heritage Wy"/>
    <s v="Hopkinsville"/>
    <s v="KY"/>
    <n v="1.13"/>
    <n v="2014"/>
    <n v="8000"/>
    <m/>
    <s v=" "/>
    <d v="2030-06-30T00:00:00"/>
    <n v="13.84109589041096"/>
    <s v="NN"/>
    <s v="1.7% annually"/>
    <s v="3, 5yr"/>
    <m/>
    <s v=" "/>
    <s v=" "/>
    <x v="1001"/>
    <x v="983"/>
    <m/>
    <x v="267"/>
    <s v="Fund"/>
    <m/>
    <m/>
    <m/>
    <s v=" "/>
    <s v=" "/>
    <m/>
    <s v=" "/>
    <s v=" "/>
    <s v=" "/>
    <m/>
    <s v=" "/>
  </r>
  <r>
    <s v="Fresenius Medical Care"/>
    <s v="3671 Roosevelt Blvd"/>
    <s v="Trussville"/>
    <s v="AL"/>
    <n v="4.41"/>
    <n v="2016"/>
    <n v="8222"/>
    <n v="276109.71"/>
    <n v="33.58181829238628"/>
    <d v="2031-06-30T00:00:00"/>
    <n v="14.85205479452055"/>
    <s v="NN"/>
    <s v="10% every 5"/>
    <s v="2, 5 yr"/>
    <n v="4400000"/>
    <n v="535.149598637801"/>
    <n v="0.06275220681818182"/>
    <x v="1002"/>
    <x v="1016"/>
    <s v="Kevin Steele"/>
    <x v="637"/>
    <s v="Fund"/>
    <m/>
    <m/>
    <m/>
    <s v=" "/>
    <s v=" "/>
    <m/>
    <s v=" "/>
    <s v=" "/>
    <s v=" "/>
    <m/>
    <s v=" "/>
  </r>
  <r>
    <s v="DaVita (Two-Tenant)"/>
    <s v="1290 Tully Rd, Bldg 7"/>
    <s v="San Jose"/>
    <s v="CA"/>
    <n v="1.96"/>
    <n v="1986"/>
    <n v="23758"/>
    <n v="401000"/>
    <n v="16.87852512837781"/>
    <d v="2028-02-28T00:00:00"/>
    <n v="15"/>
    <s v="-"/>
    <s v="3% annually"/>
    <s v="3, 5yr"/>
    <n v="7500000"/>
    <s v="r"/>
    <n v="0.05346666666666667"/>
    <x v="1002"/>
    <x v="1017"/>
    <s v="Chris Sands: Sands"/>
    <x v="892"/>
    <s v="Individual"/>
    <m/>
    <m/>
    <n v="8037100"/>
    <n v="0.04989361834492541"/>
    <n v="0.9331724129350139"/>
    <n v="8037100"/>
    <n v="0.04989361834492541"/>
    <n v="0.003573048321741261"/>
    <s v="No"/>
    <d v="2016-05-09T00:00:00"/>
    <n v="109"/>
  </r>
  <r>
    <s v="Fresenius Medical Care"/>
    <s v="1250 S 20th Ave"/>
    <s v="Safford"/>
    <s v="AZ"/>
    <n v="1"/>
    <n v="2006"/>
    <n v="8473"/>
    <n v="156350"/>
    <n v="18.45273220819072"/>
    <m/>
    <s v=" "/>
    <m/>
    <m/>
    <m/>
    <n v="1860000"/>
    <n v="219.5208308745427"/>
    <n v="0.08405913978494624"/>
    <x v="1003"/>
    <x v="1018"/>
    <s v="Jeffery Gordon"/>
    <x v="35"/>
    <s v="REIT"/>
    <m/>
    <m/>
    <n v="2059000"/>
    <n v="0.07593491986401166"/>
    <n v="0.9033511413307431"/>
    <n v="2059000"/>
    <n v="0.07593491986401166"/>
    <n v="0.008124219920934581"/>
    <s v="No"/>
    <d v="2016-02-10T00:00:00"/>
    <n v="191"/>
  </r>
  <r>
    <s v="Fresenius Medical Care"/>
    <s v="12727 Beamer Road"/>
    <s v="Houston"/>
    <s v="TX"/>
    <n v="1.28"/>
    <n v="2015"/>
    <n v="10584"/>
    <n v="314379"/>
    <n v="29.70323129251701"/>
    <d v="2030-11-30T00:00:00"/>
    <n v="14.29041095890411"/>
    <s v="NN"/>
    <s v="10% every 5 years"/>
    <s v="3, 5 yr"/>
    <n v="5374000"/>
    <n v="507.7475434618292"/>
    <n v="0.0585"/>
    <x v="1003"/>
    <x v="957"/>
    <s v="SJC; Brett"/>
    <x v="893"/>
    <s v="Individual"/>
    <m/>
    <m/>
    <n v="5467477"/>
    <n v="0.0574998303605118"/>
    <n v="0.9829030830856719"/>
    <n v="5467477"/>
    <n v="0.0574998303605118"/>
    <n v="0.001000169639488201"/>
    <s v="No"/>
    <d v="2016-05-09T00:00:00"/>
    <n v="102"/>
  </r>
  <r>
    <s v="Fresenius Medical Care"/>
    <s v="12662-12666 Telecom Dr"/>
    <s v="Tampa"/>
    <s v="FL"/>
    <n v="0.29"/>
    <n v="2007"/>
    <n v="8927"/>
    <n v="442125"/>
    <n v="49.52671670213957"/>
    <d v="2031-05-31T00:00:00"/>
    <n v="14.8"/>
    <s v="NN"/>
    <s v="1.7% annually"/>
    <s v="3, 5 yr"/>
    <n v="6750000"/>
    <n v="756.1330794219783"/>
    <n v="0.0655"/>
    <x v="1004"/>
    <x v="192"/>
    <m/>
    <x v="305"/>
    <s v="Fund"/>
    <s v="PG; Lesley"/>
    <m/>
    <m/>
    <s v=" "/>
    <s v=" "/>
    <m/>
    <s v=" "/>
    <s v=" "/>
    <s v=" "/>
    <m/>
    <s v=" "/>
  </r>
  <r>
    <s v="Fresenius Medical Care"/>
    <s v="479 Garrisonville Rd"/>
    <s v="Stafford"/>
    <s v="VA"/>
    <n v="1.07"/>
    <n v="2016"/>
    <n v="8308"/>
    <n v="261950"/>
    <n v="31.52985074626866"/>
    <d v="2031-05-01T00:00:00"/>
    <n v="14.72602739726027"/>
    <s v="NN"/>
    <s v="1.7% annually"/>
    <s v="3, 5yr"/>
    <n v="4477000"/>
    <n v="538.8781896966779"/>
    <n v="0.0585101630556176"/>
    <x v="1005"/>
    <x v="494"/>
    <s v="C&amp;W; Trautvetter"/>
    <x v="894"/>
    <s v="Individual"/>
    <s v="SJC; Tomlinson"/>
    <s v="MDG Development Group, LLC"/>
    <n v="4555652"/>
    <n v="0.05750000219507548"/>
    <n v="0.9827352923357623"/>
    <n v="4555652"/>
    <n v="0.05750000219507548"/>
    <n v="0.00101016086054212"/>
    <s v="No"/>
    <d v="2016-03-17T00:00:00"/>
    <n v="148"/>
  </r>
  <r>
    <s v="DaVita Dialysis"/>
    <s v="3636 Melby St"/>
    <s v="Eau Claire"/>
    <s v="WI"/>
    <n v="1.66"/>
    <n v="1996"/>
    <n v="5540"/>
    <n v="66508"/>
    <n v="12.00505415162455"/>
    <d v="2025-05-31T00:00:00"/>
    <n v="8.810958904109588"/>
    <s v="NN"/>
    <s v="2% annually"/>
    <s v="2, 5 yr"/>
    <n v="925000"/>
    <n v="166.9675090252708"/>
    <n v="0.07190054054054054"/>
    <x v="1006"/>
    <x v="1019"/>
    <s v="M&amp;M; COok"/>
    <x v="895"/>
    <s v="Individual"/>
    <m/>
    <m/>
    <n v="949400"/>
    <n v="0.07005266484095218"/>
    <n v="0.974299557615336"/>
    <n v="949400"/>
    <n v="0.07005266484095218"/>
    <n v="0.001847875699588358"/>
    <s v="No"/>
    <d v="2015-07-20T00:00:00"/>
    <n v="387"/>
  </r>
  <r>
    <s v="DaVita Dialysis"/>
    <s v="230 Van Sciver Pkwy"/>
    <s v="Willingboro"/>
    <s v="NJ"/>
    <n v="1.030005"/>
    <n v="1985"/>
    <n v="8000"/>
    <m/>
    <s v=" "/>
    <d v="2029-09-30T00:00:00"/>
    <n v="13.15068493150685"/>
    <s v="NN"/>
    <s v="10% every 5"/>
    <s v="3, 5yr"/>
    <n v="2560000"/>
    <n v="320"/>
    <s v=" "/>
    <x v="1007"/>
    <x v="1020"/>
    <s v="PH: Peranich &amp; Huffman"/>
    <x v="896"/>
    <s v="Individual"/>
    <m/>
    <m/>
    <m/>
    <s v=" "/>
    <s v=" "/>
    <m/>
    <s v=" "/>
    <s v=" "/>
    <s v=" "/>
    <m/>
    <s v=" "/>
  </r>
  <r>
    <s v="Fresenius Medical Care"/>
    <s v="5723 Memorial Dr"/>
    <s v="Stone Mountain"/>
    <s v="GA"/>
    <n v="0.8"/>
    <n v="1995"/>
    <n v="8700"/>
    <n v="174000"/>
    <n v="20"/>
    <d v="2020-06-06T00:00:00"/>
    <n v="3.857534246575343"/>
    <s v="NN"/>
    <s v="5% at options"/>
    <s v="1, 5yr remaining"/>
    <n v="1844000"/>
    <n v="211.9540229885058"/>
    <n v="0.09436008676789588"/>
    <x v="1008"/>
    <x v="1021"/>
    <s v="M&amp;M;  Kunofsky"/>
    <x v="460"/>
    <s v="Individual"/>
    <m/>
    <m/>
    <n v="2245161"/>
    <n v="0.07750001002155302"/>
    <n v="0.8213219452858838"/>
    <n v="2245161"/>
    <n v="0.07750001002155302"/>
    <n v="0.01686007674634286"/>
    <s v="No"/>
    <d v="2016-02-26T00:00:00"/>
    <n v="154"/>
  </r>
  <r>
    <s v="Fresenius Medical Care"/>
    <s v="2545 Sullivan Rd"/>
    <s v="College Park"/>
    <s v="GA"/>
    <n v="1.05"/>
    <n v="1977"/>
    <n v="6400"/>
    <n v="132480"/>
    <n v="20.7"/>
    <d v="2020-06-30T00:00:00"/>
    <n v="3.923287671232877"/>
    <s v="NNN"/>
    <s v="5% at option"/>
    <s v="1, 5yr remaining"/>
    <n v="1404000"/>
    <n v="219.375"/>
    <n v="0.09435897435897436"/>
    <x v="1008"/>
    <x v="1022"/>
    <s v="M&amp;M;  Kunofsky"/>
    <x v="460"/>
    <s v="Individual"/>
    <m/>
    <m/>
    <n v="1709419"/>
    <n v="0.07750001608733728"/>
    <n v="0.8213316922299331"/>
    <n v="1709419"/>
    <n v="0.07750001608733728"/>
    <n v="0.01685895827163708"/>
    <s v="No"/>
    <d v="2016-02-26T00:00:00"/>
    <n v="154"/>
  </r>
  <r>
    <s v="Fresenius Medical Care"/>
    <s v="1425 E Main St"/>
    <s v="Carbondale"/>
    <s v="IL"/>
    <n v="3.88"/>
    <n v="1999"/>
    <n v="16773"/>
    <n v="262646.3143709999"/>
    <n v="15.65887523824003"/>
    <d v="2028-12-31T00:00:00"/>
    <n v="12.43561643835617"/>
    <s v="NN"/>
    <s v="1.7% annually"/>
    <s v="3, 5yr"/>
    <n v="4250000"/>
    <n v="253.3834138198295"/>
    <n v="0.06179913279317645"/>
    <x v="1009"/>
    <x v="891"/>
    <m/>
    <x v="294"/>
    <s v="Fund"/>
    <m/>
    <m/>
    <m/>
    <s v=" "/>
    <s v=" "/>
    <m/>
    <s v=" "/>
    <s v=" "/>
    <s v=" "/>
    <m/>
    <s v=" "/>
  </r>
  <r>
    <s v="Fresenius Medical Care"/>
    <s v="2710 Ave Q"/>
    <s v="Lubbock"/>
    <s v="TX"/>
    <n v="1.15893"/>
    <n v="1966"/>
    <n v="16872"/>
    <n v="320093.0381012039"/>
    <n v="18.97184910509743"/>
    <d v="2028-12-31T00:00:00"/>
    <n v="12.43561643835617"/>
    <s v="NN"/>
    <s v="1.7% annually"/>
    <s v="3, 5 yr"/>
    <n v="5415000"/>
    <n v="320.9459459459459"/>
    <n v="0.05911228773798779"/>
    <x v="1009"/>
    <x v="891"/>
    <m/>
    <x v="294"/>
    <s v="Fund"/>
    <m/>
    <m/>
    <m/>
    <s v=" "/>
    <s v=" "/>
    <m/>
    <s v=" "/>
    <s v=" "/>
    <s v=" "/>
    <m/>
    <s v=" "/>
  </r>
  <r>
    <s v="Fresenius Medical Care"/>
    <s v="1012 Hayes Ave"/>
    <s v="La Junta"/>
    <s v="CO"/>
    <m/>
    <n v="2016"/>
    <n v="5112"/>
    <n v="227920"/>
    <n v="44.58528951486698"/>
    <m/>
    <s v=" "/>
    <m/>
    <m/>
    <m/>
    <n v="3850000"/>
    <n v="753.1298904538342"/>
    <n v="0.0592"/>
    <x v="1010"/>
    <x v="1023"/>
    <s v="M&amp;M;"/>
    <x v="0"/>
    <s v="Individual"/>
    <s v="M&amp;M;"/>
    <s v="319 South Sheridan/ John Horvat"/>
    <m/>
    <s v=" "/>
    <s v=" "/>
    <m/>
    <s v=" "/>
    <s v=" "/>
    <s v=" "/>
    <m/>
    <s v=" "/>
  </r>
  <r>
    <s v="DaVita Dialysis"/>
    <s v="704 S Dickerson St"/>
    <s v="Burgaw "/>
    <s v="NC"/>
    <n v="2.73"/>
    <n v="2016"/>
    <n v="8876"/>
    <n v="129352"/>
    <n v="14.57323118521857"/>
    <d v="2022-04-30T00:00:00"/>
    <n v="5.778082191780822"/>
    <s v="NN"/>
    <s v="CPI annually"/>
    <s v="3, 5 yr"/>
    <n v="1520000"/>
    <n v="171.2483100495719"/>
    <n v="0.0851"/>
    <x v="1011"/>
    <x v="596"/>
    <s v="M&amp;M; Vakhariya"/>
    <x v="267"/>
    <s v="Fund"/>
    <m/>
    <m/>
    <m/>
    <s v=" "/>
    <s v=" "/>
    <m/>
    <s v=" "/>
    <s v=" "/>
    <s v=" "/>
    <m/>
    <s v=" "/>
  </r>
  <r>
    <s v="DaVita Dialysis"/>
    <s v="1151 Hospital Dr"/>
    <s v="Fredericksburg"/>
    <s v="VA"/>
    <n v="1.94"/>
    <n v="2015"/>
    <n v="8468"/>
    <n v="269514.96"/>
    <n v="31.82746339159188"/>
    <d v="2031-01-01T00:00:00"/>
    <n v="14.45753424657534"/>
    <s v="NN"/>
    <s v="10% every 5yrs"/>
    <s v="2, 5yr"/>
    <n v="5013888"/>
    <n v="592.0982522437412"/>
    <n v="0.05375368576242629"/>
    <x v="1011"/>
    <x v="1024"/>
    <s v="Dan Lem"/>
    <x v="894"/>
    <s v="Individual"/>
    <s v="SJC; Tomlinson"/>
    <m/>
    <n v="5013888"/>
    <n v="0.05375368576242629"/>
    <n v="1"/>
    <n v="5013888"/>
    <n v="0.05375368576242629"/>
    <n v="0"/>
    <s v="No"/>
    <d v="2016-04-02T00:00:00"/>
    <n v="110"/>
  </r>
  <r>
    <s v="DaVita Dialysis"/>
    <s v="846 Parkcentre Way"/>
    <s v="Napa"/>
    <s v="ID"/>
    <n v="1.26"/>
    <n v="1996"/>
    <n v="7728"/>
    <n v="146000"/>
    <n v="18.89233954451346"/>
    <m/>
    <s v=" "/>
    <m/>
    <m/>
    <m/>
    <n v="2195000"/>
    <n v="284.0320910973085"/>
    <n v="0.06651480637813212"/>
    <x v="1012"/>
    <x v="1025"/>
    <s v="Lewis Capital; Lewis"/>
    <x v="897"/>
    <s v="Individual"/>
    <m/>
    <m/>
    <n v="2275000"/>
    <n v="0.06417582417582418"/>
    <n v="0.9648351648351648"/>
    <n v="2275000"/>
    <n v="0.06417582417582418"/>
    <n v="0.002338982202307938"/>
    <s v="No"/>
    <m/>
    <s v=" "/>
  </r>
  <r>
    <s v="DaVita Dialysis"/>
    <s v="846 Parkcentre Way"/>
    <s v="Nampa"/>
    <s v="ID"/>
    <n v="1.26"/>
    <n v="1996"/>
    <n v="7728"/>
    <n v="146055"/>
    <n v="18.89945652173913"/>
    <d v="2016-03-31T00:00:00"/>
    <n v="-0.3041095890410959"/>
    <s v="NN"/>
    <s v="10% every 5"/>
    <s v="3, 5yr"/>
    <n v="2195000"/>
    <n v="284.0320910973085"/>
    <n v="0.06653986332574031"/>
    <x v="1012"/>
    <x v="1025"/>
    <s v="Craig Lewis"/>
    <x v="898"/>
    <s v="Individual"/>
    <m/>
    <m/>
    <n v="2275000"/>
    <n v="0.06419999999999999"/>
    <n v="0.9648351648351648"/>
    <n v="2275000"/>
    <n v="0.06419999999999999"/>
    <n v="0.002339863325740321"/>
    <s v="No"/>
    <d v="2016-02-23T00:00:00"/>
    <n v="148"/>
  </r>
  <r>
    <s v="DaVita Dialysis"/>
    <s v="351 S Main St"/>
    <s v="Freeport"/>
    <s v="NY"/>
    <n v="0.6899999999999999"/>
    <n v="2001"/>
    <n v="7200"/>
    <n v="156000"/>
    <n v="21.66666666666667"/>
    <d v="2024-06-02T00:00:00"/>
    <n v="7.873972602739726"/>
    <s v="NNN"/>
    <s v="-"/>
    <s v="-"/>
    <n v="2595000"/>
    <n v="360.4166666666667"/>
    <n v="0.06011560693641618"/>
    <x v="1012"/>
    <x v="1026"/>
    <s v="Madison National; Weiss"/>
    <x v="899"/>
    <s v="Individual"/>
    <m/>
    <m/>
    <m/>
    <s v=" "/>
    <s v=" "/>
    <m/>
    <s v=" "/>
    <s v=" "/>
    <s v=" "/>
    <m/>
    <s v=" "/>
  </r>
  <r>
    <s v="Fresenius Medical Care"/>
    <s v="305 Ridgewater Dr"/>
    <s v="Polson"/>
    <s v="MT"/>
    <n v="1"/>
    <n v="2016"/>
    <n v="6391"/>
    <n v="315000"/>
    <n v="49.28806133625411"/>
    <d v="2031-03-31T00:00:00"/>
    <n v="14.74246575342466"/>
    <s v="NN"/>
    <s v="1.7% annually"/>
    <s v="3, 5 yr"/>
    <n v="5029888"/>
    <n v="787.0267563761539"/>
    <n v="0.06262564892100977"/>
    <x v="1013"/>
    <x v="494"/>
    <s v="C&amp;W; Trautvetter"/>
    <x v="418"/>
    <s v="Individual"/>
    <s v="KM; "/>
    <s v="MDG Development Group, LLC"/>
    <n v="5250000"/>
    <n v="0.06"/>
    <n v="0.9580739047619048"/>
    <n v="5250000"/>
    <n v="0.06"/>
    <n v="0.002625648921009777"/>
    <s v="No"/>
    <d v="2016-02-06T00:00:00"/>
    <n v="151"/>
  </r>
  <r>
    <s v="DaVita Dialysis"/>
    <s v="2180 Bradley Ave"/>
    <s v="Neptune City"/>
    <s v="NJ"/>
    <n v="0.88"/>
    <n v="2003"/>
    <n v="6495"/>
    <n v="129971.4"/>
    <n v="20.01099307159353"/>
    <d v="2026-09-01T00:00:00"/>
    <n v="10.18082191780822"/>
    <s v="NN"/>
    <s v="2% annually"/>
    <s v="2, 5 yr"/>
    <n v="2166190"/>
    <n v="333.5165511932256"/>
    <n v="0.06"/>
    <x v="1014"/>
    <x v="69"/>
    <s v="C&amp;W; Patel"/>
    <x v="900"/>
    <s v="Individual"/>
    <s v="Lee; Murdock"/>
    <m/>
    <n v="2166190"/>
    <n v="0.06"/>
    <n v="1"/>
    <n v="2166190"/>
    <n v="0.06"/>
    <n v="0"/>
    <s v="No"/>
    <d v="2016-05-09T00:00:00"/>
    <n v="51"/>
  </r>
  <r>
    <s v="Fresenius Medical Care"/>
    <s v="1080 W Norton Ave "/>
    <s v="Muskegon "/>
    <s v="MI"/>
    <n v="0.9"/>
    <n v="1998"/>
    <n v="6647"/>
    <n v="91080"/>
    <n v="13.70242214532872"/>
    <m/>
    <m/>
    <m/>
    <m/>
    <m/>
    <n v="990000"/>
    <n v="148.9393711448774"/>
    <n v="0.092"/>
    <x v="1015"/>
    <x v="1027"/>
    <s v="BH; Phil Brown"/>
    <x v="901"/>
    <s v="Individual"/>
    <m/>
    <m/>
    <n v="999900"/>
    <n v="0.09108910891089109"/>
    <n v="0.9900990099009901"/>
    <n v="999900"/>
    <n v="0.09108910891089109"/>
    <n v="0.0009108910891089117"/>
    <s v="No"/>
    <d v="2015-08-19T00:00:00"/>
    <n v="310"/>
  </r>
  <r>
    <s v="DaVita Dialysis"/>
    <s v="150 N. 31st St"/>
    <s v="Clinton"/>
    <s v="OK"/>
    <n v="0.84"/>
    <n v="2002"/>
    <n v="5500"/>
    <n v="82500"/>
    <n v="15"/>
    <d v="2027-10-31T00:00:00"/>
    <n v="11.36712328767123"/>
    <s v="NNN"/>
    <s v="2% every year after 2017"/>
    <s v="3, 5yr"/>
    <n v="1467500"/>
    <n v="266.8181818181818"/>
    <n v="0.05621805792163544"/>
    <x v="1016"/>
    <x v="527"/>
    <s v="SJC: Chad Byerly"/>
    <x v="902"/>
    <s v="Individual"/>
    <m/>
    <m/>
    <n v="1500000"/>
    <n v="0.055"/>
    <n v="0.9783333333333334"/>
    <n v="1500000"/>
    <n v="0.055"/>
    <n v="0.001218057921635436"/>
    <s v="No"/>
    <d v="2015-12-03T00:00:00"/>
    <n v="201"/>
  </r>
  <r>
    <s v="DaVita Dialysis"/>
    <s v="5942 Rugby Ave"/>
    <s v="Huntington Park"/>
    <s v="CA"/>
    <n v="0.52"/>
    <n v="2009"/>
    <n v="7400"/>
    <n v="308460"/>
    <n v="41.68378378378378"/>
    <m/>
    <s v=" "/>
    <s v="NN"/>
    <m/>
    <s v="2, 5yr"/>
    <n v="5300000"/>
    <n v="716.2162162162163"/>
    <n v="0.0582"/>
    <x v="1017"/>
    <x v="1028"/>
    <s v="Hanley: Asher"/>
    <x v="903"/>
    <s v="Individual"/>
    <s v="Shinglian: Chu"/>
    <m/>
    <n v="5370000"/>
    <n v="0.0574413407821229"/>
    <n v="0.9869646182495344"/>
    <n v="5370000"/>
    <n v="0.0574413407821229"/>
    <n v="0.0007586592178771001"/>
    <s v="No"/>
    <m/>
    <s v=" "/>
  </r>
  <r>
    <s v="DaVita Dialysis"/>
    <s v="19133 Hilliard Blvd"/>
    <s v="Rocky River"/>
    <s v="OH"/>
    <n v="0.57"/>
    <n v="2010"/>
    <n v="6500"/>
    <n v="95007.49199999998"/>
    <n v="14.61653723076923"/>
    <d v="2024-03-31T00:00:00"/>
    <n v="7.816438356164384"/>
    <s v="NN"/>
    <s v="10% every 5"/>
    <s v="3, 5yr"/>
    <n v="1347624"/>
    <n v="207.3267692307692"/>
    <n v="0.07049999999999999"/>
    <x v="1018"/>
    <x v="800"/>
    <m/>
    <x v="267"/>
    <s v="Fund"/>
    <m/>
    <m/>
    <m/>
    <s v=" "/>
    <s v=" "/>
    <m/>
    <s v=" "/>
    <s v=" "/>
    <s v=" "/>
    <m/>
    <s v=" "/>
  </r>
  <r>
    <s v="DaVita Dialysis"/>
    <s v="9050 N Church Dr"/>
    <s v="Parma Heights"/>
    <s v="OH"/>
    <n v="1"/>
    <n v="1999"/>
    <n v="7071"/>
    <n v="150890.304"/>
    <n v="21.3393160797624"/>
    <d v="2026-01-31T00:00:00"/>
    <n v="9.654794520547945"/>
    <s v="NN"/>
    <s v="10% every 5"/>
    <s v="3, 5yr"/>
    <n v="2140288"/>
    <n v="302.685334464715"/>
    <n v="0.07049999999999999"/>
    <x v="1018"/>
    <x v="800"/>
    <m/>
    <x v="267"/>
    <s v="Fund"/>
    <m/>
    <m/>
    <m/>
    <s v=" "/>
    <s v=" "/>
    <m/>
    <s v=" "/>
    <s v=" "/>
    <s v=" "/>
    <m/>
    <s v=" "/>
  </r>
  <r>
    <s v="DaVita Dialysis"/>
    <s v="3812 Center Rd"/>
    <s v="Brunswick"/>
    <s v="OH"/>
    <n v="1.58"/>
    <n v="1999"/>
    <n v="10290"/>
    <n v="279085.248"/>
    <n v="27.12198717201166"/>
    <d v="2027-12-31T00:00:00"/>
    <n v="11.56986301369863"/>
    <s v="NN"/>
    <s v="10% every 5"/>
    <s v="3, 5yr"/>
    <n v="3958656"/>
    <n v="384.7090379008746"/>
    <n v="0.07049999999999999"/>
    <x v="1018"/>
    <x v="800"/>
    <m/>
    <x v="267"/>
    <s v="Fund"/>
    <m/>
    <m/>
    <m/>
    <s v=" "/>
    <s v=" "/>
    <m/>
    <s v=" "/>
    <s v=" "/>
    <s v=" "/>
    <m/>
    <s v=" "/>
  </r>
  <r>
    <m/>
    <s v="3655 Fettler Park Dr"/>
    <s v="Dumfries"/>
    <s v="VA"/>
    <n v="2.49"/>
    <n v="2006"/>
    <n v="9000"/>
    <m/>
    <s v=" "/>
    <m/>
    <s v=" "/>
    <m/>
    <m/>
    <m/>
    <n v="2060000"/>
    <n v="228.8888888888889"/>
    <s v=" "/>
    <x v="1018"/>
    <x v="1029"/>
    <s v="C&amp;W; Patel"/>
    <x v="904"/>
    <s v="Individual"/>
    <s v="PH: Peranich"/>
    <m/>
    <n v="2085000"/>
    <s v=" "/>
    <n v="0.9880095923261391"/>
    <n v="2085000"/>
    <s v=" "/>
    <s v=" "/>
    <s v="No"/>
    <d v="2015-10-26T00:00:00"/>
    <n v="226"/>
  </r>
  <r>
    <s v="Fresenius Medical Care"/>
    <s v="1605 S Main St"/>
    <s v="Lillington"/>
    <s v="NC"/>
    <n v="1.51"/>
    <n v="2005"/>
    <n v="7020"/>
    <n v="138750"/>
    <n v="19.76495726495726"/>
    <m/>
    <s v=" "/>
    <m/>
    <m/>
    <m/>
    <n v="1825000"/>
    <n v="259.97150997151"/>
    <n v="0.07602739726027398"/>
    <x v="1019"/>
    <x v="1030"/>
    <s v="C&amp;W; Trautvetter &amp; Patel"/>
    <x v="905"/>
    <s v="Individual"/>
    <m/>
    <m/>
    <n v="1875000"/>
    <n v="0.074"/>
    <n v="0.9733333333333334"/>
    <n v="1875000"/>
    <n v="0.074"/>
    <n v="0.002027397260273983"/>
    <s v="No"/>
    <d v="2016-02-11T00:00:00"/>
    <n v="117"/>
  </r>
  <r>
    <m/>
    <s v="2637 Shadelands Dr"/>
    <s v="Walnut Creek"/>
    <s v="CA"/>
    <n v="5.98999"/>
    <n v="1981"/>
    <n v="85000"/>
    <m/>
    <s v=" "/>
    <m/>
    <s v=" "/>
    <m/>
    <m/>
    <m/>
    <n v="7900000"/>
    <n v="92.94117647058823"/>
    <s v=" "/>
    <x v="1020"/>
    <x v="1031"/>
    <s v="Newmark Knight Frank"/>
    <x v="906"/>
    <s v="Fund"/>
    <s v="CBRE"/>
    <m/>
    <m/>
    <s v=" "/>
    <s v=" "/>
    <m/>
    <s v=" "/>
    <s v=" "/>
    <s v=" "/>
    <m/>
    <s v=" "/>
  </r>
  <r>
    <s v="DaVita Dialysis"/>
    <s v="101 Dialysis Dr"/>
    <s v="Elizabethtown"/>
    <s v="NC"/>
    <n v="1"/>
    <n v="1999"/>
    <n v="8308"/>
    <n v="200428"/>
    <n v="24.12469908521907"/>
    <d v="2021-07-31T00:00:00"/>
    <n v="5.153424657534247"/>
    <s v="NN"/>
    <s v="FMV"/>
    <s v="2, 5 yr"/>
    <n v="2290600"/>
    <n v="275.7101588830043"/>
    <n v="0.0875002182834192"/>
    <x v="1020"/>
    <x v="1032"/>
    <s v="M&amp;M; Cook"/>
    <x v="267"/>
    <s v="Fund"/>
    <m/>
    <m/>
    <m/>
    <s v=" "/>
    <s v=" "/>
    <m/>
    <s v=" "/>
    <s v=" "/>
    <s v=" "/>
    <m/>
    <s v=" "/>
  </r>
  <r>
    <s v="Fresenius Medical Care"/>
    <s v="310 S Highland Ave"/>
    <s v="Oklahoma City"/>
    <s v="OK"/>
    <n v="1.18"/>
    <n v="1999"/>
    <n v="7920"/>
    <n v="83700"/>
    <n v="10.56818181818182"/>
    <m/>
    <s v=" "/>
    <m/>
    <m/>
    <m/>
    <n v="900000"/>
    <n v="113.6363636363636"/>
    <n v="0.093"/>
    <x v="1021"/>
    <x v="1033"/>
    <m/>
    <x v="907"/>
    <s v="Individual"/>
    <m/>
    <m/>
    <n v="2000000"/>
    <n v="0.04185"/>
    <n v="0.45"/>
    <m/>
    <s v=" "/>
    <s v=" "/>
    <s v=" "/>
    <m/>
    <s v=" "/>
  </r>
  <r>
    <s v="DaVita Dialysis"/>
    <s v="4770 Shallotte Ave "/>
    <s v="Shallotte "/>
    <s v="NC"/>
    <n v="0.65"/>
    <n v="2004"/>
    <n v="7857"/>
    <n v="124084"/>
    <n v="15.79279623265877"/>
    <d v="2018-07-31T00:00:00"/>
    <n v="2.167123287671233"/>
    <s v="NN"/>
    <s v="FMV"/>
    <s v="2, 5yr"/>
    <n v="1522503"/>
    <n v="193.7766323024055"/>
    <n v="0.08150000361247235"/>
    <x v="1022"/>
    <x v="1032"/>
    <s v="M&amp;M; Cook"/>
    <x v="267"/>
    <s v="Fund"/>
    <m/>
    <m/>
    <m/>
    <s v=" "/>
    <s v=" "/>
    <m/>
    <s v=" "/>
    <s v=" "/>
    <s v=" "/>
    <m/>
    <s v=" "/>
  </r>
  <r>
    <s v="Fresenius Medical Care"/>
    <s v="5815 US 301 Hwy"/>
    <s v="Four Oaks"/>
    <s v="NC"/>
    <n v="0.57"/>
    <n v="2005"/>
    <n v="9669"/>
    <n v="141285"/>
    <n v="14.61216258144586"/>
    <d v="2020-12-31T00:00:00"/>
    <n v="4.589041095890411"/>
    <s v="NN"/>
    <s v="Flat"/>
    <s v="2, 5yr"/>
    <n v="1649000"/>
    <n v="170.5450408522081"/>
    <n v="0.08567919951485749"/>
    <x v="1022"/>
    <x v="1034"/>
    <s v="M&amp;M; Mike James"/>
    <x v="267"/>
    <s v="Fund"/>
    <m/>
    <m/>
    <n v="1758000"/>
    <n v="0.08036689419795222"/>
    <n v="0.9379977246871445"/>
    <n v="1758000"/>
    <n v="0.08036689419795222"/>
    <n v="0.005312305316905269"/>
    <s v="No"/>
    <d v="2015-10-19T00:00:00"/>
    <n v="225"/>
  </r>
  <r>
    <s v="Fresenius Medical Care"/>
    <s v="103 Forest Ave"/>
    <s v="River Forest"/>
    <s v="IL"/>
    <n v="0.9288567"/>
    <n v="1998"/>
    <n v="15941"/>
    <n v="309725"/>
    <n v="19.42945862869331"/>
    <d v="2025-11-30T00:00:00"/>
    <n v="9.523287671232877"/>
    <s v="NN"/>
    <s v="3% annually"/>
    <s v="2, 5 yr"/>
    <n v="4765000"/>
    <n v="298.9147481337432"/>
    <n v="0.065"/>
    <x v="1023"/>
    <x v="726"/>
    <m/>
    <x v="267"/>
    <s v="Fund"/>
    <m/>
    <m/>
    <m/>
    <s v=" "/>
    <s v=" "/>
    <m/>
    <s v=" "/>
    <s v=" "/>
    <s v=" "/>
    <m/>
    <s v=" "/>
  </r>
  <r>
    <s v="DaVita (2 Tenant)"/>
    <s v="928-932 Furman Dr"/>
    <s v="Waupaca"/>
    <s v="WI"/>
    <n v="1.5"/>
    <n v="2015"/>
    <n v="9816"/>
    <n v="97781"/>
    <n v="9.96138956805216"/>
    <d v="2026-01-28T00:00:00"/>
    <n v="9.698630136986301"/>
    <s v="Gross"/>
    <s v="2% annually1, 5yr"/>
    <s v="3, 5yr"/>
    <n v="1385000"/>
    <n v="141.0961695191524"/>
    <n v="0.0706"/>
    <x v="1024"/>
    <x v="1035"/>
    <s v="M&amp;M: Cook"/>
    <x v="908"/>
    <s v="Individual"/>
    <m/>
    <m/>
    <n v="1448680"/>
    <n v="0.0674966176105144"/>
    <n v="0.9560427423585609"/>
    <n v="1448680"/>
    <n v="0.0674966176105144"/>
    <n v="0.003103382389485598"/>
    <s v="No"/>
    <d v="2016-01-28T00:00:00"/>
    <n v="113"/>
  </r>
  <r>
    <m/>
    <s v="15002 Amargosa Rd"/>
    <s v="Victorville"/>
    <s v="CA"/>
    <n v="1.25"/>
    <n v="2016"/>
    <n v="11780"/>
    <m/>
    <s v=" "/>
    <m/>
    <s v=" "/>
    <m/>
    <m/>
    <m/>
    <n v="5413000"/>
    <n v="459.5076400679117"/>
    <s v=" "/>
    <x v="1024"/>
    <x v="5"/>
    <s v="M&amp;M;"/>
    <x v="909"/>
    <s v="Individual"/>
    <s v="Cushman &amp; Wakefield"/>
    <m/>
    <m/>
    <s v=" "/>
    <s v=" "/>
    <m/>
    <s v=" "/>
    <s v=" "/>
    <s v=" "/>
    <m/>
    <s v=" "/>
  </r>
  <r>
    <s v="Fresenius Medical Care"/>
    <s v="401 Whitmer St"/>
    <s v="Central City"/>
    <s v="KY"/>
    <n v="1.5"/>
    <n v="2016"/>
    <n v="8530"/>
    <n v="232443"/>
    <n v="27.25005861664713"/>
    <d v="2031-02-28T00:00:00"/>
    <n v="14.80821917808219"/>
    <s v="NN"/>
    <s v="10% every 5 years"/>
    <s v="3, 5yr"/>
    <n v="3000000"/>
    <n v="351.6998827667057"/>
    <n v="0.07748099999999999"/>
    <x v="1025"/>
    <x v="13"/>
    <m/>
    <x v="910"/>
    <s v="Individual"/>
    <m/>
    <m/>
    <m/>
    <s v=" "/>
    <s v=" "/>
    <m/>
    <s v=" "/>
    <s v=" "/>
    <s v=" "/>
    <m/>
    <s v=" "/>
  </r>
  <r>
    <s v="Fresenius Medical Care"/>
    <s v="1221 Pacific Coast Hwy"/>
    <s v="Los Angeles"/>
    <s v="CA"/>
    <n v="1.402778"/>
    <n v="2003"/>
    <n v="18592"/>
    <m/>
    <s v=" "/>
    <m/>
    <s v=" "/>
    <m/>
    <m/>
    <m/>
    <n v="7850000"/>
    <n v="422.2246127366609"/>
    <s v=" "/>
    <x v="1025"/>
    <x v="1036"/>
    <s v="Highland Partners Corp"/>
    <x v="911"/>
    <s v="Individual"/>
    <s v="RE/MAX 2000 Realty"/>
    <m/>
    <m/>
    <s v=" "/>
    <s v=" "/>
    <m/>
    <s v=" "/>
    <s v=" "/>
    <s v=" "/>
    <m/>
    <s v=" "/>
  </r>
  <r>
    <s v="Fresenius Medical Care"/>
    <s v="110 S Park Dr"/>
    <s v="Brownwood"/>
    <s v="TX"/>
    <n v="2.4"/>
    <n v="2007"/>
    <n v="11089"/>
    <n v="170000"/>
    <n v="15.33050771034358"/>
    <m/>
    <s v=" "/>
    <m/>
    <m/>
    <m/>
    <n v="2012000"/>
    <n v="181.4410677247723"/>
    <n v="0.08449304174950298"/>
    <x v="1025"/>
    <x v="1037"/>
    <m/>
    <x v="912"/>
    <s v="Individual"/>
    <s v="PH: Peranich &amp; Huffman"/>
    <m/>
    <m/>
    <s v=" "/>
    <s v=" "/>
    <m/>
    <s v=" "/>
    <s v=" "/>
    <s v=" "/>
    <m/>
    <s v=" "/>
  </r>
  <r>
    <s v="DaVita Dialysis"/>
    <s v="1000 Marshall St"/>
    <s v="Redwood City"/>
    <s v="CA"/>
    <n v="0.567011"/>
    <n v="1977"/>
    <n v="8190"/>
    <n v="317915.7"/>
    <n v="38.81754578754579"/>
    <m/>
    <s v=" "/>
    <m/>
    <m/>
    <m/>
    <n v="7773000"/>
    <n v="949.0842490842491"/>
    <n v="0.0409"/>
    <x v="1026"/>
    <x v="524"/>
    <s v="Colliers International, Marcus &amp; Millichap"/>
    <x v="913"/>
    <s v="Individual"/>
    <s v="M&amp;M;"/>
    <m/>
    <m/>
    <s v=" "/>
    <s v=" "/>
    <m/>
    <s v=" "/>
    <s v=" "/>
    <s v=" "/>
    <m/>
    <s v=" "/>
  </r>
  <r>
    <s v="Fresenius Medical Care"/>
    <s v="1001 Riverside Dr"/>
    <s v="Nashville"/>
    <s v="TN"/>
    <n v="0.8"/>
    <n v="1966"/>
    <n v="8799"/>
    <n v="264330"/>
    <n v="30.04091374019775"/>
    <d v="2030-03-31T00:00:00"/>
    <n v="13.9013698630137"/>
    <s v="NN"/>
    <s v="10% every 5"/>
    <s v="2, 5 yr"/>
    <n v="4405500"/>
    <n v="500.6818956699625"/>
    <n v="0.06"/>
    <x v="1027"/>
    <x v="296"/>
    <s v="PH: Peranich &amp; Huffman"/>
    <x v="64"/>
    <s v="Fund"/>
    <s v="CBRE; Foley"/>
    <m/>
    <n v="4479000"/>
    <n v="0.05901540522438044"/>
    <n v="0.9835900870730073"/>
    <n v="4479000"/>
    <n v="0.05901540522438044"/>
    <n v="0.0009845947756195531"/>
    <s v="No"/>
    <d v="2015-11-16T00:00:00"/>
    <n v="175"/>
  </r>
  <r>
    <s v="DaVita Dialysis"/>
    <s v="380 Forest Pkwy"/>
    <s v="Forest Park "/>
    <s v="GA"/>
    <n v="0.38"/>
    <n v="1987"/>
    <n v="3441"/>
    <m/>
    <s v=" "/>
    <m/>
    <s v=" "/>
    <m/>
    <m/>
    <m/>
    <n v="1660000"/>
    <n v="482.4179017727405"/>
    <s v=" "/>
    <x v="1028"/>
    <x v="69"/>
    <s v="C&amp;W; Patel"/>
    <x v="914"/>
    <s v="Individual"/>
    <s v="Steve Warshauer"/>
    <m/>
    <n v="1660000"/>
    <s v=" "/>
    <n v="1"/>
    <n v="1660000"/>
    <s v=" "/>
    <s v=" "/>
    <s v="No"/>
    <d v="2016-03-11T00:00:00"/>
    <n v="56"/>
  </r>
  <r>
    <s v="DaVita Dialysis"/>
    <s v="1425 Hampton Ave"/>
    <s v="St. Louis"/>
    <s v="MO"/>
    <n v="0.38"/>
    <n v="1970"/>
    <n v="5000"/>
    <n v="69750"/>
    <n v="13.95"/>
    <m/>
    <s v=" "/>
    <s v="NNN"/>
    <m/>
    <m/>
    <n v="775000"/>
    <n v="155"/>
    <n v="0.09"/>
    <x v="1029"/>
    <x v="1038"/>
    <s v="Friedman Group, Wotka"/>
    <x v="915"/>
    <s v="Individual"/>
    <m/>
    <m/>
    <m/>
    <s v=" "/>
    <s v=" "/>
    <m/>
    <s v=" "/>
    <s v=" "/>
    <s v=" "/>
    <m/>
    <s v=" "/>
  </r>
  <r>
    <s v="DaVita Dialysis"/>
    <s v="430 Crossroads Blvd"/>
    <s v="Cold Spring"/>
    <s v="KY"/>
    <n v="0.9399999999999999"/>
    <n v="2006"/>
    <n v="4800"/>
    <n v="95040"/>
    <n v="19.8"/>
    <d v="2022-04-03T00:00:00"/>
    <n v="5.931506849315069"/>
    <s v="NN"/>
    <s v="2% annually"/>
    <s v="3, 5 yr remaining"/>
    <n v="950400"/>
    <n v="198"/>
    <n v="0.1"/>
    <x v="1030"/>
    <x v="1039"/>
    <s v="CBRE; Bondran"/>
    <x v="916"/>
    <s v="Individual"/>
    <m/>
    <m/>
    <m/>
    <s v=" "/>
    <s v=" "/>
    <m/>
    <s v=" "/>
    <s v=" "/>
    <s v=" "/>
    <m/>
    <s v=" "/>
  </r>
  <r>
    <m/>
    <s v="2349 Sparta Way"/>
    <s v="Braselton"/>
    <s v="GA"/>
    <n v="1.219995"/>
    <n v="2014"/>
    <n v="8288"/>
    <m/>
    <s v=" "/>
    <m/>
    <s v=" "/>
    <m/>
    <m/>
    <m/>
    <n v="3257500"/>
    <n v="393.0381274131274"/>
    <s v=" "/>
    <x v="1031"/>
    <x v="1040"/>
    <m/>
    <x v="111"/>
    <s v="Fund"/>
    <m/>
    <m/>
    <m/>
    <s v=" "/>
    <s v=" "/>
    <m/>
    <s v=" "/>
    <s v=" "/>
    <s v=" "/>
    <m/>
    <s v=" "/>
  </r>
  <r>
    <m/>
    <s v="2220 Holmes St"/>
    <s v="Kansas City"/>
    <s v="MO"/>
    <m/>
    <m/>
    <n v="5200"/>
    <m/>
    <s v=" "/>
    <m/>
    <s v=" "/>
    <m/>
    <m/>
    <m/>
    <n v="4000000"/>
    <n v="769.2307692307693"/>
    <s v=" "/>
    <x v="1032"/>
    <x v="1041"/>
    <m/>
    <x v="917"/>
    <s v="User"/>
    <s v="Cushman &amp; Wakefield"/>
    <m/>
    <m/>
    <s v=" "/>
    <s v=" "/>
    <m/>
    <s v=" "/>
    <s v=" "/>
    <s v=" "/>
    <m/>
    <s v=" "/>
  </r>
  <r>
    <s v="DaVita Dialysis"/>
    <s v="1341 W La Palma Ave"/>
    <s v="Anaheim"/>
    <s v="CA"/>
    <n v="0.83"/>
    <n v="2016"/>
    <n v="14800"/>
    <n v="562400"/>
    <n v="38"/>
    <d v="2031-01-30T00:00:00"/>
    <n v="14.8"/>
    <s v="NN"/>
    <s v="10% every 5 years"/>
    <s v="2, 5 yr"/>
    <n v="11450000"/>
    <n v="773.6486486486486"/>
    <n v="0.049117903930131"/>
    <x v="1033"/>
    <x v="5"/>
    <s v="M&amp;M; Mansour"/>
    <x v="831"/>
    <s v="Individual"/>
    <s v="Grady Liu"/>
    <s v="Centres, Inc."/>
    <n v="11248000"/>
    <n v="0.05"/>
    <n v="1.017958748221906"/>
    <n v="11248000"/>
    <n v="0.05"/>
    <n v="-0.0008820960698689984"/>
    <s v="No"/>
    <d v="2015-12-24T00:00:00"/>
    <n v="114"/>
  </r>
  <r>
    <s v="Fresenius Medical Care"/>
    <s v="623 S Central Ave"/>
    <s v="Glendale"/>
    <s v="CA"/>
    <n v="0.51"/>
    <n v="1952"/>
    <n v="11049"/>
    <m/>
    <s v=" "/>
    <m/>
    <s v=" "/>
    <m/>
    <m/>
    <m/>
    <n v="9670692"/>
    <n v="875.2549551995655"/>
    <s v=" "/>
    <x v="1034"/>
    <x v="1042"/>
    <m/>
    <x v="918"/>
    <s v="Individual"/>
    <m/>
    <m/>
    <m/>
    <s v=" "/>
    <s v=" "/>
    <m/>
    <s v=" "/>
    <s v=" "/>
    <s v=" "/>
    <m/>
    <s v=" "/>
  </r>
  <r>
    <m/>
    <s v="900 E 21st St"/>
    <s v="Kansas City"/>
    <s v="MO"/>
    <n v="1.4"/>
    <n v="2015"/>
    <n v="8500"/>
    <m/>
    <s v=" "/>
    <m/>
    <s v=" "/>
    <m/>
    <m/>
    <m/>
    <n v="5081000"/>
    <n v="597.7647058823529"/>
    <s v=" "/>
    <x v="1035"/>
    <x v="1043"/>
    <s v="Unique Properties"/>
    <x v="919"/>
    <s v="Individual"/>
    <s v="Unique Properties"/>
    <m/>
    <m/>
    <s v=" "/>
    <s v=" "/>
    <m/>
    <s v=" "/>
    <s v=" "/>
    <s v=" "/>
    <m/>
    <s v=" "/>
  </r>
  <r>
    <s v="DaVita Dialysis"/>
    <s v="1415 3rd St"/>
    <s v="San Rafael"/>
    <s v="CA"/>
    <n v="0.4092975"/>
    <n v="2015"/>
    <n v="10652"/>
    <n v="662000"/>
    <n v="62.14795343597446"/>
    <d v="2030-07-31T00:00:00"/>
    <n v="14.32328767123288"/>
    <m/>
    <s v="10% every 5 years"/>
    <m/>
    <n v="12970000"/>
    <n v="1217.611716109651"/>
    <n v="0.05104086353122591"/>
    <x v="1036"/>
    <x v="511"/>
    <s v="Transwestern, Cushman &amp; Wakefield"/>
    <x v="920"/>
    <s v="Individual"/>
    <m/>
    <m/>
    <m/>
    <s v=" "/>
    <s v=" "/>
    <m/>
    <s v=" "/>
    <s v=" "/>
    <s v=" "/>
    <m/>
    <s v=" "/>
  </r>
  <r>
    <s v="Fresenius Medical Care"/>
    <s v="387 W Milltown Rd"/>
    <s v="Wooster"/>
    <s v="OH"/>
    <n v="1.4"/>
    <n v="1998"/>
    <n v="6538"/>
    <m/>
    <s v=" "/>
    <m/>
    <s v=" "/>
    <m/>
    <m/>
    <m/>
    <n v="862600"/>
    <n v="131.9363719791985"/>
    <s v=" "/>
    <x v="1037"/>
    <x v="1044"/>
    <m/>
    <x v="921"/>
    <s v="Individual"/>
    <m/>
    <m/>
    <m/>
    <s v=" "/>
    <s v=" "/>
    <m/>
    <s v=" "/>
    <s v=" "/>
    <s v=" "/>
    <m/>
    <s v=" "/>
  </r>
  <r>
    <s v="Fresenius Medical Care"/>
    <s v="14 Woodlake Trail"/>
    <s v="Mount Vernon"/>
    <s v="OH"/>
    <n v="1.13"/>
    <n v="1998"/>
    <n v="5264"/>
    <m/>
    <s v=" "/>
    <m/>
    <s v=" "/>
    <m/>
    <m/>
    <m/>
    <n v="697800"/>
    <n v="132.5607902735562"/>
    <s v=" "/>
    <x v="1037"/>
    <x v="1045"/>
    <m/>
    <x v="922"/>
    <s v="Individual"/>
    <m/>
    <m/>
    <m/>
    <s v=" "/>
    <s v=" "/>
    <m/>
    <s v=" "/>
    <s v=" "/>
    <s v=" "/>
    <m/>
    <s v=" "/>
  </r>
  <r>
    <s v="Fresenius Medical Care"/>
    <s v="802 Steve Hawkins Parkway"/>
    <s v="Marble Falls"/>
    <s v="TX"/>
    <n v="0.95"/>
    <n v="2000"/>
    <n v="7810"/>
    <n v="187440"/>
    <n v="24"/>
    <d v="2020-10-31T00:00:00"/>
    <n v="4.605479452054794"/>
    <s v="NNN"/>
    <s v="3% annual"/>
    <s v="1, 5 yr"/>
    <n v="2460000"/>
    <n v="314.9807938540333"/>
    <n v="0.07619512195121951"/>
    <x v="1038"/>
    <x v="1046"/>
    <s v="SJC"/>
    <x v="398"/>
    <s v="Individual"/>
    <m/>
    <m/>
    <n v="2565700"/>
    <n v="0.07305608605838562"/>
    <n v="0.9588026659391199"/>
    <n v="2565700"/>
    <n v="0.07305608605838562"/>
    <n v="0.003139035892833889"/>
    <s v="No"/>
    <d v="2015-10-27T00:00:00"/>
    <n v="150"/>
  </r>
  <r>
    <s v="Fresenius Medical Care"/>
    <s v="423 Old Austin Highway"/>
    <s v="Bastrop"/>
    <s v="TX"/>
    <n v="1"/>
    <n v="2001"/>
    <n v="6886"/>
    <n v="227238"/>
    <n v="33"/>
    <d v="2020-10-31T00:00:00"/>
    <n v="4.605479452054794"/>
    <s v="Absolute NNN"/>
    <s v="3.0% annual"/>
    <s v="Two (2) Five (5) year options to renew"/>
    <n v="2700000"/>
    <n v="392.0999128666861"/>
    <n v="0.08416222222222222"/>
    <x v="1038"/>
    <x v="1046"/>
    <s v="SJC; Scrivner"/>
    <x v="398"/>
    <s v="Individual"/>
    <m/>
    <m/>
    <n v="2864000"/>
    <n v="0.07934287709497206"/>
    <n v="0.9427374301675978"/>
    <n v="2864000"/>
    <n v="0.07934287709497206"/>
    <n v="0.004819345127250158"/>
    <s v="No"/>
    <m/>
    <s v=" "/>
  </r>
  <r>
    <s v="Fresenius Medical Care"/>
    <s v="6850 Olive Blvd"/>
    <s v="University City"/>
    <s v="MO"/>
    <n v="1.35"/>
    <n v="2001"/>
    <n v="8360"/>
    <n v="225940.5"/>
    <n v="27.02637559808612"/>
    <d v="2021-08-31T00:00:00"/>
    <n v="5.438356164383562"/>
    <s v="Absolute NNN"/>
    <s v="3% annually"/>
    <s v="None"/>
    <n v="2655000"/>
    <n v="317.5837320574163"/>
    <n v="0.0851"/>
    <x v="1038"/>
    <x v="1047"/>
    <s v="SJC"/>
    <x v="398"/>
    <s v="Individual"/>
    <m/>
    <m/>
    <n v="3010900"/>
    <n v="0.07504085157261949"/>
    <n v="0.8817961406888306"/>
    <n v="3010900"/>
    <n v="0.07504085157261949"/>
    <n v="0.01005914842738051"/>
    <s v="No"/>
    <m/>
    <s v=" "/>
  </r>
  <r>
    <s v="Fresenius Medical Care"/>
    <s v="605 Hickory St NW"/>
    <s v="Albany"/>
    <s v="OR"/>
    <n v="0.9399999999999999"/>
    <n v="2016"/>
    <n v="12986"/>
    <n v="451723"/>
    <n v="34.78538425997228"/>
    <d v="2031-03-31T00:00:00"/>
    <n v="15.04383561643836"/>
    <s v="NN"/>
    <s v="1.7% annually"/>
    <s v="3, 5 yr"/>
    <n v="7405311"/>
    <n v="570.2534267672878"/>
    <n v="0.06099986887789047"/>
    <x v="1039"/>
    <x v="192"/>
    <m/>
    <x v="923"/>
    <s v="Individual"/>
    <s v="PG; Lesley"/>
    <m/>
    <m/>
    <s v=" "/>
    <s v=" "/>
    <m/>
    <s v=" "/>
    <s v=" "/>
    <s v=" "/>
    <m/>
    <s v=" "/>
  </r>
  <r>
    <s v="DaVita Dialysis"/>
    <s v="290 Alexandersville Road"/>
    <s v="Miamisburg"/>
    <s v="OH"/>
    <n v="1.75"/>
    <n v="2012"/>
    <n v="5200"/>
    <n v="89489"/>
    <n v="17.20942307692308"/>
    <d v="2027-02-28T00:00:00"/>
    <n v="10.95890410958904"/>
    <s v="NN"/>
    <s v="2% annual increases"/>
    <s v="2-5 Yr options"/>
    <n v="1430000"/>
    <n v="275"/>
    <n v="0.06257972027972028"/>
    <x v="1040"/>
    <x v="1048"/>
    <s v="SJC"/>
    <x v="924"/>
    <s v="Individual"/>
    <s v="SJC"/>
    <m/>
    <n v="1430000"/>
    <n v="0.06257972027972028"/>
    <n v="1"/>
    <n v="1430000"/>
    <n v="0.06257972027972028"/>
    <n v="0"/>
    <s v="No"/>
    <m/>
    <s v=" "/>
  </r>
  <r>
    <s v="DaVita Dialysis"/>
    <s v="1305 N Oak St"/>
    <s v="Pearsall"/>
    <s v="TX"/>
    <n v="0.79"/>
    <n v="2015"/>
    <n v="4455"/>
    <n v="67592"/>
    <n v="15.17216610549944"/>
    <d v="2025-02-28T00:00:00"/>
    <n v="8.964383561643835"/>
    <s v="NN"/>
    <s v="8% every 5 years"/>
    <s v="3, 5yr"/>
    <n v="994000"/>
    <n v="223.1200897867565"/>
    <n v="0.068"/>
    <x v="1041"/>
    <x v="1049"/>
    <s v="PH: Peranich &amp; Huffman"/>
    <x v="925"/>
    <s v="Individual"/>
    <m/>
    <m/>
    <m/>
    <s v=" "/>
    <s v=" "/>
    <m/>
    <s v=" "/>
    <s v=" "/>
    <s v=" "/>
    <d v="2015-11-24T00:00:00"/>
    <n v="112"/>
  </r>
  <r>
    <s v="Fresenius Medical Care"/>
    <s v="38 W Jubal Early Dr"/>
    <s v="Winchester"/>
    <s v="VA"/>
    <n v="1.106818"/>
    <n v="2015"/>
    <n v="9503"/>
    <n v="273266.2075"/>
    <n v="28.75578317373461"/>
    <d v="2030-10-31T00:00:00"/>
    <n v="14.63835616438356"/>
    <s v="NN"/>
    <s v="1.7% annually"/>
    <s v="3, 5 yr"/>
    <n v="3821905"/>
    <n v="402.1787856466379"/>
    <n v="0.07149999999999999"/>
    <x v="1041"/>
    <x v="494"/>
    <s v="C&amp;W; Trautvetter"/>
    <x v="637"/>
    <s v="Fund"/>
    <m/>
    <s v="MDG Development Group, LLC"/>
    <m/>
    <s v=" "/>
    <s v=" "/>
    <m/>
    <s v=" "/>
    <s v=" "/>
    <s v=" "/>
    <m/>
    <s v=" "/>
  </r>
  <r>
    <s v="Fresenius Medical Care"/>
    <s v="10 E Moreland Ave"/>
    <s v="Philadelphia"/>
    <s v="PA"/>
    <n v="0.9321855"/>
    <n v="1939"/>
    <n v="24745"/>
    <m/>
    <s v=" "/>
    <d v="2026-02-28T00:00:00"/>
    <n v="9.964383561643835"/>
    <s v="NN"/>
    <s v="10% every 5"/>
    <s v="2, 5 yr"/>
    <n v="7788462"/>
    <n v="314.74891897353"/>
    <s v=" "/>
    <x v="1041"/>
    <x v="1050"/>
    <m/>
    <x v="267"/>
    <s v="Fund"/>
    <m/>
    <m/>
    <m/>
    <s v=" "/>
    <s v=" "/>
    <m/>
    <s v=" "/>
    <s v=" "/>
    <s v=" "/>
    <m/>
    <s v=" "/>
  </r>
  <r>
    <s v="DaVita Dialysis"/>
    <s v="1908 Jutland Dr"/>
    <s v="Harvey"/>
    <s v="LA"/>
    <n v="0.77"/>
    <n v="2007"/>
    <n v="5770"/>
    <n v="115400"/>
    <n v="20"/>
    <d v="2023-04-30T00:00:00"/>
    <n v="7.13972602739726"/>
    <s v="NN"/>
    <s v="2% annually"/>
    <s v="2, 5 yr"/>
    <n v="1545000"/>
    <n v="267.7642980935875"/>
    <n v="0.07469255663430421"/>
    <x v="1042"/>
    <x v="1051"/>
    <s v="PH: Peranich &amp; Huffman"/>
    <x v="926"/>
    <s v="Individual"/>
    <s v="Transmer; Tran"/>
    <m/>
    <n v="1710000"/>
    <n v="0.06748538011695907"/>
    <n v="0.9035087719298246"/>
    <n v="1545000"/>
    <n v="0.07469255663430421"/>
    <n v="0"/>
    <s v="Yes"/>
    <d v="2015-11-16T00:00:00"/>
    <n v="116"/>
  </r>
  <r>
    <s v="Fresenius Medical Care"/>
    <s v="311 Goode Way"/>
    <s v="Portsmouth"/>
    <s v="VA"/>
    <n v="0.99"/>
    <n v="1990"/>
    <n v="10145"/>
    <n v="121598"/>
    <n v="11.98600295712174"/>
    <d v="2021-05-31T00:00:00"/>
    <n v="5.227397260273973"/>
    <s v="NN"/>
    <s v="1.7% annually"/>
    <s v="3, 5yr"/>
    <n v="1519980"/>
    <n v="149.8255298176442"/>
    <n v="0.07999973683864262"/>
    <x v="1043"/>
    <x v="1052"/>
    <s v="C&amp;W; Trautvetter &amp; Patel"/>
    <x v="750"/>
    <s v="Fund"/>
    <s v="M&amp;M; Ladt"/>
    <m/>
    <n v="1538981"/>
    <n v="0.07901202159090982"/>
    <n v="0.9876535187893808"/>
    <n v="1538981"/>
    <n v="0.07901202159090982"/>
    <n v="0.0009877152477327927"/>
    <s v="No"/>
    <d v="2015-12-01T00:00:00"/>
    <n v="100"/>
  </r>
  <r>
    <s v="DaVita Dialysis"/>
    <s v="65 Francis Way"/>
    <s v="Newnan"/>
    <s v="GA"/>
    <n v="1.619995"/>
    <n v="2015"/>
    <n v="6322"/>
    <n v="226761.6000000001"/>
    <n v="35.86864916165772"/>
    <m/>
    <s v=" "/>
    <m/>
    <m/>
    <m/>
    <n v="3555000"/>
    <n v="562.3220499841822"/>
    <n v="0.0637866666666667"/>
    <x v="1043"/>
    <x v="36"/>
    <m/>
    <x v="305"/>
    <s v="Fund"/>
    <m/>
    <m/>
    <m/>
    <s v=" "/>
    <s v=" "/>
    <m/>
    <s v=" "/>
    <s v=" "/>
    <s v=" "/>
    <m/>
    <s v=" "/>
  </r>
  <r>
    <m/>
    <s v="110 Logan Ct"/>
    <s v="Albany"/>
    <s v="GA"/>
    <n v="2.02"/>
    <n v="2015"/>
    <n v="8564"/>
    <n v="278367.3069767441"/>
    <n v="32.50435625604205"/>
    <m/>
    <s v=" "/>
    <m/>
    <m/>
    <m/>
    <n v="4305000"/>
    <n v="502.6856609061186"/>
    <n v="0.06466139534883721"/>
    <x v="1043"/>
    <x v="36"/>
    <m/>
    <x v="305"/>
    <s v="Fund"/>
    <m/>
    <m/>
    <m/>
    <s v=" "/>
    <s v=" "/>
    <m/>
    <s v=" "/>
    <s v=" "/>
    <s v=" "/>
    <m/>
    <s v=" "/>
  </r>
  <r>
    <m/>
    <s v="500 Sunchase Blvd"/>
    <s v="Farmville"/>
    <s v="VA"/>
    <m/>
    <n v="2016"/>
    <n v="10085"/>
    <n v="327111.0000000002"/>
    <n v="32.43539910758555"/>
    <m/>
    <s v=" "/>
    <m/>
    <m/>
    <m/>
    <n v="5460000"/>
    <n v="541.398116013882"/>
    <n v="0.0599104395604396"/>
    <x v="1043"/>
    <x v="36"/>
    <m/>
    <x v="305"/>
    <s v="Fund"/>
    <m/>
    <m/>
    <m/>
    <s v=" "/>
    <s v=" "/>
    <m/>
    <s v=" "/>
    <s v=" "/>
    <s v=" "/>
    <m/>
    <s v=" "/>
  </r>
  <r>
    <s v="Fresenius Medical Care"/>
    <s v="3204 Churchland Blvd"/>
    <s v="Chesapeake"/>
    <s v="VA"/>
    <n v="1.24"/>
    <n v="1995"/>
    <n v="4840"/>
    <m/>
    <s v=" "/>
    <m/>
    <s v=" "/>
    <m/>
    <m/>
    <m/>
    <n v="765000"/>
    <n v="158.0578512396694"/>
    <s v=" "/>
    <x v="1043"/>
    <x v="1052"/>
    <s v="C&amp;W; Trautvetter &amp; Patel"/>
    <x v="927"/>
    <s v="Individual"/>
    <m/>
    <m/>
    <n v="784790"/>
    <s v=" "/>
    <n v="0.9747830629850024"/>
    <n v="784790"/>
    <s v=" "/>
    <s v=" "/>
    <s v="No"/>
    <d v="2015-12-01T00:00:00"/>
    <n v="100"/>
  </r>
  <r>
    <s v="Fresenius Medical Care"/>
    <s v="2601 S Harlem Ave"/>
    <s v="Berwyn"/>
    <s v="IL"/>
    <n v="0.93"/>
    <n v="1962"/>
    <n v="11918"/>
    <n v="237450"/>
    <n v="19.92364490686357"/>
    <d v="2025-10-31T00:00:00"/>
    <n v="9.652054794520549"/>
    <s v="NN"/>
    <s v="2.5% annually"/>
    <s v="2, 5yr"/>
    <n v="2378500"/>
    <n v="199.572075851653"/>
    <n v="0.09983182678158503"/>
    <x v="1044"/>
    <x v="1053"/>
    <m/>
    <x v="928"/>
    <s v="Fund"/>
    <m/>
    <m/>
    <m/>
    <s v=" "/>
    <s v=" "/>
    <m/>
    <s v=" "/>
    <s v=" "/>
    <s v=" "/>
    <m/>
    <s v=" "/>
  </r>
  <r>
    <s v="DaVita Dialysis"/>
    <s v="705 28th St SE"/>
    <s v="Grand Rapids"/>
    <s v="MI"/>
    <n v="0.98"/>
    <n v="2013"/>
    <n v="8164"/>
    <n v="178678"/>
    <n v="21.88608525232729"/>
    <d v="2031-03-31T00:00:00"/>
    <n v="15.06849315068493"/>
    <s v="NN"/>
    <s v="10% every 5 years"/>
    <s v="2, 5yr"/>
    <n v="2569606.666666667"/>
    <n v="314.7484893026295"/>
    <n v="0.06953515583448569"/>
    <x v="1044"/>
    <x v="66"/>
    <m/>
    <x v="267"/>
    <s v="Fund"/>
    <m/>
    <m/>
    <m/>
    <s v=" "/>
    <s v=" "/>
    <m/>
    <s v=" "/>
    <s v=" "/>
    <s v=" "/>
    <m/>
    <s v=" "/>
  </r>
  <r>
    <s v="Fresenius Medical Care"/>
    <s v="1009 Harbor Hills Dr"/>
    <s v="Marquette"/>
    <s v="MI"/>
    <m/>
    <n v="2015"/>
    <n v="9580"/>
    <n v="200164"/>
    <n v="20.89394572025052"/>
    <m/>
    <s v=" "/>
    <m/>
    <m/>
    <m/>
    <n v="3260000"/>
    <n v="340.2922755741128"/>
    <n v="0.0614"/>
    <x v="1045"/>
    <x v="1054"/>
    <s v="M&amp;M;"/>
    <x v="111"/>
    <s v="Fund"/>
    <m/>
    <m/>
    <m/>
    <s v=" "/>
    <s v=" "/>
    <m/>
    <s v=" "/>
    <s v=" "/>
    <s v=" "/>
    <m/>
    <s v=" "/>
  </r>
  <r>
    <s v="Fresenius Medical Care"/>
    <s v="40 Walmart Plaza Dr"/>
    <s v="Monticello"/>
    <s v="KY"/>
    <n v="1.03"/>
    <n v="2017"/>
    <n v="6414"/>
    <m/>
    <s v=" "/>
    <d v="2031-01-31T00:00:00"/>
    <n v="14.92876712328767"/>
    <s v="NN"/>
    <s v="1.7% annually"/>
    <s v="3, 5 yr"/>
    <m/>
    <s v=" "/>
    <s v=" "/>
    <x v="1046"/>
    <x v="983"/>
    <m/>
    <x v="267"/>
    <s v="Fund"/>
    <m/>
    <m/>
    <m/>
    <s v=" "/>
    <s v=" "/>
    <m/>
    <s v=" "/>
    <s v=" "/>
    <s v=" "/>
    <m/>
    <s v=" "/>
  </r>
  <r>
    <s v="DaVita Dialysis"/>
    <s v="2813 Ring Rd"/>
    <s v="Elizabethtown"/>
    <s v="KY"/>
    <n v="0.9399999999999999"/>
    <n v="2014"/>
    <n v="9896"/>
    <m/>
    <s v=" "/>
    <d v="2030-03-31T00:00:00"/>
    <n v="14.1041095890411"/>
    <s v="NN"/>
    <s v="10% every 5"/>
    <s v="3, 5yr"/>
    <n v="3188000"/>
    <n v="322.1503637833468"/>
    <s v=" "/>
    <x v="1047"/>
    <x v="1055"/>
    <s v="C&amp;W; Patel &amp; Trautvetter"/>
    <x v="929"/>
    <s v="Individual"/>
    <s v="Colliers; Mason"/>
    <s v="OGA Realty"/>
    <n v="3230472"/>
    <s v=" "/>
    <n v="0.9868526952098641"/>
    <n v="3230472"/>
    <s v=" "/>
    <s v=" "/>
    <s v="No"/>
    <d v="2015-11-06T00:00:00"/>
    <n v="111"/>
  </r>
  <r>
    <s v="U.S. Renal Care"/>
    <s v="200 W 2 Mile Rd"/>
    <s v="Mission "/>
    <s v="TX"/>
    <n v="1.11"/>
    <n v="2017"/>
    <n v="9093"/>
    <n v="145414.5333799724"/>
    <n v="15.99192053007505"/>
    <d v="2027-10-31T00:00:00"/>
    <n v="11.69315068493151"/>
    <s v="Absolute NNN"/>
    <s v="2.5% annually"/>
    <s v="2, 5yr"/>
    <m/>
    <s v=" "/>
    <s v=" "/>
    <x v="1048"/>
    <x v="910"/>
    <m/>
    <x v="930"/>
    <s v="Individual"/>
    <m/>
    <m/>
    <m/>
    <s v=" "/>
    <s v=" "/>
    <m/>
    <s v=" "/>
    <s v=" "/>
    <s v=" "/>
    <m/>
    <s v=" "/>
  </r>
  <r>
    <s v="Fresenius Medical Care"/>
    <s v="1036 Easton Rd"/>
    <s v="Abington"/>
    <s v="PA"/>
    <n v="0.95"/>
    <n v="1964"/>
    <n v="11300"/>
    <m/>
    <s v=" "/>
    <m/>
    <s v=" "/>
    <m/>
    <m/>
    <m/>
    <n v="2700000"/>
    <n v="238.9380530973451"/>
    <s v=" "/>
    <x v="1049"/>
    <x v="1056"/>
    <s v="CBRE"/>
    <x v="931"/>
    <s v="Individual"/>
    <m/>
    <m/>
    <m/>
    <s v=" "/>
    <s v=" "/>
    <m/>
    <s v=" "/>
    <s v=" "/>
    <s v=" "/>
    <m/>
    <s v=" "/>
  </r>
  <r>
    <s v="Vanderbilt University"/>
    <s v="20 Rachel Dr"/>
    <s v="Nashville"/>
    <s v="TN"/>
    <n v="1.16"/>
    <n v="2003"/>
    <n v="10500"/>
    <n v="209587"/>
    <n v="19.96066666666667"/>
    <d v="2023-03-31T00:00:00"/>
    <n v="7.115068493150685"/>
    <s v="NN"/>
    <s v="1.7% annually"/>
    <s v="1, 5 year option at FMV"/>
    <n v="3025000"/>
    <n v="288.0952380952381"/>
    <n v="0.06928495867768596"/>
    <x v="1050"/>
    <x v="1057"/>
    <s v="SJC"/>
    <x v="137"/>
    <s v="Individual"/>
    <s v="SJC"/>
    <m/>
    <n v="3104993"/>
    <n v="0.06749999114329726"/>
    <n v="0.9742373010180699"/>
    <n v="3104993"/>
    <n v="0.06749999114329726"/>
    <n v="0.001784967534388698"/>
    <s v="No"/>
    <m/>
    <s v=" "/>
  </r>
  <r>
    <s v="U.S. Renal Care"/>
    <s v="3511 Medical Dr"/>
    <s v="Columbia"/>
    <s v="SC"/>
    <n v="1.43"/>
    <n v="2001"/>
    <n v="8342"/>
    <n v="124500"/>
    <n v="14.92447854231599"/>
    <d v="2030-05-31T00:00:00"/>
    <n v="14.2958904109589"/>
    <s v="NN"/>
    <s v="2% annually"/>
    <m/>
    <n v="1457705"/>
    <n v="174.7428674178854"/>
    <n v="0.08540822731622653"/>
    <x v="1051"/>
    <x v="1058"/>
    <m/>
    <x v="932"/>
    <s v="Individual"/>
    <m/>
    <m/>
    <n v="1549000"/>
    <n v="0.08037443511943189"/>
    <n v="0.9410619754680439"/>
    <n v="1549000"/>
    <n v="0.08037443511943189"/>
    <n v="0.005033792196794645"/>
    <s v="No"/>
    <d v="2015-06-24T00:00:00"/>
    <n v="237"/>
  </r>
  <r>
    <s v="DaVita Dialysis"/>
    <s v="1197 S Redondo Center Dr"/>
    <s v="Yuma"/>
    <s v="AZ"/>
    <n v="1.58"/>
    <n v="2014"/>
    <n v="7500"/>
    <n v="161428"/>
    <n v="21.52373333333333"/>
    <d v="2029-07-31T00:00:00"/>
    <n v="13.4986301369863"/>
    <s v="NN"/>
    <s v="10% every 5"/>
    <s v="3, 5 yr"/>
    <n v="2624850"/>
    <n v="349.98"/>
    <n v="0.0614998952321085"/>
    <x v="1052"/>
    <x v="1059"/>
    <s v="PH: Peranich &amp; Huffman"/>
    <x v="933"/>
    <s v="Individual"/>
    <s v="C&amp;W; Patel &amp; Trautvetter"/>
    <m/>
    <n v="2664000"/>
    <n v="0.0605960960960961"/>
    <n v="0.9853040540540541"/>
    <n v="2664000"/>
    <n v="0.0605960960960961"/>
    <n v="0.0009037991360124065"/>
    <s v="No"/>
    <d v="2015-02-11T00:00:00"/>
    <n v="357"/>
  </r>
  <r>
    <s v="Fresenius Medical Care"/>
    <s v="300 N 1st St"/>
    <s v="Vincennes"/>
    <s v="IN"/>
    <n v="0.96"/>
    <n v="2015"/>
    <n v="8488"/>
    <n v="233419.9905"/>
    <n v="27.49999888077286"/>
    <m/>
    <s v=" "/>
    <s v="NN"/>
    <s v="2% annually"/>
    <s v="3, 5yr"/>
    <n v="3795447"/>
    <n v="447.1544533459001"/>
    <n v="0.06150000000000001"/>
    <x v="1053"/>
    <x v="13"/>
    <m/>
    <x v="0"/>
    <s v="Individual"/>
    <m/>
    <m/>
    <m/>
    <s v=" "/>
    <s v=" "/>
    <m/>
    <s v=" "/>
    <s v=" "/>
    <s v=" "/>
    <m/>
    <s v=" "/>
  </r>
  <r>
    <m/>
    <s v="1675 TX-71"/>
    <s v="Bastrop"/>
    <s v="TX"/>
    <m/>
    <n v="2015"/>
    <n v="8210"/>
    <m/>
    <s v=" "/>
    <m/>
    <s v=" "/>
    <m/>
    <m/>
    <m/>
    <m/>
    <s v=" "/>
    <s v=" "/>
    <x v="1054"/>
    <x v="254"/>
    <s v="M&amp;M;"/>
    <x v="934"/>
    <s v="Individual"/>
    <m/>
    <m/>
    <m/>
    <s v=" "/>
    <s v=" "/>
    <m/>
    <s v=" "/>
    <s v=" "/>
    <s v=" "/>
    <m/>
    <s v=" "/>
  </r>
  <r>
    <s v="Fresenius Medical Care"/>
    <s v="220 W Maplewood Ln"/>
    <s v="Nashville"/>
    <s v="TN"/>
    <n v="2.93"/>
    <n v="2015"/>
    <n v="12000"/>
    <m/>
    <s v=" "/>
    <m/>
    <s v=" "/>
    <m/>
    <m/>
    <m/>
    <n v="3738834"/>
    <n v="311.5695"/>
    <s v=" "/>
    <x v="1055"/>
    <x v="1060"/>
    <m/>
    <x v="935"/>
    <s v="Individual"/>
    <s v="CBRE"/>
    <m/>
    <m/>
    <s v=" "/>
    <s v=" "/>
    <m/>
    <s v=" "/>
    <s v=" "/>
    <s v=" "/>
    <m/>
    <s v=" "/>
  </r>
  <r>
    <s v="Fresenius Medical Care"/>
    <s v="509 Richmond Rd N"/>
    <s v="Berea"/>
    <s v="KY"/>
    <n v="0.9"/>
    <n v="2015"/>
    <n v="6905"/>
    <n v="181839.698211106"/>
    <n v="26.33449648241941"/>
    <d v="2030-01-31T00:00:00"/>
    <n v="14.04383561643836"/>
    <s v="NN"/>
    <s v="1.7% annually"/>
    <s v="3, 5yr"/>
    <n v="2750000"/>
    <n v="398.2621288921072"/>
    <n v="0.06612352662222036"/>
    <x v="1056"/>
    <x v="983"/>
    <m/>
    <x v="267"/>
    <s v="Fund"/>
    <m/>
    <m/>
    <m/>
    <s v=" "/>
    <s v=" "/>
    <m/>
    <s v=" "/>
    <s v=" "/>
    <s v=" "/>
    <m/>
    <s v=" "/>
  </r>
  <r>
    <s v="Fresenius Medical Care"/>
    <s v="1320 Mickley Rd"/>
    <s v="Whitehall"/>
    <s v="PA"/>
    <n v="0.9"/>
    <n v="2010"/>
    <n v="10170"/>
    <n v="209375"/>
    <n v="20.58751229105211"/>
    <d v="2025-09-30T00:00:00"/>
    <n v="9.717808219178082"/>
    <s v="NN"/>
    <s v="2.5% annually"/>
    <s v="2, 5 yr"/>
    <n v="3125000"/>
    <n v="307.2763028515241"/>
    <n v="0.067"/>
    <x v="1057"/>
    <x v="1061"/>
    <s v="SIG; Hoover"/>
    <x v="936"/>
    <s v="Individual"/>
    <s v="M&amp;M; Swon"/>
    <m/>
    <m/>
    <s v=" "/>
    <s v=" "/>
    <m/>
    <s v=" "/>
    <s v=" "/>
    <s v=" "/>
    <m/>
    <s v=" "/>
  </r>
  <r>
    <s v="DaVita Dialysis"/>
    <s v="2600 Clark Ave"/>
    <s v="St. Louis "/>
    <s v="MO"/>
    <n v="1"/>
    <n v="1963"/>
    <n v="18000"/>
    <m/>
    <m/>
    <m/>
    <s v=" "/>
    <m/>
    <m/>
    <m/>
    <n v="1385000"/>
    <n v="76.94444444444444"/>
    <s v=" "/>
    <x v="1058"/>
    <x v="1062"/>
    <s v="Sansone Group, Bajardi"/>
    <x v="937"/>
    <s v="Individual"/>
    <m/>
    <m/>
    <m/>
    <s v=" "/>
    <s v=" "/>
    <n v="1530000"/>
    <s v=" "/>
    <s v=" "/>
    <s v=" "/>
    <m/>
    <s v=" "/>
  </r>
  <r>
    <s v="DaVita Dialysis"/>
    <s v="404 E 24th St"/>
    <s v="Lynn Haven"/>
    <s v="FL"/>
    <n v="1.258999"/>
    <n v="2015"/>
    <n v="7959"/>
    <n v="159638.1818181818"/>
    <n v="20.05756776205325"/>
    <d v="2030-02-28T00:00:00"/>
    <n v="14.15068493150685"/>
    <s v="NN"/>
    <s v="10% every 5 years"/>
    <s v="3, 5 yr"/>
    <n v="2750000"/>
    <n v="345.5207940696067"/>
    <n v="0.05805024793388429"/>
    <x v="1058"/>
    <x v="296"/>
    <s v="C&amp;W; Trautvetter &amp; Patel"/>
    <x v="938"/>
    <s v="Individual"/>
    <s v="C&amp;W; Price"/>
    <m/>
    <m/>
    <s v=" "/>
    <s v=" "/>
    <m/>
    <s v=" "/>
    <s v=" "/>
    <s v=" "/>
    <m/>
    <s v=" "/>
  </r>
  <r>
    <s v="Fresenius Medical Care"/>
    <s v="1676 S Wesleyan Blvd"/>
    <s v="Rocky Mount"/>
    <s v="NC"/>
    <n v="2.12"/>
    <n v="2015"/>
    <n v="9963"/>
    <m/>
    <s v=" "/>
    <d v="2030-07-31T00:00:00"/>
    <n v="14.57534246575342"/>
    <s v="NN"/>
    <s v="1.7% annually"/>
    <s v="3, 5 yr"/>
    <n v="4366500"/>
    <n v="438.2716049382716"/>
    <s v=" "/>
    <x v="1059"/>
    <x v="138"/>
    <m/>
    <x v="267"/>
    <s v="Fund"/>
    <m/>
    <m/>
    <m/>
    <s v=" "/>
    <s v=" "/>
    <m/>
    <s v=" "/>
    <s v=" "/>
    <s v=" "/>
    <m/>
    <s v=" "/>
  </r>
  <r>
    <s v="Davita Tampa"/>
    <s v="2205 W M L K Jr Blvd"/>
    <s v="Tampa"/>
    <s v="FL"/>
    <m/>
    <n v="1965"/>
    <n v="8000"/>
    <m/>
    <s v=" "/>
    <m/>
    <s v=" "/>
    <m/>
    <m/>
    <m/>
    <n v="2850000"/>
    <n v="356.25"/>
    <s v=" "/>
    <x v="1060"/>
    <x v="1063"/>
    <m/>
    <x v="939"/>
    <s v="Individual"/>
    <m/>
    <m/>
    <m/>
    <s v=" "/>
    <s v=" "/>
    <m/>
    <s v=" "/>
    <s v=" "/>
    <s v=" "/>
    <m/>
    <s v=" "/>
  </r>
  <r>
    <s v="DaVita Dialysis"/>
    <s v="4350 S Ironwood Dr"/>
    <s v="South Bend"/>
    <s v="IN"/>
    <n v="1.84"/>
    <n v="2014"/>
    <n v="9001"/>
    <n v="277699.02"/>
    <n v="30.85201866459283"/>
    <m/>
    <s v=" "/>
    <m/>
    <m/>
    <m/>
    <n v="4628317"/>
    <n v="514.200311076547"/>
    <n v="0.06"/>
    <x v="1061"/>
    <x v="1064"/>
    <m/>
    <x v="940"/>
    <s v="Individual"/>
    <m/>
    <s v="Bond Oman"/>
    <m/>
    <s v=" "/>
    <s v=" "/>
    <m/>
    <s v=" "/>
    <s v=" "/>
    <s v=" "/>
    <m/>
    <s v=" "/>
  </r>
  <r>
    <s v="Fresenius Medical Care"/>
    <s v="9115 Antique Aly"/>
    <s v="Bridgeville"/>
    <s v="DE"/>
    <n v="2.92"/>
    <n v="2017"/>
    <n v="9000"/>
    <n v="147518.1818181818"/>
    <n v="16.39090909090909"/>
    <d v="2027-08-31T00:00:00"/>
    <n v="11.67397260273973"/>
    <s v="NN"/>
    <s v="10% ever 5"/>
    <s v="2, 5yr"/>
    <n v="1975000"/>
    <n v="219.4444444444445"/>
    <n v="0.07469275028768699"/>
    <x v="1062"/>
    <x v="1065"/>
    <s v="SVN; Gillis"/>
    <x v="941"/>
    <s v="Individual"/>
    <s v="SVN; Davis"/>
    <s v="Windsor Development"/>
    <m/>
    <s v=" "/>
    <s v=" "/>
    <m/>
    <s v=" "/>
    <s v=" "/>
    <s v=" "/>
    <d v="2013-08-09T00:00:00"/>
    <n v="874"/>
  </r>
  <r>
    <s v="DaVita Dialysis"/>
    <s v="14010 W 134th Pl"/>
    <s v="Olathe"/>
    <s v="KS"/>
    <n v="1.01"/>
    <n v="2015"/>
    <n v="5664"/>
    <n v="174428"/>
    <n v="30.79590395480226"/>
    <d v="2030-01-31T00:00:00"/>
    <n v="14.0958904109589"/>
    <s v="NN"/>
    <s v="10% every 5"/>
    <s v="2, 5yr"/>
    <n v="2708509"/>
    <n v="478.1972104519774"/>
    <n v="0.06440000753181917"/>
    <x v="1062"/>
    <x v="611"/>
    <s v="Embree; Lewis"/>
    <x v="942"/>
    <s v="Individual"/>
    <s v="PH: Peranich &amp; Huffman"/>
    <m/>
    <m/>
    <s v=" "/>
    <s v=" "/>
    <m/>
    <s v=" "/>
    <s v=" "/>
    <s v=" "/>
    <m/>
    <s v=" "/>
  </r>
  <r>
    <s v="Fresenius Medical Care"/>
    <s v="475 Gateway Center Blvd"/>
    <s v="Brunswick"/>
    <s v="GA"/>
    <n v="1.14"/>
    <n v="2007"/>
    <n v="7140"/>
    <n v="208650"/>
    <n v="29.22268907563025"/>
    <d v="2019-06-30T00:00:00"/>
    <n v="3.501369863013699"/>
    <s v="NN"/>
    <s v="FMV"/>
    <s v="2, 5 yr"/>
    <n v="2140000"/>
    <n v="299.7198879551821"/>
    <n v="0.0975"/>
    <x v="1063"/>
    <x v="1066"/>
    <s v="PH: Peranich &amp; Huffman"/>
    <x v="267"/>
    <s v="Fund"/>
    <m/>
    <m/>
    <m/>
    <s v=" "/>
    <s v=" "/>
    <m/>
    <s v=" "/>
    <s v=" "/>
    <s v=" "/>
    <m/>
    <s v=" "/>
  </r>
  <r>
    <s v="DaVita Dialysis"/>
    <s v="1250 Dacy Ln"/>
    <s v="Kyle"/>
    <s v="TX"/>
    <n v="1.17"/>
    <n v="2016"/>
    <n v="6719"/>
    <m/>
    <s v=" "/>
    <d v="2030-11-30T00:00:00"/>
    <n v="14.92876712328767"/>
    <s v="NN"/>
    <s v="10% every 5"/>
    <s v="3, 5 yr"/>
    <m/>
    <s v=" "/>
    <s v=" "/>
    <x v="1063"/>
    <x v="1015"/>
    <m/>
    <x v="267"/>
    <s v="Fund"/>
    <m/>
    <m/>
    <m/>
    <s v=" "/>
    <s v=" "/>
    <m/>
    <s v=" "/>
    <s v=" "/>
    <s v=" "/>
    <m/>
    <s v=" "/>
  </r>
  <r>
    <s v="DaVita Dialysis"/>
    <s v="1125 S Burnside Ave"/>
    <s v="Gonzales"/>
    <s v="LA"/>
    <n v="1.06"/>
    <n v="2015"/>
    <n v="6700"/>
    <n v="187801"/>
    <n v="28.03"/>
    <d v="2030-12-13T00:00:00"/>
    <n v="14.96438356164384"/>
    <s v="NN"/>
    <s v="10% every 5"/>
    <s v="2, 5 yr"/>
    <m/>
    <s v=" "/>
    <s v=" "/>
    <x v="1063"/>
    <x v="611"/>
    <s v="Embree; Barnes"/>
    <x v="204"/>
    <s v="Individual"/>
    <s v="Sage; Meyers"/>
    <s v="Embree"/>
    <n v="3130000"/>
    <n v="0.06000031948881789"/>
    <s v=" "/>
    <n v="3130000"/>
    <n v="0.06000031948881789"/>
    <s v=" "/>
    <s v="No"/>
    <d v="2015-09-17T00:00:00"/>
    <n v="104"/>
  </r>
  <r>
    <s v="DaVita Dialysis"/>
    <s v="1151 Hospital Dr"/>
    <s v="Fredericksburg"/>
    <s v="VA"/>
    <n v="1.94"/>
    <n v="2015"/>
    <n v="8468"/>
    <n v="269514.96"/>
    <n v="31.82746339159188"/>
    <d v="2031-01-01T00:00:00"/>
    <n v="15.03835616438356"/>
    <s v="NN"/>
    <s v="10% every 5yrs"/>
    <s v="2, 5yr"/>
    <n v="2674047"/>
    <n v="315.7825932923949"/>
    <n v="0.1007891633916681"/>
    <x v="1064"/>
    <x v="1067"/>
    <s v="Dan Lem"/>
    <x v="828"/>
    <s v="Individual"/>
    <m/>
    <m/>
    <m/>
    <s v=" "/>
    <s v=" "/>
    <m/>
    <s v=" "/>
    <s v=" "/>
    <s v=" "/>
    <m/>
    <s v=" "/>
  </r>
  <r>
    <s v="Fresenius Medical Care"/>
    <s v="4310 Nicollet Ave"/>
    <s v="Minneapolis"/>
    <s v="MN"/>
    <n v="0.47"/>
    <n v="1966"/>
    <n v="7990"/>
    <n v="103254"/>
    <n v="12.92290362953692"/>
    <m/>
    <s v=" "/>
    <m/>
    <m/>
    <m/>
    <n v="1382250"/>
    <n v="172.9974968710889"/>
    <n v="0.07469994574064026"/>
    <x v="1065"/>
    <x v="1068"/>
    <m/>
    <x v="713"/>
    <s v="Individual"/>
    <m/>
    <m/>
    <m/>
    <s v=" "/>
    <s v=" "/>
    <m/>
    <s v=" "/>
    <s v=" "/>
    <s v=" "/>
    <m/>
    <s v=" "/>
  </r>
  <r>
    <m/>
    <s v="1101 S Anaheim Blvd"/>
    <s v="Anaheim"/>
    <s v="CA"/>
    <n v="1.06"/>
    <n v="1965"/>
    <n v="8000"/>
    <n v="188700"/>
    <n v="23.5875"/>
    <d v="2026-12-01T00:00:00"/>
    <n v="10.96164383561644"/>
    <s v="NN"/>
    <s v="2% annually"/>
    <m/>
    <n v="3700000"/>
    <n v="462.5"/>
    <n v="0.051"/>
    <x v="1066"/>
    <x v="1069"/>
    <s v="CBM; Grossman"/>
    <x v="943"/>
    <s v="Individual"/>
    <s v="C&amp;W; Patel"/>
    <m/>
    <n v="3836640"/>
    <n v="0.04918366070311522"/>
    <n v="0.9643855039826514"/>
    <n v="3836640"/>
    <n v="0.04918366070311522"/>
    <n v="0.001816339296884774"/>
    <s v="No"/>
    <d v="2014-12-15T00:00:00"/>
    <n v="368"/>
  </r>
  <r>
    <s v="Fresenius Medical Care"/>
    <s v="103 Forest Ave"/>
    <s v="River Forest"/>
    <s v="IL"/>
    <n v="0.9288567"/>
    <n v="1998"/>
    <n v="15941"/>
    <n v="284159.08425"/>
    <n v="17.82567494197353"/>
    <d v="2025-11-30T00:00:00"/>
    <n v="9.961643835616439"/>
    <s v="NN"/>
    <s v="3% annually"/>
    <s v="2, 5 yr"/>
    <n v="3071990.1"/>
    <n v="192.7099993726868"/>
    <n v="0.0925"/>
    <x v="1067"/>
    <x v="1070"/>
    <s v="Newmark; Whipple"/>
    <x v="944"/>
    <s v="Individual"/>
    <s v="C&amp;W; Guzik"/>
    <m/>
    <m/>
    <s v=" "/>
    <s v=" "/>
    <m/>
    <s v=" "/>
    <s v=" "/>
    <s v=" "/>
    <m/>
    <s v=" "/>
  </r>
  <r>
    <s v="DaVita Dialysis"/>
    <s v="240 Parker Dr"/>
    <s v="La Grange"/>
    <s v="KY"/>
    <n v="1.63"/>
    <n v="2005"/>
    <n v="5768"/>
    <n v="144515"/>
    <n v="25.05461165048544"/>
    <d v="2020-06-30T00:00:00"/>
    <n v="4.545205479452055"/>
    <s v="NN"/>
    <s v="CPI annually"/>
    <m/>
    <n v="1605722"/>
    <n v="278.3845353675451"/>
    <n v="0.09000001245545618"/>
    <x v="1068"/>
    <x v="69"/>
    <s v="C&amp;W; Patel"/>
    <x v="945"/>
    <s v="Individual"/>
    <m/>
    <m/>
    <n v="1605722"/>
    <n v="0.09000001245545618"/>
    <n v="1"/>
    <n v="1605722"/>
    <n v="0.09000001245545618"/>
    <n v="0"/>
    <s v="No"/>
    <d v="2015-09-22T00:00:00"/>
    <n v="84"/>
  </r>
  <r>
    <s v="Fresenius Medical Care"/>
    <s v="300 Unser Blvd NW"/>
    <s v="Albuquerque"/>
    <s v="NM"/>
    <m/>
    <n v="2014"/>
    <n v="19839"/>
    <n v="377600"/>
    <n v="19.03321740007057"/>
    <d v="2030-06-30T00:00:00"/>
    <n v="14.55068493150685"/>
    <s v="NN"/>
    <s v="1.7% annually"/>
    <s v="3, 5y"/>
    <n v="5901896"/>
    <n v="297.4895912092343"/>
    <n v="0.0639794398274724"/>
    <x v="1068"/>
    <x v="192"/>
    <m/>
    <x v="267"/>
    <s v="Fund"/>
    <s v="PG; Lesley"/>
    <m/>
    <m/>
    <s v=" "/>
    <s v=" "/>
    <m/>
    <s v=" "/>
    <s v=" "/>
    <s v=" "/>
    <m/>
    <s v=" "/>
  </r>
  <r>
    <s v="DaVita Dialysis"/>
    <s v="6115-6117 Baseline Road"/>
    <s v="Little Rock"/>
    <s v="AR"/>
    <n v="1.14"/>
    <n v="1968"/>
    <n v="11700"/>
    <n v="101700"/>
    <n v="8.692307692307692"/>
    <m/>
    <s v=" "/>
    <m/>
    <m/>
    <m/>
    <n v="1356000"/>
    <n v="115.8974358974359"/>
    <n v="0.075"/>
    <x v="1069"/>
    <x v="1071"/>
    <m/>
    <x v="946"/>
    <s v="Individual"/>
    <m/>
    <m/>
    <n v="1550000"/>
    <n v="0.06561290322580646"/>
    <n v="0.8748387096774194"/>
    <n v="1550000"/>
    <n v="0.06561290322580646"/>
    <n v="0.00938709677419354"/>
    <s v="No"/>
    <d v="2015-07-10T00:00:00"/>
    <n v="152"/>
  </r>
  <r>
    <s v="U.S. Renal Care"/>
    <s v="10502 Sandia Dr"/>
    <s v="Laredo"/>
    <s v="TX"/>
    <n v="1.264532"/>
    <n v="2016"/>
    <n v="9607"/>
    <m/>
    <s v=" "/>
    <d v="2027-10-31T00:00:00"/>
    <n v="11.91506849315068"/>
    <s v="Absolute NNN"/>
    <s v="2.5% annually"/>
    <s v="3, 5 yr"/>
    <m/>
    <s v=" "/>
    <s v=" "/>
    <x v="1070"/>
    <x v="1072"/>
    <m/>
    <x v="947"/>
    <s v="User"/>
    <m/>
    <m/>
    <m/>
    <s v=" "/>
    <s v=" "/>
    <m/>
    <s v=" "/>
    <s v=" "/>
    <s v=" "/>
    <m/>
    <s v=" "/>
  </r>
  <r>
    <m/>
    <s v="4401 Mack Rd"/>
    <s v="Sacramento"/>
    <s v="CA"/>
    <m/>
    <n v="2011"/>
    <n v="15007"/>
    <n v="234080"/>
    <n v="15.59805424135403"/>
    <m/>
    <s v=" "/>
    <m/>
    <m/>
    <m/>
    <n v="4400000"/>
    <n v="293.1965082961285"/>
    <n v="0.0532"/>
    <x v="1071"/>
    <x v="1073"/>
    <s v="M&amp;M;"/>
    <x v="0"/>
    <s v="Individual"/>
    <m/>
    <m/>
    <m/>
    <s v=" "/>
    <s v=" "/>
    <m/>
    <s v=" "/>
    <s v=" "/>
    <s v=" "/>
    <m/>
    <s v=" "/>
  </r>
  <r>
    <s v="DaVita Dialysis"/>
    <s v="1800 N Texas St"/>
    <s v="Fairfield"/>
    <s v="CA"/>
    <n v="1.27"/>
    <n v="2014"/>
    <n v="8555"/>
    <n v="283250"/>
    <n v="33.10929281122151"/>
    <d v="2029-12-31T00:00:00"/>
    <n v="14.09315068493151"/>
    <s v="NN"/>
    <s v="10% every 5 years"/>
    <s v="2, 5yr"/>
    <n v="5150000"/>
    <n v="601.9871420222092"/>
    <n v="0.055"/>
    <x v="1072"/>
    <x v="511"/>
    <s v="M&amp;M; Glass"/>
    <x v="948"/>
    <s v="Individual"/>
    <s v="CBRE"/>
    <s v="Meridian Property Co."/>
    <n v="4926600"/>
    <n v="0.05749401209759266"/>
    <n v="1.045345674501685"/>
    <n v="4926000"/>
    <n v="0.05750101502233049"/>
    <n v="-0.002501015022330494"/>
    <s v="Yes"/>
    <d v="2015-01-29T00:00:00"/>
    <n v="306"/>
  </r>
  <r>
    <s v="Fresenius Medical Care"/>
    <s v="1980 N Main St"/>
    <s v="Summerville"/>
    <s v="SC"/>
    <n v="0.85"/>
    <n v="2004"/>
    <n v="5580"/>
    <m/>
    <s v=" "/>
    <d v="2030-02-28T00:00:00"/>
    <n v="14.25479452054794"/>
    <s v="NN"/>
    <s v="10% every 5"/>
    <s v="2, 5 yr"/>
    <n v="2655406"/>
    <n v="475.879211469534"/>
    <s v=" "/>
    <x v="1072"/>
    <x v="138"/>
    <m/>
    <x v="267"/>
    <s v="Fund"/>
    <m/>
    <m/>
    <m/>
    <s v=" "/>
    <s v=" "/>
    <m/>
    <s v=" "/>
    <s v=" "/>
    <s v=" "/>
    <m/>
    <s v=" "/>
  </r>
  <r>
    <s v="Fresenius Medical Care (MT)"/>
    <s v="75 Newbury St"/>
    <s v="Danvers"/>
    <s v="MA"/>
    <n v="2.4"/>
    <n v="1993"/>
    <n v="28851"/>
    <m/>
    <s v=" "/>
    <m/>
    <s v=" "/>
    <m/>
    <m/>
    <m/>
    <n v="4125000"/>
    <n v="142.9759800353541"/>
    <s v=" "/>
    <x v="1072"/>
    <x v="1074"/>
    <m/>
    <x v="949"/>
    <s v="Individual"/>
    <m/>
    <m/>
    <m/>
    <s v=" "/>
    <s v=" "/>
    <m/>
    <s v=" "/>
    <s v=" "/>
    <s v=" "/>
    <m/>
    <s v=" "/>
  </r>
  <r>
    <s v="Fresenius Medical Care (MT)"/>
    <s v="75 Newbury St"/>
    <s v="Danvers"/>
    <s v="MA"/>
    <n v="2.44"/>
    <n v="1993"/>
    <n v="28851"/>
    <m/>
    <s v=" "/>
    <m/>
    <s v=" "/>
    <m/>
    <m/>
    <m/>
    <n v="4125000"/>
    <n v="142.9759800353541"/>
    <s v=" "/>
    <x v="1072"/>
    <x v="1075"/>
    <s v="Nordlund Associates; Everest"/>
    <x v="950"/>
    <s v="Individual"/>
    <s v="Nordlund Associates; Everest"/>
    <m/>
    <m/>
    <s v=" "/>
    <s v=" "/>
    <m/>
    <s v=" "/>
    <s v=" "/>
    <s v=" "/>
    <m/>
    <s v=" "/>
  </r>
  <r>
    <s v="Fresenius Medical Care"/>
    <s v="2014 City Line Rd"/>
    <s v="Bethlehem"/>
    <s v="PA"/>
    <n v="2.57"/>
    <n v="1972"/>
    <n v="22742"/>
    <n v="357668"/>
    <n v="15.72720077389851"/>
    <d v="2025-12-31T00:00:00"/>
    <n v="10.09041095890411"/>
    <s v="NN"/>
    <s v="2.5% annually"/>
    <s v="3, 5yr"/>
    <n v="4415658"/>
    <n v="194.1631342889807"/>
    <n v="0.08099993251288935"/>
    <x v="1072"/>
    <x v="1061"/>
    <s v="SIG; Hoover"/>
    <x v="936"/>
    <s v="Individual"/>
    <s v="M&amp;M; Swon"/>
    <m/>
    <n v="5338743"/>
    <n v="0.06699479634063674"/>
    <n v="0.8270969402348081"/>
    <n v="5338743"/>
    <n v="0.06699479634063674"/>
    <n v="0.01400513617225262"/>
    <s v="No"/>
    <d v="2015-04-15T00:00:00"/>
    <n v="230"/>
  </r>
  <r>
    <s v="Fresenius Medical Care"/>
    <s v="517 3rd Ave"/>
    <s v="Chesapeake"/>
    <s v="OH"/>
    <n v="0.21"/>
    <m/>
    <n v="5177"/>
    <n v="105165"/>
    <n v="20.3138883523276"/>
    <m/>
    <s v=" "/>
    <m/>
    <m/>
    <m/>
    <n v="1350000"/>
    <n v="260.7687850106239"/>
    <n v="0.0779"/>
    <x v="1072"/>
    <x v="13"/>
    <m/>
    <x v="0"/>
    <s v="Individual"/>
    <m/>
    <m/>
    <m/>
    <s v=" "/>
    <s v=" "/>
    <m/>
    <s v=" "/>
    <s v=" "/>
    <s v=" "/>
    <m/>
    <s v=" "/>
  </r>
  <r>
    <s v="DaVita Dialysis"/>
    <s v="11600 Broadway St"/>
    <s v="Pearland"/>
    <s v="TX"/>
    <n v="1.021"/>
    <n v="2015"/>
    <n v="7315"/>
    <n v="210087"/>
    <n v="28.72002734107997"/>
    <d v="2030-08-31T00:00:00"/>
    <n v="14.78082191780822"/>
    <s v="NN"/>
    <s v="10% every Five (5) years"/>
    <s v="Two (2), Five (5) year options"/>
    <n v="3578991"/>
    <n v="489.2673957621326"/>
    <n v="0.05870006378892822"/>
    <x v="1073"/>
    <x v="1076"/>
    <s v="SJC; Herrold"/>
    <x v="951"/>
    <s v="Individual"/>
    <m/>
    <m/>
    <n v="3929500"/>
    <n v="0.05346405395088433"/>
    <n v="0.9108006107647283"/>
    <n v="3929500"/>
    <n v="0.05346405395088433"/>
    <n v="0.005236009838043884"/>
    <s v="No"/>
    <d v="2015-08-13T00:00:00"/>
    <n v="102"/>
  </r>
  <r>
    <s v="DaVita Dialysis"/>
    <s v="721 W 1st St"/>
    <s v="Tustin"/>
    <s v="CA"/>
    <n v="1.7"/>
    <n v="1981"/>
    <n v="10398"/>
    <n v="419535"/>
    <n v="40.34766301211771"/>
    <d v="2030-07-31T00:00:00"/>
    <n v="14.6958904109589"/>
    <s v="NN"/>
    <s v="2.5% annually"/>
    <s v="2, 5yr"/>
    <n v="7545600"/>
    <n v="725.6780150028852"/>
    <n v="0.05559995229007634"/>
    <x v="1073"/>
    <x v="5"/>
    <s v="M&amp;M; Sambazis"/>
    <x v="952"/>
    <s v="Individual"/>
    <m/>
    <s v="Centres, Inc."/>
    <n v="7480000"/>
    <n v="0.05608756684491979"/>
    <n v="1.008770053475936"/>
    <n v="7480000"/>
    <n v="0.05608756684491979"/>
    <n v="-0.0004876145548434463"/>
    <s v="No"/>
    <d v="2015-06-14T00:00:00"/>
    <n v="162"/>
  </r>
  <r>
    <s v="DaVita Dialysis - Condo"/>
    <s v="883 Patriot Dr"/>
    <s v="Moorpark"/>
    <s v="CA"/>
    <n v="1.65"/>
    <n v="2009"/>
    <n v="15921"/>
    <n v="339900"/>
    <n v="21.34916148483136"/>
    <d v="2027-04-30T00:00:00"/>
    <n v="11.44109589041096"/>
    <s v="NN"/>
    <s v="10% every 5"/>
    <s v="2, 5yr"/>
    <n v="6180000"/>
    <n v="388.1665724514792"/>
    <n v="0.055"/>
    <x v="1073"/>
    <x v="1077"/>
    <s v="CBRE; Flores"/>
    <x v="761"/>
    <s v="Individual"/>
    <s v="Grady Liu"/>
    <m/>
    <n v="6725000"/>
    <n v="0.05054275092936803"/>
    <n v="0.9189591078066914"/>
    <n v="6725000"/>
    <n v="0.05054275092936803"/>
    <n v="0.004457249070631969"/>
    <s v="No"/>
    <d v="2015-08-02T00:00:00"/>
    <n v="113"/>
  </r>
  <r>
    <s v="DaVita Dialysis"/>
    <s v="2924 General Degaulle Dr"/>
    <s v="New Orleans"/>
    <s v="LA"/>
    <n v="0.84"/>
    <n v="2013"/>
    <n v="6000"/>
    <n v="140760"/>
    <n v="23.46"/>
    <d v="2029-08-30T00:00:00"/>
    <n v="13.78904109589041"/>
    <s v="NN"/>
    <s v="2% annually"/>
    <s v="2, 5 yr"/>
    <n v="2173000"/>
    <n v="362.1666666666667"/>
    <n v="0.06477680625862862"/>
    <x v="1074"/>
    <x v="1078"/>
    <s v="M&amp;M; Waldman"/>
    <x v="267"/>
    <s v="Fund"/>
    <m/>
    <m/>
    <n v="2346000"/>
    <n v="0.06"/>
    <n v="0.9262574595055414"/>
    <n v="2346000"/>
    <n v="0.06"/>
    <n v="0.004776806258628627"/>
    <s v="No"/>
    <d v="2015-10-06T00:00:00"/>
    <n v="44"/>
  </r>
  <r>
    <m/>
    <s v="10511 Harlem Ave"/>
    <s v="Worth"/>
    <s v="IL"/>
    <m/>
    <n v="2015"/>
    <n v="7423"/>
    <m/>
    <s v=" "/>
    <m/>
    <s v=" "/>
    <m/>
    <m/>
    <m/>
    <n v="4000000"/>
    <n v="538.8656877273339"/>
    <s v=" "/>
    <x v="1075"/>
    <x v="1079"/>
    <m/>
    <x v="953"/>
    <s v="Individual"/>
    <m/>
    <m/>
    <m/>
    <s v=" "/>
    <s v=" "/>
    <m/>
    <s v=" "/>
    <s v=" "/>
    <s v=" "/>
    <m/>
    <s v=" "/>
  </r>
  <r>
    <s v="DaVita Dialysis"/>
    <s v="2091 Langhorne Rd"/>
    <s v="Lynchburg"/>
    <s v="VA"/>
    <n v="0.76"/>
    <n v="1990"/>
    <n v="10000"/>
    <n v="204400"/>
    <n v="20.44"/>
    <m/>
    <s v=" "/>
    <m/>
    <m/>
    <m/>
    <n v="2800000"/>
    <n v="280"/>
    <n v="0.073"/>
    <x v="1076"/>
    <x v="13"/>
    <m/>
    <x v="0"/>
    <s v="Individual"/>
    <m/>
    <m/>
    <m/>
    <s v=" "/>
    <s v=" "/>
    <m/>
    <s v=" "/>
    <s v=" "/>
    <s v=" "/>
    <m/>
    <s v=" "/>
  </r>
  <r>
    <m/>
    <s v="713 E Lake Mead Blvd"/>
    <s v="North Las Vegas"/>
    <s v="NV"/>
    <n v="0.7699954"/>
    <n v="2015"/>
    <n v="8504"/>
    <m/>
    <s v=" "/>
    <m/>
    <s v=" "/>
    <m/>
    <m/>
    <m/>
    <n v="4121664"/>
    <n v="484.6735653809972"/>
    <s v=" "/>
    <x v="1077"/>
    <x v="5"/>
    <m/>
    <x v="954"/>
    <s v="Individual"/>
    <s v="CBRE"/>
    <m/>
    <m/>
    <s v=" "/>
    <s v=" "/>
    <m/>
    <s v=" "/>
    <s v=" "/>
    <s v=" "/>
    <m/>
    <s v=" "/>
  </r>
  <r>
    <s v="Fresenius Medical Care"/>
    <s v="4893 Clyde Park Ave SW"/>
    <s v="Grand Rapids"/>
    <s v="MI"/>
    <n v="2.6"/>
    <n v="1998"/>
    <n v="14879"/>
    <n v="270054"/>
    <n v="18.15001008132267"/>
    <s v="-"/>
    <n v="2.1"/>
    <s v="NNN"/>
    <s v="-"/>
    <s v="-"/>
    <n v="2700000"/>
    <n v="181.4638080516164"/>
    <n v="0.10002"/>
    <x v="1078"/>
    <x v="1080"/>
    <s v="M&amp;M; Sharko"/>
    <x v="955"/>
    <s v="Individual"/>
    <m/>
    <m/>
    <n v="2842000"/>
    <n v="0.09502251935256861"/>
    <n v="0.9500351864883885"/>
    <n v="2842000"/>
    <n v="0.09502251935256861"/>
    <n v="0.004997480647431385"/>
    <s v="No"/>
    <d v="2015-01-29T00:00:00"/>
    <n v="258"/>
  </r>
  <r>
    <m/>
    <s v="4893 Clyde Park Ave SW"/>
    <s v="Wyoming"/>
    <s v="MI"/>
    <n v="2.6"/>
    <n v="1998"/>
    <n v="14879"/>
    <n v="270000"/>
    <n v="18.14638080516164"/>
    <m/>
    <s v=" "/>
    <m/>
    <m/>
    <m/>
    <n v="2700000"/>
    <n v="181.4638080516164"/>
    <n v="0.1"/>
    <x v="1078"/>
    <x v="1081"/>
    <s v="M&amp;M;"/>
    <x v="956"/>
    <s v="Individual"/>
    <m/>
    <m/>
    <m/>
    <s v=" "/>
    <s v=" "/>
    <m/>
    <s v=" "/>
    <s v=" "/>
    <s v=" "/>
    <m/>
    <s v=" "/>
  </r>
  <r>
    <s v="DaVita Dialysis"/>
    <s v="4530 Callaghan Rd"/>
    <s v="San Antonio"/>
    <s v="TX"/>
    <n v="1.32"/>
    <n v="2010"/>
    <n v="8500"/>
    <n v="146638"/>
    <n v="17.25152941176471"/>
    <d v="2026-03-31T00:00:00"/>
    <n v="10.46849315068493"/>
    <s v="NN"/>
    <s v="10% every 5"/>
    <s v="2, 5 yr"/>
    <n v="1897000"/>
    <n v="223.1764705882353"/>
    <n v="0.07729994728518713"/>
    <x v="1078"/>
    <x v="1082"/>
    <s v="PH: Peranich &amp; Huffman"/>
    <x v="957"/>
    <s v="Individual"/>
    <m/>
    <m/>
    <n v="2428571"/>
    <n v="0.06038036359653475"/>
    <n v="0.7811177849031385"/>
    <n v="2428571"/>
    <n v="0.06038036359653475"/>
    <n v="0.01691958368865238"/>
    <s v="No"/>
    <d v="2014-10-07T00:00:00"/>
    <n v="372"/>
  </r>
  <r>
    <s v="DaVita Dialysis"/>
    <s v="3113 Washington Ave"/>
    <s v="Racine"/>
    <s v="WI"/>
    <n v="0.6899999999999999"/>
    <n v="2015"/>
    <n v="10573"/>
    <n v="208117"/>
    <n v="19.68381727040575"/>
    <d v="2030-03-31T00:00:00"/>
    <n v="14.47397260273973"/>
    <s v="NN"/>
    <s v="10% every 5"/>
    <s v="3, 5yr"/>
    <n v="3201800"/>
    <n v="302.8279580062423"/>
    <n v="0.065"/>
    <x v="1079"/>
    <x v="192"/>
    <m/>
    <x v="111"/>
    <s v="Fund"/>
    <s v="PG; Lesley"/>
    <m/>
    <m/>
    <s v=" "/>
    <s v=" "/>
    <m/>
    <s v=" "/>
    <s v=" "/>
    <s v=" "/>
    <m/>
    <s v=" "/>
  </r>
  <r>
    <s v="DaVita Dialysis"/>
    <s v="509 N. Houston Rd."/>
    <s v="Warner Robins"/>
    <s v="GA"/>
    <n v="0.87"/>
    <n v="1972"/>
    <n v="5388"/>
    <n v="77568"/>
    <n v="14.39643652561247"/>
    <d v="2022-08-31T00:00:00"/>
    <n v="6.898630136986301"/>
    <s v="NN"/>
    <s v="1.0% annual"/>
    <s v="None"/>
    <n v="910000"/>
    <n v="168.8938381588716"/>
    <n v="0.08523956043956044"/>
    <x v="1080"/>
    <x v="1083"/>
    <s v="SJC; Scrivner"/>
    <x v="958"/>
    <s v="Individual"/>
    <m/>
    <m/>
    <n v="910000"/>
    <n v="0.08523956043956044"/>
    <n v="1"/>
    <n v="910000"/>
    <n v="0.08523956043956044"/>
    <n v="0"/>
    <s v="No"/>
    <d v="2015-08-12T00:00:00"/>
    <n v="58"/>
  </r>
  <r>
    <s v="DaVita Dialysis At Home- Condo"/>
    <s v="6825 Burden Blvd"/>
    <s v="Pasco"/>
    <s v="WA"/>
    <n v="2.23"/>
    <n v="2006"/>
    <n v="9066"/>
    <n v="186111.8"/>
    <n v="20.52854621663358"/>
    <d v="2024-10-31T00:00:00"/>
    <n v="9.076712328767123"/>
    <s v="NN"/>
    <s v="10% every 5"/>
    <s v="2, 5 yr"/>
    <n v="2713000"/>
    <n v="299.2499448488859"/>
    <n v="0.06859999999999999"/>
    <x v="1081"/>
    <x v="1084"/>
    <s v="M&amp;M; Cook"/>
    <x v="267"/>
    <s v="Fund"/>
    <m/>
    <m/>
    <m/>
    <s v=" "/>
    <s v=" "/>
    <m/>
    <s v=" "/>
    <s v=" "/>
    <s v=" "/>
    <m/>
    <s v=" "/>
  </r>
  <r>
    <s v="Fresenius Medical Care"/>
    <s v="2402 S Main St"/>
    <s v="Charleston"/>
    <s v="MO"/>
    <n v="1.5"/>
    <n v="2015"/>
    <n v="7495"/>
    <n v="249897"/>
    <n v="33.34182788525684"/>
    <d v="2030-06-30T00:00:00"/>
    <n v="14.74246575342466"/>
    <s v="NN"/>
    <s v="1.7% annually"/>
    <s v="3, 5yr"/>
    <n v="3342447"/>
    <n v="445.9569046030687"/>
    <n v="0.07476468587235639"/>
    <x v="1081"/>
    <x v="494"/>
    <s v="C&amp;W; Trautvetter"/>
    <x v="959"/>
    <s v="Individual"/>
    <m/>
    <s v="MDG Development Group, LLC"/>
    <n v="3998000"/>
    <n v="0.06250550275137569"/>
    <n v="0.8360297648824412"/>
    <n v="3998000"/>
    <n v="0.06250550275137569"/>
    <n v="0.0122591831209807"/>
    <s v="No"/>
    <d v="2015-06-29T00:00:00"/>
    <n v="99"/>
  </r>
  <r>
    <s v="DaVita Dialysis"/>
    <s v="1750 Pierce St"/>
    <s v="Lakewood"/>
    <s v="CO"/>
    <n v="1.82"/>
    <n v="1985"/>
    <n v="13852"/>
    <n v="281279.5725490194"/>
    <n v="20.30606212453215"/>
    <m/>
    <s v=" "/>
    <m/>
    <m/>
    <m/>
    <n v="5030000"/>
    <n v="363.1244585619405"/>
    <n v="0.05592039215686271"/>
    <x v="1082"/>
    <x v="1085"/>
    <m/>
    <x v="111"/>
    <s v="Fund"/>
    <s v="Unique Properties"/>
    <m/>
    <m/>
    <s v=" "/>
    <s v=" "/>
    <m/>
    <s v=" "/>
    <s v=" "/>
    <s v=" "/>
    <m/>
    <s v=" "/>
  </r>
  <r>
    <s v="Fresenius Medical Care"/>
    <s v="4893 Clyde Park Ave SW"/>
    <s v="Grand Rapids"/>
    <s v="MI"/>
    <n v="2.6"/>
    <n v="1998"/>
    <n v="14879"/>
    <n v="270000"/>
    <n v="18.14638080516164"/>
    <m/>
    <s v=" "/>
    <m/>
    <m/>
    <m/>
    <n v="2700000"/>
    <n v="181.4638080516164"/>
    <n v="0.1"/>
    <x v="1083"/>
    <x v="1086"/>
    <m/>
    <x v="960"/>
    <s v="Individual"/>
    <m/>
    <m/>
    <m/>
    <s v=" "/>
    <s v=" "/>
    <m/>
    <s v=" "/>
    <s v=" "/>
    <s v=" "/>
    <m/>
    <s v=" "/>
  </r>
  <r>
    <s v="DaVita Dialysis"/>
    <s v="3046 Del Prado Blvd"/>
    <s v="Cape Coral"/>
    <s v="FL"/>
    <n v="0.8"/>
    <n v="2005"/>
    <n v="7407"/>
    <n v="147238"/>
    <n v="19.87822330228163"/>
    <d v="2025-05-31T00:00:00"/>
    <n v="9.671232876712329"/>
    <s v="NN"/>
    <s v="3.5% annually"/>
    <s v="3, 5yr"/>
    <n v="2275000"/>
    <n v="307.1418928041042"/>
    <n v="0.06472"/>
    <x v="1083"/>
    <x v="263"/>
    <s v="M&amp;M; Mansour"/>
    <x v="961"/>
    <s v="Individual"/>
    <m/>
    <m/>
    <m/>
    <s v=" "/>
    <s v=" "/>
    <m/>
    <s v=" "/>
    <s v=" "/>
    <s v=" "/>
    <m/>
    <s v=" "/>
  </r>
  <r>
    <m/>
    <s v="499 Raven St"/>
    <s v="San Diego"/>
    <s v="CA"/>
    <n v="1.269995"/>
    <n v="1981"/>
    <n v="12048"/>
    <m/>
    <s v=" "/>
    <m/>
    <s v=" "/>
    <m/>
    <m/>
    <m/>
    <n v="6509216"/>
    <n v="540.2735723771581"/>
    <s v=" "/>
    <x v="1084"/>
    <x v="296"/>
    <s v="C&amp;W; "/>
    <x v="962"/>
    <s v="Individual"/>
    <s v="Cushman &amp; Wakefield"/>
    <m/>
    <m/>
    <s v=" "/>
    <s v=" "/>
    <m/>
    <s v=" "/>
    <s v=" "/>
    <s v=" "/>
    <m/>
    <s v=" "/>
  </r>
  <r>
    <s v="DaVita Dialysis"/>
    <s v="46 Harts Bridge Rd W"/>
    <s v="Jackson"/>
    <s v="TN"/>
    <m/>
    <n v="2011"/>
    <n v="6319"/>
    <n v="116017"/>
    <n v="18.3600253204621"/>
    <d v="2021-06-30T00:00:00"/>
    <n v="5.789041095890411"/>
    <s v="NN"/>
    <s v="2% annually"/>
    <s v="2, 5 yr"/>
    <n v="1486824"/>
    <n v="235.2941921190062"/>
    <n v="0.07803008291499196"/>
    <x v="1085"/>
    <x v="874"/>
    <s v="One Source Commercial"/>
    <x v="267"/>
    <s v="Fund"/>
    <s v="PH: Peranich &amp; Huffman"/>
    <m/>
    <m/>
    <s v=" "/>
    <s v=" "/>
    <m/>
    <s v=" "/>
    <s v=" "/>
    <s v=" "/>
    <d v="2015-06-12T00:00:00"/>
    <n v="97"/>
  </r>
  <r>
    <s v="DaVita Dialysis"/>
    <s v="390 S Broad St"/>
    <s v="Lexington"/>
    <s v="TN"/>
    <n v="1.91"/>
    <n v="2012"/>
    <n v="5466"/>
    <n v="92430"/>
    <n v="16.90998902305159"/>
    <d v="2027-06-30T00:00:00"/>
    <n v="11.79178082191781"/>
    <s v="NN"/>
    <s v="10% every 5"/>
    <s v="2, 5 yr"/>
    <n v="1395861"/>
    <n v="255.3715697036224"/>
    <n v="0.06621719497858311"/>
    <x v="1085"/>
    <x v="874"/>
    <s v="One Source Commercial"/>
    <x v="267"/>
    <s v="Fund"/>
    <s v="PH: Peranich &amp; Huffman"/>
    <m/>
    <m/>
    <s v=" "/>
    <s v=" "/>
    <m/>
    <s v=" "/>
    <s v=" "/>
    <s v=" "/>
    <m/>
    <s v=" "/>
  </r>
  <r>
    <s v="DaVita Dialysis"/>
    <s v="20025 Chasewood Park Dr"/>
    <s v="Houston"/>
    <s v="TX"/>
    <n v="1.73"/>
    <n v="2015"/>
    <n v="8074"/>
    <n v="280386"/>
    <n v="34.72702501857815"/>
    <d v="2030-10-31T00:00:00"/>
    <n v="15.13698630136986"/>
    <s v="NN"/>
    <s v="10% every 5 years"/>
    <s v="2, 5yrs"/>
    <n v="4313627"/>
    <n v="534.2614565271241"/>
    <n v="0.06500005679675132"/>
    <x v="1086"/>
    <x v="66"/>
    <s v="Unique Properties"/>
    <x v="963"/>
    <s v="Individual"/>
    <m/>
    <m/>
    <m/>
    <s v=" "/>
    <s v=" "/>
    <m/>
    <s v=" "/>
    <s v=" "/>
    <s v=" "/>
    <m/>
    <s v=" "/>
  </r>
  <r>
    <s v="DaVita Dialysis"/>
    <s v="8319 Alondra Blvd"/>
    <s v="Paramount"/>
    <s v="CA"/>
    <n v="0.38"/>
    <n v="1954"/>
    <n v="7862"/>
    <m/>
    <s v=" "/>
    <d v="2016-08-30T00:00:00"/>
    <n v="0.9698630136986301"/>
    <s v="NN"/>
    <m/>
    <m/>
    <n v="1465000"/>
    <n v="186.3393538539812"/>
    <s v=" "/>
    <x v="1087"/>
    <x v="13"/>
    <m/>
    <x v="0"/>
    <s v="Individual"/>
    <m/>
    <m/>
    <m/>
    <s v=" "/>
    <s v=" "/>
    <m/>
    <s v=" "/>
    <s v=" "/>
    <s v=" "/>
    <m/>
    <s v=" "/>
  </r>
  <r>
    <s v="DaVita Dialysis"/>
    <s v="1640 N Lincoln St"/>
    <s v="Dixon"/>
    <s v="CA"/>
    <n v="0.6899999999999999"/>
    <n v="2007"/>
    <n v="5525"/>
    <n v="147000"/>
    <n v="26.60633484162896"/>
    <d v="2020-01-31T00:00:00"/>
    <n v="4.419178082191781"/>
    <s v="NNN"/>
    <s v="CPI annually"/>
    <s v="2, 5yr"/>
    <n v="2100000"/>
    <n v="380.0904977375566"/>
    <m/>
    <x v="1088"/>
    <x v="1087"/>
    <s v="K&amp;C; Deringer"/>
    <x v="964"/>
    <s v="Individual"/>
    <s v="Paul Bonanno"/>
    <s v="Embree"/>
    <n v="2125000"/>
    <n v="0.0691764705882353"/>
    <n v="0.9882352941176471"/>
    <n v="2125000"/>
    <n v="0.0691764705882353"/>
    <s v=" "/>
    <s v="No"/>
    <d v="2015-03-29T00:00:00"/>
    <n v="156"/>
  </r>
  <r>
    <s v="Fresenius Medical Care"/>
    <s v="500 Walnut Way"/>
    <s v="Palmetto"/>
    <s v="GA"/>
    <n v="2"/>
    <n v="2007"/>
    <n v="6835"/>
    <n v="186068.96"/>
    <n v="27.22296415508412"/>
    <m/>
    <s v=" "/>
    <s v="NNN"/>
    <m/>
    <m/>
    <n v="2658128"/>
    <n v="388.8994879297732"/>
    <n v="0.06999999999999999"/>
    <x v="1088"/>
    <x v="1088"/>
    <m/>
    <x v="965"/>
    <s v="Individual"/>
    <m/>
    <m/>
    <m/>
    <s v=" "/>
    <s v=" "/>
    <m/>
    <s v=" "/>
    <s v=" "/>
    <s v=" "/>
    <m/>
    <s v=" "/>
  </r>
  <r>
    <s v="Fresenius Medical Care"/>
    <s v="703 N Houston Rd"/>
    <s v="Warner Robins"/>
    <s v="GA"/>
    <n v="1"/>
    <n v="1994"/>
    <n v="6300"/>
    <n v="93437.9895"/>
    <n v="14.8314269047619"/>
    <d v="2029-09-30T00:00:00"/>
    <n v="14.1013698630137"/>
    <s v="NN"/>
    <s v="1.7% annually"/>
    <s v="2, 5yr"/>
    <n v="1448651"/>
    <n v="229.9446031746032"/>
    <n v="0.0645"/>
    <x v="1089"/>
    <x v="1089"/>
    <s v="PH: Peranich &amp; Huffman"/>
    <x v="966"/>
    <s v="Individual"/>
    <m/>
    <m/>
    <m/>
    <s v=" "/>
    <s v=" "/>
    <m/>
    <s v=" "/>
    <s v=" "/>
    <s v=" "/>
    <m/>
    <s v=" "/>
  </r>
  <r>
    <s v="Fresenius Medical Care"/>
    <s v="300 N 1st St"/>
    <s v="Vincennes"/>
    <s v="IN"/>
    <n v="1"/>
    <n v="2003"/>
    <n v="8421"/>
    <n v="233200"/>
    <n v="27.69267307920675"/>
    <m/>
    <s v=" "/>
    <m/>
    <m/>
    <m/>
    <n v="2750000"/>
    <n v="326.5645410283814"/>
    <n v="0.0848"/>
    <x v="1090"/>
    <x v="1090"/>
    <s v="Boulder; Blankstein"/>
    <x v="944"/>
    <s v="Individual"/>
    <m/>
    <m/>
    <m/>
    <s v=" "/>
    <s v=" "/>
    <m/>
    <s v=" "/>
    <s v=" "/>
    <s v=" "/>
    <m/>
    <s v=" "/>
  </r>
  <r>
    <s v="Fresenius Medical Care"/>
    <s v="820 Veterans Dr"/>
    <s v="Jackson"/>
    <s v="OH"/>
    <n v="1.62"/>
    <n v="2008"/>
    <n v="8134"/>
    <n v="121975"/>
    <n v="14.99569707401033"/>
    <d v="2023-06-30T00:00:00"/>
    <n v="7.854794520547945"/>
    <s v="NN"/>
    <s v="1.7% annually"/>
    <s v="3, 5 yr"/>
    <m/>
    <s v=" "/>
    <s v=" "/>
    <x v="1091"/>
    <x v="1091"/>
    <m/>
    <x v="967"/>
    <s v="User"/>
    <m/>
    <m/>
    <m/>
    <s v=" "/>
    <s v=" "/>
    <m/>
    <s v=" "/>
    <s v=" "/>
    <s v=" "/>
    <m/>
    <s v=" "/>
  </r>
  <r>
    <s v="Davita Dialysis"/>
    <s v="8604 S Coulter St"/>
    <s v="Amarillo"/>
    <s v="TX"/>
    <n v="1.414141"/>
    <n v="2003"/>
    <n v="11786"/>
    <n v="282865"/>
    <n v="24.00008484642797"/>
    <m/>
    <s v=" "/>
    <m/>
    <m/>
    <m/>
    <m/>
    <s v=" "/>
    <s v=" "/>
    <x v="1091"/>
    <x v="1092"/>
    <s v="M&amp;M;"/>
    <x v="968"/>
    <s v="Individual"/>
    <m/>
    <m/>
    <m/>
    <s v=" "/>
    <s v=" "/>
    <m/>
    <s v=" "/>
    <s v=" "/>
    <s v=" "/>
    <m/>
    <s v=" "/>
  </r>
  <r>
    <m/>
    <s v="2910 Market St"/>
    <s v="Pine Bluff"/>
    <s v="AR"/>
    <n v="1.957002"/>
    <n v="2014"/>
    <n v="11682"/>
    <m/>
    <s v=" "/>
    <m/>
    <s v=" "/>
    <m/>
    <m/>
    <m/>
    <n v="3100000"/>
    <n v="265.3655196028078"/>
    <s v=" "/>
    <x v="1092"/>
    <x v="55"/>
    <m/>
    <x v="111"/>
    <s v="Fund"/>
    <m/>
    <m/>
    <m/>
    <s v=" "/>
    <s v=" "/>
    <m/>
    <s v=" "/>
    <s v=" "/>
    <s v=" "/>
    <m/>
    <s v=" "/>
  </r>
  <r>
    <s v="Fresenius Medical Care"/>
    <s v="27 Sterling Dr"/>
    <s v="Rochester"/>
    <s v="NH"/>
    <n v="2.880005"/>
    <n v="2009"/>
    <n v="10332"/>
    <n v="242679.015125418"/>
    <n v="23.48809670203427"/>
    <d v="2027-09-30T00:00:00"/>
    <n v="12.12054794520548"/>
    <s v="NN"/>
    <s v="1.7% annually"/>
    <s v="3, 5yr"/>
    <n v="3350000"/>
    <n v="324.235385210995"/>
    <n v="0.07244149705236359"/>
    <x v="1093"/>
    <x v="200"/>
    <m/>
    <x v="267"/>
    <s v="Fund"/>
    <m/>
    <m/>
    <m/>
    <s v=" "/>
    <s v=" "/>
    <m/>
    <s v=" "/>
    <s v=" "/>
    <s v=" "/>
    <m/>
    <s v=" "/>
  </r>
  <r>
    <s v="Fresenius Medical Care"/>
    <s v="11 Industrial Rd"/>
    <s v="Carmichaels"/>
    <s v="PA"/>
    <n v="1.5"/>
    <n v="2007"/>
    <n v="5000"/>
    <n v="59526"/>
    <n v="11.9052"/>
    <m/>
    <s v=" "/>
    <s v="NNN"/>
    <m/>
    <m/>
    <n v="745000"/>
    <n v="149"/>
    <n v="0.0799006711409396"/>
    <x v="1094"/>
    <x v="1093"/>
    <m/>
    <x v="969"/>
    <s v="Individual"/>
    <m/>
    <s v="Richard J Hoffman"/>
    <m/>
    <s v=" "/>
    <s v=" "/>
    <m/>
    <s v=" "/>
    <s v=" "/>
    <s v=" "/>
    <m/>
    <s v=" "/>
  </r>
  <r>
    <s v="DaVita Dialysis"/>
    <s v="108 S 10th Ave"/>
    <s v="Sturgeon Bay"/>
    <s v="WI"/>
    <n v="0.3899908"/>
    <m/>
    <n v="6000"/>
    <n v="51850"/>
    <n v="8.641666666666667"/>
    <m/>
    <s v=" "/>
    <m/>
    <m/>
    <m/>
    <n v="800000"/>
    <n v="133.3333333333333"/>
    <n v="0.0648125"/>
    <x v="1095"/>
    <x v="1094"/>
    <m/>
    <x v="970"/>
    <s v="Individual"/>
    <m/>
    <m/>
    <m/>
    <s v=" "/>
    <s v=" "/>
    <m/>
    <s v=" "/>
    <s v=" "/>
    <s v=" "/>
    <m/>
    <s v=" "/>
  </r>
  <r>
    <s v="Fresenius Medical Care"/>
    <s v="606 E Locust Avenue"/>
    <s v="Victoria"/>
    <s v="TX"/>
    <n v="1.18"/>
    <n v="2009"/>
    <n v="9000"/>
    <n v="220275"/>
    <n v="24.475"/>
    <d v="2023-02-28T00:00:00"/>
    <n v="7.53972602739726"/>
    <s v="Absolute NNN"/>
    <s v="2% Annually"/>
    <s v="2, 5 yr"/>
    <n v="3000000"/>
    <n v="333.3333333333333"/>
    <n v="0.073425"/>
    <x v="1095"/>
    <x v="1095"/>
    <s v="PH: Peranich &amp; Huffman"/>
    <x v="971"/>
    <s v="Individual"/>
    <s v="SJC; Barber"/>
    <m/>
    <n v="3300000"/>
    <n v="0.06675"/>
    <n v="0.9090909090909091"/>
    <n v="3300000"/>
    <n v="0.06675"/>
    <n v="0.006675"/>
    <s v="No"/>
    <d v="2015-03-09T00:00:00"/>
    <n v="161"/>
  </r>
  <r>
    <s v="Fresenius Medical Care"/>
    <s v="179 SW Prosperity Pl"/>
    <s v="Lake City"/>
    <s v="FL"/>
    <m/>
    <n v="2015"/>
    <n v="10377"/>
    <m/>
    <s v=" "/>
    <m/>
    <s v=" "/>
    <m/>
    <m/>
    <m/>
    <n v="5700000"/>
    <n v="549.2917028042787"/>
    <s v=" "/>
    <x v="1096"/>
    <x v="13"/>
    <m/>
    <x v="637"/>
    <s v="Fund"/>
    <m/>
    <m/>
    <m/>
    <s v=" "/>
    <s v=" "/>
    <m/>
    <s v=" "/>
    <s v=" "/>
    <s v=" "/>
    <m/>
    <s v=" "/>
  </r>
  <r>
    <s v="Fresenius Medical Care"/>
    <s v="21B Poliquin Dr"/>
    <s v="Conway"/>
    <s v="NH"/>
    <n v="1.46"/>
    <n v="2012"/>
    <n v="6258"/>
    <m/>
    <s v=" "/>
    <m/>
    <s v=" "/>
    <m/>
    <m/>
    <m/>
    <n v="1556100"/>
    <n v="248.6577181208054"/>
    <s v=" "/>
    <x v="1096"/>
    <x v="1096"/>
    <m/>
    <x v="267"/>
    <s v="Fund"/>
    <m/>
    <m/>
    <m/>
    <s v=" "/>
    <s v=" "/>
    <m/>
    <s v=" "/>
    <s v=" "/>
    <s v=" "/>
    <m/>
    <s v=" "/>
  </r>
  <r>
    <s v="Fresenius Medical Care"/>
    <s v="179 SW Prosperity Pl"/>
    <s v="Lake City"/>
    <s v="FL"/>
    <n v="1.54"/>
    <n v="2015"/>
    <n v="10300"/>
    <n v="385244.0000000001"/>
    <n v="37.40233009708739"/>
    <d v="2029-09-30T00:00:00"/>
    <n v="14.14520547945206"/>
    <s v="NN"/>
    <s v="1.7% annually"/>
    <s v="3, 5 yr"/>
    <n v="5624000"/>
    <n v="546.0194174757281"/>
    <n v="0.06850000000000001"/>
    <x v="1096"/>
    <x v="192"/>
    <m/>
    <x v="305"/>
    <s v="Fund"/>
    <s v="PG; Lesley"/>
    <m/>
    <n v="6066834.645669292"/>
    <n v="0.0635"/>
    <n v="0.927007299270073"/>
    <n v="6066834.645669292"/>
    <n v="0.0635"/>
    <n v="0.005000000000000004"/>
    <s v="No"/>
    <m/>
    <s v=" "/>
  </r>
  <r>
    <s v="Fresenius Medical Care"/>
    <s v="2355 S Hamilton Rd"/>
    <s v="Columbus"/>
    <s v="OH"/>
    <n v="1.86"/>
    <n v="1989"/>
    <n v="11200"/>
    <n v="112000"/>
    <n v="10"/>
    <d v="2022-04-30T00:00:00"/>
    <n v="6.750684931506849"/>
    <s v="NN"/>
    <s v="Flat"/>
    <s v="2, 5yr"/>
    <n v="1270000"/>
    <n v="113.3928571428571"/>
    <n v="0.08818897637795275"/>
    <x v="1097"/>
    <x v="1097"/>
    <s v="M&amp;M; Sharko"/>
    <x v="972"/>
    <s v="Individual"/>
    <m/>
    <m/>
    <m/>
    <s v=" "/>
    <s v=" "/>
    <m/>
    <s v=" "/>
    <s v=" "/>
    <s v=" "/>
    <m/>
    <s v=" "/>
  </r>
  <r>
    <s v="Fresenius Medical Care"/>
    <s v="409 S 7th St"/>
    <s v="Carrizo Springs"/>
    <s v="TX"/>
    <n v="0.77"/>
    <n v="2014"/>
    <n v="9785"/>
    <n v="149221"/>
    <n v="15.24997445068983"/>
    <d v="2028-11-30T00:00:00"/>
    <n v="13.37260273972603"/>
    <s v="NNN"/>
    <s v="Based on CPI"/>
    <s v="2, 5 Year Options"/>
    <n v="2072514"/>
    <n v="211.8052120592744"/>
    <n v="0.0719999961399537"/>
    <x v="1098"/>
    <x v="1098"/>
    <s v="SJC; Brandon Duff"/>
    <x v="716"/>
    <s v="Individual"/>
    <m/>
    <m/>
    <n v="2210681"/>
    <n v="0.06750001470135221"/>
    <n v="0.9375002544464806"/>
    <n v="2210681"/>
    <n v="0.06750001470135221"/>
    <n v="0.004499981438601489"/>
    <s v="No"/>
    <d v="2014-10-08T00:00:00"/>
    <n v="286"/>
  </r>
  <r>
    <s v="Fresenius Medical Care"/>
    <s v="1570 Long Pond Rd"/>
    <s v="Rochester"/>
    <s v="NY"/>
    <n v="1.77"/>
    <n v="2015"/>
    <n v="9352"/>
    <n v="294453.0000000002"/>
    <n v="31.48556458511551"/>
    <d v="2030-05-30T00:00:00"/>
    <n v="14.87945205479452"/>
    <s v="NN"/>
    <s v="1.7% annually"/>
    <s v="3, 5yr"/>
    <n v="5300000"/>
    <n v="566.7236954662104"/>
    <n v="0.0555571698113208"/>
    <x v="1099"/>
    <x v="520"/>
    <m/>
    <x v="305"/>
    <s v="Fund"/>
    <m/>
    <m/>
    <m/>
    <s v=" "/>
    <s v=" "/>
    <m/>
    <s v=" "/>
    <s v=" "/>
    <s v=" "/>
    <m/>
    <s v=" "/>
  </r>
  <r>
    <s v="DaVita Dialysis"/>
    <s v="2703 S Towne Ave"/>
    <s v="Pomona"/>
    <s v="CA"/>
    <n v="2.73"/>
    <n v="2014"/>
    <n v="11549"/>
    <n v="350100"/>
    <n v="30.31431292752619"/>
    <d v="2029-07-31T00:00:00"/>
    <n v="14.04931506849315"/>
    <s v="NN"/>
    <s v="10% every 5 years"/>
    <s v="2, 5yr - 95% FMV"/>
    <n v="6500000"/>
    <n v="562.8192917135683"/>
    <n v="0.05386153846153846"/>
    <x v="1099"/>
    <x v="511"/>
    <s v="M&amp;M; Smelter"/>
    <x v="973"/>
    <s v="Individual"/>
    <s v="M&amp;M; Rey"/>
    <s v="Meridian Property Co."/>
    <n v="6550000"/>
    <n v="0.05345038167938931"/>
    <n v="0.9923664122137404"/>
    <n v="6550000"/>
    <n v="0.05345038167938931"/>
    <n v="0.0004111567821491469"/>
    <s v="No"/>
    <d v="2015-03-25T00:00:00"/>
    <n v="114"/>
  </r>
  <r>
    <m/>
    <s v="3801 Woodlake Dr"/>
    <s v="Augusta"/>
    <s v="GA"/>
    <n v="1.089991"/>
    <n v="2015"/>
    <n v="6000"/>
    <n v="200041.6536"/>
    <n v="33.34027559999999"/>
    <m/>
    <s v=" "/>
    <m/>
    <m/>
    <m/>
    <n v="2778356.3"/>
    <n v="463.0593833333333"/>
    <n v="0.07199999999999999"/>
    <x v="1100"/>
    <x v="1099"/>
    <s v="M&amp;M;"/>
    <x v="229"/>
    <s v="REIT"/>
    <m/>
    <m/>
    <m/>
    <s v=" "/>
    <s v=" "/>
    <m/>
    <s v=" "/>
    <s v=" "/>
    <s v=" "/>
    <m/>
    <s v=" "/>
  </r>
  <r>
    <s v="Fresenius Medical Care"/>
    <s v="535 River Crossing Dr"/>
    <s v="Fort Mill"/>
    <s v="SC"/>
    <n v="1.95"/>
    <n v="2005"/>
    <n v="10125"/>
    <n v="185372"/>
    <n v="18.30834567901234"/>
    <m/>
    <s v=" "/>
    <m/>
    <m/>
    <m/>
    <n v="2648175"/>
    <n v="261.5481481481481"/>
    <n v="0.06999990559536284"/>
    <x v="1101"/>
    <x v="13"/>
    <m/>
    <x v="0"/>
    <s v="Individual"/>
    <m/>
    <m/>
    <m/>
    <s v=" "/>
    <s v=" "/>
    <m/>
    <s v=" "/>
    <s v=" "/>
    <s v=" "/>
    <m/>
    <s v=" "/>
  </r>
  <r>
    <s v="DaVita Dialysis"/>
    <s v="2214 Osborne St"/>
    <s v="Humboldt"/>
    <s v="TN"/>
    <n v="1.04"/>
    <n v="1962"/>
    <n v="9692"/>
    <n v="107879"/>
    <n v="11.13072637226579"/>
    <d v="2026-03-31T00:00:00"/>
    <n v="10.73424657534247"/>
    <s v="NNN"/>
    <s v="2%"/>
    <s v="2, 5yr"/>
    <n v="1128000"/>
    <n v="116.384647131655"/>
    <n v="0.09563741134751773"/>
    <x v="1102"/>
    <x v="157"/>
    <s v="SJC; Scrivner"/>
    <x v="974"/>
    <s v="Individual"/>
    <m/>
    <m/>
    <n v="1138000"/>
    <n v="0.09479701230228471"/>
    <n v="0.9912126537785588"/>
    <n v="1138000"/>
    <n v="0.09479701230228471"/>
    <n v="0.0008403990452330173"/>
    <s v="No"/>
    <d v="2015-01-06T00:00:00"/>
    <n v="184"/>
  </r>
  <r>
    <s v="DaVita Dialysis"/>
    <s v="1111 North E O Loop"/>
    <s v="Grove"/>
    <s v="OK"/>
    <n v="1.92"/>
    <n v="2012"/>
    <n v="5754"/>
    <n v="74928"/>
    <n v="13.02189781021898"/>
    <m/>
    <s v=" "/>
    <m/>
    <m/>
    <m/>
    <n v="1115000"/>
    <n v="193.7782412234967"/>
    <n v="0.0672"/>
    <x v="1102"/>
    <x v="1100"/>
    <s v="PH: Peranich &amp; Huffman"/>
    <x v="975"/>
    <s v="Individual"/>
    <m/>
    <m/>
    <m/>
    <s v=" "/>
    <s v=" "/>
    <m/>
    <s v=" "/>
    <s v=" "/>
    <s v=" "/>
    <m/>
    <s v=" "/>
  </r>
  <r>
    <s v="DaVita Dialysis"/>
    <s v="2700 Geary Blvd"/>
    <s v="San Francisco"/>
    <s v="CA"/>
    <n v="0.25"/>
    <n v="1923"/>
    <n v="15000"/>
    <m/>
    <s v=" "/>
    <m/>
    <s v=" "/>
    <m/>
    <m/>
    <m/>
    <n v="16125000"/>
    <n v="1075"/>
    <s v=" "/>
    <x v="1103"/>
    <x v="1101"/>
    <s v="C&amp;W; Sheldon"/>
    <x v="976"/>
    <s v="Individual"/>
    <m/>
    <m/>
    <m/>
    <s v=" "/>
    <s v=" "/>
    <m/>
    <s v=" "/>
    <s v=" "/>
    <s v=" "/>
    <m/>
    <s v=" "/>
  </r>
  <r>
    <s v="Fresenius Medical Care"/>
    <s v="10519 Cedar Grove Grove Rd"/>
    <s v="Smyrna"/>
    <s v="TN"/>
    <n v="1.880005"/>
    <m/>
    <n v="12225"/>
    <m/>
    <s v=" "/>
    <m/>
    <s v=" "/>
    <m/>
    <m/>
    <m/>
    <n v="3896073"/>
    <n v="318.6971779141105"/>
    <s v=" "/>
    <x v="1104"/>
    <x v="1102"/>
    <m/>
    <x v="977"/>
    <s v="Individual"/>
    <m/>
    <m/>
    <m/>
    <s v=" "/>
    <s v=" "/>
    <m/>
    <s v=" "/>
    <s v=" "/>
    <s v=" "/>
    <m/>
    <s v=" "/>
  </r>
  <r>
    <s v="DaVita Dialysis"/>
    <s v="8080 Limonite Ave"/>
    <s v="Jurupa Valley"/>
    <s v="CA"/>
    <n v="3.26"/>
    <n v="2015"/>
    <n v="9000"/>
    <n v="224010"/>
    <n v="24.89"/>
    <d v="2029-07-31T00:00:00"/>
    <n v="14.09315068493151"/>
    <s v="NN"/>
    <s v="10% every 5 years"/>
    <s v="2,5 year options"/>
    <n v="4550000"/>
    <n v="505.5555555555555"/>
    <n v="0.04923296703296703"/>
    <x v="1105"/>
    <x v="64"/>
    <s v="M&amp;M; Maffia"/>
    <x v="144"/>
    <s v="Individual"/>
    <m/>
    <s v="Net Lease Alliance"/>
    <n v="4266857"/>
    <n v="0.05250000175773409"/>
    <n v="1.066358680405741"/>
    <n v="4266857"/>
    <n v="0.05250000175773409"/>
    <n v="-0.003267034724767054"/>
    <s v="No"/>
    <d v="2015-02-20T00:00:00"/>
    <n v="131"/>
  </r>
  <r>
    <s v="Fresenius Medical Care"/>
    <s v="959 Behrman Hwy"/>
    <s v="Gretna"/>
    <s v="LA"/>
    <n v="2.01"/>
    <n v="2015"/>
    <n v="7682"/>
    <n v="224697.98"/>
    <n v="29.24993230929445"/>
    <d v="2030-06-30T00:00:00"/>
    <n v="15.06849315068493"/>
    <s v="NN"/>
    <s v="1.7% annually"/>
    <s v="3, 5yr"/>
    <n v="3456892"/>
    <n v="449.9989586045301"/>
    <n v="0.065"/>
    <x v="1106"/>
    <x v="494"/>
    <s v="C&amp;W; Trautvetter"/>
    <x v="111"/>
    <s v="Fund"/>
    <m/>
    <s v="MDG Development Group, LLC"/>
    <m/>
    <s v=" "/>
    <s v=" "/>
    <m/>
    <s v=" "/>
    <s v=" "/>
    <s v=" "/>
    <m/>
    <s v=" "/>
  </r>
  <r>
    <s v="Fresenius Medical Care"/>
    <s v="137 Pine St"/>
    <s v="Gallipolis"/>
    <s v="OH"/>
    <n v="2.04"/>
    <m/>
    <n v="15110"/>
    <n v="112500"/>
    <n v="7.445400397088021"/>
    <m/>
    <s v=" "/>
    <s v="NN"/>
    <m/>
    <m/>
    <n v="1250000"/>
    <n v="82.72667107875579"/>
    <n v="0.09"/>
    <x v="1107"/>
    <x v="13"/>
    <m/>
    <x v="0"/>
    <s v="Individual"/>
    <m/>
    <m/>
    <m/>
    <s v=" "/>
    <s v=" "/>
    <m/>
    <s v=" "/>
    <s v=" "/>
    <s v=" "/>
    <m/>
    <s v=" "/>
  </r>
  <r>
    <s v="Fresenius Medical Care"/>
    <s v="2426 Chillum Rd"/>
    <s v="Hyattsville"/>
    <s v="MD"/>
    <n v="0.46"/>
    <n v="1957"/>
    <n v="8180"/>
    <n v="119170"/>
    <n v="14.56845965770171"/>
    <m/>
    <s v=" "/>
    <s v="NN"/>
    <s v="10% every 5 years"/>
    <s v="2, 5yr"/>
    <n v="1700000"/>
    <n v="207.8239608801956"/>
    <n v="0.0701"/>
    <x v="1107"/>
    <x v="13"/>
    <m/>
    <x v="0"/>
    <s v="Individual"/>
    <m/>
    <m/>
    <m/>
    <s v=" "/>
    <s v=" "/>
    <m/>
    <s v=" "/>
    <s v=" "/>
    <s v=" "/>
    <m/>
    <s v=" "/>
  </r>
  <r>
    <m/>
    <s v="109 Grady Rd"/>
    <s v="Etowah"/>
    <s v="TN"/>
    <m/>
    <n v="1985"/>
    <n v="4720"/>
    <m/>
    <s v=" "/>
    <m/>
    <s v=" "/>
    <m/>
    <m/>
    <m/>
    <n v="600000"/>
    <n v="127.1186440677966"/>
    <s v=" "/>
    <x v="1108"/>
    <x v="13"/>
    <m/>
    <x v="510"/>
    <s v="REIT"/>
    <m/>
    <m/>
    <m/>
    <s v=" "/>
    <s v=" "/>
    <m/>
    <s v=" "/>
    <s v=" "/>
    <s v=" "/>
    <m/>
    <s v=" "/>
  </r>
  <r>
    <s v="Liberty Dialysis"/>
    <s v="4552 Trl Boss Dr"/>
    <s v="Castle Rock"/>
    <s v="CO"/>
    <n v="0.5399908"/>
    <n v="2005"/>
    <n v="8450"/>
    <m/>
    <s v=" "/>
    <m/>
    <s v=" "/>
    <m/>
    <m/>
    <m/>
    <n v="3050000"/>
    <n v="360.9467455621302"/>
    <s v=" "/>
    <x v="1108"/>
    <x v="1103"/>
    <m/>
    <x v="510"/>
    <s v="REIT"/>
    <m/>
    <m/>
    <m/>
    <s v=" "/>
    <s v=" "/>
    <m/>
    <s v=" "/>
    <s v=" "/>
    <s v=" "/>
    <m/>
    <s v=" "/>
  </r>
  <r>
    <s v="Fresenius Medical Care"/>
    <s v="1213 S Main St"/>
    <s v="Milton Freewater"/>
    <s v="OR"/>
    <n v="0.82"/>
    <n v="2013"/>
    <n v="6240"/>
    <n v="125240"/>
    <n v="20.07051282051282"/>
    <d v="2027-12-22T00:00:00"/>
    <n v="12.55890410958904"/>
    <s v="NN"/>
    <s v="10% every 5 years"/>
    <s v="3, 5yr"/>
    <n v="2020000"/>
    <n v="323.7179487179487"/>
    <n v="0.062"/>
    <x v="1108"/>
    <x v="1104"/>
    <s v="Embree Asset Group, Sperry Van Ness"/>
    <x v="0"/>
    <s v="Individual"/>
    <m/>
    <m/>
    <m/>
    <s v=" "/>
    <s v=" "/>
    <m/>
    <s v=" "/>
    <s v=" "/>
    <s v=" "/>
    <m/>
    <s v=" "/>
  </r>
  <r>
    <s v="DaVita Dialysis"/>
    <s v="1303-1305 Lincoln Way"/>
    <s v="McKeesport"/>
    <s v="PA"/>
    <n v="0"/>
    <n v="2005"/>
    <n v="8700"/>
    <n v="116325"/>
    <n v="13.37068965517241"/>
    <m/>
    <s v=" "/>
    <s v="NN"/>
    <s v="CPI annually"/>
    <s v="2, 5yr"/>
    <n v="1350000"/>
    <n v="155.1724137931035"/>
    <n v="0.08616666666666667"/>
    <x v="1109"/>
    <x v="1105"/>
    <s v="PH: Peranich &amp; Huffman"/>
    <x v="978"/>
    <s v="Individual"/>
    <m/>
    <m/>
    <n v="1410000"/>
    <n v="0.0825"/>
    <n v="0.9574468085106383"/>
    <n v="1410000"/>
    <n v="0.0825"/>
    <n v="0.003666666666666665"/>
    <s v="No"/>
    <m/>
    <s v=" "/>
  </r>
  <r>
    <s v="Fresenius Medical Care"/>
    <s v="135 Avera Dr"/>
    <s v="Fort Valley"/>
    <s v="GA"/>
    <n v="1.14"/>
    <n v="2003"/>
    <n v="4928"/>
    <n v="110000"/>
    <n v="22.32142857142857"/>
    <m/>
    <s v=" "/>
    <s v="NNN"/>
    <m/>
    <s v="3, 5yr"/>
    <n v="1100000"/>
    <n v="223.2142857142857"/>
    <n v="0.1"/>
    <x v="1110"/>
    <x v="703"/>
    <m/>
    <x v="510"/>
    <s v="REIT"/>
    <m/>
    <m/>
    <m/>
    <s v=" "/>
    <s v=" "/>
    <m/>
    <s v=" "/>
    <s v=" "/>
    <s v=" "/>
    <m/>
    <s v=" "/>
  </r>
  <r>
    <s v="DaVita Dialysis"/>
    <s v="1211 W Reynolds St"/>
    <s v="Plant City"/>
    <s v="FL"/>
    <n v="0.79"/>
    <n v="1989"/>
    <n v="6050"/>
    <n v="85328"/>
    <n v="14.10380165289256"/>
    <m/>
    <s v=" "/>
    <s v="NNN"/>
    <m/>
    <m/>
    <n v="775000"/>
    <n v="128.099173553719"/>
    <n v="0.1101006451612903"/>
    <x v="1110"/>
    <x v="1106"/>
    <s v="Frank Burns Realty"/>
    <x v="979"/>
    <s v="Individual"/>
    <m/>
    <m/>
    <m/>
    <s v=" "/>
    <s v=" "/>
    <m/>
    <s v=" "/>
    <s v=" "/>
    <s v=" "/>
    <m/>
    <s v=" "/>
  </r>
  <r>
    <s v="DaVita Dialysis"/>
    <s v="1420 Trinity PL"/>
    <s v="Mishawaka"/>
    <s v="IN"/>
    <n v="20.89"/>
    <m/>
    <n v="16000"/>
    <n v="195450"/>
    <n v="12.215625"/>
    <m/>
    <s v=" "/>
    <m/>
    <m/>
    <m/>
    <n v="3270000"/>
    <n v="204.375"/>
    <n v="0.05977064220183486"/>
    <x v="1110"/>
    <x v="13"/>
    <m/>
    <x v="0"/>
    <s v="Individual"/>
    <m/>
    <m/>
    <m/>
    <s v=" "/>
    <s v=" "/>
    <m/>
    <s v=" "/>
    <s v=" "/>
    <s v=" "/>
    <m/>
    <s v=" "/>
  </r>
  <r>
    <s v="Fresenius Medical Care"/>
    <s v="7707 Howell Blvd"/>
    <s v="Baton Rouge"/>
    <s v="LA"/>
    <n v="1.16"/>
    <n v="2009"/>
    <n v="7360"/>
    <n v="145313"/>
    <n v="19.74361413043478"/>
    <m/>
    <s v=" "/>
    <m/>
    <m/>
    <m/>
    <n v="1875000"/>
    <n v="254.7554347826087"/>
    <n v="0.07750026666666666"/>
    <x v="1111"/>
    <x v="13"/>
    <m/>
    <x v="0"/>
    <s v="Individual"/>
    <m/>
    <m/>
    <m/>
    <s v=" "/>
    <s v=" "/>
    <m/>
    <s v=" "/>
    <s v=" "/>
    <s v=" "/>
    <m/>
    <s v=" "/>
  </r>
  <r>
    <s v="300 8th St NE"/>
    <s v="300 8th St NE"/>
    <s v="Washington"/>
    <s v="DC"/>
    <n v="0.25"/>
    <n v="1968"/>
    <n v="18000"/>
    <m/>
    <s v=" "/>
    <m/>
    <s v=" "/>
    <m/>
    <m/>
    <m/>
    <n v="5500000"/>
    <n v="305.5555555555555"/>
    <s v=" "/>
    <x v="1112"/>
    <x v="1107"/>
    <m/>
    <x v="980"/>
    <s v="Individual"/>
    <m/>
    <m/>
    <m/>
    <s v=" "/>
    <s v=" "/>
    <m/>
    <s v=" "/>
    <s v=" "/>
    <s v=" "/>
    <m/>
    <s v=" "/>
  </r>
  <r>
    <s v="Fresenius Medical Care"/>
    <s v="14 Woodlake Trail"/>
    <s v="Mount Vernon"/>
    <s v="OH"/>
    <n v="1.13"/>
    <n v="1998"/>
    <n v="5264"/>
    <m/>
    <s v=" "/>
    <m/>
    <s v=" "/>
    <m/>
    <m/>
    <m/>
    <n v="656000"/>
    <n v="124.6200607902736"/>
    <s v=" "/>
    <x v="1113"/>
    <x v="1108"/>
    <m/>
    <x v="981"/>
    <s v="Individual"/>
    <m/>
    <m/>
    <m/>
    <s v=" "/>
    <s v=" "/>
    <m/>
    <s v=" "/>
    <s v=" "/>
    <s v=" "/>
    <m/>
    <s v=" "/>
  </r>
  <r>
    <m/>
    <s v="4903 Dale Rd"/>
    <s v="Modesto"/>
    <s v="CA"/>
    <n v="1.209986"/>
    <n v="2013"/>
    <n v="11814"/>
    <n v="345723.5"/>
    <n v="29.26388183511089"/>
    <m/>
    <s v=" "/>
    <m/>
    <m/>
    <m/>
    <n v="6119000"/>
    <n v="517.9448112409007"/>
    <n v="0.0565"/>
    <x v="1114"/>
    <x v="511"/>
    <s v="M&amp;M;"/>
    <x v="982"/>
    <s v="Individual"/>
    <s v="DTZ"/>
    <m/>
    <m/>
    <s v=" "/>
    <s v=" "/>
    <m/>
    <s v=" "/>
    <s v=" "/>
    <s v=" "/>
    <m/>
    <s v=" "/>
  </r>
  <r>
    <s v="Fresenius Medical Care"/>
    <s v="387 W Milltown Rd"/>
    <s v="Wooster"/>
    <s v="OH"/>
    <n v="1.4"/>
    <n v="1998"/>
    <n v="6538"/>
    <m/>
    <s v=" "/>
    <m/>
    <s v=" "/>
    <m/>
    <m/>
    <m/>
    <n v="816000"/>
    <n v="124.8088100336494"/>
    <s v=" "/>
    <x v="1115"/>
    <x v="1109"/>
    <m/>
    <x v="983"/>
    <s v="Individual"/>
    <m/>
    <m/>
    <m/>
    <s v=" "/>
    <s v=" "/>
    <m/>
    <s v=" "/>
    <s v=" "/>
    <s v=" "/>
    <m/>
    <s v=" "/>
  </r>
  <r>
    <s v="DaVita Dialysis"/>
    <s v="3001 Health Care Way"/>
    <s v="Modesto"/>
    <s v="CA"/>
    <n v="1.21"/>
    <n v="2014"/>
    <n v="11715"/>
    <n v="345748"/>
    <n v="29.51327358087921"/>
    <d v="2029-09-30T00:00:00"/>
    <n v="14.42739726027397"/>
    <s v="NN"/>
    <s v="10% every 5 years"/>
    <s v="2, 5yr"/>
    <n v="6119000"/>
    <n v="522.3218096457533"/>
    <n v="0.05650400392220951"/>
    <x v="1115"/>
    <x v="511"/>
    <s v="M&amp;M"/>
    <x v="982"/>
    <s v="Individual"/>
    <m/>
    <s v="Meridian Property Co."/>
    <m/>
    <s v=" "/>
    <s v=" "/>
    <m/>
    <s v=" "/>
    <s v=" "/>
    <s v=" "/>
    <m/>
    <s v=" "/>
  </r>
  <r>
    <s v="DaVita Dialysis"/>
    <s v="5873 Highway 17"/>
    <s v="Darien"/>
    <s v="GA"/>
    <n v="1.5"/>
    <n v="2007"/>
    <n v="6000"/>
    <n v="49875"/>
    <n v="8.3125"/>
    <d v="2022-06-30T00:00:00"/>
    <n v="7.16986301369863"/>
    <s v="NN"/>
    <s v="4% annually"/>
    <s v="2, 5yr"/>
    <n v="665000"/>
    <n v="110.8333333333333"/>
    <n v="0.075"/>
    <x v="1115"/>
    <x v="1110"/>
    <s v="PH: Peranich &amp; Huffman"/>
    <x v="984"/>
    <s v="Individual"/>
    <m/>
    <m/>
    <n v="675000"/>
    <n v="0.07388888888888889"/>
    <n v="0.9851851851851852"/>
    <n v="675000"/>
    <n v="0.07388888888888889"/>
    <n v="0.001111111111111104"/>
    <s v="No"/>
    <d v="2015-01-30T00:00:00"/>
    <n v="91"/>
  </r>
  <r>
    <s v="DaVita Dialysis"/>
    <s v="14134 Nephron Ln"/>
    <s v="Hudson"/>
    <s v="FL"/>
    <n v="0.95"/>
    <n v="1982"/>
    <n v="8984"/>
    <n v="199260"/>
    <n v="22.17943009795192"/>
    <m/>
    <s v=" "/>
    <s v="NNN"/>
    <m/>
    <m/>
    <n v="2700000"/>
    <n v="300.5342831700801"/>
    <n v="0.0738"/>
    <x v="1115"/>
    <x v="13"/>
    <m/>
    <x v="0"/>
    <s v="Individual"/>
    <m/>
    <m/>
    <m/>
    <s v=" "/>
    <s v=" "/>
    <m/>
    <s v=" "/>
    <s v=" "/>
    <s v=" "/>
    <m/>
    <s v=" "/>
  </r>
  <r>
    <s v="U.S. Renal Care"/>
    <s v="3727 Frontage Rd"/>
    <s v="Michigan City"/>
    <s v="IN"/>
    <n v="1.69"/>
    <n v="2015"/>
    <n v="7439"/>
    <n v="177346"/>
    <n v="23.84003226240086"/>
    <d v="2031-04-30T00:00:00"/>
    <n v="16.01369863013699"/>
    <s v="NN"/>
    <s v="2.5% annually"/>
    <m/>
    <n v="2250000"/>
    <n v="302.4600080656002"/>
    <n v="0.07882044444444444"/>
    <x v="1116"/>
    <x v="1111"/>
    <m/>
    <x v="267"/>
    <s v="Fund"/>
    <m/>
    <m/>
    <m/>
    <s v=" "/>
    <s v=" "/>
    <m/>
    <s v=" "/>
    <s v=" "/>
    <s v=" "/>
    <m/>
    <s v=" "/>
  </r>
  <r>
    <s v="U.S. Renal Care"/>
    <s v="2721 Dobie Dr"/>
    <s v="Plano"/>
    <s v="TX"/>
    <n v="1"/>
    <n v="2007"/>
    <n v="5993"/>
    <n v="63900"/>
    <n v="10.66243951276489"/>
    <d v="2023-08-31T00:00:00"/>
    <n v="8.345205479452055"/>
    <s v="NN"/>
    <s v="Annually"/>
    <s v="None"/>
    <n v="950000"/>
    <n v="158.518271316536"/>
    <n v="0.06726315789473684"/>
    <x v="1116"/>
    <x v="1112"/>
    <s v="M&amp;M; Bares"/>
    <x v="985"/>
    <s v="Individual"/>
    <m/>
    <m/>
    <n v="981000"/>
    <n v="0.06513761467889909"/>
    <n v="0.9683995922528033"/>
    <n v="981000"/>
    <n v="0.06513761467889909"/>
    <n v="0.002125543215837758"/>
    <s v="No"/>
    <d v="2014-08-29T00:00:00"/>
    <n v="243"/>
  </r>
  <r>
    <s v="Fresenius Medical Care"/>
    <s v="185 Laurel Creek Rd."/>
    <s v="Fayetteville"/>
    <s v="WV"/>
    <n v="1.5"/>
    <n v="2006"/>
    <n v="6671"/>
    <n v="118243"/>
    <n v="17.72492879628242"/>
    <d v="2027-01-31T00:00:00"/>
    <n v="11.76986301369863"/>
    <s v="NN"/>
    <s v="10% every 5 years"/>
    <s v="2, 5yr"/>
    <n v="1525000"/>
    <n v="228.6014090840953"/>
    <n v="0.07753639344262295"/>
    <x v="1117"/>
    <x v="1113"/>
    <s v="PH: Peranich &amp; Huffman"/>
    <x v="986"/>
    <s v="Individual"/>
    <m/>
    <m/>
    <m/>
    <s v=" "/>
    <s v=" "/>
    <m/>
    <s v=" "/>
    <s v=" "/>
    <s v=" "/>
    <m/>
    <s v=" "/>
  </r>
  <r>
    <s v="Fresenius Medical Care"/>
    <s v="1919 N Foster Dr"/>
    <s v="Baton Rouge"/>
    <s v="LA"/>
    <n v="1.02"/>
    <n v="2006"/>
    <n v="7935"/>
    <n v="81000"/>
    <n v="10.20793950850662"/>
    <m/>
    <s v=" "/>
    <m/>
    <m/>
    <m/>
    <n v="1080000"/>
    <n v="136.1058601134216"/>
    <n v="0.075"/>
    <x v="1118"/>
    <x v="13"/>
    <m/>
    <x v="0"/>
    <s v="Individual"/>
    <m/>
    <m/>
    <m/>
    <s v=" "/>
    <s v=" "/>
    <m/>
    <s v=" "/>
    <s v=" "/>
    <s v=" "/>
    <m/>
    <s v=" "/>
  </r>
  <r>
    <s v="DaVita Dialysis"/>
    <s v="1003 W 4th St"/>
    <s v="Cameron"/>
    <s v="MO"/>
    <n v="0.9399999999999999"/>
    <n v="1997"/>
    <n v="8600"/>
    <n v="51120"/>
    <n v="5.944186046511628"/>
    <d v="2022-06-18T00:00:00"/>
    <n v="7.158904109589041"/>
    <s v="NN"/>
    <s v="15% each option"/>
    <s v="2, 5yr"/>
    <n v="568000"/>
    <n v="66.04651162790698"/>
    <n v="0.09"/>
    <x v="1119"/>
    <x v="1114"/>
    <s v="PH: Peranich &amp; Huffman"/>
    <x v="987"/>
    <s v="Individual"/>
    <s v="TW; Donovan"/>
    <m/>
    <n v="568000"/>
    <n v="0.09"/>
    <n v="1"/>
    <n v="568000"/>
    <n v="0.09"/>
    <n v="0"/>
    <s v="No"/>
    <d v="2015-03-10T00:00:00"/>
    <n v="44"/>
  </r>
  <r>
    <s v="DaVita Dialysis"/>
    <s v="150 N. 31st St"/>
    <s v="Clinton"/>
    <s v="OK"/>
    <n v="0.84"/>
    <n v="2002"/>
    <n v="5500"/>
    <n v="82500"/>
    <n v="15"/>
    <d v="2027-10-31T00:00:00"/>
    <n v="12.53424657534247"/>
    <s v="NNN"/>
    <s v="2% every year after 2017"/>
    <s v="3, 5yr"/>
    <n v="1250000"/>
    <n v="227.2727272727273"/>
    <n v="0.066"/>
    <x v="1120"/>
    <x v="69"/>
    <m/>
    <x v="868"/>
    <s v="Individual"/>
    <m/>
    <m/>
    <n v="1500000"/>
    <n v="0.055"/>
    <n v="0.8333333333333334"/>
    <n v="1500000"/>
    <n v="0.055"/>
    <n v="0.011"/>
    <s v="No"/>
    <m/>
    <s v=" "/>
  </r>
  <r>
    <s v="Fresenius Medical Care"/>
    <s v="6655 N Milburn Ave"/>
    <s v="Fresno"/>
    <s v="CA"/>
    <n v="0.52"/>
    <n v="2014"/>
    <n v="6150"/>
    <n v="154330"/>
    <n v="25.09430894308943"/>
    <d v="2030-06-30T00:00:00"/>
    <n v="15.20547945205479"/>
    <s v="NN"/>
    <s v="2.5% annually"/>
    <s v="2, 5yr"/>
    <n v="2400000"/>
    <n v="390.2439024390244"/>
    <n v="0.06430416666666666"/>
    <x v="1121"/>
    <x v="1115"/>
    <m/>
    <x v="988"/>
    <s v="Individual"/>
    <s v="CBRE"/>
    <m/>
    <m/>
    <s v=" "/>
    <s v=" "/>
    <m/>
    <s v=" "/>
    <s v=" "/>
    <s v=" "/>
    <m/>
    <s v=" "/>
  </r>
  <r>
    <s v="Fresenius Medical Care"/>
    <s v="100 Technology Ln"/>
    <s v="Johnson City"/>
    <s v="TN"/>
    <n v="1.45"/>
    <n v="2002"/>
    <n v="12006"/>
    <n v="231116"/>
    <n v="19.25004164584374"/>
    <d v="2022-09-30T00:00:00"/>
    <n v="7.463013698630137"/>
    <s v="NN"/>
    <s v="None"/>
    <s v="3, 5yr"/>
    <n v="3294000"/>
    <n v="274.3628185907046"/>
    <n v="0.07016272009714633"/>
    <x v="1122"/>
    <x v="418"/>
    <s v="SIG; Hoover"/>
    <x v="137"/>
    <s v="Individual"/>
    <s v="M&amp;M; Mancinone"/>
    <m/>
    <n v="3350000"/>
    <n v="0.06898985074626866"/>
    <n v="0.9832835820895522"/>
    <n v="3350000"/>
    <n v="0.06898985074626866"/>
    <n v="0.001172869350877667"/>
    <s v="No"/>
    <d v="2014-09-09T00:00:00"/>
    <n v="219"/>
  </r>
  <r>
    <s v="DaVita Dialysis"/>
    <s v="901 Los Coches Dr"/>
    <s v="Soledad"/>
    <s v="CA"/>
    <n v="0.89"/>
    <n v="2001"/>
    <n v="6500"/>
    <n v="125922"/>
    <n v="19.37261538461539"/>
    <d v="2029-04-30T00:00:00"/>
    <n v="14.04931506849315"/>
    <s v="NN"/>
    <s v="2% annually"/>
    <s v="3, 5 yr"/>
    <n v="1860000"/>
    <n v="286.1538461538461"/>
    <n v="0.0677"/>
    <x v="1122"/>
    <x v="69"/>
    <s v="C&amp;W; Patel"/>
    <x v="989"/>
    <s v="Individual"/>
    <s v="Jason Abboud"/>
    <m/>
    <n v="1937000"/>
    <n v="0.06500877645844089"/>
    <n v="0.9602478058853898"/>
    <n v="1937000"/>
    <n v="0.06500877645844089"/>
    <n v="0.00269122354155911"/>
    <s v="No"/>
    <d v="2015-02-28T00:00:00"/>
    <n v="47"/>
  </r>
  <r>
    <s v="Fresenius Medical Care"/>
    <s v="338 8th St"/>
    <s v="Benton Harbor"/>
    <s v="MI"/>
    <n v="1.59"/>
    <n v="2012"/>
    <n v="8740"/>
    <n v="162914"/>
    <n v="18.64004576659039"/>
    <d v="2023-01-14T00:00:00"/>
    <n v="7.756164383561644"/>
    <s v="NN"/>
    <m/>
    <m/>
    <m/>
    <s v=" "/>
    <s v=" "/>
    <x v="1123"/>
    <x v="13"/>
    <m/>
    <x v="267"/>
    <s v="Fund"/>
    <m/>
    <m/>
    <m/>
    <s v=" "/>
    <s v=" "/>
    <m/>
    <s v=" "/>
    <s v=" "/>
    <s v=" "/>
    <m/>
    <s v=" "/>
  </r>
  <r>
    <s v="DaVita Dialysis"/>
    <s v="200 Medical Center Ct"/>
    <s v="Bay City"/>
    <s v="TX"/>
    <n v="1"/>
    <n v="2010"/>
    <n v="8450"/>
    <n v="159283"/>
    <n v="18.85005917159763"/>
    <d v="2025-09-10T00:00:00"/>
    <n v="10.41917808219178"/>
    <s v="NNN"/>
    <s v="na"/>
    <s v="Two (2), Five (5) year options"/>
    <n v="2200000"/>
    <n v="260.3550295857988"/>
    <n v="0.07240136363636364"/>
    <x v="1124"/>
    <x v="1116"/>
    <s v="SJC; Scrivner"/>
    <x v="137"/>
    <s v="Individual"/>
    <m/>
    <m/>
    <n v="2325000"/>
    <n v="0.06850881720430108"/>
    <n v="0.946236559139785"/>
    <n v="2325000"/>
    <n v="0.06850881720430108"/>
    <n v="0.003892546432062563"/>
    <s v="No"/>
    <d v="2014-12-05T00:00:00"/>
    <n v="129"/>
  </r>
  <r>
    <s v="Fresenius Medical Care"/>
    <s v="193 Brown Junction Rd."/>
    <s v="Centerville"/>
    <s v="TN"/>
    <n v="1"/>
    <n v="2008"/>
    <n v="13460"/>
    <n v="120736"/>
    <n v="8.96998514115899"/>
    <d v="2019-12-31T00:00:00"/>
    <n v="4.739726027397261"/>
    <s v="NN"/>
    <s v="10% in Yr 6"/>
    <s v="3,5 year options"/>
    <n v="1488000"/>
    <n v="110.5497771173848"/>
    <n v="0.08113978494623655"/>
    <x v="1125"/>
    <x v="435"/>
    <s v="SJC"/>
    <x v="990"/>
    <s v="Individual"/>
    <m/>
    <m/>
    <n v="1630000"/>
    <n v="0.07407116564417178"/>
    <n v="0.912883435582822"/>
    <n v="1630000"/>
    <n v="0.07407116564417178"/>
    <n v="0.007068619302064774"/>
    <s v="No"/>
    <d v="2014-10-07T00:00:00"/>
    <n v="181"/>
  </r>
  <r>
    <s v="Fresenius Medical Care"/>
    <s v="2721 Dobie Dr"/>
    <s v="Plano"/>
    <s v="TX"/>
    <n v="0.99"/>
    <n v="2007"/>
    <n v="5993"/>
    <n v="53960"/>
    <n v="9.003837810779242"/>
    <m/>
    <s v=" "/>
    <m/>
    <m/>
    <m/>
    <n v="950000"/>
    <n v="158.518271316536"/>
    <n v="0.0568"/>
    <x v="1126"/>
    <x v="1117"/>
    <s v="Matthews Commercial"/>
    <x v="991"/>
    <s v="Individual"/>
    <m/>
    <m/>
    <m/>
    <s v=" "/>
    <s v=" "/>
    <m/>
    <s v=" "/>
    <s v=" "/>
    <s v=" "/>
    <m/>
    <s v=" "/>
  </r>
  <r>
    <s v="Fresenius Medical Care"/>
    <s v="9 Industry Ave"/>
    <s v="Auburn"/>
    <s v="ME"/>
    <n v="0.99"/>
    <n v="1998"/>
    <n v="12163"/>
    <n v="188396.4945624237"/>
    <n v="15.48931140034726"/>
    <d v="2029-12-31T00:00:00"/>
    <n v="14.76438356164384"/>
    <s v="NN"/>
    <s v="1.7% annaully"/>
    <s v="2, 5 yr"/>
    <n v="2262913"/>
    <n v="186.0489188522568"/>
    <n v="0.08325397156780825"/>
    <x v="1127"/>
    <x v="1118"/>
    <m/>
    <x v="267"/>
    <s v="Fund"/>
    <m/>
    <m/>
    <m/>
    <s v=" "/>
    <s v=" "/>
    <m/>
    <s v=" "/>
    <s v=" "/>
    <s v=" "/>
    <m/>
    <s v=" "/>
  </r>
  <r>
    <s v="Fresenius Medical Care"/>
    <s v="164 Civic Center Dr"/>
    <s v="Augusta"/>
    <s v="ME"/>
    <n v="0.9"/>
    <n v="1998"/>
    <n v="5154"/>
    <n v="86821"/>
    <n v="16.8453628249903"/>
    <m/>
    <s v=" "/>
    <s v="NNN"/>
    <m/>
    <m/>
    <n v="1235000"/>
    <n v="239.6197128443927"/>
    <n v="0.07030040485829959"/>
    <x v="1127"/>
    <x v="13"/>
    <m/>
    <x v="0"/>
    <s v="Individual"/>
    <m/>
    <m/>
    <m/>
    <s v=" "/>
    <s v=" "/>
    <m/>
    <s v=" "/>
    <s v=" "/>
    <s v=" "/>
    <m/>
    <s v=" "/>
  </r>
  <r>
    <s v="Fresenius Medical Care"/>
    <s v="1684 Bishop Rd"/>
    <s v="Chehalis"/>
    <s v="WA"/>
    <n v="1.15"/>
    <n v="2015"/>
    <n v="8200"/>
    <n v="322174.255"/>
    <n v="39.28954329268293"/>
    <d v="2029-08-31T00:00:00"/>
    <n v="14.45205479452055"/>
    <s v="NN"/>
    <s v="1.7% annually"/>
    <s v="3, 5 yr"/>
    <n v="4956527"/>
    <n v="604.454512195122"/>
    <n v="0.065"/>
    <x v="1128"/>
    <x v="192"/>
    <m/>
    <x v="842"/>
    <s v="Fund"/>
    <s v="PG; Lesley"/>
    <m/>
    <m/>
    <s v=" "/>
    <s v=" "/>
    <m/>
    <s v=" "/>
    <s v=" "/>
    <s v=" "/>
    <m/>
    <s v=" "/>
  </r>
  <r>
    <s v="Fresenius Medical Care"/>
    <s v="904 Jeffries Blvd"/>
    <s v="Walterboro"/>
    <s v="SC"/>
    <n v="0"/>
    <m/>
    <n v="10613"/>
    <n v="308800"/>
    <n v="29.09639121831716"/>
    <d v="2029-11-30T00:00:00"/>
    <n v="14.72876712328767"/>
    <s v="NN"/>
    <s v="1.7% annually"/>
    <s v="3, 5yr"/>
    <n v="4882825"/>
    <n v="460.0796193347781"/>
    <n v="0.06324207810028007"/>
    <x v="1129"/>
    <x v="494"/>
    <s v="C&amp;W; Trautvetter"/>
    <x v="418"/>
    <s v="Individual"/>
    <s v="SJC; Briggs"/>
    <s v="MDG Development Group, LLC"/>
    <n v="4900000"/>
    <n v="0.0630204081632653"/>
    <n v="0.9964948979591837"/>
    <n v="4900000"/>
    <n v="0.0630204081632653"/>
    <n v="0.0002216699370147651"/>
    <s v="No"/>
    <m/>
    <s v=" "/>
  </r>
  <r>
    <s v="Fresenius Medical Care"/>
    <s v="411 N General McMullen Dr"/>
    <s v="San Antonio"/>
    <s v="TX"/>
    <n v="0.9399999999999999"/>
    <n v="1997"/>
    <n v="9500"/>
    <m/>
    <s v=" "/>
    <m/>
    <s v=" "/>
    <m/>
    <m/>
    <m/>
    <m/>
    <s v=" "/>
    <s v=" "/>
    <x v="1130"/>
    <x v="1119"/>
    <m/>
    <x v="992"/>
    <s v="Individual"/>
    <m/>
    <m/>
    <m/>
    <s v=" "/>
    <s v=" "/>
    <m/>
    <s v=" "/>
    <s v=" "/>
    <s v=" "/>
    <m/>
    <s v=" "/>
  </r>
  <r>
    <s v="Fresenius Medical Care"/>
    <s v="4039 E Broad St"/>
    <s v="Columbus"/>
    <s v="OH"/>
    <n v="0.1460055"/>
    <n v="1965"/>
    <n v="4400"/>
    <n v="61452"/>
    <n v="13.96636363636364"/>
    <d v="2021-09-30T00:00:00"/>
    <n v="6.564383561643836"/>
    <s v="Modified Gross"/>
    <s v="None"/>
    <s v="2, 5 yr"/>
    <n v="700000"/>
    <n v="159.0909090909091"/>
    <n v="0.08778857142857142"/>
    <x v="1131"/>
    <x v="1120"/>
    <s v="SIG; Hoover"/>
    <x v="993"/>
    <s v="Individual"/>
    <m/>
    <m/>
    <n v="783000"/>
    <n v="0.07848275862068965"/>
    <n v="0.8939974457215837"/>
    <n v="783000"/>
    <n v="0.07848275862068965"/>
    <n v="0.009305812807881772"/>
    <s v="No"/>
    <d v="2014-12-20T00:00:00"/>
    <n v="80"/>
  </r>
  <r>
    <m/>
    <s v="11550 Ulmerton Rd"/>
    <s v="Largo"/>
    <s v="FL"/>
    <n v="1.299311"/>
    <n v="1995"/>
    <n v="7247"/>
    <m/>
    <s v=" "/>
    <m/>
    <s v=" "/>
    <m/>
    <m/>
    <m/>
    <n v="1650000"/>
    <n v="227.6804194839244"/>
    <s v=" "/>
    <x v="1132"/>
    <x v="1121"/>
    <m/>
    <x v="229"/>
    <s v="REIT"/>
    <m/>
    <m/>
    <m/>
    <s v=" "/>
    <s v=" "/>
    <m/>
    <s v=" "/>
    <s v=" "/>
    <s v=" "/>
    <m/>
    <s v=" "/>
  </r>
  <r>
    <s v="Fresenius Medical Care"/>
    <s v="1720 Hwy 97 E"/>
    <s v="Jourdanton"/>
    <s v="TX"/>
    <n v="2.64"/>
    <n v="2006"/>
    <n v="9535"/>
    <n v="154000"/>
    <n v="16.15102254850551"/>
    <m/>
    <s v=" "/>
    <s v="NNN"/>
    <s v="FMV not to exceed 10% each option"/>
    <s v="3, 5yr"/>
    <n v="1540000"/>
    <n v="161.5102254850551"/>
    <n v="0.1"/>
    <x v="1133"/>
    <x v="1122"/>
    <s v="M&amp;M; Ryan"/>
    <x v="267"/>
    <s v="Fund"/>
    <m/>
    <m/>
    <m/>
    <s v=" "/>
    <s v=" "/>
    <m/>
    <s v=" "/>
    <s v=" "/>
    <s v=" "/>
    <m/>
    <s v=" "/>
  </r>
  <r>
    <s v="DaVita Dialysis"/>
    <s v="2977 Redondo Ave"/>
    <s v="Long Beach"/>
    <s v="CA"/>
    <n v="0.7382919999999999"/>
    <n v="1968"/>
    <n v="9966"/>
    <n v="340560"/>
    <n v="34.17218543046358"/>
    <d v="2029-09-30T00:00:00"/>
    <n v="14.66301369863014"/>
    <s v="NN"/>
    <s v="10% every 5"/>
    <s v="3, 5 yr"/>
    <n v="5137000"/>
    <n v="515.4525386313466"/>
    <n v="0.06629550321199143"/>
    <x v="1134"/>
    <x v="5"/>
    <m/>
    <x v="994"/>
    <s v="Fund"/>
    <m/>
    <m/>
    <m/>
    <s v=" "/>
    <s v=" "/>
    <m/>
    <s v=" "/>
    <s v=" "/>
    <s v=" "/>
    <m/>
    <s v=" "/>
  </r>
  <r>
    <s v="DaVita Dialysis - Condo"/>
    <s v="4145 Cass"/>
    <s v="Detroit"/>
    <s v="MI"/>
    <n v="0.39"/>
    <n v="1984"/>
    <n v="11413"/>
    <n v="194687"/>
    <n v="17.05835450801717"/>
    <d v="2018-06-30T00:00:00"/>
    <n v="3.419178082191781"/>
    <s v="NN"/>
    <s v="10% every 5"/>
    <s v="2, 5 yr"/>
    <n v="2225000"/>
    <n v="194.9531236309472"/>
    <n v="0.08749977528089888"/>
    <x v="1135"/>
    <x v="1123"/>
    <s v="M&amp;M; Cook"/>
    <x v="995"/>
    <s v="Individual"/>
    <m/>
    <m/>
    <n v="2430000"/>
    <n v="0.08011810699588477"/>
    <n v="0.9156378600823045"/>
    <n v="2430000"/>
    <n v="0.08011810699588477"/>
    <n v="0.007381668285014104"/>
    <s v="No"/>
    <d v="2014-11-26T00:00:00"/>
    <n v="64"/>
  </r>
  <r>
    <s v="Fresenius Medical Care"/>
    <s v="4016 Saint Stephens Rd"/>
    <s v="Prichard"/>
    <s v="AL"/>
    <m/>
    <n v="2010"/>
    <n v="9375"/>
    <m/>
    <s v=" "/>
    <m/>
    <s v=" "/>
    <m/>
    <m/>
    <m/>
    <n v="3450000"/>
    <n v="368"/>
    <s v=" "/>
    <x v="1136"/>
    <x v="1124"/>
    <m/>
    <x v="272"/>
    <s v="User"/>
    <m/>
    <m/>
    <m/>
    <s v=" "/>
    <s v=" "/>
    <m/>
    <s v=" "/>
    <s v=" "/>
    <s v=" "/>
    <m/>
    <s v=" "/>
  </r>
  <r>
    <s v="Fresenius Medical Care"/>
    <s v="624 S Central Ave"/>
    <s v="Glendale"/>
    <s v="CA"/>
    <n v="0.51"/>
    <n v="1952"/>
    <n v="11049"/>
    <m/>
    <s v=" "/>
    <m/>
    <s v=" "/>
    <m/>
    <m/>
    <m/>
    <n v="4632000"/>
    <n v="419.2234591365735"/>
    <s v=" "/>
    <x v="1137"/>
    <x v="1125"/>
    <s v="Locker: Locker"/>
    <x v="996"/>
    <s v="Fund"/>
    <m/>
    <m/>
    <m/>
    <s v=" "/>
    <s v=" "/>
    <m/>
    <s v=" "/>
    <s v=" "/>
    <s v=" "/>
    <m/>
    <s v=" "/>
  </r>
  <r>
    <s v="Fresenius Medical Care"/>
    <s v="692 Covered Bridge Pky"/>
    <s v="Prattville"/>
    <s v="AL"/>
    <n v="1.25"/>
    <n v="2010"/>
    <n v="6920"/>
    <m/>
    <s v=" "/>
    <m/>
    <s v=" "/>
    <m/>
    <m/>
    <m/>
    <n v="2350000"/>
    <n v="339.5953757225433"/>
    <s v=" "/>
    <x v="1138"/>
    <x v="13"/>
    <m/>
    <x v="267"/>
    <s v="Fund"/>
    <m/>
    <m/>
    <m/>
    <s v=" "/>
    <s v=" "/>
    <m/>
    <s v=" "/>
    <s v=" "/>
    <s v=" "/>
    <m/>
    <s v=" "/>
  </r>
  <r>
    <s v="DaVita Dialysis"/>
    <s v="216 Hester Parker Dr"/>
    <s v="Marked Tree"/>
    <s v="AR"/>
    <m/>
    <m/>
    <n v="4596"/>
    <m/>
    <s v=" "/>
    <m/>
    <s v=" "/>
    <m/>
    <m/>
    <m/>
    <n v="1894678.9"/>
    <n v="412.2451914708442"/>
    <s v=" "/>
    <x v="1138"/>
    <x v="890"/>
    <m/>
    <x v="997"/>
    <s v="REIT"/>
    <m/>
    <m/>
    <m/>
    <s v=" "/>
    <s v=" "/>
    <m/>
    <s v=" "/>
    <s v=" "/>
    <s v=" "/>
    <m/>
    <s v=" "/>
  </r>
  <r>
    <s v="DaVita Dialysis"/>
    <s v="555 W Longest St"/>
    <s v="Paoli"/>
    <s v="IN"/>
    <m/>
    <m/>
    <n v="5725"/>
    <m/>
    <s v=" "/>
    <m/>
    <s v=" "/>
    <m/>
    <m/>
    <m/>
    <n v="3276841.8"/>
    <n v="572.3741135371179"/>
    <s v=" "/>
    <x v="1138"/>
    <x v="890"/>
    <m/>
    <x v="997"/>
    <s v="REIT"/>
    <m/>
    <m/>
    <m/>
    <s v=" "/>
    <s v=" "/>
    <m/>
    <s v=" "/>
    <s v=" "/>
    <s v=" "/>
    <m/>
    <s v=" "/>
  </r>
  <r>
    <s v="DaVita Dialysis"/>
    <s v="1302 E State St"/>
    <s v="Rockford"/>
    <s v="IL"/>
    <n v="0.98"/>
    <m/>
    <n v="7000"/>
    <m/>
    <s v=" "/>
    <m/>
    <s v=" "/>
    <m/>
    <m/>
    <m/>
    <n v="4006618.8"/>
    <n v="572.3741142857143"/>
    <s v=" "/>
    <x v="1138"/>
    <x v="890"/>
    <m/>
    <x v="997"/>
    <s v="REIT"/>
    <m/>
    <m/>
    <m/>
    <s v=" "/>
    <s v=" "/>
    <m/>
    <s v=" "/>
    <s v=" "/>
    <s v=" "/>
    <m/>
    <s v=" "/>
  </r>
  <r>
    <s v="DaVita Dialysis"/>
    <s v="720 Village Rd"/>
    <s v="Kenner"/>
    <s v="LA"/>
    <n v="0.61"/>
    <n v="2002"/>
    <n v="6000"/>
    <n v="109890"/>
    <n v="18.315"/>
    <m/>
    <s v=" "/>
    <s v="NN"/>
    <s v="2% Annually"/>
    <s v="3, 5yr"/>
    <n v="1628000"/>
    <n v="271.3333333333333"/>
    <n v="0.0675"/>
    <x v="1139"/>
    <x v="1126"/>
    <m/>
    <x v="998"/>
    <s v="Individual"/>
    <m/>
    <m/>
    <m/>
    <s v=" "/>
    <s v=" "/>
    <m/>
    <s v=" "/>
    <s v=" "/>
    <s v=" "/>
    <m/>
    <s v=" "/>
  </r>
  <r>
    <s v="Fresenius Medical Care"/>
    <s v="2519 E Magnolia Ave"/>
    <s v="Knoxville"/>
    <s v="TN"/>
    <n v="1.3"/>
    <n v="2014"/>
    <n v="8801"/>
    <n v="155373.690881025"/>
    <n v="17.65409508931087"/>
    <d v="2026-01-31T00:00:00"/>
    <n v="11.05753424657534"/>
    <s v="NN"/>
    <s v="2.5% annually"/>
    <s v="3, 5 yr"/>
    <n v="2160928"/>
    <n v="245.5320986251562"/>
    <n v="0.07190137333637446"/>
    <x v="1140"/>
    <x v="13"/>
    <m/>
    <x v="267"/>
    <s v="Fund"/>
    <m/>
    <m/>
    <m/>
    <s v=" "/>
    <s v=" "/>
    <m/>
    <s v=" "/>
    <s v=" "/>
    <s v=" "/>
    <m/>
    <s v=" "/>
  </r>
  <r>
    <s v="Fresenius Medical Care"/>
    <s v="1221 Pacific Coast Hwy"/>
    <s v="Los Angeles"/>
    <s v="CA"/>
    <n v="1.402778"/>
    <n v="2003"/>
    <n v="18592"/>
    <m/>
    <s v=" "/>
    <m/>
    <s v=" "/>
    <m/>
    <m/>
    <m/>
    <n v="6100000"/>
    <n v="328.0981067125646"/>
    <s v=" "/>
    <x v="1141"/>
    <x v="1127"/>
    <s v="Savills Studley"/>
    <x v="999"/>
    <s v="Individual"/>
    <s v="Savills Studley"/>
    <m/>
    <m/>
    <s v=" "/>
    <s v=" "/>
    <m/>
    <s v=" "/>
    <s v=" "/>
    <s v=" "/>
    <m/>
    <s v=" "/>
  </r>
  <r>
    <s v="Fresenius Medical Care"/>
    <s v="255 S Jackson St"/>
    <s v="Montgomery"/>
    <s v="AL"/>
    <n v="1.24"/>
    <n v="1999"/>
    <n v="10783"/>
    <n v="170775"/>
    <n v="15.8374292868404"/>
    <m/>
    <s v=" "/>
    <m/>
    <m/>
    <m/>
    <n v="2070000"/>
    <n v="191.9688398404897"/>
    <n v="0.0825"/>
    <x v="1142"/>
    <x v="13"/>
    <m/>
    <x v="0"/>
    <s v="Individual"/>
    <m/>
    <m/>
    <m/>
    <s v=" "/>
    <s v=" "/>
    <m/>
    <s v=" "/>
    <s v=" "/>
    <s v=" "/>
    <m/>
    <s v=" "/>
  </r>
  <r>
    <s v="DaVita Dialysis"/>
    <s v="3071 Clay Lewis Rd"/>
    <s v="Clarksville"/>
    <s v="TN"/>
    <n v="0.84"/>
    <n v="2007"/>
    <n v="4930"/>
    <n v="88690"/>
    <n v="17.98985801217038"/>
    <m/>
    <s v=" "/>
    <s v="NN"/>
    <s v="Annually starting 2017"/>
    <s v="2, 5yr"/>
    <n v="1267000"/>
    <n v="256.9979716024341"/>
    <n v="0.07000000000000001"/>
    <x v="1143"/>
    <x v="13"/>
    <m/>
    <x v="0"/>
    <s v="Individual"/>
    <m/>
    <m/>
    <m/>
    <s v=" "/>
    <s v=" "/>
    <m/>
    <s v=" "/>
    <s v=" "/>
    <s v=" "/>
    <m/>
    <s v=" "/>
  </r>
  <r>
    <s v="Fresenius Medical Care"/>
    <s v="2470 Wrightsboro Rd"/>
    <s v="Augusta"/>
    <s v="GA"/>
    <n v="0.97"/>
    <n v="2016"/>
    <n v="5352"/>
    <m/>
    <s v=" "/>
    <d v="2029-03-31T00:00:00"/>
    <n v="14.24383561643836"/>
    <s v="NN"/>
    <s v="1.7% annually"/>
    <s v="2, 5yr"/>
    <n v="2649600"/>
    <n v="495.0672645739911"/>
    <s v=" "/>
    <x v="1144"/>
    <x v="138"/>
    <m/>
    <x v="267"/>
    <s v="Fund"/>
    <m/>
    <m/>
    <m/>
    <s v=" "/>
    <s v=" "/>
    <m/>
    <s v=" "/>
    <s v=" "/>
    <s v=" "/>
    <m/>
    <s v=" "/>
  </r>
  <r>
    <s v="Fresenius Medical Care"/>
    <s v="1705 E Industrial Dr"/>
    <s v="Terre Haute"/>
    <s v="IN"/>
    <n v="3.19"/>
    <n v="2015"/>
    <n v="8200"/>
    <n v="327080"/>
    <n v="39.88780487804878"/>
    <d v="2029-07-31T00:00:00"/>
    <n v="14.58904109589041"/>
    <s v="NN"/>
    <s v="1.7% annually"/>
    <s v="3, 5 yr"/>
    <n v="5032000"/>
    <n v="613.6585365853658"/>
    <n v="0.065"/>
    <x v="1145"/>
    <x v="192"/>
    <m/>
    <x v="35"/>
    <s v="REIT"/>
    <s v="PG; Lesley"/>
    <s v="PI"/>
    <m/>
    <s v=" "/>
    <s v=" "/>
    <m/>
    <s v=" "/>
    <s v=" "/>
    <s v=" "/>
    <m/>
    <s v=" "/>
  </r>
  <r>
    <s v="Fresenius Medical Care"/>
    <s v="8710 S Holland rd"/>
    <s v="Chicago"/>
    <s v="IL"/>
    <n v="1.26"/>
    <n v="2014"/>
    <n v="7500"/>
    <n v="162165"/>
    <n v="21.622"/>
    <d v="2027-08-30T00:00:00"/>
    <n v="12.67397260273973"/>
    <s v="NN"/>
    <s v="2.5% annually"/>
    <s v="2, 5 yr"/>
    <n v="2393000"/>
    <n v="319.0666666666667"/>
    <n v="0.06776640200585039"/>
    <x v="1146"/>
    <x v="13"/>
    <m/>
    <x v="1000"/>
    <s v="Fund"/>
    <m/>
    <m/>
    <m/>
    <s v=" "/>
    <s v=" "/>
    <m/>
    <s v=" "/>
    <s v=" "/>
    <s v=" "/>
    <m/>
    <s v=" "/>
  </r>
  <r>
    <s v="Fresenius Medical Care"/>
    <s v="702 Caroline Ave"/>
    <s v="Junction City"/>
    <s v="KS"/>
    <n v="1.62"/>
    <n v="2014"/>
    <n v="7744"/>
    <n v="304497"/>
    <n v="39.3203770661157"/>
    <d v="2029-11-30T00:00:00"/>
    <n v="14.92876712328767"/>
    <s v="NN"/>
    <s v="1.7% annually"/>
    <s v="3, 5 yr"/>
    <n v="4544733"/>
    <n v="586.8715134297521"/>
    <n v="0.06699997557612296"/>
    <x v="1146"/>
    <x v="192"/>
    <m/>
    <x v="35"/>
    <s v="REIT"/>
    <s v="PG; Lesley"/>
    <m/>
    <m/>
    <s v=" "/>
    <s v=" "/>
    <m/>
    <s v=" "/>
    <s v=" "/>
    <s v=" "/>
    <m/>
    <s v=" "/>
  </r>
  <r>
    <m/>
    <s v="2909 E Magnolia Ave"/>
    <s v="Knoxville"/>
    <s v="TN"/>
    <n v="0.9443756"/>
    <n v="1988"/>
    <n v="10800"/>
    <m/>
    <s v=" "/>
    <m/>
    <s v=" "/>
    <m/>
    <m/>
    <m/>
    <n v="2655588"/>
    <n v="245.8877777777778"/>
    <s v=" "/>
    <x v="1147"/>
    <x v="1128"/>
    <m/>
    <x v="35"/>
    <s v="REIT"/>
    <m/>
    <m/>
    <m/>
    <s v=" "/>
    <s v=" "/>
    <m/>
    <s v=" "/>
    <s v=" "/>
    <s v=" "/>
    <m/>
    <s v=" "/>
  </r>
  <r>
    <s v="DaVita Dialysis"/>
    <s v="921 New Highway 68"/>
    <s v="Sweetwater"/>
    <s v="TN"/>
    <n v="1.6"/>
    <n v="2008"/>
    <n v="5650"/>
    <n v="106234"/>
    <n v="18.8024778761062"/>
    <m/>
    <s v=" "/>
    <s v="NNN"/>
    <m/>
    <m/>
    <n v="1327923"/>
    <n v="235.0306194690266"/>
    <n v="0.08000012048891389"/>
    <x v="1148"/>
    <x v="1129"/>
    <m/>
    <x v="35"/>
    <s v="REIT"/>
    <m/>
    <s v="Nadeem Siddiqi"/>
    <m/>
    <s v=" "/>
    <s v=" "/>
    <m/>
    <s v=" "/>
    <s v=" "/>
    <s v=" "/>
    <m/>
    <s v=" "/>
  </r>
  <r>
    <s v="DaVita Dialysis"/>
    <s v="7065 East Fwy"/>
    <s v="Houston"/>
    <s v="TX"/>
    <n v="1.23"/>
    <n v="2002"/>
    <n v="8880"/>
    <n v="200249"/>
    <n v="22.55056306306306"/>
    <d v="2029-06-30T00:00:00"/>
    <n v="14.53150684931507"/>
    <s v="NN"/>
    <s v="10% every 5"/>
    <s v="3, 5yr"/>
    <n v="2966659"/>
    <n v="334.0832207207207"/>
    <n v="0.06749983735913026"/>
    <x v="1149"/>
    <x v="66"/>
    <s v="Unique Properties"/>
    <x v="1001"/>
    <s v="Individual"/>
    <m/>
    <m/>
    <m/>
    <s v=" "/>
    <s v=" "/>
    <m/>
    <s v=" "/>
    <s v=" "/>
    <s v=" "/>
    <m/>
    <s v=" "/>
  </r>
  <r>
    <s v="DaVita Dialysis"/>
    <s v="739 E 20th St"/>
    <s v="Houston"/>
    <s v="TX"/>
    <n v="0.66"/>
    <n v="1993"/>
    <n v="8640"/>
    <n v="260375"/>
    <n v="30.13599537037037"/>
    <d v="2029-06-30T00:00:00"/>
    <n v="14.53150684931507"/>
    <s v="NN"/>
    <s v="10% every 5"/>
    <s v="3, 5yr"/>
    <n v="3886196"/>
    <n v="449.7912037037037"/>
    <n v="0.0669999660336226"/>
    <x v="1149"/>
    <x v="66"/>
    <s v="Unique Properties"/>
    <x v="1001"/>
    <s v="Individual"/>
    <m/>
    <m/>
    <m/>
    <s v=" "/>
    <s v=" "/>
    <m/>
    <s v=" "/>
    <s v=" "/>
    <s v=" "/>
    <m/>
    <s v=" "/>
  </r>
  <r>
    <s v="DaVita Dialysis"/>
    <s v="17590 Foothill Blvd"/>
    <s v="Fontana"/>
    <s v="CA"/>
    <n v="1.23"/>
    <n v="1980"/>
    <n v="10525"/>
    <n v="286350"/>
    <n v="27.20665083135392"/>
    <m/>
    <s v=" "/>
    <s v="NNN"/>
    <m/>
    <m/>
    <n v="4150000"/>
    <n v="394.2992874109264"/>
    <n v="0.06900000000000001"/>
    <x v="1149"/>
    <x v="1130"/>
    <s v="Sperry Van Ness"/>
    <x v="1002"/>
    <s v="Individual"/>
    <m/>
    <m/>
    <m/>
    <s v=" "/>
    <s v=" "/>
    <m/>
    <s v=" "/>
    <s v=" "/>
    <s v=" "/>
    <m/>
    <s v=" "/>
  </r>
  <r>
    <s v="DaVita Dialysis"/>
    <s v="3401 W 111th ST"/>
    <s v="Chicago"/>
    <s v="IL"/>
    <n v="0.35"/>
    <n v="1965"/>
    <n v="6127"/>
    <n v="111195"/>
    <n v="18.14835971927534"/>
    <m/>
    <s v=" "/>
    <s v="NN"/>
    <s v="Yes"/>
    <m/>
    <n v="1416500"/>
    <n v="231.189815570426"/>
    <n v="0.07849982350864808"/>
    <x v="1149"/>
    <x v="13"/>
    <m/>
    <x v="0"/>
    <s v="Individual"/>
    <m/>
    <m/>
    <m/>
    <s v=" "/>
    <s v=" "/>
    <m/>
    <s v=" "/>
    <s v=" "/>
    <s v=" "/>
    <m/>
    <s v=" "/>
  </r>
  <r>
    <s v="Fresenius Medical Care"/>
    <s v="2133 Lockwood Dr."/>
    <s v="Houston"/>
    <s v="TX"/>
    <n v="0"/>
    <n v="2008"/>
    <n v="7450"/>
    <m/>
    <s v=" "/>
    <m/>
    <s v=" "/>
    <m/>
    <m/>
    <m/>
    <m/>
    <s v=" "/>
    <s v=" "/>
    <x v="1150"/>
    <x v="13"/>
    <m/>
    <x v="1003"/>
    <s v="Individual"/>
    <m/>
    <s v="Rockwell TIC Inc/Christopher Ashby"/>
    <m/>
    <s v=" "/>
    <s v=" "/>
    <m/>
    <s v=" "/>
    <s v=" "/>
    <s v=" "/>
    <m/>
    <s v=" "/>
  </r>
  <r>
    <s v="Fresenius Medical Care"/>
    <s v="714 East Quincy Street"/>
    <s v="San Antonio"/>
    <s v="TX"/>
    <n v="1.261"/>
    <n v="1997"/>
    <n v="11930"/>
    <n v="165231"/>
    <n v="13.85004191114836"/>
    <d v="2022-10-31T00:00:00"/>
    <n v="7.871232876712329"/>
    <s v="NNN"/>
    <s v="$14.40 PSF effective 11/1/2015; $15.10 PSF effective 11/1/2017; $15.90 PSF effective 11/1/2019"/>
    <s v="2, 5 Year Options"/>
    <n v="2203000"/>
    <n v="184.6605196982397"/>
    <n v="0.07500272355878347"/>
    <x v="1151"/>
    <x v="1098"/>
    <s v="SJC; Brandon Duff"/>
    <x v="1004"/>
    <s v="Individual"/>
    <m/>
    <m/>
    <n v="2360443"/>
    <n v="0.0699999957635071"/>
    <n v="0.9332993849035965"/>
    <n v="2360443"/>
    <n v="0.0699999957635071"/>
    <n v="0.005002727795276371"/>
    <s v="No"/>
    <d v="2014-10-07T00:00:00"/>
    <n v="73"/>
  </r>
  <r>
    <s v="Fresenius Medical Care"/>
    <s v="Discovery Bay Drive &amp; Business Center Drive"/>
    <s v="Pearland"/>
    <s v="TX"/>
    <m/>
    <n v="2014"/>
    <n v="7700"/>
    <n v="298544"/>
    <n v="38.77194805194805"/>
    <d v="2029-07-31T00:00:00"/>
    <n v="14.62465753424657"/>
    <s v="NN"/>
    <s v="10% increase every 5 years in base term: FMV in options"/>
    <s v="Three (3), five (5) year options"/>
    <n v="4776704"/>
    <n v="620.3511688311688"/>
    <n v="0.0625"/>
    <x v="1151"/>
    <x v="956"/>
    <s v="SJC; Brett"/>
    <x v="418"/>
    <s v="Individual"/>
    <s v="SJC; Briggs"/>
    <m/>
    <n v="4975700"/>
    <n v="0.06000040195349398"/>
    <n v="0.9600064312559037"/>
    <n v="4975700"/>
    <n v="0.06000040195349398"/>
    <n v="0.00249959804650602"/>
    <s v="No"/>
    <m/>
    <s v=" "/>
  </r>
  <r>
    <s v="Fresenius Medical Care"/>
    <s v="11100 Shadow Creek Pky"/>
    <s v="Pearland"/>
    <s v="TX"/>
    <n v="2.6"/>
    <n v="2015"/>
    <n v="7700"/>
    <n v="286602"/>
    <n v="37.22103896103896"/>
    <m/>
    <s v=" "/>
    <s v="NN"/>
    <s v="10% every 5 years"/>
    <s v="3, 5yr"/>
    <n v="4776704"/>
    <n v="620.3511688311688"/>
    <n v="0.05999994975614985"/>
    <x v="1151"/>
    <x v="13"/>
    <m/>
    <x v="0"/>
    <s v="Individual"/>
    <m/>
    <m/>
    <m/>
    <s v=" "/>
    <s v=" "/>
    <m/>
    <s v=" "/>
    <s v=" "/>
    <s v=" "/>
    <m/>
    <s v=" "/>
  </r>
  <r>
    <s v="Fresenius Medical Care"/>
    <s v="360 Walmart Dr"/>
    <s v="Uniontown"/>
    <s v="PA"/>
    <n v="1.4"/>
    <n v="2012"/>
    <n v="9967"/>
    <n v="185978"/>
    <n v="18.65937594060399"/>
    <m/>
    <s v=" "/>
    <m/>
    <m/>
    <m/>
    <n v="2715000"/>
    <n v="272.3989164241999"/>
    <n v="0.06850018416206262"/>
    <x v="1152"/>
    <x v="1131"/>
    <m/>
    <x v="1005"/>
    <s v="Individual"/>
    <m/>
    <m/>
    <m/>
    <s v=" "/>
    <s v=" "/>
    <m/>
    <s v=" "/>
    <s v=" "/>
    <s v=" "/>
    <m/>
    <s v=" "/>
  </r>
  <r>
    <s v="Fresenius Medical Care"/>
    <s v="2609 Lincoln Hwy"/>
    <s v="Olympia Fields"/>
    <s v="IL"/>
    <n v="1.04"/>
    <n v="2005"/>
    <n v="11925"/>
    <n v="232960"/>
    <n v="19.53542976939204"/>
    <d v="2026-04-30T00:00:00"/>
    <n v="11.41095890410959"/>
    <s v="NN"/>
    <s v="3% annually"/>
    <m/>
    <n v="3400000"/>
    <n v="285.1153039832285"/>
    <n v="0.06851764705882353"/>
    <x v="1153"/>
    <x v="341"/>
    <s v="CBRE"/>
    <x v="1006"/>
    <s v="REIT"/>
    <m/>
    <m/>
    <m/>
    <s v=" "/>
    <s v=" "/>
    <m/>
    <s v=" "/>
    <s v=" "/>
    <s v=" "/>
    <m/>
    <s v=" "/>
  </r>
  <r>
    <s v="Fresenius Medical Care"/>
    <s v="1565 Corporate Woods Cir"/>
    <s v="Uniontown"/>
    <s v="OH"/>
    <n v="1.01"/>
    <n v="2012"/>
    <n v="10528"/>
    <n v="163076"/>
    <n v="15.48974164133739"/>
    <m/>
    <s v=" "/>
    <m/>
    <m/>
    <m/>
    <n v="2360000"/>
    <n v="224.1641337386018"/>
    <n v="0.06909999999999999"/>
    <x v="1154"/>
    <x v="1132"/>
    <m/>
    <x v="111"/>
    <s v="Fund"/>
    <m/>
    <s v="Cam Inc "/>
    <m/>
    <s v=" "/>
    <s v=" "/>
    <m/>
    <s v=" "/>
    <s v=" "/>
    <s v=" "/>
    <m/>
    <s v=" "/>
  </r>
  <r>
    <s v="Fresenius Medical Care"/>
    <s v="721 Mikes Pike St"/>
    <s v="Winslow"/>
    <s v="AZ"/>
    <n v="1.27"/>
    <n v="2014"/>
    <n v="8228"/>
    <n v="249600"/>
    <n v="30.33543996110841"/>
    <m/>
    <s v=" "/>
    <s v="NNN"/>
    <s v="10% every 5 years"/>
    <m/>
    <n v="3900000"/>
    <n v="473.9912493923189"/>
    <n v="0.064"/>
    <x v="1155"/>
    <x v="13"/>
    <m/>
    <x v="0"/>
    <s v="Individual"/>
    <m/>
    <m/>
    <m/>
    <s v=" "/>
    <s v=" "/>
    <m/>
    <s v=" "/>
    <s v=" "/>
    <s v=" "/>
    <m/>
    <s v=" "/>
  </r>
  <r>
    <s v="DaVita Dialysis"/>
    <s v="275 Di Salvo Ave"/>
    <s v="San Jose"/>
    <s v="CA"/>
    <n v="0.57"/>
    <n v="2013"/>
    <n v="9075"/>
    <n v="366336"/>
    <n v="40.36760330578512"/>
    <m/>
    <s v=" "/>
    <m/>
    <m/>
    <m/>
    <n v="6784000"/>
    <n v="747.5482093663912"/>
    <n v="0.054"/>
    <x v="1155"/>
    <x v="13"/>
    <m/>
    <x v="0"/>
    <s v="Individual"/>
    <m/>
    <m/>
    <m/>
    <s v=" "/>
    <s v=" "/>
    <m/>
    <s v=" "/>
    <s v=" "/>
    <s v=" "/>
    <m/>
    <s v=" "/>
  </r>
  <r>
    <s v="DaVita Dialysis"/>
    <s v="2751 Killarney Dr"/>
    <s v="Woodbridge"/>
    <s v="VA"/>
    <n v="1.4"/>
    <n v="1999"/>
    <n v="9784"/>
    <n v="214500"/>
    <n v="21.92354865085855"/>
    <m/>
    <s v=" "/>
    <m/>
    <m/>
    <m/>
    <n v="3300000"/>
    <n v="337.2853638593622"/>
    <n v="0.065"/>
    <x v="1156"/>
    <x v="1133"/>
    <m/>
    <x v="1007"/>
    <s v="Individual"/>
    <m/>
    <s v="NVR, INC."/>
    <m/>
    <s v=" "/>
    <s v=" "/>
    <m/>
    <s v=" "/>
    <s v=" "/>
    <s v=" "/>
    <m/>
    <s v=" "/>
  </r>
  <r>
    <m/>
    <s v="2500 Main St"/>
    <s v="Fort Scott"/>
    <s v="KS"/>
    <m/>
    <n v="2014"/>
    <n v="7700"/>
    <n v="257574.63"/>
    <n v="33.45125064935065"/>
    <m/>
    <s v=" "/>
    <m/>
    <m/>
    <m/>
    <n v="3782300"/>
    <n v="491.2077922077922"/>
    <n v="0.06809999999999999"/>
    <x v="1157"/>
    <x v="13"/>
    <s v="M&amp;M;"/>
    <x v="0"/>
    <s v="Individual"/>
    <m/>
    <m/>
    <m/>
    <s v=" "/>
    <s v=" "/>
    <m/>
    <s v=" "/>
    <s v=" "/>
    <s v=" "/>
    <m/>
    <s v=" "/>
  </r>
  <r>
    <s v="DaVita Dialysis"/>
    <s v="1221 Rossmoor Pky"/>
    <s v="Walnut Creek"/>
    <s v="CA"/>
    <n v="1.22"/>
    <n v="2014"/>
    <n v="8171"/>
    <n v="421800"/>
    <n v="51.62158854485375"/>
    <m/>
    <s v=" "/>
    <s v="NN"/>
    <s v="10% Every 5yrs"/>
    <m/>
    <n v="7600000"/>
    <n v="930.1187125198874"/>
    <n v="0.0555"/>
    <x v="1158"/>
    <x v="13"/>
    <m/>
    <x v="1008"/>
    <s v="Individual"/>
    <m/>
    <m/>
    <m/>
    <s v=" "/>
    <s v=" "/>
    <m/>
    <s v=" "/>
    <s v=" "/>
    <s v=" "/>
    <m/>
    <s v=" "/>
  </r>
  <r>
    <s v="DaVita Dialysis"/>
    <s v="3310 Dustin Rd"/>
    <s v="Oregon"/>
    <s v="OH"/>
    <n v="2.31"/>
    <n v="1994"/>
    <n v="8400"/>
    <n v="145055"/>
    <n v="17.26845238095238"/>
    <m/>
    <s v=" "/>
    <s v="NNN"/>
    <m/>
    <m/>
    <n v="1998000"/>
    <n v="237.8571428571429"/>
    <n v="0.0726001001001001"/>
    <x v="1159"/>
    <x v="13"/>
    <m/>
    <x v="0"/>
    <s v="Individual"/>
    <m/>
    <m/>
    <m/>
    <s v=" "/>
    <s v=" "/>
    <m/>
    <s v=" "/>
    <s v=" "/>
    <s v=" "/>
    <m/>
    <s v=" "/>
  </r>
  <r>
    <s v="Fresenius Medical Care"/>
    <s v="4304 Lancaster Dr"/>
    <s v="Niceville"/>
    <s v="FL"/>
    <n v="1.5"/>
    <n v="2014"/>
    <n v="9956"/>
    <n v="291470.9667239602"/>
    <n v="29.27591067938531"/>
    <d v="2028-11-30T00:00:00"/>
    <n v="14.08219178082192"/>
    <s v="NN"/>
    <s v="1.7% annually"/>
    <s v="3, 5yr"/>
    <n v="5035298"/>
    <n v="505.7551225391724"/>
    <n v="0.0578855445544554"/>
    <x v="1160"/>
    <x v="494"/>
    <s v="C&amp;W; Trautvetter"/>
    <x v="1009"/>
    <s v="Individual"/>
    <s v="Vince Vatterott"/>
    <s v="MDG Development Group, LLC"/>
    <n v="5097600"/>
    <n v="0.05717807727635753"/>
    <n v="0.9877781701192718"/>
    <n v="5097600"/>
    <n v="0.05717807727635753"/>
    <n v="0.0007074672780978675"/>
    <s v="No"/>
    <d v="2014-08-22T00:00:00"/>
    <n v="74"/>
  </r>
  <r>
    <s v="Fresenius Medical Care"/>
    <s v="3711 Dewey St"/>
    <s v="Manitowoc"/>
    <s v="WI"/>
    <m/>
    <n v="2014"/>
    <n v="7200"/>
    <m/>
    <s v=" "/>
    <m/>
    <s v=" "/>
    <m/>
    <m/>
    <m/>
    <n v="3520000"/>
    <n v="488.8888888888889"/>
    <s v=" "/>
    <x v="1161"/>
    <x v="1134"/>
    <m/>
    <x v="637"/>
    <s v="Fund"/>
    <m/>
    <m/>
    <m/>
    <s v=" "/>
    <s v=" "/>
    <m/>
    <s v=" "/>
    <s v=" "/>
    <s v=" "/>
    <m/>
    <s v=" "/>
  </r>
  <r>
    <s v="DaVita Dialysis"/>
    <s v="2201 Colonial Ave"/>
    <s v="Norfolk"/>
    <s v="VA"/>
    <n v="0.21"/>
    <n v="1917"/>
    <n v="10558"/>
    <n v="263725"/>
    <n v="24.97868914567153"/>
    <m/>
    <s v=" "/>
    <s v="NN"/>
    <s v="2% Annually in Options"/>
    <s v="3, 5yr"/>
    <n v="3850000"/>
    <n v="364.6523962871756"/>
    <n v="0.06850000000000001"/>
    <x v="1162"/>
    <x v="1135"/>
    <s v="M&amp;M;"/>
    <x v="1010"/>
    <s v="Individual"/>
    <m/>
    <m/>
    <m/>
    <s v=" "/>
    <s v=" "/>
    <m/>
    <s v=" "/>
    <s v=" "/>
    <s v=" "/>
    <m/>
    <s v=" "/>
  </r>
  <r>
    <s v="DaVita Dialysis"/>
    <s v="22 SW 11th St"/>
    <s v="Hallandale Beach"/>
    <s v="FL"/>
    <n v="0.7650138"/>
    <n v="2007"/>
    <n v="9986"/>
    <n v="326025"/>
    <n v="32.64820749048668"/>
    <d v="2017-11-30T00:00:00"/>
    <n v="3.09041095890411"/>
    <s v="NN"/>
    <s v="2% annually"/>
    <s v="2, 5 yr"/>
    <n v="3975000"/>
    <n v="398.0572801922692"/>
    <n v="0.0820188679245283"/>
    <x v="1162"/>
    <x v="1136"/>
    <s v="PH: Peranich &amp; Huffman"/>
    <x v="460"/>
    <s v="Fund"/>
    <m/>
    <m/>
    <m/>
    <s v=" "/>
    <s v=" "/>
    <m/>
    <s v=" "/>
    <s v=" "/>
    <s v=" "/>
    <m/>
    <s v=" "/>
  </r>
  <r>
    <s v="Fresenius Medical Care"/>
    <s v="4748 Bell Hill Rd"/>
    <s v="Bessemer"/>
    <s v="AL"/>
    <n v="8.800000000000001"/>
    <n v="2014"/>
    <n v="8091"/>
    <n v="168839.4693024754"/>
    <n v="20.86756510968674"/>
    <d v="2029-09-30T00:00:00"/>
    <n v="14.93424657534247"/>
    <s v="NN"/>
    <s v="1.7% annually"/>
    <s v="3, 5 yr"/>
    <n v="2620000"/>
    <n v="323.8165863304907"/>
    <n v="0.06444254553529596"/>
    <x v="1163"/>
    <x v="1137"/>
    <m/>
    <x v="1011"/>
    <s v="Individual"/>
    <m/>
    <m/>
    <m/>
    <s v=" "/>
    <s v=" "/>
    <m/>
    <s v=" "/>
    <s v=" "/>
    <s v=" "/>
    <m/>
    <s v=" "/>
  </r>
  <r>
    <s v="DaVita Dialysis - Condo"/>
    <s v="883 Patriot Dr"/>
    <s v="Moorpark"/>
    <s v="CA"/>
    <n v="1.65"/>
    <n v="2009"/>
    <n v="15921"/>
    <n v="339900"/>
    <n v="21.34916148483136"/>
    <d v="2027-04-30T00:00:00"/>
    <n v="12.52876712328767"/>
    <s v="NN"/>
    <s v="10% every 5"/>
    <s v="2, 5yr"/>
    <n v="5000000"/>
    <n v="314.0506249607437"/>
    <n v="0.06798"/>
    <x v="1164"/>
    <x v="1138"/>
    <s v="CBRE; Flores"/>
    <x v="1012"/>
    <s v="Individual"/>
    <s v="CBRE; Pettersen"/>
    <m/>
    <n v="5300000"/>
    <n v="0.06413207547169811"/>
    <n v="0.9433962264150944"/>
    <n v="5300000"/>
    <n v="0.06413207547169811"/>
    <n v="0.003847924528301891"/>
    <s v="No"/>
    <d v="2014-03-27T00:00:00"/>
    <n v="209"/>
  </r>
  <r>
    <s v="Fresenius Medical Care"/>
    <s v="525 West St"/>
    <s v="Wind Gap"/>
    <s v="PA"/>
    <n v="1.74"/>
    <n v="1998"/>
    <n v="5100"/>
    <n v="70125"/>
    <n v="13.75"/>
    <d v="2024-03-31T00:00:00"/>
    <n v="9.449315068493151"/>
    <s v="NNN"/>
    <s v="2% annually"/>
    <s v="1, 5yr"/>
    <n v="815100"/>
    <n v="159.8235294117647"/>
    <n v="0.0860323886639676"/>
    <x v="1165"/>
    <x v="1139"/>
    <s v="SIG; Hoover"/>
    <x v="1013"/>
    <s v="Individual"/>
    <m/>
    <m/>
    <n v="876562"/>
    <n v="0.0800000456328246"/>
    <n v="0.9298828833556554"/>
    <n v="876562"/>
    <n v="0.0800000456328246"/>
    <n v="0.006032343031143"/>
    <s v="No"/>
    <d v="2014-05-27T00:00:00"/>
    <n v="147"/>
  </r>
  <r>
    <m/>
    <s v="22437 Norwalk Blvd"/>
    <s v="Hawaiian Gardens"/>
    <s v="CA"/>
    <n v="0.6064279"/>
    <n v="2009"/>
    <n v="7099"/>
    <m/>
    <s v=" "/>
    <m/>
    <s v=" "/>
    <m/>
    <m/>
    <m/>
    <n v="5150000"/>
    <n v="725.4542893365262"/>
    <s v=" "/>
    <x v="1166"/>
    <x v="1140"/>
    <m/>
    <x v="1014"/>
    <s v="Individual"/>
    <m/>
    <m/>
    <m/>
    <s v=" "/>
    <s v=" "/>
    <m/>
    <s v=" "/>
    <s v=" "/>
    <s v=" "/>
    <m/>
    <s v=" "/>
  </r>
  <r>
    <s v="Fresenius Medical Care"/>
    <s v="1962 N Olden Ave"/>
    <s v="Ewing"/>
    <s v="NJ"/>
    <n v="1.07"/>
    <m/>
    <n v="10065"/>
    <n v="146625"/>
    <n v="14.56780923994039"/>
    <m/>
    <s v=" "/>
    <s v="NN"/>
    <s v="CPI - Annual"/>
    <m/>
    <n v="1725000"/>
    <n v="171.3859910581222"/>
    <n v="0.08500000000000001"/>
    <x v="1167"/>
    <x v="13"/>
    <m/>
    <x v="0"/>
    <s v="Individual"/>
    <m/>
    <m/>
    <m/>
    <s v=" "/>
    <s v=" "/>
    <m/>
    <s v=" "/>
    <s v=" "/>
    <s v=" "/>
    <m/>
    <s v=" "/>
  </r>
  <r>
    <s v="DaVita Dialysis"/>
    <s v="133-135 Cheltenham Ave"/>
    <s v="Cheltenham"/>
    <s v="PA"/>
    <n v="0.52"/>
    <n v="1960"/>
    <n v="13650"/>
    <n v="215528"/>
    <n v="15.78959706959707"/>
    <m/>
    <s v=" "/>
    <s v="NN"/>
    <s v="10% Increases"/>
    <s v="2, 5yr"/>
    <n v="3151000"/>
    <n v="230.8424908424908"/>
    <n v="0.06839987305617265"/>
    <x v="1168"/>
    <x v="1141"/>
    <s v="M&amp;M;"/>
    <x v="1015"/>
    <s v="Individual"/>
    <s v="Colliers International"/>
    <m/>
    <m/>
    <s v=" "/>
    <s v=" "/>
    <m/>
    <s v=" "/>
    <s v=" "/>
    <s v=" "/>
    <m/>
    <s v=" "/>
  </r>
  <r>
    <s v="Fresenius Medical Care"/>
    <s v="3631 Behrman Pl"/>
    <s v="New Orleans"/>
    <s v="LA"/>
    <n v="1.211593"/>
    <n v="2010"/>
    <n v="9982"/>
    <n v="253418.96"/>
    <n v="25.38759366860349"/>
    <m/>
    <s v=" "/>
    <m/>
    <m/>
    <m/>
    <n v="3167737"/>
    <n v="317.3449208575436"/>
    <n v="0.08"/>
    <x v="1169"/>
    <x v="1142"/>
    <s v="M&amp;M;"/>
    <x v="1016"/>
    <s v="REIT"/>
    <m/>
    <m/>
    <m/>
    <s v=" "/>
    <s v=" "/>
    <m/>
    <s v=" "/>
    <s v=" "/>
    <s v=" "/>
    <m/>
    <s v=" "/>
  </r>
  <r>
    <s v="Fresenius Medical Care"/>
    <s v="411 N General McMullen Dr"/>
    <s v="San Antonio"/>
    <s v="TX"/>
    <n v="0.9399999999999999"/>
    <n v="1997"/>
    <n v="9500"/>
    <m/>
    <s v=" "/>
    <m/>
    <s v=" "/>
    <m/>
    <m/>
    <m/>
    <m/>
    <s v=" "/>
    <s v=" "/>
    <x v="1170"/>
    <x v="1143"/>
    <m/>
    <x v="1017"/>
    <s v="Individual"/>
    <m/>
    <m/>
    <m/>
    <s v=" "/>
    <s v=" "/>
    <m/>
    <s v=" "/>
    <s v=" "/>
    <s v=" "/>
    <m/>
    <s v=" "/>
  </r>
  <r>
    <s v="Fresenius Medical Care"/>
    <s v="1212 9th St"/>
    <s v="Greeley"/>
    <s v="CO"/>
    <n v="1.3"/>
    <n v="2014"/>
    <n v="7660"/>
    <n v="268595"/>
    <n v="35.06462140992167"/>
    <m/>
    <s v=" "/>
    <s v="NNN"/>
    <s v="10% every 5 years"/>
    <s v="3, 5yr"/>
    <n v="3664330"/>
    <n v="478.3720626631854"/>
    <n v="0.07329989384143895"/>
    <x v="1170"/>
    <x v="222"/>
    <s v="NAI Capital"/>
    <x v="1018"/>
    <s v="Individual"/>
    <m/>
    <m/>
    <m/>
    <s v=" "/>
    <s v=" "/>
    <m/>
    <s v=" "/>
    <s v=" "/>
    <s v=" "/>
    <m/>
    <s v=" "/>
  </r>
  <r>
    <s v="DaVita Dialysis"/>
    <s v="215-225 S Allison Ave"/>
    <s v="Xenia"/>
    <s v="OH"/>
    <n v="0.88"/>
    <n v="1976"/>
    <n v="14551"/>
    <n v="132240"/>
    <n v="9.088035186585115"/>
    <m/>
    <s v=" "/>
    <m/>
    <m/>
    <m/>
    <n v="825000"/>
    <n v="56.69713421757955"/>
    <n v="0.1602909090909091"/>
    <x v="1171"/>
    <x v="1144"/>
    <s v="Tom Nikolia"/>
    <x v="1019"/>
    <s v="Individual"/>
    <s v="Matthews; Hoover"/>
    <m/>
    <n v="950000"/>
    <n v="0.1392"/>
    <n v="0.868421052631579"/>
    <n v="950000"/>
    <n v="0.1392"/>
    <n v="0.0210909090909091"/>
    <s v="No"/>
    <d v="2013-07-03T00:00:00"/>
    <n v="434"/>
  </r>
  <r>
    <m/>
    <s v="916 Houston St"/>
    <s v="Laredo"/>
    <s v="TX"/>
    <n v="0.57"/>
    <n v="1975"/>
    <n v="6462"/>
    <m/>
    <s v=" "/>
    <m/>
    <s v=" "/>
    <m/>
    <m/>
    <m/>
    <n v="2520000"/>
    <n v="389.9721448467967"/>
    <s v=" "/>
    <x v="1172"/>
    <x v="1145"/>
    <m/>
    <x v="1020"/>
    <s v="Individual"/>
    <s v="Capital Pacific"/>
    <m/>
    <m/>
    <s v=" "/>
    <s v=" "/>
    <m/>
    <s v=" "/>
    <s v=" "/>
    <s v=" "/>
    <m/>
    <s v=" "/>
  </r>
  <r>
    <s v="DaVita Dialysis"/>
    <s v="6757 Main St"/>
    <s v="Cass City"/>
    <s v="MI"/>
    <n v="1.2"/>
    <n v="1999"/>
    <n v="7822"/>
    <n v="102088"/>
    <n v="13.05139350549732"/>
    <d v="2019-06-30T00:00:00"/>
    <n v="4.810958904109589"/>
    <s v="NN"/>
    <s v="2.5% Annually"/>
    <s v="2, 5yr"/>
    <n v="1237425"/>
    <n v="158.198031194068"/>
    <n v="0.08250035355678122"/>
    <x v="1173"/>
    <x v="1146"/>
    <s v="M&amp;M; Cook"/>
    <x v="267"/>
    <s v="Fund"/>
    <m/>
    <s v="Thumb Area Dialysis"/>
    <n v="1388600"/>
    <n v="0.07351865187959096"/>
    <n v="0.8911313553219069"/>
    <m/>
    <s v=" "/>
    <s v=" "/>
    <s v=" "/>
    <m/>
    <s v=" "/>
  </r>
  <r>
    <s v="DaVita Dialysis"/>
    <s v="101 S Greenville Rd"/>
    <s v="Greenville"/>
    <s v="MI"/>
    <n v="1.23"/>
    <n v="1995"/>
    <n v="4500"/>
    <n v="61460"/>
    <n v="13.65777777777778"/>
    <d v="2022-06-30T00:00:00"/>
    <n v="7.813698630136987"/>
    <s v="NN"/>
    <s v="2% annually"/>
    <s v="2, 5 yr"/>
    <n v="740000"/>
    <n v="164.4444444444445"/>
    <n v="0.08305405405405406"/>
    <x v="1173"/>
    <x v="13"/>
    <s v="M&amp;M; Cook"/>
    <x v="267"/>
    <s v="Fund"/>
    <m/>
    <m/>
    <n v="878000"/>
    <n v="0.07000000000000001"/>
    <n v="0.8428246013667426"/>
    <n v="878000"/>
    <n v="0.07000000000000001"/>
    <n v="0.01305405405405405"/>
    <s v="No"/>
    <d v="2014-07-24T00:00:00"/>
    <n v="46"/>
  </r>
  <r>
    <s v="Fresenius Medical Care"/>
    <s v="4111 West Camp Wisdom Road"/>
    <s v="Dallas"/>
    <s v="TX"/>
    <n v="2.23"/>
    <n v="1984"/>
    <n v="25325"/>
    <n v="164613"/>
    <n v="6.500019743336624"/>
    <d v="2019-12-31T00:00:00"/>
    <n v="5.328767123287672"/>
    <s v="NNN"/>
    <s v="10% in Options"/>
    <s v="Three (3), Five (5) year"/>
    <n v="1940000"/>
    <n v="76.60414610069101"/>
    <n v="0.0848520618556701"/>
    <x v="1174"/>
    <x v="1147"/>
    <s v="SJC"/>
    <x v="1021"/>
    <s v="Individual"/>
    <m/>
    <m/>
    <m/>
    <s v=" "/>
    <s v=" "/>
    <m/>
    <s v=" "/>
    <s v=" "/>
    <s v=" "/>
    <m/>
    <s v=" "/>
  </r>
  <r>
    <s v="DaVita Dialysis"/>
    <s v="18236 Fort St"/>
    <s v="Riverview"/>
    <s v="MI"/>
    <n v="1.32"/>
    <n v="1957"/>
    <n v="12252"/>
    <n v="216090"/>
    <n v="17.63712047012732"/>
    <m/>
    <s v=" "/>
    <s v="NN"/>
    <m/>
    <m/>
    <n v="2940000"/>
    <n v="239.9608227228208"/>
    <n v="0.0735"/>
    <x v="1174"/>
    <x v="1148"/>
    <s v="Transmerical"/>
    <x v="1016"/>
    <s v="REIT"/>
    <m/>
    <m/>
    <m/>
    <s v=" "/>
    <s v=" "/>
    <m/>
    <s v=" "/>
    <s v=" "/>
    <s v=" "/>
    <m/>
    <s v=" "/>
  </r>
  <r>
    <s v="Fresenius Medical Care"/>
    <s v="3149 Farm Bank Way"/>
    <s v="Grove City"/>
    <s v="OH"/>
    <n v="1.1"/>
    <n v="2009"/>
    <n v="8036"/>
    <n v="169448"/>
    <n v="21.086112493778"/>
    <d v="2024-10-31T00:00:00"/>
    <n v="10.19178082191781"/>
    <s v="NN"/>
    <s v="1.7% annually"/>
    <s v="2, 5yr"/>
    <n v="2375000"/>
    <n v="295.5450472872076"/>
    <n v="0.07134652631578947"/>
    <x v="1175"/>
    <x v="1149"/>
    <s v="Fortress; Tzagournis"/>
    <x v="111"/>
    <s v="Fund"/>
    <m/>
    <m/>
    <m/>
    <s v=" "/>
    <s v=" "/>
    <m/>
    <s v=" "/>
    <s v=" "/>
    <s v=" "/>
    <m/>
    <s v=" "/>
  </r>
  <r>
    <s v="Fresenius Medical Care"/>
    <s v="118 Osigian Blvd"/>
    <s v="Warner Robins"/>
    <s v="GA"/>
    <n v="2.04"/>
    <n v="1996"/>
    <n v="6600"/>
    <n v="130295"/>
    <n v="19.74166666666667"/>
    <d v="2017-12-31T00:00:00"/>
    <n v="3.361643835616438"/>
    <s v="NN"/>
    <s v="2% annually"/>
    <s v="2, 5yr"/>
    <n v="1515000"/>
    <n v="229.5454545454545"/>
    <n v="0.08600330033003301"/>
    <x v="1176"/>
    <x v="1150"/>
    <s v="SIG; Hoover"/>
    <x v="1022"/>
    <s v="Individual"/>
    <m/>
    <m/>
    <n v="1800000"/>
    <n v="0.07238611111111111"/>
    <n v="0.8416666666666667"/>
    <n v="1628687"/>
    <n v="0.08000002455966064"/>
    <n v="0.006003275770372365"/>
    <s v="Yes"/>
    <d v="2014-05-14T00:00:00"/>
    <n v="100"/>
  </r>
  <r>
    <s v="Fresenius Medical Care"/>
    <s v="118 Osigian Blvd"/>
    <s v="Warner Robins"/>
    <s v="GA"/>
    <n v="2.04"/>
    <n v="1996"/>
    <n v="6600"/>
    <n v="130295"/>
    <n v="19.74166666666667"/>
    <d v="2017-12-31T00:00:00"/>
    <n v="3.364383561643836"/>
    <s v="NN"/>
    <s v="2% annually"/>
    <s v="2, 5yr"/>
    <n v="1200000"/>
    <n v="181.8181818181818"/>
    <n v="0.1085791666666667"/>
    <x v="1177"/>
    <x v="1151"/>
    <s v="SIG; Hoover"/>
    <x v="1023"/>
    <s v="Individual"/>
    <m/>
    <m/>
    <m/>
    <s v=" "/>
    <s v=" "/>
    <m/>
    <s v=" "/>
    <s v=" "/>
    <s v=" "/>
    <m/>
    <s v=" "/>
  </r>
  <r>
    <s v="DaVita Dialysis"/>
    <s v="300 22nd St S"/>
    <s v="Birmingham"/>
    <s v="AL"/>
    <n v="0.96"/>
    <n v="1920"/>
    <n v="16000"/>
    <n v="204165"/>
    <n v="12.7603125"/>
    <m/>
    <s v=" "/>
    <m/>
    <s v="2.5% annual"/>
    <m/>
    <n v="3141000"/>
    <n v="196.3125"/>
    <n v="0.065"/>
    <x v="1178"/>
    <x v="296"/>
    <s v="Colliers International"/>
    <x v="1024"/>
    <s v="Individual"/>
    <m/>
    <m/>
    <m/>
    <s v=" "/>
    <s v=" "/>
    <m/>
    <s v=" "/>
    <s v=" "/>
    <s v=" "/>
    <m/>
    <s v=" "/>
  </r>
  <r>
    <s v="Fresenius Medical Care"/>
    <s v="1215 Maplewood Ave"/>
    <s v="Fairlea"/>
    <s v="WV"/>
    <n v="0.16"/>
    <n v="2008"/>
    <n v="7500"/>
    <m/>
    <s v=" "/>
    <m/>
    <s v=" "/>
    <m/>
    <m/>
    <m/>
    <n v="1839710"/>
    <n v="245.2946666666667"/>
    <s v=" "/>
    <x v="1179"/>
    <x v="1152"/>
    <m/>
    <x v="1025"/>
    <s v="REIT"/>
    <m/>
    <m/>
    <m/>
    <s v=" "/>
    <s v=" "/>
    <m/>
    <s v=" "/>
    <s v=" "/>
    <s v=" "/>
    <m/>
    <s v=" "/>
  </r>
  <r>
    <s v="DaVita Dialysis"/>
    <s v="2303 W Morehead St"/>
    <s v="Charlotte"/>
    <s v="NC"/>
    <n v="2.17"/>
    <n v="1988"/>
    <n v="12500"/>
    <n v="329245"/>
    <n v="26.3396"/>
    <d v="2026-06-30T00:00:00"/>
    <n v="11.9041095890411"/>
    <s v="NN"/>
    <s v="10% every 5"/>
    <s v="3, 5y"/>
    <n v="4090000"/>
    <n v="327.2"/>
    <n v="0.0805"/>
    <x v="1180"/>
    <x v="1153"/>
    <s v="Flagship Healthcare"/>
    <x v="267"/>
    <s v="Fund"/>
    <s v="PH: Peranich &amp; Huffman"/>
    <m/>
    <m/>
    <s v=" "/>
    <s v=" "/>
    <m/>
    <s v=" "/>
    <s v=" "/>
    <s v=" "/>
    <m/>
    <s v=" "/>
  </r>
  <r>
    <s v="DaVita Dialysis"/>
    <s v="6450 Bannington Rd"/>
    <s v="Charlotte"/>
    <s v="NC"/>
    <n v="2.39"/>
    <n v="1999"/>
    <n v="7400"/>
    <n v="148603"/>
    <n v="20.08148648648649"/>
    <m/>
    <s v=" "/>
    <m/>
    <m/>
    <m/>
    <n v="1846000"/>
    <n v="249.4594594594595"/>
    <n v="0.0805"/>
    <x v="1180"/>
    <x v="1153"/>
    <s v="Flagship Healthcare"/>
    <x v="267"/>
    <s v="Fund"/>
    <s v="PH: Peranich &amp; Huffman"/>
    <m/>
    <m/>
    <s v=" "/>
    <s v=" "/>
    <m/>
    <s v=" "/>
    <s v=" "/>
    <s v=" "/>
    <d v="2014-04-04T00:00:00"/>
    <n v="125"/>
  </r>
  <r>
    <s v="DaVita Dialysis"/>
    <s v="100 Washington Blvd"/>
    <s v="Montebello"/>
    <s v="CA"/>
    <n v="0.715427"/>
    <n v="2013"/>
    <n v="9512"/>
    <n v="287500"/>
    <n v="30.22497897392767"/>
    <d v="2029-08-22T00:00:00"/>
    <n v="15.05753424657534"/>
    <s v="NN"/>
    <s v="10% every 5 years"/>
    <s v="2, 5yr"/>
    <n v="5000000"/>
    <n v="525.6518082422203"/>
    <n v="0.0575"/>
    <x v="1181"/>
    <x v="5"/>
    <s v="M&amp;M;"/>
    <x v="1026"/>
    <s v="Individual"/>
    <m/>
    <m/>
    <m/>
    <s v=" "/>
    <s v=" "/>
    <m/>
    <s v=" "/>
    <s v=" "/>
    <s v=" "/>
    <m/>
    <s v=" "/>
  </r>
  <r>
    <s v="Fresenius Medical Care"/>
    <s v="114 Valley Rd"/>
    <s v="Montclair"/>
    <s v="NJ"/>
    <n v="0.5600000000000001"/>
    <n v="1957"/>
    <n v="9108"/>
    <m/>
    <s v=" "/>
    <m/>
    <s v=" "/>
    <m/>
    <m/>
    <m/>
    <m/>
    <s v=" "/>
    <s v=" "/>
    <x v="1182"/>
    <x v="1154"/>
    <m/>
    <x v="305"/>
    <s v="Fund"/>
    <m/>
    <m/>
    <m/>
    <s v=" "/>
    <s v=" "/>
    <m/>
    <s v=" "/>
    <s v=" "/>
    <s v=" "/>
    <m/>
    <s v=" "/>
  </r>
  <r>
    <s v="Fresenius Medical Care"/>
    <s v="470 Galiffa Dr"/>
    <s v="Donora"/>
    <s v="PA"/>
    <n v="1.64"/>
    <m/>
    <n v="7800"/>
    <n v="142350"/>
    <n v="18.25"/>
    <m/>
    <s v=" "/>
    <m/>
    <m/>
    <m/>
    <n v="1625000"/>
    <n v="208.3333333333333"/>
    <n v="0.0876"/>
    <x v="1183"/>
    <x v="1155"/>
    <m/>
    <x v="0"/>
    <s v="Individual"/>
    <m/>
    <s v="KDHA PC Fresenius Medical"/>
    <m/>
    <s v=" "/>
    <s v=" "/>
    <m/>
    <s v=" "/>
    <s v=" "/>
    <s v=" "/>
    <m/>
    <s v=" "/>
  </r>
  <r>
    <s v="Fresenius Medical Care"/>
    <s v="1689 Delsea Dr"/>
    <s v="Woodbury"/>
    <s v="NJ"/>
    <n v="5.59"/>
    <n v="2014"/>
    <n v="9586"/>
    <n v="314496.2338308459"/>
    <n v="32.80786916658104"/>
    <m/>
    <s v=" "/>
    <m/>
    <m/>
    <m/>
    <n v="4975000"/>
    <n v="518.9860212810348"/>
    <n v="0.0632153233830846"/>
    <x v="1184"/>
    <x v="520"/>
    <m/>
    <x v="305"/>
    <s v="Fund"/>
    <m/>
    <m/>
    <m/>
    <s v=" "/>
    <s v=" "/>
    <m/>
    <s v=" "/>
    <s v=" "/>
    <s v=" "/>
    <m/>
    <s v=" "/>
  </r>
  <r>
    <s v="Fresenius Medical Care"/>
    <s v="801 W Broadway St"/>
    <s v="West Plains"/>
    <s v="MO"/>
    <n v="0.59"/>
    <n v="2014"/>
    <n v="8000"/>
    <n v="295336.8576998521"/>
    <n v="36.91710721248151"/>
    <d v="2029-07-31T00:00:00"/>
    <n v="15.03835616438356"/>
    <s v="NN"/>
    <s v="1.7% annually"/>
    <s v="3, 5 yr"/>
    <n v="4300000"/>
    <n v="537.5"/>
    <n v="0.06868299016275629"/>
    <x v="1185"/>
    <x v="192"/>
    <m/>
    <x v="1016"/>
    <s v="REIT"/>
    <s v="PG; Lesley"/>
    <m/>
    <n v="4543643.964613109"/>
    <n v="0.065"/>
    <n v="0.9463769682416445"/>
    <n v="4543643.964613109"/>
    <n v="0.065"/>
    <n v="0.003682990162756292"/>
    <s v="No"/>
    <d v="2014-03-27T00:00:00"/>
    <n v="116"/>
  </r>
  <r>
    <m/>
    <s v="1431 Business Center Ct"/>
    <s v="Dayton"/>
    <s v="OH"/>
    <n v="1.176997"/>
    <n v="1993"/>
    <n v="13421"/>
    <m/>
    <s v=" "/>
    <m/>
    <s v=" "/>
    <m/>
    <m/>
    <m/>
    <n v="2049400"/>
    <n v="152.7009909842784"/>
    <s v=" "/>
    <x v="1186"/>
    <x v="1156"/>
    <s v="M&amp;M;"/>
    <x v="311"/>
    <s v="Individual"/>
    <s v="M&amp;M;"/>
    <m/>
    <m/>
    <s v=" "/>
    <s v=" "/>
    <m/>
    <s v=" "/>
    <s v=" "/>
    <s v=" "/>
    <m/>
    <s v=" "/>
  </r>
  <r>
    <s v="DaVita Dialysis (Leasehold)"/>
    <s v="1810 S Fresno Ave"/>
    <s v="Stockton"/>
    <s v="CA"/>
    <n v="2"/>
    <n v="2013"/>
    <n v="8935"/>
    <n v="263583"/>
    <n v="29.50005595970901"/>
    <d v="2029-07-31T00:00:00"/>
    <n v="15.06575342465753"/>
    <s v="NN"/>
    <s v="3% annually"/>
    <s v="3, 5yr"/>
    <n v="3461538.461538462"/>
    <n v="387.4133700658602"/>
    <n v="0.0761462"/>
    <x v="1187"/>
    <x v="5"/>
    <m/>
    <x v="1027"/>
    <s v="Individual"/>
    <m/>
    <m/>
    <m/>
    <s v=" "/>
    <s v=" "/>
    <m/>
    <s v=" "/>
    <s v=" "/>
    <s v=" "/>
    <m/>
    <s v=" "/>
  </r>
  <r>
    <s v="Fresenius Medical Care"/>
    <s v="7797 Howell Blvd"/>
    <s v="Baton Rouge"/>
    <s v="LA"/>
    <m/>
    <n v="2014"/>
    <n v="6835"/>
    <n v="172955"/>
    <n v="25.3043160204828"/>
    <m/>
    <s v=" "/>
    <m/>
    <m/>
    <m/>
    <n v="2500000"/>
    <n v="365.764447695684"/>
    <n v="0.06918199999999999"/>
    <x v="1188"/>
    <x v="13"/>
    <m/>
    <x v="995"/>
    <s v="Individual"/>
    <m/>
    <m/>
    <m/>
    <s v=" "/>
    <s v=" "/>
    <m/>
    <s v=" "/>
    <s v=" "/>
    <s v=" "/>
    <m/>
    <s v=" "/>
  </r>
  <r>
    <m/>
    <s v="8900 Capital Blvd"/>
    <s v="Raleigh"/>
    <s v="NC"/>
    <n v="99.5"/>
    <n v="1995"/>
    <n v="88687"/>
    <m/>
    <s v=" "/>
    <m/>
    <s v=" "/>
    <m/>
    <m/>
    <m/>
    <n v="7500000"/>
    <n v="84.56707296447055"/>
    <s v=" "/>
    <x v="1189"/>
    <x v="428"/>
    <m/>
    <x v="1028"/>
    <s v="Individual"/>
    <m/>
    <m/>
    <m/>
    <s v=" "/>
    <s v=" "/>
    <m/>
    <s v=" "/>
    <s v=" "/>
    <s v=" "/>
    <m/>
    <s v=" "/>
  </r>
  <r>
    <s v="Fresenius Medical Care"/>
    <s v="1301-1307 W Moreno St"/>
    <s v="Pensacola"/>
    <s v="FL"/>
    <n v="1.89"/>
    <n v="2014"/>
    <n v="15000"/>
    <n v="257987"/>
    <n v="17.19913333333333"/>
    <d v="2023-06-30T00:00:00"/>
    <n v="8.997260273972604"/>
    <s v="NN"/>
    <s v="10% every 5"/>
    <s v="3, 5yr"/>
    <n v="4690000"/>
    <n v="312.6666666666667"/>
    <n v="0.05500788912579958"/>
    <x v="1190"/>
    <x v="1157"/>
    <s v="PH: Peranich &amp; Huffman"/>
    <x v="1029"/>
    <s v="Individual"/>
    <m/>
    <m/>
    <m/>
    <s v=" "/>
    <s v=" "/>
    <m/>
    <s v=" "/>
    <s v=" "/>
    <s v=" "/>
    <m/>
    <s v=" "/>
  </r>
  <r>
    <s v="Fresenius Medical Care"/>
    <s v="4310 Nicollet Ave"/>
    <s v="Minneapolis"/>
    <s v="MN"/>
    <n v="0.47"/>
    <n v="1966"/>
    <n v="7990"/>
    <n v="97605"/>
    <n v="12.21589486858573"/>
    <m/>
    <s v=" "/>
    <m/>
    <m/>
    <m/>
    <n v="1350000"/>
    <n v="168.9612015018774"/>
    <n v="0.0723"/>
    <x v="1191"/>
    <x v="1158"/>
    <m/>
    <x v="1030"/>
    <s v="Individual"/>
    <m/>
    <m/>
    <n v="1150000"/>
    <n v="0.08487391304347826"/>
    <n v="1.173913043478261"/>
    <n v="1150000"/>
    <n v="0.08487391304347826"/>
    <n v="-0.01257391304347825"/>
    <s v="No"/>
    <m/>
    <s v=" "/>
  </r>
  <r>
    <s v="DaVita Dialysis"/>
    <s v="1401 N Michigan St"/>
    <s v="Elkhart"/>
    <s v="IN"/>
    <n v="1.91"/>
    <n v="2014"/>
    <n v="6980"/>
    <n v="168480"/>
    <n v="24.13753581661891"/>
    <d v="2029-03-30T00:00:00"/>
    <n v="14.75890410958904"/>
    <s v="NN"/>
    <s v="10% every 5"/>
    <s v="3, 5 yr"/>
    <n v="2340000"/>
    <n v="335.243553008596"/>
    <n v="0.07199999999999999"/>
    <x v="1191"/>
    <x v="1159"/>
    <s v="PH: Peranich &amp; Huffman"/>
    <x v="267"/>
    <s v="Fund"/>
    <m/>
    <m/>
    <n v="2580000"/>
    <n v="0.06530232558139534"/>
    <n v="0.9069767441860465"/>
    <n v="2580000"/>
    <n v="0.06530232558139534"/>
    <n v="0.006697674418604652"/>
    <s v="No"/>
    <d v="2014-01-04T00:00:00"/>
    <n v="177"/>
  </r>
  <r>
    <s v="DaVita Dialysis"/>
    <s v="1207 E Columbus St"/>
    <s v="Kenton"/>
    <s v="OH"/>
    <n v="2.03"/>
    <n v="2013"/>
    <n v="5000"/>
    <n v="67512"/>
    <n v="13.5024"/>
    <m/>
    <s v=" "/>
    <s v="NN"/>
    <m/>
    <m/>
    <n v="970000"/>
    <n v="194"/>
    <n v="0.0696"/>
    <x v="1191"/>
    <x v="13"/>
    <m/>
    <x v="0"/>
    <s v="Individual"/>
    <m/>
    <m/>
    <m/>
    <s v=" "/>
    <s v=" "/>
    <m/>
    <s v=" "/>
    <s v=" "/>
    <s v=" "/>
    <m/>
    <s v=" "/>
  </r>
  <r>
    <s v="DaVita Dialysis At Home Condo"/>
    <s v="1101 Winchester Rd"/>
    <s v="Mission"/>
    <s v="TX"/>
    <m/>
    <n v="2005"/>
    <n v="6370"/>
    <n v="111500"/>
    <n v="17.50392464678179"/>
    <d v="2019-09-30T00:00:00"/>
    <n v="5.282191780821917"/>
    <s v="NN"/>
    <s v="110% every 5"/>
    <s v="2, 5 yr"/>
    <n v="1250000"/>
    <n v="196.2323390894819"/>
    <n v="0.0892"/>
    <x v="1192"/>
    <x v="1160"/>
    <s v="PH: Peranich &amp; Huffman"/>
    <x v="1031"/>
    <s v="Individual"/>
    <m/>
    <m/>
    <n v="1351000"/>
    <n v="0.08253145817912658"/>
    <n v="0.9252405625462621"/>
    <n v="1351000"/>
    <n v="0.08253145817912658"/>
    <n v="0.006668541820873425"/>
    <s v="No"/>
    <m/>
    <s v=" "/>
  </r>
  <r>
    <s v="DaVita Dialysis"/>
    <s v="203 E 2nd Ave"/>
    <s v="Escondido"/>
    <s v="CA"/>
    <n v="0.48"/>
    <n v="1975"/>
    <n v="7025"/>
    <n v="213500"/>
    <n v="30.3914590747331"/>
    <d v="2020-01-31T00:00:00"/>
    <n v="5.627397260273972"/>
    <s v="NN"/>
    <s v="10% ever 5"/>
    <s v="3, 5yrs"/>
    <n v="3500000"/>
    <n v="498.220640569395"/>
    <n v="0.061"/>
    <x v="1193"/>
    <x v="1161"/>
    <s v="C&amp;W; Trautvetter &amp; Patel"/>
    <x v="1032"/>
    <s v="Individual"/>
    <s v="Colliers; Olaiz"/>
    <m/>
    <n v="3400000"/>
    <n v="0.06279411764705882"/>
    <n v="1.029411764705882"/>
    <n v="3400000"/>
    <n v="0.06279411764705882"/>
    <n v="-0.001794117647058821"/>
    <s v="No"/>
    <d v="2013-10-07T00:00:00"/>
    <n v="253"/>
  </r>
  <r>
    <m/>
    <s v="4505 Carr Dr"/>
    <s v="Spotsylvania"/>
    <s v="VA"/>
    <n v="1.01"/>
    <n v="1999"/>
    <n v="10000"/>
    <m/>
    <s v=" "/>
    <m/>
    <s v=" "/>
    <m/>
    <m/>
    <m/>
    <n v="3000000"/>
    <n v="300"/>
    <s v=" "/>
    <x v="1194"/>
    <x v="1162"/>
    <m/>
    <x v="1033"/>
    <s v="Individual"/>
    <m/>
    <m/>
    <m/>
    <s v=" "/>
    <s v=" "/>
    <m/>
    <s v=" "/>
    <s v=" "/>
    <s v=" "/>
    <m/>
    <s v=" "/>
  </r>
  <r>
    <s v="Fresenius Medical Care"/>
    <s v="3253 Shawnee Dr S"/>
    <s v="Bedford"/>
    <s v="IN"/>
    <n v="1.5"/>
    <n v="2009"/>
    <n v="6900"/>
    <n v="146450"/>
    <n v="21.22463768115942"/>
    <d v="2028-03-30T00:00:00"/>
    <n v="13.81643835616438"/>
    <s v="NN"/>
    <s v="10% every 5 years"/>
    <s v="3, 5 yr"/>
    <n v="2020000"/>
    <n v="292.7536231884058"/>
    <n v="0.0725"/>
    <x v="1195"/>
    <x v="131"/>
    <s v="Newmark; Montooth"/>
    <x v="267"/>
    <s v="Fund"/>
    <s v="PH: Peranich &amp; Huffman"/>
    <m/>
    <n v="2260000"/>
    <n v="0.06480088495575222"/>
    <n v="0.8938053097345132"/>
    <n v="2260000"/>
    <n v="0.06480088495575222"/>
    <n v="0.007699115044247778"/>
    <s v="No"/>
    <m/>
    <s v=" "/>
  </r>
  <r>
    <m/>
    <s v="7703 Picardy Ave"/>
    <s v="Baton Rouge"/>
    <s v="LA"/>
    <m/>
    <m/>
    <n v="15000"/>
    <m/>
    <s v=" "/>
    <m/>
    <s v=" "/>
    <m/>
    <m/>
    <m/>
    <n v="4000000"/>
    <n v="266.6666666666667"/>
    <s v=" "/>
    <x v="1196"/>
    <x v="1163"/>
    <s v="Latter &amp; Blum"/>
    <x v="1034"/>
    <s v="Individual"/>
    <m/>
    <m/>
    <m/>
    <s v=" "/>
    <s v=" "/>
    <m/>
    <s v=" "/>
    <s v=" "/>
    <s v=" "/>
    <m/>
    <s v=" "/>
  </r>
  <r>
    <s v="DaVita Dialysis"/>
    <s v="16 Central Henderson Rd"/>
    <s v="Boaz"/>
    <s v="AL"/>
    <n v="2.88"/>
    <n v="1999"/>
    <n v="4400"/>
    <m/>
    <s v=" "/>
    <m/>
    <s v=" "/>
    <m/>
    <m/>
    <m/>
    <m/>
    <s v=" "/>
    <s v=" "/>
    <x v="1197"/>
    <x v="1164"/>
    <s v="PH: Peranich &amp; Huffman"/>
    <x v="267"/>
    <s v="Fund"/>
    <m/>
    <m/>
    <m/>
    <s v=" "/>
    <s v=" "/>
    <m/>
    <s v=" "/>
    <s v=" "/>
    <s v=" "/>
    <m/>
    <s v=" "/>
  </r>
  <r>
    <s v="DaVita Dialysis"/>
    <s v="2800 Rainbow Dr"/>
    <s v="Rainbow City"/>
    <s v="AL"/>
    <n v="1.18"/>
    <n v="1999"/>
    <n v="7170"/>
    <m/>
    <s v=" "/>
    <m/>
    <s v=" "/>
    <m/>
    <m/>
    <m/>
    <m/>
    <s v=" "/>
    <s v=" "/>
    <x v="1197"/>
    <x v="1164"/>
    <s v="PH: Peranich &amp; Huffman"/>
    <x v="267"/>
    <s v="Fund"/>
    <m/>
    <m/>
    <m/>
    <s v=" "/>
    <s v=" "/>
    <m/>
    <s v=" "/>
    <s v=" "/>
    <s v=" "/>
    <m/>
    <s v=" "/>
  </r>
  <r>
    <s v="DaVita Dialysis"/>
    <s v="409 S 1st St"/>
    <s v="Gadsden"/>
    <s v="AL"/>
    <n v="0.64"/>
    <n v="1998"/>
    <n v="7935"/>
    <m/>
    <s v=" "/>
    <m/>
    <s v=" "/>
    <m/>
    <m/>
    <m/>
    <m/>
    <s v=" "/>
    <s v=" "/>
    <x v="1198"/>
    <x v="1164"/>
    <s v="PH: Peranich &amp; Huffman"/>
    <x v="267"/>
    <s v="Fund"/>
    <m/>
    <m/>
    <m/>
    <s v=" "/>
    <s v=" "/>
    <m/>
    <s v=" "/>
    <s v=" "/>
    <s v=" "/>
    <m/>
    <s v=" "/>
  </r>
  <r>
    <s v="DaVita Dialysis"/>
    <s v="2538 Martin Luther King Jr Dr Sw"/>
    <s v="Atlanta"/>
    <s v="GA"/>
    <n v="0.55"/>
    <n v="1993"/>
    <n v="6600"/>
    <n v="58426"/>
    <n v="8.852424242424242"/>
    <d v="2026-03-31T00:00:00"/>
    <n v="11.87397260273973"/>
    <s v="Modified Gross"/>
    <s v="FMV"/>
    <s v="2, 5yr"/>
    <n v="639200"/>
    <n v="96.84848484848484"/>
    <n v="0.09140488110137672"/>
    <x v="1199"/>
    <x v="1165"/>
    <s v="KW; Hoover"/>
    <x v="116"/>
    <s v="Individual"/>
    <m/>
    <m/>
    <n v="730329"/>
    <n v="0.07999956184130713"/>
    <n v="0.8752219889940014"/>
    <n v="730329"/>
    <n v="0.07999956184130713"/>
    <n v="0.01140531926006959"/>
    <s v="No"/>
    <d v="2014-02-02T00:00:00"/>
    <n v="106"/>
  </r>
  <r>
    <s v="Fresenius Medical Care"/>
    <s v="630 Deckbar Ave"/>
    <s v="New Orleans"/>
    <s v="LA"/>
    <m/>
    <n v="2014"/>
    <n v="14373"/>
    <m/>
    <s v=" "/>
    <m/>
    <s v=" "/>
    <m/>
    <m/>
    <m/>
    <n v="5031934"/>
    <n v="350.0962916579698"/>
    <s v=" "/>
    <x v="1200"/>
    <x v="1166"/>
    <s v="M&amp;M;"/>
    <x v="1035"/>
    <s v="Fund"/>
    <m/>
    <m/>
    <m/>
    <s v=" "/>
    <s v=" "/>
    <m/>
    <s v=" "/>
    <s v=" "/>
    <s v=" "/>
    <m/>
    <s v=" "/>
  </r>
  <r>
    <s v="Fresenius Medical Care"/>
    <s v="2150 Mesquite Ave"/>
    <s v="Lake Havasu City"/>
    <s v="AZ"/>
    <n v="1.25"/>
    <n v="2014"/>
    <n v="9100"/>
    <n v="192864"/>
    <n v="21.19384615384615"/>
    <d v="2029-01-30T00:00:00"/>
    <n v="14.73150684931507"/>
    <s v="NN"/>
    <s v="10% every 5 years"/>
    <s v="3, 5yr"/>
    <n v="2940000"/>
    <n v="323.0769230769231"/>
    <n v="0.06560000000000001"/>
    <x v="1201"/>
    <x v="13"/>
    <m/>
    <x v="407"/>
    <s v="Individual"/>
    <m/>
    <m/>
    <m/>
    <s v=" "/>
    <s v=" "/>
    <m/>
    <s v=" "/>
    <s v=" "/>
    <s v=" "/>
    <m/>
    <s v=" "/>
  </r>
  <r>
    <s v="DaVita Dialysis"/>
    <s v="235 S Buchanan St"/>
    <s v="Edwardsville"/>
    <s v="IL"/>
    <n v="0.5"/>
    <m/>
    <n v="3742"/>
    <n v="63044"/>
    <n v="16.84767504008552"/>
    <m/>
    <s v=" "/>
    <m/>
    <m/>
    <s v="Yes"/>
    <n v="915000"/>
    <n v="244.5216461785142"/>
    <n v="0.06890054644808744"/>
    <x v="1201"/>
    <x v="13"/>
    <m/>
    <x v="0"/>
    <s v="Individual"/>
    <m/>
    <m/>
    <m/>
    <s v=" "/>
    <s v=" "/>
    <m/>
    <s v=" "/>
    <s v=" "/>
    <s v=" "/>
    <m/>
    <s v=" "/>
  </r>
  <r>
    <s v="Fresenius Medical Care"/>
    <s v="73 N Aspen Ski Way"/>
    <s v="Pueblo"/>
    <s v="CO"/>
    <n v="1.17"/>
    <n v="2009"/>
    <n v="6704"/>
    <n v="119813"/>
    <n v="17.87186754176611"/>
    <m/>
    <s v=" "/>
    <s v="NN"/>
    <s v="10% every 5 years"/>
    <s v="3, 5yr"/>
    <n v="1775000"/>
    <n v="264.7673031026253"/>
    <n v="0.06750028169014084"/>
    <x v="1202"/>
    <x v="13"/>
    <m/>
    <x v="0"/>
    <s v="Individual"/>
    <m/>
    <m/>
    <m/>
    <s v=" "/>
    <s v=" "/>
    <m/>
    <s v=" "/>
    <s v=" "/>
    <s v=" "/>
    <m/>
    <s v=" "/>
  </r>
  <r>
    <s v="DaVita Dialysis"/>
    <s v="1117 Arlington Avenue"/>
    <s v="St. Petersburg"/>
    <s v="FL"/>
    <n v="0.63"/>
    <n v="2020"/>
    <n v="7042"/>
    <n v="142601"/>
    <n v="20.25007100255609"/>
    <d v="2020-01-12T00:00:00"/>
    <n v="5.684931506849315"/>
    <s v="NNN"/>
    <s v="Approx 8% in Year 6"/>
    <s v="Three (3), Five (5) Year Options"/>
    <n v="1836000"/>
    <n v="260.7213859698949"/>
    <n v="0.0776693899782135"/>
    <x v="1203"/>
    <x v="232"/>
    <m/>
    <x v="1036"/>
    <s v="Individual"/>
    <m/>
    <m/>
    <m/>
    <s v=" "/>
    <s v=" "/>
    <m/>
    <s v=" "/>
    <s v=" "/>
    <s v=" "/>
    <m/>
    <s v=" "/>
  </r>
  <r>
    <s v="Davita Dialysis"/>
    <s v="3601 Manor Road"/>
    <s v="Austin"/>
    <s v="TX"/>
    <n v="1.43"/>
    <m/>
    <n v="13538"/>
    <n v="267613"/>
    <n v="19.7675432117004"/>
    <d v="2026-12-03T00:00:00"/>
    <n v="12.58356164383562"/>
    <s v="NNN"/>
    <s v="2% Annual"/>
    <s v="Three (3), Five (5) Year Options"/>
    <n v="4269320"/>
    <n v="315.3582508494608"/>
    <n v="0.06268281599880074"/>
    <x v="1204"/>
    <x v="232"/>
    <s v="SJC"/>
    <x v="1037"/>
    <s v="Individual"/>
    <s v="SJC"/>
    <m/>
    <m/>
    <s v=" "/>
    <s v=" "/>
    <m/>
    <s v=" "/>
    <s v=" "/>
    <s v=" "/>
    <m/>
    <s v=" "/>
  </r>
  <r>
    <s v="DaVita Dialysis"/>
    <s v="3642 Marathon Cir"/>
    <s v="Austell"/>
    <s v="GA"/>
    <m/>
    <n v="2009"/>
    <n v="5460"/>
    <n v="226424"/>
    <n v="41.46959706959707"/>
    <m/>
    <s v=" "/>
    <m/>
    <m/>
    <m/>
    <n v="3250000"/>
    <n v="595.2380952380952"/>
    <n v="0.06966892307692307"/>
    <x v="1205"/>
    <x v="1167"/>
    <m/>
    <x v="229"/>
    <s v="REIT"/>
    <m/>
    <m/>
    <m/>
    <s v=" "/>
    <s v=" "/>
    <m/>
    <s v=" "/>
    <s v=" "/>
    <s v=" "/>
    <m/>
    <s v=" "/>
  </r>
  <r>
    <s v="Fresenius Medical Care"/>
    <s v="608 N Bedell Ave"/>
    <s v="Del Rio"/>
    <s v="TX"/>
    <n v="2.24"/>
    <n v="1996"/>
    <n v="5398"/>
    <n v="69125"/>
    <n v="12.80566876620971"/>
    <d v="2023-04-30T00:00:00"/>
    <n v="9.005479452054795"/>
    <s v="NN"/>
    <s v="FMV at each option"/>
    <s v="2, 5yr"/>
    <n v="775000"/>
    <n v="143.571693219711"/>
    <n v="0.08919354838709677"/>
    <x v="1206"/>
    <x v="1168"/>
    <s v="PH: Peranich &amp; Huffman"/>
    <x v="1038"/>
    <s v="Individual"/>
    <m/>
    <m/>
    <n v="790000"/>
    <n v="0.08749999999999999"/>
    <n v="0.9810126582278481"/>
    <n v="790000"/>
    <n v="0.08749999999999999"/>
    <n v="0.001693548387096774"/>
    <s v="No"/>
    <m/>
    <s v=" "/>
  </r>
  <r>
    <s v="Fresenius Medical Care"/>
    <s v="700 Sara G Lott Blvd"/>
    <s v="Brundidge"/>
    <s v="AL"/>
    <n v="3.5"/>
    <n v="2014"/>
    <n v="8279"/>
    <n v="138919"/>
    <n v="16.77968353665902"/>
    <d v="2024-07-31T00:00:00"/>
    <n v="10.27397260273973"/>
    <s v="NN"/>
    <s v="10% every 5"/>
    <s v="3, 5 yr"/>
    <n v="1905000"/>
    <n v="230.1002536538229"/>
    <n v="0.0729233595800525"/>
    <x v="1207"/>
    <x v="1169"/>
    <s v="PH: Peranich &amp; Huffman"/>
    <x v="1039"/>
    <s v="Individual"/>
    <s v="M&amp;M; Malayery"/>
    <m/>
    <n v="1916000"/>
    <n v="0.07250469728601253"/>
    <n v="0.994258872651357"/>
    <n v="1916000"/>
    <n v="0.07250469728601253"/>
    <n v="0.0004186622940399731"/>
    <s v="No"/>
    <d v="2014-01-28T00:00:00"/>
    <n v="87"/>
  </r>
  <r>
    <s v="DaVita Dialysis"/>
    <s v="9535 Regency Square Blvd"/>
    <s v="Jacksonville"/>
    <s v="FL"/>
    <n v="0.9720156"/>
    <n v="2005"/>
    <n v="6141"/>
    <n v="113478.75"/>
    <n v="18.47887151929653"/>
    <m/>
    <s v=" "/>
    <m/>
    <m/>
    <m/>
    <n v="1637500"/>
    <n v="266.6503826738316"/>
    <n v="0.0693"/>
    <x v="1208"/>
    <x v="1170"/>
    <s v="Berkeley Capital Advisors"/>
    <x v="1040"/>
    <s v="Individual"/>
    <m/>
    <m/>
    <m/>
    <s v=" "/>
    <s v=" "/>
    <m/>
    <s v=" "/>
    <s v=" "/>
    <s v=" "/>
    <m/>
    <s v=" "/>
  </r>
  <r>
    <s v="DaVita Dialysis"/>
    <s v="5105 W Main St"/>
    <s v="Belleville"/>
    <s v="IL"/>
    <n v="0.48"/>
    <n v="1982"/>
    <n v="15500"/>
    <n v="313784"/>
    <n v="20.24412903225807"/>
    <d v="2024-03-31T00:00:00"/>
    <n v="9.989041095890411"/>
    <s v="NN"/>
    <s v="10% every 5"/>
    <s v="3, 5 yr"/>
    <n v="3883460"/>
    <n v="250.5458064516129"/>
    <n v="0.08080011124100674"/>
    <x v="1209"/>
    <x v="1171"/>
    <s v="M&amp;M; Cook"/>
    <x v="267"/>
    <s v="Fund"/>
    <s v="M&amp;M;"/>
    <m/>
    <m/>
    <s v=" "/>
    <s v=" "/>
    <m/>
    <s v=" "/>
    <s v=" "/>
    <s v=" "/>
    <m/>
    <s v=" "/>
  </r>
  <r>
    <s v="Fresenius Medical Care"/>
    <s v="1425 E Main St"/>
    <s v="Carbondale"/>
    <s v="IL"/>
    <n v="3.88"/>
    <n v="1999"/>
    <n v="16773"/>
    <n v="253939.3604"/>
    <n v="15.13976989208847"/>
    <d v="2028-12-31T00:00:00"/>
    <n v="14.76164383561644"/>
    <s v="NN"/>
    <s v="1.7% annually"/>
    <s v="3, 5yr"/>
    <n v="3835942"/>
    <n v="228.6974303940857"/>
    <n v="0.06619999999999999"/>
    <x v="1210"/>
    <x v="494"/>
    <s v="C&amp;W; Trautvetter"/>
    <x v="294"/>
    <s v="Fund"/>
    <s v="C&amp;W; Patel"/>
    <s v="MDG Development Group, LLC"/>
    <n v="4234880"/>
    <n v="0.05996376766283814"/>
    <n v="0.9057970946048058"/>
    <n v="4234880"/>
    <n v="0.05996376766283814"/>
    <n v="0.006236232337161855"/>
    <s v="No"/>
    <d v="2013-10-12T00:00:00"/>
    <n v="171"/>
  </r>
  <r>
    <s v="DaVita Dialysis"/>
    <s v="73 Massillon Rd"/>
    <s v="Akron"/>
    <s v="OH"/>
    <n v="0.8100000000000001"/>
    <n v="1932"/>
    <n v="6510"/>
    <n v="178790"/>
    <n v="27.46390168970814"/>
    <m/>
    <s v=" "/>
    <s v="NN"/>
    <m/>
    <m/>
    <n v="1900000"/>
    <n v="291.8586789554532"/>
    <n v="0.0941"/>
    <x v="1211"/>
    <x v="1172"/>
    <m/>
    <x v="1016"/>
    <s v="REIT"/>
    <m/>
    <m/>
    <m/>
    <s v=" "/>
    <s v=" "/>
    <m/>
    <s v=" "/>
    <s v=" "/>
    <s v=" "/>
    <m/>
    <s v=" "/>
  </r>
  <r>
    <s v="DaVita Dialysis"/>
    <s v="4802 Broadway"/>
    <s v="Gary"/>
    <s v="IN"/>
    <n v="0.3"/>
    <n v="1992"/>
    <n v="13540"/>
    <n v="248625"/>
    <n v="18.3622599704579"/>
    <m/>
    <s v=" "/>
    <s v="NN"/>
    <s v="3% Annually"/>
    <s v="2, 5yr"/>
    <n v="2550000"/>
    <n v="188.3308714918759"/>
    <n v="0.0975"/>
    <x v="1212"/>
    <x v="1173"/>
    <s v="M&amp;M;"/>
    <x v="1041"/>
    <s v="Individual"/>
    <m/>
    <m/>
    <m/>
    <s v=" "/>
    <s v=" "/>
    <m/>
    <s v=" "/>
    <s v=" "/>
    <s v=" "/>
    <m/>
    <s v=" "/>
  </r>
  <r>
    <s v="Fresenius Medical Care"/>
    <s v="1301-1307 W Moreno St"/>
    <s v="Pensacola"/>
    <s v="FL"/>
    <n v="1.89"/>
    <n v="2014"/>
    <n v="15000"/>
    <n v="257987"/>
    <n v="17.19913333333333"/>
    <d v="2023-06-30T00:00:00"/>
    <n v="9.304109589041095"/>
    <s v="NN"/>
    <s v="10% every 5"/>
    <s v="3, 5yr"/>
    <n v="3850600"/>
    <n v="256.7066666666666"/>
    <n v="0.06699916896068145"/>
    <x v="1213"/>
    <x v="1169"/>
    <s v="PH: Peranich &amp; Huffman"/>
    <x v="842"/>
    <s v="Fund"/>
    <m/>
    <m/>
    <n v="3961000"/>
    <n v="0.06513178490280232"/>
    <n v="0.9721282504418076"/>
    <n v="3961000"/>
    <n v="0.06513178490280232"/>
    <n v="0.001867384057879132"/>
    <s v="No"/>
    <d v="2014-01-29T00:00:00"/>
    <n v="43"/>
  </r>
  <r>
    <s v="DaVita Dialysis - MT"/>
    <s v="9420 Forestwood Lane"/>
    <s v="Manassas"/>
    <s v="VA"/>
    <n v="3.05"/>
    <n v="2007"/>
    <n v="19962"/>
    <m/>
    <s v=" "/>
    <m/>
    <s v=" "/>
    <m/>
    <m/>
    <m/>
    <n v="2350000"/>
    <n v="117.7236749824667"/>
    <s v=" "/>
    <x v="1214"/>
    <x v="1174"/>
    <s v="WR; Rector"/>
    <x v="1042"/>
    <s v="Individual"/>
    <m/>
    <m/>
    <m/>
    <s v=" "/>
    <s v=" "/>
    <m/>
    <s v=" "/>
    <s v=" "/>
    <s v=" "/>
    <m/>
    <s v=" "/>
  </r>
  <r>
    <s v="DaVita Dialysis"/>
    <s v="7560 Red Bug Lake Road"/>
    <s v="Oviedo"/>
    <s v="FL"/>
    <m/>
    <n v="2014"/>
    <n v="7524"/>
    <n v="125985"/>
    <n v="16.74441786283892"/>
    <m/>
    <s v=" "/>
    <s v="NNN"/>
    <s v="3% annual"/>
    <m/>
    <n v="1850000"/>
    <n v="245.879851143009"/>
    <n v="0.06809999999999999"/>
    <x v="1215"/>
    <x v="1175"/>
    <m/>
    <x v="1043"/>
    <s v="Individual"/>
    <m/>
    <m/>
    <m/>
    <s v=" "/>
    <s v=" "/>
    <m/>
    <s v=" "/>
    <s v=" "/>
    <s v=" "/>
    <m/>
    <s v=" "/>
  </r>
  <r>
    <s v="DaVita Dialysis"/>
    <s v="4717 Medical Center Dr"/>
    <s v="McKinney"/>
    <s v="TX"/>
    <n v="0.61"/>
    <n v="2009"/>
    <n v="7064"/>
    <n v="142106"/>
    <n v="20.11693091732729"/>
    <m/>
    <s v=" "/>
    <s v="NN"/>
    <s v="2% Annually"/>
    <s v="3, 5yr"/>
    <n v="1987500"/>
    <n v="281.3561721404304"/>
    <n v="0.07149987421383648"/>
    <x v="1216"/>
    <x v="1176"/>
    <m/>
    <x v="1044"/>
    <s v="Individual"/>
    <m/>
    <m/>
    <m/>
    <s v=" "/>
    <s v=" "/>
    <m/>
    <s v=" "/>
    <s v=" "/>
    <s v=" "/>
    <m/>
    <s v=" "/>
  </r>
  <r>
    <s v="Fresenius Medical Care"/>
    <s v="962 Potomac Cir."/>
    <s v="Aurora"/>
    <s v="CO"/>
    <m/>
    <m/>
    <n v="13177"/>
    <n v="355939"/>
    <n v="27.01214236927981"/>
    <d v="2023-04-01T00:00:00"/>
    <n v="9.095890410958905"/>
    <s v="NNN"/>
    <s v="varies"/>
    <s v="3, 5 yr"/>
    <n v="5350000"/>
    <n v="406.0104727935038"/>
    <n v="0.06653065420560747"/>
    <x v="1216"/>
    <x v="1177"/>
    <s v="SJC"/>
    <x v="137"/>
    <s v="Individual"/>
    <s v="SJC"/>
    <m/>
    <m/>
    <s v=" "/>
    <s v=" "/>
    <m/>
    <s v=" "/>
    <s v=" "/>
    <s v=" "/>
    <m/>
    <s v=" "/>
  </r>
  <r>
    <s v="Fresenius Medical Care"/>
    <s v="110 S 5th St"/>
    <s v="El Centro"/>
    <s v="CA"/>
    <n v="0.29"/>
    <m/>
    <n v="9591"/>
    <n v="221720"/>
    <n v="23.11750599520384"/>
    <m/>
    <s v=" "/>
    <s v="NNN"/>
    <s v="2% starting Year 4"/>
    <s v="2, 5yr"/>
    <n v="2300000"/>
    <n v="239.8081534772182"/>
    <n v="0.0964"/>
    <x v="1217"/>
    <x v="1178"/>
    <m/>
    <x v="1045"/>
    <s v="Individual"/>
    <m/>
    <m/>
    <m/>
    <s v=" "/>
    <s v=" "/>
    <m/>
    <s v=" "/>
    <s v=" "/>
    <s v=" "/>
    <m/>
    <s v=" "/>
  </r>
  <r>
    <s v="Fresenius Medical Care"/>
    <s v="24800 SE Stark St"/>
    <s v="Gresham"/>
    <s v="OR"/>
    <n v="1.35"/>
    <n v="2014"/>
    <n v="11000"/>
    <n v="363504"/>
    <n v="33.04581818181818"/>
    <d v="2029-03-07T00:00:00"/>
    <n v="15.06849315068493"/>
    <s v="NN"/>
    <s v="1.7% annually"/>
    <s v="3, 5yr"/>
    <n v="4380275"/>
    <n v="398.2068181818182"/>
    <n v="0.08298657047788095"/>
    <x v="1218"/>
    <x v="192"/>
    <m/>
    <x v="111"/>
    <s v="Fund"/>
    <m/>
    <m/>
    <m/>
    <s v=" "/>
    <s v=" "/>
    <m/>
    <s v=" "/>
    <s v=" "/>
    <s v=" "/>
    <m/>
    <s v=" "/>
  </r>
  <r>
    <s v="DaVita Dialysis"/>
    <s v="3909 Lake Ave"/>
    <s v="Fort Wayne"/>
    <s v="IN"/>
    <n v="1.33"/>
    <n v="2008"/>
    <n v="7930"/>
    <n v="186082.78608"/>
    <n v="23.46567289785624"/>
    <m/>
    <s v=" "/>
    <m/>
    <m/>
    <m/>
    <n v="2280426.3"/>
    <n v="287.5695208070618"/>
    <n v="0.08160000000000001"/>
    <x v="1219"/>
    <x v="1179"/>
    <m/>
    <x v="1016"/>
    <s v="REIT"/>
    <m/>
    <m/>
    <m/>
    <s v=" "/>
    <s v=" "/>
    <m/>
    <s v=" "/>
    <s v=" "/>
    <s v=" "/>
    <m/>
    <s v=" "/>
  </r>
  <r>
    <s v="Fresenius Medical Care"/>
    <s v="4100 Salem Ave"/>
    <s v="Trotwood"/>
    <s v="OH"/>
    <n v="1.28"/>
    <n v="2008"/>
    <n v="8000"/>
    <n v="128004"/>
    <n v="16.0005"/>
    <d v="2028-06-20T00:00:00"/>
    <n v="14.44109589041096"/>
    <s v="NN"/>
    <s v="10% every 5 years"/>
    <s v="3, 5 yr"/>
    <n v="1810000"/>
    <n v="226.25"/>
    <n v="0.07072044198895028"/>
    <x v="1220"/>
    <x v="131"/>
    <s v="Newmark; Montooth"/>
    <x v="267"/>
    <s v="Fund"/>
    <s v="PH: Peranich &amp; Huffman"/>
    <m/>
    <m/>
    <s v=" "/>
    <s v=" "/>
    <m/>
    <s v=" "/>
    <s v=" "/>
    <s v=" "/>
    <m/>
    <s v=" "/>
  </r>
  <r>
    <m/>
    <s v="124 Professional Park Dr"/>
    <s v="Fairhope"/>
    <s v="AL"/>
    <n v="2"/>
    <n v="2007"/>
    <n v="8250"/>
    <m/>
    <s v=" "/>
    <m/>
    <s v=" "/>
    <m/>
    <m/>
    <m/>
    <n v="2276500"/>
    <n v="275.9393939393939"/>
    <s v=" "/>
    <x v="1221"/>
    <x v="1180"/>
    <m/>
    <x v="229"/>
    <s v="REIT"/>
    <m/>
    <m/>
    <m/>
    <s v=" "/>
    <s v=" "/>
    <m/>
    <s v=" "/>
    <s v=" "/>
    <s v=" "/>
    <m/>
    <s v=" "/>
  </r>
  <r>
    <s v="DaVita"/>
    <s v="913 N 25th St"/>
    <s v="Richmond"/>
    <s v="VA"/>
    <n v="1.14"/>
    <n v="2012"/>
    <n v="15328"/>
    <n v="241462.5"/>
    <n v="15.75303366388309"/>
    <d v="2028-06-30T00:00:00"/>
    <n v="14.48767123287671"/>
    <s v="NN"/>
    <s v="10% every 5"/>
    <m/>
    <n v="3525000"/>
    <n v="229.9712943632568"/>
    <n v="0.06850000000000001"/>
    <x v="1222"/>
    <x v="296"/>
    <s v="Colliers International"/>
    <x v="571"/>
    <s v="REIT"/>
    <s v="Colliers International"/>
    <m/>
    <m/>
    <s v=" "/>
    <s v=" "/>
    <m/>
    <s v=" "/>
    <s v=" "/>
    <s v=" "/>
    <m/>
    <s v=" "/>
  </r>
  <r>
    <s v="DaVita Dialysis"/>
    <s v="2958 Dorchester Dr"/>
    <s v="Montgomery"/>
    <s v="AL"/>
    <n v="1.4"/>
    <n v="2012"/>
    <n v="5000"/>
    <n v="110627.64"/>
    <n v="22.125528"/>
    <d v="2023-12-04T00:00:00"/>
    <n v="9.931506849315069"/>
    <s v="NN"/>
    <m/>
    <m/>
    <n v="1475000"/>
    <n v="295"/>
    <n v="0.07500178983050847"/>
    <x v="1223"/>
    <x v="296"/>
    <s v="Colliers"/>
    <x v="571"/>
    <s v="REIT"/>
    <m/>
    <m/>
    <m/>
    <s v=" "/>
    <s v=" "/>
    <m/>
    <s v=" "/>
    <s v=" "/>
    <s v=" "/>
    <m/>
    <s v=" "/>
  </r>
  <r>
    <s v="Fresenius Medical Care"/>
    <s v="2710 Ave Q"/>
    <s v="Lubbock"/>
    <s v="TX"/>
    <n v="1.15893"/>
    <n v="1966"/>
    <n v="16872"/>
    <n v="304307.9999999999"/>
    <n v="18.03627311522048"/>
    <d v="2028-12-31T00:00:00"/>
    <n v="15.01095890410959"/>
    <s v="NN"/>
    <s v="1.7% annually"/>
    <s v="3, 5 yr"/>
    <n v="4600000"/>
    <n v="272.6410621147463"/>
    <n v="0.06615391304347824"/>
    <x v="1223"/>
    <x v="494"/>
    <s v="C&amp;W; Trautvetter"/>
    <x v="294"/>
    <s v="Fund"/>
    <s v="C&amp;W; Paatel"/>
    <s v="MDG Development Group, LLC"/>
    <m/>
    <s v=" "/>
    <s v=" "/>
    <m/>
    <s v=" "/>
    <s v=" "/>
    <s v=" "/>
    <m/>
    <s v=" "/>
  </r>
  <r>
    <s v="DaVita Dialysis"/>
    <s v="2076 Union Ave"/>
    <s v="Memphis"/>
    <s v="TN"/>
    <n v="0.84"/>
    <m/>
    <n v="14980"/>
    <n v="209348"/>
    <n v="13.97516688918558"/>
    <m/>
    <s v=" "/>
    <m/>
    <s v="5% every five (5) years; next bump i2 2016 (DaVita)---1% annually (Memphis Massage Institute)"/>
    <m/>
    <n v="2550000"/>
    <n v="170.2269692923898"/>
    <n v="0.08209725490196078"/>
    <x v="1223"/>
    <x v="1181"/>
    <m/>
    <x v="1046"/>
    <s v="Individual"/>
    <m/>
    <m/>
    <m/>
    <s v=" "/>
    <s v=" "/>
    <m/>
    <s v=" "/>
    <s v=" "/>
    <s v=" "/>
    <m/>
    <s v=" "/>
  </r>
  <r>
    <s v="DaVita Dialysis"/>
    <s v="3947 Broadway St"/>
    <s v="Kansas City"/>
    <s v="MO"/>
    <n v="0.2"/>
    <n v="1930"/>
    <n v="7672"/>
    <m/>
    <s v=" "/>
    <m/>
    <s v=" "/>
    <m/>
    <m/>
    <m/>
    <n v="2697700"/>
    <n v="351.6293013555787"/>
    <s v=" "/>
    <x v="1224"/>
    <x v="167"/>
    <s v="Block &amp; Co Real Estate"/>
    <x v="138"/>
    <s v="REIT"/>
    <s v="CBRE"/>
    <m/>
    <m/>
    <s v=" "/>
    <s v=" "/>
    <m/>
    <s v=" "/>
    <s v=" "/>
    <s v=" "/>
    <m/>
    <s v=" "/>
  </r>
  <r>
    <s v="Fresenius Medical Care"/>
    <s v="2084 Hospital Dr"/>
    <s v="Martinsville"/>
    <s v="IN"/>
    <n v="1.6"/>
    <n v="2013"/>
    <n v="6561"/>
    <n v="141017"/>
    <n v="21.49321749733272"/>
    <m/>
    <s v=" "/>
    <s v="NN"/>
    <s v="$0.25 PSF annually"/>
    <s v="3, 5yr"/>
    <n v="2169492"/>
    <n v="330.6648376771834"/>
    <n v="0.06500000921874799"/>
    <x v="1224"/>
    <x v="855"/>
    <m/>
    <x v="1047"/>
    <s v="Individual"/>
    <m/>
    <m/>
    <m/>
    <s v=" "/>
    <s v=" "/>
    <m/>
    <s v=" "/>
    <s v=" "/>
    <s v=" "/>
    <m/>
    <s v=" "/>
  </r>
  <r>
    <s v="Fresenius Medical Care"/>
    <s v="7 Professional Dr"/>
    <s v="Alton"/>
    <s v="IL"/>
    <n v="1.91"/>
    <n v="2013"/>
    <n v="10227"/>
    <m/>
    <s v=" "/>
    <d v="2028-08-30T00:00:00"/>
    <n v="14.7041095890411"/>
    <s v="NN"/>
    <s v="1.7% annually"/>
    <s v="3, 5yr"/>
    <n v="2706216"/>
    <n v="264.6148430624817"/>
    <s v=" "/>
    <x v="1225"/>
    <x v="494"/>
    <s v="C&amp;W; Trautvetter"/>
    <x v="1048"/>
    <s v="Individual"/>
    <s v="ACRE; Peters"/>
    <s v="MDG Development Group, LLC"/>
    <m/>
    <s v=" "/>
    <s v=" "/>
    <m/>
    <s v=" "/>
    <s v=" "/>
    <s v=" "/>
    <m/>
    <s v=" "/>
  </r>
  <r>
    <s v="DaVita Dialysis"/>
    <s v="109 Overland Dr."/>
    <s v="Greenwood"/>
    <s v="SC"/>
    <n v="2.01"/>
    <n v="1998"/>
    <n v="12069"/>
    <n v="181579"/>
    <n v="15.04507415693098"/>
    <d v="2023-01-21T00:00:00"/>
    <n v="9.095890410958905"/>
    <s v="NNN"/>
    <s v="2% Increases every 3 Years"/>
    <s v="Two (2), five (5) year options"/>
    <n v="2470000"/>
    <n v="204.6565581241196"/>
    <n v="0.07351376518218623"/>
    <x v="1226"/>
    <x v="1182"/>
    <s v="SJC"/>
    <x v="1049"/>
    <s v="Individual"/>
    <m/>
    <m/>
    <m/>
    <s v=" "/>
    <s v=" "/>
    <m/>
    <s v=" "/>
    <s v=" "/>
    <s v=" "/>
    <m/>
    <s v=" "/>
  </r>
  <r>
    <s v="Fresenius Medical Care"/>
    <s v="920 N Niagara St"/>
    <s v="Saginaw"/>
    <s v="MI"/>
    <n v="1.63"/>
    <n v="1988"/>
    <n v="12221"/>
    <m/>
    <s v=" "/>
    <m/>
    <s v=" "/>
    <s v="NN"/>
    <m/>
    <m/>
    <n v="450000"/>
    <n v="36.82186400458227"/>
    <s v=" "/>
    <x v="1227"/>
    <x v="13"/>
    <m/>
    <x v="0"/>
    <s v="Individual"/>
    <m/>
    <m/>
    <m/>
    <s v=" "/>
    <s v=" "/>
    <m/>
    <s v=" "/>
    <s v=" "/>
    <s v=" "/>
    <m/>
    <s v=" "/>
  </r>
  <r>
    <s v="DaVita Dialysis"/>
    <s v="1131 N Galena Ave"/>
    <s v="Dixon"/>
    <s v="IL"/>
    <n v="0.97"/>
    <m/>
    <n v="6080"/>
    <n v="115501"/>
    <n v="18.996875"/>
    <m/>
    <s v=" "/>
    <m/>
    <m/>
    <m/>
    <n v="1744734"/>
    <n v="286.9628289473684"/>
    <n v="0.0661997760117015"/>
    <x v="1228"/>
    <x v="1183"/>
    <m/>
    <x v="1050"/>
    <s v="Individual"/>
    <m/>
    <m/>
    <m/>
    <s v=" "/>
    <s v=" "/>
    <m/>
    <s v=" "/>
    <s v=" "/>
    <s v=" "/>
    <m/>
    <s v=" "/>
  </r>
  <r>
    <s v="Fresenius Medical Care"/>
    <s v="1840 Pineview Dr"/>
    <s v="Columbia"/>
    <s v="SC"/>
    <m/>
    <n v="1996"/>
    <n v="7500"/>
    <m/>
    <s v=" "/>
    <m/>
    <s v=" "/>
    <m/>
    <m/>
    <m/>
    <n v="1300000"/>
    <n v="173.3333333333333"/>
    <s v=" "/>
    <x v="1229"/>
    <x v="1184"/>
    <m/>
    <x v="1051"/>
    <s v="Individual"/>
    <m/>
    <m/>
    <m/>
    <s v=" "/>
    <s v=" "/>
    <m/>
    <s v=" "/>
    <s v=" "/>
    <s v=" "/>
    <m/>
    <s v=" "/>
  </r>
  <r>
    <s v="US Renal Care (MT) "/>
    <s v="4420 Heritage Trace Pky"/>
    <s v="Fort Worth"/>
    <s v="TX"/>
    <m/>
    <n v="2012"/>
    <n v="9807"/>
    <n v="240000"/>
    <n v="24.47231569287244"/>
    <m/>
    <s v=" "/>
    <m/>
    <m/>
    <m/>
    <n v="2900000"/>
    <n v="295.707147955542"/>
    <n v="0.08275862068965517"/>
    <x v="1229"/>
    <x v="13"/>
    <m/>
    <x v="1052"/>
    <s v="Individual"/>
    <m/>
    <m/>
    <m/>
    <s v=" "/>
    <s v=" "/>
    <m/>
    <s v=" "/>
    <s v=" "/>
    <s v=" "/>
    <m/>
    <s v=" "/>
  </r>
  <r>
    <s v="Fresenius Medical Care"/>
    <s v="5607 Normandy Blvd"/>
    <s v="Jacksonville"/>
    <s v="FL"/>
    <n v="0.92"/>
    <n v="2014"/>
    <n v="6390"/>
    <n v="154402"/>
    <n v="24.16306729264476"/>
    <d v="2028-08-30T00:00:00"/>
    <n v="14.77260273972603"/>
    <s v="NN"/>
    <s v="1.7% annually"/>
    <s v="3, 5yr"/>
    <n v="2470432"/>
    <n v="386.6090766823161"/>
    <n v="0.0625"/>
    <x v="1230"/>
    <x v="494"/>
    <s v="C&amp;W; Trautvetter"/>
    <x v="1053"/>
    <s v="Individual"/>
    <s v="Martina Crevecouer"/>
    <s v="MDG Development Group, LLC"/>
    <n v="2779300"/>
    <n v="0.05555427625661138"/>
    <n v="0.888868420105782"/>
    <n v="2779300"/>
    <n v="0.05555427625661138"/>
    <n v="0.006945723743388622"/>
    <s v="No"/>
    <d v="2013-07-29T00:00:00"/>
    <n v="119"/>
  </r>
  <r>
    <s v="Fresenius Medical Care"/>
    <s v="120 Victor Heights Pky"/>
    <s v="Victor"/>
    <s v="NY"/>
    <n v="2.3"/>
    <n v="1998"/>
    <n v="8684"/>
    <n v="172593"/>
    <n v="19.87482726853984"/>
    <d v="2024-08-31T00:00:00"/>
    <n v="10.78082191780822"/>
    <s v="NN"/>
    <s v="2.5% annually"/>
    <s v="2, 5 yr"/>
    <n v="2265000"/>
    <n v="260.8245048364809"/>
    <n v="0.0762"/>
    <x v="1231"/>
    <x v="1185"/>
    <s v="M&amp;M; Abuja"/>
    <x v="267"/>
    <s v="Fund"/>
    <s v="PH: Peranich &amp; Huffman"/>
    <m/>
    <m/>
    <s v=" "/>
    <s v=" "/>
    <m/>
    <s v=" "/>
    <s v=" "/>
    <s v=" "/>
    <m/>
    <s v=" "/>
  </r>
  <r>
    <s v="Fresenius Medical Care"/>
    <s v="2609 Lincoln Hwy"/>
    <s v="Olympia Fields"/>
    <s v="IL"/>
    <n v="1.04"/>
    <n v="2005"/>
    <n v="11925"/>
    <n v="226174.7572815534"/>
    <n v="18.96643666931265"/>
    <d v="2026-04-30T00:00:00"/>
    <n v="12.44383561643836"/>
    <s v="NN"/>
    <s v="3% annually"/>
    <m/>
    <n v="2800000"/>
    <n v="234.8008385744235"/>
    <n v="0.08077669902912621"/>
    <x v="1231"/>
    <x v="1186"/>
    <s v="M&amp;M"/>
    <x v="563"/>
    <s v="Fund"/>
    <m/>
    <m/>
    <m/>
    <s v=" "/>
    <s v=" "/>
    <m/>
    <s v=" "/>
    <s v=" "/>
    <s v=" "/>
    <m/>
    <s v=" "/>
  </r>
  <r>
    <s v="DaVita Dialysis"/>
    <s v="1751 Deckner Ave"/>
    <s v="Green Bay"/>
    <s v="WI"/>
    <n v="0.9"/>
    <n v="2012"/>
    <n v="14600"/>
    <n v="159179"/>
    <n v="10.90267123287671"/>
    <d v="2024-03-01T00:00:00"/>
    <n v="10.28767123287671"/>
    <s v="NNN"/>
    <s v="2.5% annually"/>
    <s v="2, 5yr"/>
    <n v="1841000"/>
    <n v="126.0958904109589"/>
    <n v="0.08646333514394351"/>
    <x v="1232"/>
    <x v="350"/>
    <s v="M&amp;M; Lollio"/>
    <x v="267"/>
    <s v="Fund"/>
    <s v="PH: Peranich &amp; Huffman"/>
    <m/>
    <n v="1990000"/>
    <n v="0.0799894472361809"/>
    <n v="0.9251256281407035"/>
    <n v="1990000"/>
    <n v="0.0799894472361809"/>
    <n v="0.006473887907762613"/>
    <s v="No"/>
    <m/>
    <s v=" "/>
  </r>
  <r>
    <s v="Fresenius Medical Care"/>
    <s v="5501 Springfield Ave"/>
    <s v="Laredo"/>
    <s v="TX"/>
    <n v="1.43"/>
    <n v="2006"/>
    <n v="9751"/>
    <n v="156175.232"/>
    <n v="16.01632981232694"/>
    <d v="2018-12-01T00:00:00"/>
    <n v="5.043835616438356"/>
    <s v="NN"/>
    <s v="2% ann"/>
    <s v="2, 5yr"/>
    <n v="1904576"/>
    <n v="195.3210952722798"/>
    <n v="0.082"/>
    <x v="1233"/>
    <x v="1187"/>
    <s v="PH: Peranich &amp; Huffman"/>
    <x v="267"/>
    <s v="Fund"/>
    <m/>
    <m/>
    <m/>
    <s v=" "/>
    <s v=" "/>
    <m/>
    <s v=" "/>
    <s v=" "/>
    <s v=" "/>
    <d v="2013-07-20T00:00:00"/>
    <n v="119"/>
  </r>
  <r>
    <s v="DaVita Dialysis"/>
    <s v="4750 N Main St"/>
    <s v="Dayton"/>
    <s v="OH"/>
    <n v="0.82"/>
    <n v="1989"/>
    <n v="7600"/>
    <n v="92296"/>
    <n v="12.14421052631579"/>
    <m/>
    <s v=" "/>
    <s v="NN"/>
    <s v="10% every 5 years"/>
    <m/>
    <n v="1390000"/>
    <n v="182.8947368421053"/>
    <n v="0.0664"/>
    <x v="1234"/>
    <x v="13"/>
    <m/>
    <x v="0"/>
    <s v="Individual"/>
    <m/>
    <m/>
    <m/>
    <s v=" "/>
    <s v=" "/>
    <m/>
    <s v=" "/>
    <s v=" "/>
    <s v=" "/>
    <m/>
    <s v=" "/>
  </r>
  <r>
    <s v="DaVita Dialysis"/>
    <s v="2550 Telshor Boulevard"/>
    <s v="Las Cruces"/>
    <s v="NM"/>
    <m/>
    <n v="2013"/>
    <n v="6756"/>
    <n v="155388"/>
    <n v="23"/>
    <m/>
    <s v=" "/>
    <s v="NN"/>
    <s v="3% annually"/>
    <m/>
    <n v="2302044"/>
    <n v="340.740674955595"/>
    <n v="0.06750001303189687"/>
    <x v="1235"/>
    <x v="1188"/>
    <m/>
    <x v="1054"/>
    <s v="Individual"/>
    <m/>
    <m/>
    <m/>
    <s v=" "/>
    <s v=" "/>
    <m/>
    <s v=" "/>
    <s v=" "/>
    <s v=" "/>
    <m/>
    <s v=" "/>
  </r>
  <r>
    <s v="Fresenius Medical Care"/>
    <s v="8340 Coffee St"/>
    <s v="Houston"/>
    <s v="TX"/>
    <n v="2.12"/>
    <n v="2006"/>
    <n v="10500"/>
    <n v="210217.25"/>
    <n v="20.02069047619048"/>
    <d v="2018-12-01T00:00:00"/>
    <n v="5.054794520547945"/>
    <s v="NN"/>
    <s v="FMV in Options"/>
    <s v="2, 5 yr"/>
    <n v="2563625"/>
    <n v="244.1547619047619"/>
    <n v="0.082"/>
    <x v="1236"/>
    <x v="1187"/>
    <s v="PH: Peranich &amp; Huffman"/>
    <x v="267"/>
    <s v="Fund"/>
    <m/>
    <m/>
    <m/>
    <s v=" "/>
    <s v=" "/>
    <m/>
    <s v=" "/>
    <s v=" "/>
    <s v=" "/>
    <d v="2013-07-17T00:00:00"/>
    <n v="118"/>
  </r>
  <r>
    <s v="Fresenius Medical Care"/>
    <s v="1000 New Stone Ridge Rd"/>
    <s v="Ripley"/>
    <s v="WV"/>
    <n v="1.3"/>
    <n v="2007"/>
    <n v="6372"/>
    <n v="99367.51800000001"/>
    <n v="15.59440018832392"/>
    <m/>
    <s v=" "/>
    <m/>
    <m/>
    <m/>
    <n v="1211799"/>
    <n v="190.1756120527307"/>
    <n v="0.082"/>
    <x v="1236"/>
    <x v="1187"/>
    <s v="PH: Peranich &amp; Huffman"/>
    <x v="267"/>
    <s v="Fund"/>
    <m/>
    <m/>
    <m/>
    <s v=" "/>
    <s v=" "/>
    <m/>
    <s v=" "/>
    <s v=" "/>
    <s v=" "/>
    <d v="2013-07-16T00:00:00"/>
    <n v="119"/>
  </r>
  <r>
    <s v="Fresenius Medical Care"/>
    <s v="700 Chester Pike"/>
    <s v="Sharon Hill"/>
    <s v="PA"/>
    <n v="1.1"/>
    <n v="2012"/>
    <n v="6435"/>
    <m/>
    <s v=" "/>
    <d v="2027-06-30T00:00:00"/>
    <n v="13.67123287671233"/>
    <s v="NN"/>
    <s v="1.7% annually"/>
    <s v="2, 5 yr"/>
    <n v="2599414"/>
    <n v="403.9493395493395"/>
    <s v=" "/>
    <x v="1237"/>
    <x v="36"/>
    <m/>
    <x v="229"/>
    <s v="REIT"/>
    <m/>
    <m/>
    <m/>
    <s v=" "/>
    <s v=" "/>
    <m/>
    <s v=" "/>
    <s v=" "/>
    <s v=" "/>
    <m/>
    <s v=" "/>
  </r>
  <r>
    <s v="Fresenius Medical Care"/>
    <s v="114 Valley Rd"/>
    <s v="Montclair"/>
    <s v="NJ"/>
    <n v="0.5600000000000001"/>
    <n v="1957"/>
    <n v="9108"/>
    <m/>
    <s v=" "/>
    <d v="2027-07-31T00:00:00"/>
    <n v="13.75616438356164"/>
    <s v="NN"/>
    <s v="1.7% annually"/>
    <s v="3, 5 yr"/>
    <n v="3942948"/>
    <n v="432.9104084321476"/>
    <s v=" "/>
    <x v="1237"/>
    <x v="1189"/>
    <m/>
    <x v="229"/>
    <s v="REIT"/>
    <m/>
    <m/>
    <m/>
    <s v=" "/>
    <s v=" "/>
    <m/>
    <s v=" "/>
    <s v=" "/>
    <s v=" "/>
    <m/>
    <s v=" "/>
  </r>
  <r>
    <s v="DaVita Dialysis"/>
    <s v="108 S 10th Ave"/>
    <s v="Sturgeon Bay"/>
    <s v="WI"/>
    <n v="0.39"/>
    <n v="1975"/>
    <n v="6000"/>
    <n v="51850"/>
    <n v="8.641666666666667"/>
    <m/>
    <s v=" "/>
    <s v="NNN"/>
    <m/>
    <s v="2, 5yr"/>
    <n v="610000"/>
    <n v="101.6666666666667"/>
    <n v="0.08500000000000001"/>
    <x v="1238"/>
    <x v="13"/>
    <m/>
    <x v="0"/>
    <s v="Individual"/>
    <m/>
    <m/>
    <m/>
    <s v=" "/>
    <s v=" "/>
    <m/>
    <s v=" "/>
    <s v=" "/>
    <s v=" "/>
    <m/>
    <s v=" "/>
  </r>
  <r>
    <s v="Fresenius Medical Care"/>
    <s v="3909 Forest Park Way"/>
    <s v="North Tonawanda"/>
    <s v="NY"/>
    <n v="2.21"/>
    <n v="2011"/>
    <n v="7500"/>
    <n v="151076"/>
    <n v="20.14346666666667"/>
    <d v="2026-05-31T00:00:00"/>
    <n v="12.65479452054795"/>
    <s v="NN"/>
    <s v="2% annually"/>
    <s v="1, 5yr"/>
    <n v="2158229"/>
    <n v="287.7638666666667"/>
    <n v="0.06999998609971417"/>
    <x v="1239"/>
    <x v="1190"/>
    <s v="M&amp;M; Strauss"/>
    <x v="492"/>
    <s v="Fund"/>
    <m/>
    <m/>
    <m/>
    <s v=" "/>
    <s v=" "/>
    <m/>
    <s v=" "/>
    <s v=" "/>
    <s v=" "/>
    <m/>
    <s v=" "/>
  </r>
  <r>
    <s v="DaVita Dialysis"/>
    <s v="301 East Airline Road"/>
    <s v="Victoria"/>
    <s v="TX"/>
    <n v="0.97"/>
    <n v="2011"/>
    <n v="6849"/>
    <n v="143829"/>
    <n v="21"/>
    <d v="2026-06-30T00:00:00"/>
    <n v="12.75616438356164"/>
    <s v="NNN"/>
    <s v="$0.50 PSF Annual Increases"/>
    <s v="3, 5 yr"/>
    <n v="2047000"/>
    <n v="298.8757482844211"/>
    <n v="0.07026331216414265"/>
    <x v="1240"/>
    <x v="232"/>
    <m/>
    <x v="1016"/>
    <s v="REIT"/>
    <m/>
    <m/>
    <m/>
    <s v=" "/>
    <s v=" "/>
    <m/>
    <s v=" "/>
    <s v=" "/>
    <s v=" "/>
    <m/>
    <s v=" "/>
  </r>
  <r>
    <s v="DaVita Dialysis"/>
    <s v="112 Weathersby St"/>
    <s v="Ridgeland"/>
    <s v="SC"/>
    <n v="0.8"/>
    <m/>
    <n v="9000"/>
    <n v="59072"/>
    <n v="6.563555555555555"/>
    <m/>
    <s v=" "/>
    <m/>
    <m/>
    <m/>
    <n v="640000"/>
    <n v="71.11111111111111"/>
    <n v="0.09229999999999999"/>
    <x v="1241"/>
    <x v="13"/>
    <m/>
    <x v="0"/>
    <s v="Individual"/>
    <m/>
    <m/>
    <m/>
    <s v=" "/>
    <s v=" "/>
    <m/>
    <s v=" "/>
    <s v=" "/>
    <s v=" "/>
    <m/>
    <s v=" "/>
  </r>
  <r>
    <s v="Fresenius Medical Care"/>
    <s v="3883 Highway 25"/>
    <s v="Montevallo"/>
    <s v="AL"/>
    <n v="1.5"/>
    <n v="2010"/>
    <n v="5804"/>
    <n v="160501"/>
    <n v="27.65351481736733"/>
    <d v="2025-06-30T00:00:00"/>
    <n v="11.80547945205479"/>
    <s v="NN"/>
    <s v="10% every 5 years"/>
    <s v="3, 5yr"/>
    <n v="2223000"/>
    <n v="383.0117160578911"/>
    <n v="0.07220017993702205"/>
    <x v="1242"/>
    <x v="1191"/>
    <s v="Westwood; Schellin"/>
    <x v="229"/>
    <s v="REIT"/>
    <m/>
    <m/>
    <n v="2292857"/>
    <n v="0.07000044049846982"/>
    <n v="0.9695327706874001"/>
    <n v="2292857"/>
    <n v="0.07000044049846982"/>
    <n v="0.002199739438552228"/>
    <s v="No"/>
    <d v="2013-07-30T00:00:00"/>
    <n v="44"/>
  </r>
  <r>
    <m/>
    <s v="3601 Lyndale Ave S"/>
    <s v="Minneapolis"/>
    <s v="MN"/>
    <n v="0.41"/>
    <n v="2006"/>
    <n v="4597"/>
    <m/>
    <s v=" "/>
    <m/>
    <s v=" "/>
    <m/>
    <m/>
    <m/>
    <n v="2623000"/>
    <n v="570.5895149010224"/>
    <s v=" "/>
    <x v="1242"/>
    <x v="1192"/>
    <m/>
    <x v="1055"/>
    <s v="Individual"/>
    <m/>
    <m/>
    <m/>
    <s v=" "/>
    <s v=" "/>
    <m/>
    <s v=" "/>
    <s v=" "/>
    <s v=" "/>
    <m/>
    <s v=" "/>
  </r>
  <r>
    <s v="Fresenius Medical Care"/>
    <s v="2915 Saulsbury Dr"/>
    <s v="Temple"/>
    <s v="TX"/>
    <n v="1.07"/>
    <n v="1999"/>
    <n v="6000"/>
    <n v="126727.5"/>
    <n v="21.12125"/>
    <d v="2019-07-31T00:00:00"/>
    <n v="5.920547945205479"/>
    <s v="NN"/>
    <s v="1.7% annually"/>
    <s v="2, 5 yr"/>
    <n v="1525000"/>
    <n v="254.1666666666667"/>
    <n v="0.08309999999999999"/>
    <x v="1243"/>
    <x v="1193"/>
    <s v="PH: Peranich &amp; Huffman"/>
    <x v="1056"/>
    <s v="Individual"/>
    <m/>
    <m/>
    <n v="1544000"/>
    <n v="0.08207739637305698"/>
    <n v="0.9876943005181347"/>
    <n v="1544000"/>
    <n v="0.08207739637305698"/>
    <n v="0.001022603626943008"/>
    <s v="No"/>
    <d v="2013-07-12T00:00:00"/>
    <n v="49"/>
  </r>
  <r>
    <s v="Fresenius Medical Care"/>
    <s v="351 Birch St"/>
    <s v="Calexico"/>
    <s v="CA"/>
    <n v="1.54"/>
    <n v="2013"/>
    <n v="11553"/>
    <n v="225351"/>
    <n v="19.50584263827577"/>
    <d v="2028-05-30T00:00:00"/>
    <n v="14.7972602739726"/>
    <s v="NN"/>
    <s v="1.7% annually"/>
    <s v="3, 5yr"/>
    <n v="3170320"/>
    <n v="274.4153033844023"/>
    <n v="0.07108146811678316"/>
    <x v="1244"/>
    <x v="494"/>
    <s v="C&amp;W; Trautvetter"/>
    <x v="1022"/>
    <s v="Individual"/>
    <s v="Richard Bridy"/>
    <s v="MDG Development Group, LLC"/>
    <n v="3466938"/>
    <n v="0.06500000865316888"/>
    <n v="0.9144438118016532"/>
    <n v="3466938"/>
    <n v="0.06500000865316888"/>
    <n v="0.006081459463614283"/>
    <s v="No"/>
    <d v="2013-03-09T00:00:00"/>
    <n v="160"/>
  </r>
  <r>
    <s v="Fresenius Medical Care"/>
    <s v="3372 Acworth Summit Blvd"/>
    <s v="Acworth"/>
    <s v="GA"/>
    <n v="2.9"/>
    <n v="2012"/>
    <n v="8840"/>
    <n v="147537"/>
    <n v="16.68970588235294"/>
    <d v="2027-09-30T00:00:00"/>
    <n v="14.15068493150685"/>
    <s v="NN"/>
    <s v="1.7% annually"/>
    <s v="2,  5yr"/>
    <n v="2060700"/>
    <n v="233.1108597285068"/>
    <n v="0.07159557431940602"/>
    <x v="1245"/>
    <x v="1194"/>
    <m/>
    <x v="111"/>
    <s v="Fund"/>
    <m/>
    <m/>
    <n v="2488500"/>
    <n v="0.0592875226039783"/>
    <n v="0.8280892103676913"/>
    <n v="2488500"/>
    <n v="0.0592875226039783"/>
    <n v="0.01230805171542772"/>
    <s v="No"/>
    <m/>
    <s v=" "/>
  </r>
  <r>
    <s v="DaVita Dialysis"/>
    <s v="10630 Santa Monica Blvd"/>
    <s v="Los Angeles"/>
    <s v="CA"/>
    <n v="0.32"/>
    <n v="2008"/>
    <n v="17825"/>
    <m/>
    <s v=" "/>
    <m/>
    <s v=" "/>
    <m/>
    <m/>
    <m/>
    <n v="15100000"/>
    <n v="847.1248246844319"/>
    <s v=" "/>
    <x v="1246"/>
    <x v="1195"/>
    <s v="Madison Partners, LA Realty Partners"/>
    <x v="1057"/>
    <s v="Individual"/>
    <s v="Golden Tree Realty"/>
    <m/>
    <m/>
    <s v=" "/>
    <s v=" "/>
    <m/>
    <s v=" "/>
    <s v=" "/>
    <s v=" "/>
    <m/>
    <s v=" "/>
  </r>
  <r>
    <s v="US Renal (MT)"/>
    <s v="587-593 Washington St"/>
    <s v="Weymouth"/>
    <s v="MA"/>
    <n v="0.92"/>
    <n v="1985"/>
    <n v="10000"/>
    <m/>
    <s v=" "/>
    <m/>
    <s v=" "/>
    <m/>
    <m/>
    <m/>
    <m/>
    <s v=" "/>
    <s v=" "/>
    <x v="1247"/>
    <x v="1196"/>
    <m/>
    <x v="1058"/>
    <s v="Individual"/>
    <m/>
    <m/>
    <m/>
    <s v=" "/>
    <s v=" "/>
    <m/>
    <s v=" "/>
    <s v=" "/>
    <s v=" "/>
    <m/>
    <s v=" "/>
  </r>
  <r>
    <m/>
    <s v="43 Shoemaker Dr"/>
    <s v="DeFuniak Springs"/>
    <s v="FL"/>
    <n v="1.685996"/>
    <n v="2008"/>
    <n v="9094"/>
    <n v="182642.1056"/>
    <n v="20.0838031229382"/>
    <m/>
    <s v=" "/>
    <m/>
    <m/>
    <m/>
    <n v="2540224"/>
    <n v="279.3296679129096"/>
    <n v="0.07190000000000001"/>
    <x v="1248"/>
    <x v="1180"/>
    <s v="M&amp;M;"/>
    <x v="229"/>
    <s v="REIT"/>
    <m/>
    <m/>
    <m/>
    <s v=" "/>
    <s v=" "/>
    <m/>
    <s v=" "/>
    <s v=" "/>
    <s v=" "/>
    <m/>
    <s v=" "/>
  </r>
  <r>
    <m/>
    <s v="230 E Fern Ave"/>
    <s v="Foley"/>
    <s v="AL"/>
    <n v="3"/>
    <n v="2009"/>
    <n v="9300"/>
    <n v="210105.4032"/>
    <n v="22.59197883870968"/>
    <m/>
    <s v=" "/>
    <m/>
    <m/>
    <m/>
    <n v="2779172"/>
    <n v="298.8356989247312"/>
    <n v="0.0756"/>
    <x v="1248"/>
    <x v="1180"/>
    <s v="M&amp;M;"/>
    <x v="229"/>
    <s v="REIT"/>
    <m/>
    <m/>
    <m/>
    <s v=" "/>
    <s v=" "/>
    <m/>
    <s v=" "/>
    <s v=" "/>
    <s v=" "/>
    <m/>
    <s v=" "/>
  </r>
  <r>
    <m/>
    <s v="1217 Government St"/>
    <s v="Mobile"/>
    <s v="AL"/>
    <m/>
    <n v="1987"/>
    <n v="11065"/>
    <n v="235267.2"/>
    <n v="21.26228648892906"/>
    <m/>
    <s v=" "/>
    <m/>
    <m/>
    <m/>
    <n v="3112000"/>
    <n v="281.2471757794848"/>
    <n v="0.0756"/>
    <x v="1248"/>
    <x v="1180"/>
    <s v="M&amp;M;"/>
    <x v="229"/>
    <s v="REIT"/>
    <m/>
    <m/>
    <m/>
    <s v=" "/>
    <s v=" "/>
    <m/>
    <s v=" "/>
    <s v=" "/>
    <s v=" "/>
    <m/>
    <s v=" "/>
  </r>
  <r>
    <s v="DaVita Dialysis - MT"/>
    <s v="3007 27th St N "/>
    <s v="Birmingham"/>
    <s v="AL"/>
    <n v="1.29"/>
    <n v="1981"/>
    <n v="12500"/>
    <n v="64682"/>
    <n v="5.17456"/>
    <d v="2021-04-17T00:00:00"/>
    <n v="7.786301369863014"/>
    <s v="NN"/>
    <s v="2% every 2 years"/>
    <s v="2, 5yr"/>
    <n v="695000"/>
    <n v="55.6"/>
    <n v="0.09306762589928058"/>
    <x v="1249"/>
    <x v="1197"/>
    <s v="Colliers ; Thomas"/>
    <x v="1059"/>
    <s v="Individual"/>
    <m/>
    <m/>
    <n v="835000"/>
    <n v="0.07746347305389222"/>
    <n v="0.8323353293413174"/>
    <n v="835000"/>
    <n v="0.07746347305389222"/>
    <n v="0.01560415284538837"/>
    <s v="No"/>
    <m/>
    <s v=" "/>
  </r>
  <r>
    <s v="U.S. Renal Care"/>
    <s v="1009 Executive Parkway Dr"/>
    <s v="Creve Couer"/>
    <s v="MO"/>
    <n v="1.58"/>
    <n v="2012"/>
    <n v="19129"/>
    <n v="381600"/>
    <n v="19.9487688849391"/>
    <d v="2023-11-30T00:00:00"/>
    <n v="10.41643835616438"/>
    <s v="NNN"/>
    <s v="3% annually"/>
    <s v="2, 5yr"/>
    <n v="4800000"/>
    <n v="250.9279105023786"/>
    <n v="0.0795"/>
    <x v="1250"/>
    <x v="1190"/>
    <s v="Calkain; Henderson"/>
    <x v="1060"/>
    <s v="Individual"/>
    <m/>
    <m/>
    <n v="4937716"/>
    <n v="0.07728269507602301"/>
    <n v="0.9721093720254466"/>
    <n v="4937716"/>
    <n v="0.07728269507602301"/>
    <n v="0.002217304923976995"/>
    <s v="No"/>
    <d v="2012-12-15T00:00:00"/>
    <n v="200"/>
  </r>
  <r>
    <m/>
    <s v="510 East N Way"/>
    <s v="Dinuba"/>
    <s v="CA"/>
    <m/>
    <m/>
    <n v="9000"/>
    <n v="211047"/>
    <n v="23.44966666666667"/>
    <m/>
    <s v=" "/>
    <m/>
    <m/>
    <m/>
    <n v="3090000"/>
    <n v="343.3333333333333"/>
    <n v="0.0683"/>
    <x v="1251"/>
    <x v="13"/>
    <s v="Calkain Cos"/>
    <x v="0"/>
    <s v="Individual"/>
    <m/>
    <m/>
    <m/>
    <s v=" "/>
    <s v=" "/>
    <m/>
    <s v=" "/>
    <s v=" "/>
    <s v=" "/>
    <m/>
    <s v=" "/>
  </r>
  <r>
    <m/>
    <s v="2257 Karisa Dr"/>
    <s v="Goshen"/>
    <s v="IN"/>
    <m/>
    <n v="2010"/>
    <n v="15462"/>
    <m/>
    <s v=" "/>
    <m/>
    <s v=" "/>
    <m/>
    <m/>
    <m/>
    <n v="4640000"/>
    <n v="300.0905445608589"/>
    <s v=" "/>
    <x v="1252"/>
    <x v="1198"/>
    <s v="Newmark Knight Frank"/>
    <x v="1061"/>
    <s v="REIT"/>
    <s v="Newmark Knight Frank"/>
    <m/>
    <m/>
    <s v=" "/>
    <s v=" "/>
    <m/>
    <s v=" "/>
    <s v=" "/>
    <s v=" "/>
    <m/>
    <s v=" "/>
  </r>
  <r>
    <s v="Fresenius Medical Care"/>
    <s v="10614 Lem Turner Rd"/>
    <s v="Jacksonville"/>
    <s v="FL"/>
    <n v="0.77"/>
    <n v="1999"/>
    <n v="10000"/>
    <n v="170472.7272727273"/>
    <n v="17.04727272727273"/>
    <d v="2025-12-31T00:00:00"/>
    <n v="12.56712328767123"/>
    <s v="NN"/>
    <s v="FMV at each option"/>
    <s v="1, 5yr"/>
    <n v="2178000"/>
    <n v="217.8"/>
    <n v="0.07827030636947992"/>
    <x v="1253"/>
    <x v="1199"/>
    <m/>
    <x v="1062"/>
    <s v="Individual"/>
    <m/>
    <m/>
    <m/>
    <s v=" "/>
    <s v=" "/>
    <m/>
    <s v=" "/>
    <s v=" "/>
    <s v=" "/>
    <m/>
    <s v=" "/>
  </r>
  <r>
    <s v="DaVita Dialysis"/>
    <s v="640 Executive Park Ct"/>
    <s v="Forest City"/>
    <s v="FL"/>
    <n v="1.17"/>
    <n v="2006"/>
    <n v="8586"/>
    <n v="252484.92"/>
    <n v="29.40658280922432"/>
    <d v="2021-02-28T00:00:00"/>
    <n v="7.739726027397261"/>
    <s v="NN"/>
    <s v="10% every 5"/>
    <m/>
    <m/>
    <s v=" "/>
    <s v=" "/>
    <x v="1254"/>
    <x v="1187"/>
    <m/>
    <x v="1063"/>
    <s v="Individual"/>
    <m/>
    <m/>
    <m/>
    <s v=" "/>
    <s v=" "/>
    <m/>
    <s v=" "/>
    <s v=" "/>
    <s v=" "/>
    <m/>
    <s v=" "/>
  </r>
  <r>
    <s v="DaVita Dialysis"/>
    <s v="4300 Von Karman Ave"/>
    <s v="Newport Beach"/>
    <s v="CA"/>
    <n v="0.7520661"/>
    <n v="1991"/>
    <n v="6652"/>
    <n v="271402"/>
    <n v="40.80006013229104"/>
    <d v="2028-03-31T00:00:00"/>
    <n v="14.83013698630137"/>
    <s v="NN"/>
    <s v="2% annually"/>
    <s v="3, 5 year"/>
    <n v="5400000"/>
    <n v="811.7859290438965"/>
    <n v="0.05025962962962963"/>
    <x v="1254"/>
    <x v="1200"/>
    <s v="Faris Lee Investments"/>
    <x v="1064"/>
    <s v="Individual"/>
    <s v="Newmark Knight Frank"/>
    <m/>
    <m/>
    <s v=" "/>
    <s v=" "/>
    <m/>
    <s v=" "/>
    <s v=" "/>
    <s v=" "/>
    <m/>
    <s v=" "/>
  </r>
  <r>
    <s v="Fresenius Medical Care"/>
    <s v="1308 S 4th St"/>
    <s v="Hartsville"/>
    <s v="SC"/>
    <n v="6.55"/>
    <m/>
    <n v="6720"/>
    <m/>
    <s v=" "/>
    <m/>
    <s v=" "/>
    <m/>
    <m/>
    <m/>
    <n v="1525000"/>
    <n v="226.9345238095238"/>
    <s v=" "/>
    <x v="1255"/>
    <x v="1201"/>
    <m/>
    <x v="137"/>
    <s v="Individual"/>
    <m/>
    <m/>
    <m/>
    <s v=" "/>
    <s v=" "/>
    <m/>
    <s v=" "/>
    <s v=" "/>
    <s v=" "/>
    <m/>
    <s v=" "/>
  </r>
  <r>
    <s v="DaVita Dialysis"/>
    <s v="2622 Heartland Blvd"/>
    <s v="Ionia"/>
    <s v="MI"/>
    <n v="2.01"/>
    <n v="2007"/>
    <n v="4868"/>
    <n v="123750"/>
    <n v="25.42111750205423"/>
    <m/>
    <s v=" "/>
    <s v="NN"/>
    <m/>
    <m/>
    <n v="1375000"/>
    <n v="282.4568611339359"/>
    <n v="0.09"/>
    <x v="1256"/>
    <x v="1202"/>
    <s v="Kewkel; Klaasen"/>
    <x v="1065"/>
    <s v="Individual"/>
    <m/>
    <m/>
    <m/>
    <s v=" "/>
    <s v=" "/>
    <m/>
    <s v=" "/>
    <s v=" "/>
    <s v=" "/>
    <m/>
    <s v=" "/>
  </r>
  <r>
    <s v="Fresenius Medical Care"/>
    <s v="4569 Summer Ave"/>
    <s v="Memphis"/>
    <s v="TN"/>
    <n v="1.51"/>
    <n v="1952"/>
    <n v="16085"/>
    <m/>
    <s v=" "/>
    <m/>
    <s v=" "/>
    <m/>
    <m/>
    <m/>
    <n v="2686000"/>
    <n v="166.9878769039478"/>
    <s v=" "/>
    <x v="1257"/>
    <x v="1203"/>
    <m/>
    <x v="294"/>
    <s v="Fund"/>
    <m/>
    <m/>
    <m/>
    <s v=" "/>
    <s v=" "/>
    <m/>
    <s v=" "/>
    <s v=" "/>
    <s v=" "/>
    <m/>
    <s v=" "/>
  </r>
  <r>
    <s v="Fresenius Medical Care"/>
    <s v="638 Tahoe Rd"/>
    <s v="Winfield"/>
    <s v="AL"/>
    <n v="0.8"/>
    <n v="2008"/>
    <n v="5564"/>
    <n v="149949"/>
    <n v="26.94985621854781"/>
    <d v="2023-06-30T00:00:00"/>
    <n v="10.12602739726027"/>
    <s v="NN"/>
    <s v="10%/5 yr"/>
    <s v="Three (3), five (5) year options"/>
    <n v="1900000"/>
    <n v="341.4809489575845"/>
    <n v="0.07892052631578947"/>
    <x v="1257"/>
    <x v="1180"/>
    <m/>
    <x v="1016"/>
    <s v="REIT"/>
    <m/>
    <m/>
    <m/>
    <s v=" "/>
    <s v=" "/>
    <m/>
    <s v=" "/>
    <s v=" "/>
    <s v=" "/>
    <m/>
    <s v=" "/>
  </r>
  <r>
    <s v="Fresenius Medical Care"/>
    <s v="98 Stone Chimney Rd SE"/>
    <s v="Supply"/>
    <s v="NC"/>
    <n v="1.38"/>
    <n v="2013"/>
    <n v="6778"/>
    <n v="128781.8181818182"/>
    <n v="18.99997317524612"/>
    <d v="2028-02-28T00:00:00"/>
    <n v="14.7972602739726"/>
    <s v="NN"/>
    <s v="10% every 5 years"/>
    <s v="3, 5yr"/>
    <n v="1776000"/>
    <n v="262.0241959280024"/>
    <n v="0.07251228501228502"/>
    <x v="1258"/>
    <x v="1204"/>
    <m/>
    <x v="1066"/>
    <s v="Individual"/>
    <m/>
    <m/>
    <m/>
    <s v=" "/>
    <s v=" "/>
    <m/>
    <s v=" "/>
    <s v=" "/>
    <s v=" "/>
    <m/>
    <s v=" "/>
  </r>
  <r>
    <s v="DaVita Dialysis"/>
    <s v="5155 Lee Street NE"/>
    <s v="Washington"/>
    <s v="DC"/>
    <n v="0.93"/>
    <n v="2002"/>
    <n v="9110"/>
    <n v="153000"/>
    <n v="16.794731064764"/>
    <d v="2022-05-31T00:00:00"/>
    <n v="9.054794520547945"/>
    <s v="NNN"/>
    <s v="2% annually"/>
    <s v="2, 5yr"/>
    <n v="2158639"/>
    <n v="236.95268935236"/>
    <n v="0.07087799303172045"/>
    <x v="1259"/>
    <x v="1205"/>
    <s v="Ginsburg"/>
    <x v="1067"/>
    <s v="Individual"/>
    <s v="Ron Glass"/>
    <m/>
    <m/>
    <s v=" "/>
    <s v=" "/>
    <m/>
    <s v=" "/>
    <s v=" "/>
    <s v=" "/>
    <m/>
    <s v=" "/>
  </r>
  <r>
    <s v="DaVita Dialysis"/>
    <s v="2816 N Kimball Ave"/>
    <s v="Chicago"/>
    <s v="IL"/>
    <n v="0.6895317"/>
    <n v="2012"/>
    <n v="9100"/>
    <n v="234325"/>
    <n v="25.75"/>
    <m/>
    <s v=" "/>
    <m/>
    <m/>
    <m/>
    <n v="3605000"/>
    <n v="396.1538461538461"/>
    <n v="0.065"/>
    <x v="1260"/>
    <x v="670"/>
    <s v="SJC"/>
    <x v="1068"/>
    <s v="Individual"/>
    <s v="SJC"/>
    <m/>
    <m/>
    <s v=" "/>
    <s v=" "/>
    <m/>
    <s v=" "/>
    <s v=" "/>
    <s v=" "/>
    <m/>
    <s v=" "/>
  </r>
  <r>
    <s v="DaVita Dialysis"/>
    <s v="1750 Pierce St"/>
    <s v="Lakewood"/>
    <s v="CO"/>
    <n v="1.82"/>
    <n v="1985"/>
    <n v="13852"/>
    <n v="281279.5725490194"/>
    <n v="20.30606212453215"/>
    <m/>
    <s v=" "/>
    <m/>
    <m/>
    <m/>
    <n v="4385000"/>
    <n v="316.560785446145"/>
    <n v="0.06414585462919485"/>
    <x v="1261"/>
    <x v="1206"/>
    <m/>
    <x v="1069"/>
    <s v="Individual"/>
    <m/>
    <m/>
    <m/>
    <s v=" "/>
    <s v=" "/>
    <m/>
    <s v=" "/>
    <s v=" "/>
    <s v=" "/>
    <m/>
    <s v=" "/>
  </r>
  <r>
    <s v="Fresenius Medical Care"/>
    <s v="187 Browers Chapel Rd"/>
    <s v="Asheboro"/>
    <s v="NC"/>
    <n v="7.629982"/>
    <n v="1993"/>
    <n v="4270"/>
    <m/>
    <s v=" "/>
    <m/>
    <s v=" "/>
    <m/>
    <m/>
    <m/>
    <n v="3652500"/>
    <n v="855.3864168618267"/>
    <s v=" "/>
    <x v="1262"/>
    <x v="138"/>
    <m/>
    <x v="1070"/>
    <s v="Individual"/>
    <m/>
    <m/>
    <m/>
    <s v=" "/>
    <s v=" "/>
    <m/>
    <s v=" "/>
    <s v=" "/>
    <s v=" "/>
    <m/>
    <s v=" "/>
  </r>
  <r>
    <s v="Fresenius Medical Care"/>
    <s v="1740 Western Ave"/>
    <s v="Knoxville"/>
    <s v="TN"/>
    <n v="2"/>
    <n v="2001"/>
    <n v="10440"/>
    <m/>
    <s v=" "/>
    <m/>
    <s v=" "/>
    <m/>
    <m/>
    <m/>
    <n v="2490000"/>
    <n v="238.5057471264368"/>
    <s v=" "/>
    <x v="1263"/>
    <x v="1207"/>
    <m/>
    <x v="1071"/>
    <s v="Individual"/>
    <m/>
    <m/>
    <m/>
    <s v=" "/>
    <s v=" "/>
    <m/>
    <s v=" "/>
    <s v=" "/>
    <s v=" "/>
    <m/>
    <s v=" "/>
  </r>
  <r>
    <s v="DaVita Dialysis"/>
    <s v="885 S Main St"/>
    <s v="Georgetown"/>
    <s v="OH"/>
    <n v="1.62"/>
    <m/>
    <n v="4800"/>
    <m/>
    <s v=" "/>
    <m/>
    <s v=" "/>
    <m/>
    <m/>
    <m/>
    <n v="807520"/>
    <n v="168.2333333333333"/>
    <s v=" "/>
    <x v="1264"/>
    <x v="1208"/>
    <m/>
    <x v="0"/>
    <s v="Individual"/>
    <m/>
    <m/>
    <m/>
    <s v=" "/>
    <s v=" "/>
    <m/>
    <s v=" "/>
    <s v=" "/>
    <s v=" "/>
    <m/>
    <s v=" "/>
  </r>
  <r>
    <s v="Fresenius Medical Care"/>
    <s v="8840 Tyler Blvd"/>
    <s v="Mentor"/>
    <s v="OH"/>
    <n v="1.75"/>
    <n v="2012"/>
    <n v="9204"/>
    <n v="148915"/>
    <n v="16.17937853107345"/>
    <d v="2027-07-31T00:00:00"/>
    <n v="14.35342465753425"/>
    <s v="NN"/>
    <s v="2% annually"/>
    <s v="3, 5 yr"/>
    <n v="2054000"/>
    <n v="223.1638418079096"/>
    <n v="0.0725"/>
    <x v="1265"/>
    <x v="1194"/>
    <s v="M&amp;M; Weinberg"/>
    <x v="1072"/>
    <s v="Individual"/>
    <m/>
    <m/>
    <m/>
    <s v=" "/>
    <s v=" "/>
    <m/>
    <s v=" "/>
    <s v=" "/>
    <s v=" "/>
    <m/>
    <s v=" "/>
  </r>
  <r>
    <s v="Fresenius Medical Care"/>
    <s v="4 W Main St"/>
    <s v="Du Quoin"/>
    <s v="IL"/>
    <m/>
    <n v="2012"/>
    <n v="8028"/>
    <m/>
    <s v=" "/>
    <m/>
    <s v=" "/>
    <m/>
    <m/>
    <m/>
    <n v="2211315"/>
    <n v="275.4502989536622"/>
    <s v=" "/>
    <x v="1266"/>
    <x v="13"/>
    <m/>
    <x v="0"/>
    <s v="Individual"/>
    <m/>
    <m/>
    <m/>
    <s v=" "/>
    <s v=" "/>
    <m/>
    <s v=" "/>
    <s v=" "/>
    <s v=" "/>
    <m/>
    <s v=" "/>
  </r>
  <r>
    <s v="DaVita Dialysis"/>
    <s v="222 Douglas St"/>
    <s v="Hammond"/>
    <s v="IN"/>
    <n v="1.04"/>
    <n v="1992"/>
    <n v="13664"/>
    <n v="249600"/>
    <n v="18.26697892271663"/>
    <d v="2017-10-30T00:00:00"/>
    <n v="4.63013698630137"/>
    <s v="NN"/>
    <s v="10% every 5 years"/>
    <s v="3, 5yr"/>
    <n v="3000000"/>
    <n v="219.5550351288056"/>
    <n v="0.0832"/>
    <x v="1267"/>
    <x v="13"/>
    <s v="M&amp;M; Roti"/>
    <x v="1073"/>
    <s v="Individual"/>
    <m/>
    <m/>
    <n v="3026000"/>
    <n v="0.08248512888301388"/>
    <n v="0.991407799074686"/>
    <n v="3026000"/>
    <n v="0.08248512888301388"/>
    <n v="0.000714871116986121"/>
    <s v="No"/>
    <d v="2012-09-22T00:00:00"/>
    <n v="174"/>
  </r>
  <r>
    <s v="Fresenius Medical Care"/>
    <s v="825 Sunset Ave"/>
    <s v="Du Quoin"/>
    <s v="IL"/>
    <m/>
    <m/>
    <n v="8028"/>
    <m/>
    <s v=" "/>
    <m/>
    <s v=" "/>
    <m/>
    <m/>
    <m/>
    <n v="2211315"/>
    <n v="275.4502989536622"/>
    <s v=" "/>
    <x v="1268"/>
    <x v="13"/>
    <m/>
    <x v="1074"/>
    <s v="Individual"/>
    <m/>
    <m/>
    <m/>
    <s v=" "/>
    <s v=" "/>
    <m/>
    <s v=" "/>
    <s v=" "/>
    <s v=" "/>
    <m/>
    <s v=" "/>
  </r>
  <r>
    <s v="Fresenius Medical Care"/>
    <s v="137 Veterans Blvd"/>
    <s v="Denham Springs"/>
    <s v="LA"/>
    <m/>
    <m/>
    <n v="7360"/>
    <m/>
    <s v=" "/>
    <m/>
    <s v=" "/>
    <m/>
    <m/>
    <m/>
    <n v="2166828"/>
    <n v="294.4059782608696"/>
    <s v=" "/>
    <x v="1268"/>
    <x v="13"/>
    <m/>
    <x v="0"/>
    <s v="Individual"/>
    <m/>
    <m/>
    <m/>
    <s v=" "/>
    <s v=" "/>
    <m/>
    <s v=" "/>
    <s v=" "/>
    <s v=" "/>
    <m/>
    <s v=" "/>
  </r>
  <r>
    <s v="Fresenius Medical Care"/>
    <s v="7610 Miltary Pky."/>
    <s v="Dallas"/>
    <s v="TX"/>
    <n v="0"/>
    <n v="1999"/>
    <n v="14000"/>
    <n v="176000"/>
    <n v="12.57142857142857"/>
    <d v="2019-02-01T00:00:00"/>
    <n v="5.928767123287671"/>
    <s v="NNN"/>
    <s v="24% Increase to $164,613 on 1/1/2015 ($6.50 PSF)"/>
    <s v="Three (3), Five (5) year options"/>
    <n v="1762000"/>
    <n v="125.8571428571429"/>
    <n v="0.09988649262202043"/>
    <x v="1269"/>
    <x v="1209"/>
    <m/>
    <x v="1016"/>
    <s v="REIT"/>
    <m/>
    <m/>
    <m/>
    <s v=" "/>
    <s v=" "/>
    <m/>
    <s v=" "/>
    <s v=" "/>
    <s v=" "/>
    <m/>
    <s v=" "/>
  </r>
  <r>
    <s v="Fresenius Medical Care"/>
    <s v="2154 Stenton Ave"/>
    <s v="Philadelphia"/>
    <s v="PA"/>
    <n v="0.47"/>
    <n v="2009"/>
    <n v="12520"/>
    <n v="325000"/>
    <n v="25.95846645367412"/>
    <d v="2024-06-01T00:00:00"/>
    <n v="11.26575342465753"/>
    <s v="NN"/>
    <s v="3% annually in base term; 2% annually in options"/>
    <m/>
    <m/>
    <s v=" "/>
    <s v=" "/>
    <x v="1270"/>
    <x v="13"/>
    <m/>
    <x v="1075"/>
    <s v="Individual"/>
    <m/>
    <m/>
    <m/>
    <s v=" "/>
    <s v=" "/>
    <m/>
    <s v=" "/>
    <s v=" "/>
    <s v=" "/>
    <m/>
    <s v=" "/>
  </r>
  <r>
    <s v="DaVita Dialysis"/>
    <s v="2111 N Garey Ave"/>
    <s v="Pomona"/>
    <s v="CA"/>
    <n v="0.85"/>
    <n v="2010"/>
    <n v="12438"/>
    <m/>
    <s v=" "/>
    <m/>
    <s v=" "/>
    <m/>
    <m/>
    <m/>
    <n v="5600000"/>
    <n v="450.2331564560218"/>
    <s v=" "/>
    <x v="1271"/>
    <x v="1210"/>
    <m/>
    <x v="1076"/>
    <s v="Individual"/>
    <m/>
    <m/>
    <m/>
    <s v=" "/>
    <s v=" "/>
    <m/>
    <s v=" "/>
    <s v=" "/>
    <s v=" "/>
    <m/>
    <s v=" "/>
  </r>
  <r>
    <s v="DaVita Dialysis"/>
    <s v="3050 Liberty Ave "/>
    <s v="Beaumont"/>
    <s v="TX"/>
    <n v="1.8"/>
    <n v="2012"/>
    <n v="13200"/>
    <n v="250800"/>
    <n v="19"/>
    <d v="2027-10-31T00:00:00"/>
    <n v="14.75890410958904"/>
    <s v="NN"/>
    <s v="5.3% in 2023"/>
    <s v="2, 5yr"/>
    <m/>
    <s v=" "/>
    <s v=" "/>
    <x v="1272"/>
    <x v="66"/>
    <m/>
    <x v="1077"/>
    <s v="Individual"/>
    <m/>
    <m/>
    <m/>
    <s v=" "/>
    <s v=" "/>
    <m/>
    <s v=" "/>
    <s v=" "/>
    <s v=" "/>
    <m/>
    <s v=" "/>
  </r>
  <r>
    <s v="Davita Dialysis"/>
    <s v="904 W Greenwood St"/>
    <s v="Abbeville"/>
    <s v="SC"/>
    <m/>
    <n v="2010"/>
    <n v="5000"/>
    <m/>
    <s v=" "/>
    <m/>
    <s v=" "/>
    <m/>
    <m/>
    <m/>
    <n v="841869.2"/>
    <n v="168.37384"/>
    <s v=" "/>
    <x v="1273"/>
    <x v="890"/>
    <m/>
    <x v="138"/>
    <s v="REIT"/>
    <m/>
    <m/>
    <m/>
    <s v=" "/>
    <s v=" "/>
    <m/>
    <s v=" "/>
    <s v=" "/>
    <s v=" "/>
    <m/>
    <s v=" "/>
  </r>
  <r>
    <s v="Davita Dialysis"/>
    <s v="9205 Linwood Ave"/>
    <s v="Shreveport"/>
    <s v="LA"/>
    <m/>
    <n v="2010"/>
    <n v="5600"/>
    <m/>
    <s v=" "/>
    <m/>
    <s v=" "/>
    <m/>
    <m/>
    <m/>
    <n v="942893.5"/>
    <n v="168.3738392857143"/>
    <s v=" "/>
    <x v="1273"/>
    <x v="890"/>
    <m/>
    <x v="138"/>
    <s v="REIT"/>
    <m/>
    <m/>
    <m/>
    <s v=" "/>
    <s v=" "/>
    <m/>
    <s v=" "/>
    <s v=" "/>
    <s v=" "/>
    <m/>
    <s v=" "/>
  </r>
  <r>
    <s v="Davita Dialysis"/>
    <s v="201 S Delaware Ave"/>
    <s v="Okmulgee"/>
    <s v="OK"/>
    <m/>
    <n v="2010"/>
    <n v="5754"/>
    <m/>
    <s v=" "/>
    <m/>
    <s v=" "/>
    <m/>
    <m/>
    <m/>
    <n v="968823.1"/>
    <n v="168.3738442822385"/>
    <s v=" "/>
    <x v="1273"/>
    <x v="890"/>
    <m/>
    <x v="138"/>
    <s v="REIT"/>
    <m/>
    <m/>
    <m/>
    <s v=" "/>
    <s v=" "/>
    <m/>
    <s v=" "/>
    <s v=" "/>
    <s v=" "/>
    <m/>
    <s v=" "/>
  </r>
  <r>
    <s v="DaVita Dialysis"/>
    <s v="1905 NW Frontage Rd"/>
    <s v="Beeville"/>
    <s v="TX"/>
    <n v="0.19"/>
    <n v="2002"/>
    <n v="8500"/>
    <n v="178500"/>
    <n v="21"/>
    <d v="2017-01-31T00:00:00"/>
    <n v="4.079452054794521"/>
    <s v="NN"/>
    <s v="-"/>
    <s v="3, 5yr"/>
    <n v="1450000"/>
    <n v="170.5882352941177"/>
    <n v="0.1231034482758621"/>
    <x v="1274"/>
    <x v="1209"/>
    <m/>
    <x v="995"/>
    <s v="Individual"/>
    <m/>
    <m/>
    <m/>
    <s v=" "/>
    <s v=" "/>
    <m/>
    <s v=" "/>
    <s v=" "/>
    <s v=" "/>
    <m/>
    <s v=" "/>
  </r>
  <r>
    <s v="Fresenius Medical Care"/>
    <s v="2995 Race Street"/>
    <s v="Jackson"/>
    <s v="LA"/>
    <n v="1.03"/>
    <n v="2001"/>
    <n v="6083"/>
    <n v="92125"/>
    <n v="15.14466546112116"/>
    <d v="2022-12-31T00:00:00"/>
    <n v="10.0027397260274"/>
    <s v="NN"/>
    <s v="0.75% annually"/>
    <s v="1, 5yr"/>
    <n v="1007731"/>
    <n v="165.6634884103239"/>
    <n v="0.09141824554370165"/>
    <x v="1275"/>
    <x v="1211"/>
    <m/>
    <x v="1078"/>
    <s v="REIT"/>
    <m/>
    <m/>
    <m/>
    <s v=" "/>
    <s v=" "/>
    <m/>
    <s v=" "/>
    <s v=" "/>
    <s v=" "/>
    <m/>
    <s v=" "/>
  </r>
  <r>
    <s v="U.S. Renal Care"/>
    <s v="8556 N Wayne Dr"/>
    <s v="Hayden"/>
    <s v="ID"/>
    <n v="0.74"/>
    <n v="2009"/>
    <n v="7500"/>
    <n v="195000"/>
    <n v="26"/>
    <d v="2023-03-31T00:00:00"/>
    <n v="10.26849315068493"/>
    <s v="NNN"/>
    <s v="Fixed"/>
    <s v="2, 5yr"/>
    <n v="3000000"/>
    <n v="400"/>
    <n v="0.065"/>
    <x v="1276"/>
    <x v="1212"/>
    <m/>
    <x v="1079"/>
    <s v="Individual"/>
    <m/>
    <m/>
    <n v="3300000"/>
    <n v="0.05909090909090909"/>
    <n v="0.9090909090909091"/>
    <n v="3300000"/>
    <n v="0.05909090909090909"/>
    <n v="0.005909090909090912"/>
    <s v="No"/>
    <d v="2012-09-13T00:00:00"/>
    <n v="103"/>
  </r>
  <r>
    <s v="DaVita Dialysis"/>
    <s v="5857 W Tennessee St"/>
    <s v="Tallahassee"/>
    <s v="FL"/>
    <n v="1.95"/>
    <n v="2012"/>
    <n v="10500"/>
    <n v="283245"/>
    <n v="26.97571428571429"/>
    <m/>
    <s v=" "/>
    <m/>
    <m/>
    <m/>
    <n v="4105000"/>
    <n v="390.952380952381"/>
    <n v="0.06900000000000001"/>
    <x v="1277"/>
    <x v="167"/>
    <m/>
    <x v="1080"/>
    <s v="Individual"/>
    <m/>
    <m/>
    <m/>
    <s v=" "/>
    <s v=" "/>
    <m/>
    <s v=" "/>
    <s v=" "/>
    <s v=" "/>
    <m/>
    <s v=" "/>
  </r>
  <r>
    <s v="DaVita Dialysis"/>
    <s v="405 Dover Pkwy"/>
    <s v="Delano"/>
    <s v="CA"/>
    <m/>
    <m/>
    <n v="9500"/>
    <m/>
    <s v=" "/>
    <m/>
    <s v=" "/>
    <m/>
    <m/>
    <m/>
    <n v="2419942"/>
    <n v="254.7307368421053"/>
    <s v=" "/>
    <x v="1278"/>
    <x v="1213"/>
    <m/>
    <x v="1081"/>
    <s v="Individual"/>
    <m/>
    <m/>
    <m/>
    <s v=" "/>
    <s v=" "/>
    <m/>
    <s v=" "/>
    <s v=" "/>
    <s v=" "/>
    <m/>
    <s v=" "/>
  </r>
  <r>
    <s v="Fresenius Medical Care"/>
    <s v="7610 Military Pkwy"/>
    <s v="Allen Park"/>
    <s v="MI"/>
    <n v="0.43"/>
    <m/>
    <n v="9700"/>
    <m/>
    <s v=" "/>
    <m/>
    <s v=" "/>
    <m/>
    <m/>
    <m/>
    <n v="1800000"/>
    <n v="185.5670103092783"/>
    <s v=" "/>
    <x v="1278"/>
    <x v="13"/>
    <m/>
    <x v="0"/>
    <s v="Individual"/>
    <m/>
    <m/>
    <m/>
    <s v=" "/>
    <s v=" "/>
    <m/>
    <s v=" "/>
    <s v=" "/>
    <s v=" "/>
    <m/>
    <s v=" "/>
  </r>
  <r>
    <s v="DaVita Dialysis"/>
    <s v="1575 Parr Ave"/>
    <s v="Dyersburg"/>
    <s v="TN"/>
    <n v="1.55"/>
    <n v="1994"/>
    <n v="7908"/>
    <n v="114844"/>
    <n v="14.52250885179565"/>
    <d v="2022-07-31T00:00:00"/>
    <n v="9.671232876712329"/>
    <s v="NN"/>
    <s v="3% annually"/>
    <s v="3, 5yr"/>
    <m/>
    <s v=" "/>
    <s v=" "/>
    <x v="1279"/>
    <x v="13"/>
    <m/>
    <x v="1082"/>
    <s v="Individual"/>
    <m/>
    <m/>
    <m/>
    <s v=" "/>
    <s v=" "/>
    <m/>
    <s v=" "/>
    <s v=" "/>
    <s v=" "/>
    <m/>
    <s v=" "/>
  </r>
  <r>
    <s v="DaVita Dialysis"/>
    <s v="107 Tennessee Ave"/>
    <s v="Covington"/>
    <s v="TN"/>
    <n v="1.78"/>
    <n v="1997"/>
    <n v="3500"/>
    <n v="58023"/>
    <n v="16.578"/>
    <d v="2022-02-28T00:00:00"/>
    <n v="9.27945205479452"/>
    <s v="NN"/>
    <s v="CPI based increases annually"/>
    <s v="2, 5yr"/>
    <m/>
    <s v=" "/>
    <s v=" "/>
    <x v="1280"/>
    <x v="1214"/>
    <m/>
    <x v="1082"/>
    <s v="Individual"/>
    <m/>
    <m/>
    <m/>
    <s v=" "/>
    <s v=" "/>
    <m/>
    <s v=" "/>
    <s v=" "/>
    <s v=" "/>
    <m/>
    <s v=" "/>
  </r>
  <r>
    <s v="Fresenius Medical Care"/>
    <s v="592 Fieldstown Rd"/>
    <s v="Gardendale"/>
    <s v="AL"/>
    <n v="0.5600000000000001"/>
    <m/>
    <n v="8800"/>
    <m/>
    <s v=" "/>
    <m/>
    <s v=" "/>
    <m/>
    <m/>
    <m/>
    <n v="3200000"/>
    <n v="363.6363636363636"/>
    <s v=" "/>
    <x v="1281"/>
    <x v="1215"/>
    <m/>
    <x v="1083"/>
    <s v="Individual"/>
    <m/>
    <m/>
    <m/>
    <s v=" "/>
    <s v=" "/>
    <m/>
    <s v=" "/>
    <s v=" "/>
    <s v=" "/>
    <m/>
    <s v=" "/>
  </r>
  <r>
    <s v="DaVita Dialysis - Condo"/>
    <s v="883 Patriot Dr"/>
    <s v="Moorpark"/>
    <s v="CA"/>
    <n v="1.65"/>
    <n v="2009"/>
    <n v="15921"/>
    <n v="339900"/>
    <n v="21.34916148483136"/>
    <d v="2027-04-30T00:00:00"/>
    <n v="14.50958904109589"/>
    <s v="NN"/>
    <s v="10% every 5"/>
    <s v="2, 5yr"/>
    <m/>
    <s v=" "/>
    <s v=" "/>
    <x v="1282"/>
    <x v="5"/>
    <m/>
    <x v="1084"/>
    <s v="Individual"/>
    <m/>
    <m/>
    <m/>
    <s v=" "/>
    <s v=" "/>
    <m/>
    <s v=" "/>
    <s v=" "/>
    <s v=" "/>
    <m/>
    <s v=" "/>
  </r>
  <r>
    <s v="Fresenius Medical Care"/>
    <s v="5320 W 12th St"/>
    <s v="Little Rock"/>
    <s v="AR"/>
    <n v="0.9600092"/>
    <m/>
    <n v="7125"/>
    <n v="119544"/>
    <n v="16.7781052631579"/>
    <m/>
    <s v=" "/>
    <m/>
    <m/>
    <m/>
    <n v="1874000"/>
    <n v="263.0175438596491"/>
    <n v="0.06379082177161154"/>
    <x v="1283"/>
    <x v="1216"/>
    <m/>
    <x v="1085"/>
    <s v="Fund"/>
    <m/>
    <m/>
    <m/>
    <s v=" "/>
    <s v=" "/>
    <m/>
    <s v=" "/>
    <s v=" "/>
    <s v=" "/>
    <m/>
    <s v=" "/>
  </r>
  <r>
    <s v="Fresenius Medical Care"/>
    <s v="10405 N Juliet Ct"/>
    <s v="Peoria"/>
    <s v="IL"/>
    <m/>
    <m/>
    <n v="8652"/>
    <m/>
    <s v=" "/>
    <m/>
    <s v=" "/>
    <m/>
    <m/>
    <m/>
    <n v="2825000"/>
    <n v="326.5141007859455"/>
    <s v=" "/>
    <x v="1284"/>
    <x v="1217"/>
    <m/>
    <x v="1086"/>
    <s v="Individual"/>
    <m/>
    <m/>
    <m/>
    <s v=" "/>
    <s v=" "/>
    <m/>
    <s v=" "/>
    <s v=" "/>
    <s v=" "/>
    <m/>
    <s v=" "/>
  </r>
  <r>
    <s v="Fresenius Medical Care"/>
    <s v="13648 Olivia Way"/>
    <s v="Fishers"/>
    <s v="IN"/>
    <n v="1.35"/>
    <n v="2012"/>
    <n v="8608"/>
    <m/>
    <s v=" "/>
    <d v="2027-08-31T00:00:00"/>
    <n v="14.89315068493151"/>
    <s v="NN"/>
    <s v="1.7% annually"/>
    <s v="2, 5 yr"/>
    <n v="4481300"/>
    <n v="520.5971189591078"/>
    <s v=" "/>
    <x v="1285"/>
    <x v="1218"/>
    <m/>
    <x v="137"/>
    <s v="Individual"/>
    <m/>
    <m/>
    <m/>
    <s v=" "/>
    <s v=" "/>
    <m/>
    <s v=" "/>
    <s v=" "/>
    <s v=" "/>
    <m/>
    <s v=" "/>
  </r>
  <r>
    <s v="Fresenius Medical Care"/>
    <s v="604 Airport Rd"/>
    <s v="Kinston"/>
    <s v="NC"/>
    <m/>
    <n v="1997"/>
    <n v="10880"/>
    <n v="141610"/>
    <n v="13.015625"/>
    <d v="2022-12-31T00:00:00"/>
    <n v="10.27123287671233"/>
    <s v="NN"/>
    <s v="1.7% annually"/>
    <s v="2, 5 yr"/>
    <n v="1700000"/>
    <n v="156.25"/>
    <n v="0.0833"/>
    <x v="1286"/>
    <x v="1219"/>
    <m/>
    <x v="1087"/>
    <s v="Individual"/>
    <m/>
    <m/>
    <m/>
    <s v=" "/>
    <s v=" "/>
    <m/>
    <s v=" "/>
    <s v=" "/>
    <s v=" "/>
    <m/>
    <s v=" "/>
  </r>
  <r>
    <s v="Fresenius Medical Care"/>
    <s v="2329 N. 39th St."/>
    <s v="Waco"/>
    <s v="TX"/>
    <n v="0"/>
    <n v="2004"/>
    <n v="13300"/>
    <n v="158294"/>
    <n v="11.9018045112782"/>
    <d v="2012-06-01T00:00:00"/>
    <n v="-0.2958904109589041"/>
    <s v="NNN"/>
    <s v="NA"/>
    <s v="Three (3), Five (5) year options"/>
    <n v="1862000"/>
    <n v="140"/>
    <n v="0.08501288936627283"/>
    <x v="1287"/>
    <x v="1209"/>
    <m/>
    <x v="1088"/>
    <s v="Individual"/>
    <m/>
    <m/>
    <n v="1918715"/>
    <n v="0.08250000651477682"/>
    <n v="0.9704411546269248"/>
    <n v="1918715"/>
    <n v="0.08250000651477682"/>
    <n v="0.002512882851496007"/>
    <s v="No"/>
    <m/>
    <s v=" "/>
  </r>
  <r>
    <s v="Fresenius Medical Care"/>
    <s v="37 Stoney Ridge Rd"/>
    <s v="Ripon"/>
    <s v="WI"/>
    <m/>
    <m/>
    <n v="14877"/>
    <n v="109470"/>
    <n v="7.358338374672313"/>
    <m/>
    <s v=" "/>
    <m/>
    <m/>
    <m/>
    <n v="1025000"/>
    <n v="68.89829938831754"/>
    <n v="0.1068"/>
    <x v="1288"/>
    <x v="1220"/>
    <m/>
    <x v="1089"/>
    <s v="Individual"/>
    <m/>
    <m/>
    <m/>
    <s v=" "/>
    <s v=" "/>
    <m/>
    <s v=" "/>
    <s v=" "/>
    <s v=" "/>
    <m/>
    <s v=" "/>
  </r>
  <r>
    <s v="Fresenius Medical Care"/>
    <s v="6107 N FM 2100"/>
    <s v="Crosby"/>
    <s v="TX"/>
    <n v="0.98"/>
    <n v="2005"/>
    <n v="6000"/>
    <n v="136500"/>
    <n v="22.75"/>
    <d v="2020-02-02T00:00:00"/>
    <n v="7.43013698630137"/>
    <s v="NN"/>
    <s v="None"/>
    <s v="3, 5-year renewal options"/>
    <n v="1275000"/>
    <n v="212.5"/>
    <n v="0.1070588235294118"/>
    <x v="1289"/>
    <x v="1209"/>
    <m/>
    <x v="1090"/>
    <s v="Individual"/>
    <m/>
    <m/>
    <n v="1578000"/>
    <n v="0.08650190114068441"/>
    <n v="0.8079847908745247"/>
    <n v="1578000"/>
    <n v="0.08650190114068441"/>
    <n v="0.02055692238872735"/>
    <s v="No"/>
    <m/>
    <s v=" "/>
  </r>
  <r>
    <s v="Fresenius Medical Care"/>
    <s v="6201 W 63rd St"/>
    <s v="Chicago"/>
    <s v="IL"/>
    <n v="0.2112948"/>
    <n v="1957"/>
    <n v="5400"/>
    <m/>
    <s v=" "/>
    <m/>
    <s v=" "/>
    <m/>
    <m/>
    <m/>
    <n v="2649500"/>
    <n v="490.6481481481482"/>
    <s v=" "/>
    <x v="1290"/>
    <x v="1221"/>
    <m/>
    <x v="229"/>
    <s v="REIT"/>
    <m/>
    <m/>
    <m/>
    <s v=" "/>
    <s v=" "/>
    <m/>
    <s v=" "/>
    <s v=" "/>
    <s v=" "/>
    <m/>
    <s v=" "/>
  </r>
  <r>
    <s v="DaVita Dialysis"/>
    <s v="204 E. Airport Freeway"/>
    <s v="Irving"/>
    <s v="TX"/>
    <n v="2.9"/>
    <m/>
    <n v="18030"/>
    <n v="332051"/>
    <n v="18.41658347199112"/>
    <d v="2025-11-30T00:00:00"/>
    <n v="13.31780821917808"/>
    <s v="NNN"/>
    <s v="2% annual increases"/>
    <s v="Three (3), Five (5) Year Options"/>
    <n v="4580000"/>
    <n v="254.0210759844703"/>
    <n v="0.07250021834061135"/>
    <x v="1291"/>
    <x v="1222"/>
    <m/>
    <x v="1091"/>
    <s v="Individual"/>
    <m/>
    <m/>
    <n v="4580000"/>
    <n v="0.07250021834061135"/>
    <n v="1"/>
    <n v="4580000"/>
    <n v="0.07250021834061135"/>
    <n v="0"/>
    <s v="No"/>
    <m/>
    <s v=" "/>
  </r>
  <r>
    <s v="DaVita Dialysis"/>
    <s v="9521 N. Owasso E Exp."/>
    <s v="Owasso"/>
    <s v="OK"/>
    <m/>
    <m/>
    <n v="5850"/>
    <n v="160875"/>
    <n v="27.5"/>
    <d v="2026-05-04T00:00:00"/>
    <n v="13.74246575342466"/>
    <s v="NN"/>
    <s v="2% annually"/>
    <s v="3, 5yr"/>
    <n v="2174000"/>
    <n v="371.6239316239316"/>
    <n v="0.07399954001839927"/>
    <x v="1291"/>
    <x v="1222"/>
    <m/>
    <x v="1091"/>
    <s v="Individual"/>
    <m/>
    <m/>
    <m/>
    <s v=" "/>
    <s v=" "/>
    <m/>
    <s v=" "/>
    <s v=" "/>
    <s v=" "/>
    <m/>
    <s v=" "/>
  </r>
  <r>
    <s v="Fresenius Medical Care"/>
    <s v="10205 N.110th East Ave."/>
    <s v="Owasso"/>
    <s v="OK"/>
    <n v="1.23"/>
    <n v="2012"/>
    <n v="6601"/>
    <n v="127594"/>
    <n v="19.32949553098015"/>
    <d v="2024-05-01T00:00:00"/>
    <n v="11.75342465753425"/>
    <s v="NN"/>
    <s v="2.5% annually"/>
    <s v="3, 5yr"/>
    <n v="1735293"/>
    <n v="262.8833510074231"/>
    <n v="0.07352879312023963"/>
    <x v="1292"/>
    <x v="1223"/>
    <m/>
    <x v="1092"/>
    <s v="Individual"/>
    <m/>
    <m/>
    <n v="1760000"/>
    <n v="0.07249659090909091"/>
    <n v="0.9859619318181818"/>
    <n v="1760000"/>
    <n v="0.07249659090909091"/>
    <n v="0.001032202211148719"/>
    <s v="No"/>
    <m/>
    <s v=" "/>
  </r>
  <r>
    <s v="DaVita Dialysis"/>
    <s v="618 E Court St"/>
    <s v="Seguin"/>
    <s v="TX"/>
    <n v="0.71"/>
    <n v="2011"/>
    <n v="7242"/>
    <n v="141219"/>
    <n v="19.5"/>
    <d v="2027-07-31T00:00:00"/>
    <n v="15.04383561643836"/>
    <s v="NN"/>
    <s v="2% annually"/>
    <s v="3, 5yr"/>
    <n v="1882920"/>
    <n v="260"/>
    <n v="0.075"/>
    <x v="1293"/>
    <x v="1224"/>
    <s v="KW; LeGrand"/>
    <x v="1093"/>
    <s v="Individual"/>
    <m/>
    <s v="RK Hoover"/>
    <n v="1882920"/>
    <n v="0.075"/>
    <n v="1"/>
    <n v="1882920"/>
    <n v="0.075"/>
    <n v="0"/>
    <s v="No"/>
    <d v="2011-08-22T00:00:00"/>
    <n v="331"/>
  </r>
  <r>
    <s v="Fresenius Medical Care"/>
    <s v="2905 Canterbury Dr."/>
    <s v="Hays"/>
    <s v="KS"/>
    <n v="1.2"/>
    <n v="2001"/>
    <n v="6442"/>
    <n v="115720"/>
    <n v="17.96336541446756"/>
    <d v="2021-04-30T00:00:00"/>
    <n v="8.802739726027397"/>
    <s v="NN"/>
    <s v="5% yr 6"/>
    <m/>
    <n v="1315000"/>
    <n v="204.1291524371313"/>
    <n v="0.08799999999999999"/>
    <x v="1294"/>
    <x v="1225"/>
    <m/>
    <x v="1094"/>
    <s v="Individual"/>
    <m/>
    <m/>
    <m/>
    <s v=" "/>
    <s v=" "/>
    <m/>
    <s v=" "/>
    <s v=" "/>
    <s v=" "/>
    <m/>
    <s v=" "/>
  </r>
  <r>
    <s v="DaVita Dialysis"/>
    <s v="830 Fairgrounds Road"/>
    <s v="Winnemucca"/>
    <s v="NV"/>
    <n v="0.78"/>
    <n v="2012"/>
    <n v="6558"/>
    <n v="140901.835596672"/>
    <n v="21.48548880705581"/>
    <d v="2027-06-26T00:00:00"/>
    <n v="14.96712328767123"/>
    <s v="NN"/>
    <s v="2.5% annually"/>
    <s v="3, 5yr"/>
    <n v="1605000"/>
    <n v="244.7392497712717"/>
    <n v="0.08778930566770841"/>
    <x v="1295"/>
    <x v="1226"/>
    <m/>
    <x v="1095"/>
    <s v="Individual"/>
    <m/>
    <m/>
    <m/>
    <s v=" "/>
    <s v=" "/>
    <m/>
    <s v=" "/>
    <s v=" "/>
    <s v=" "/>
    <m/>
    <s v=" "/>
  </r>
  <r>
    <s v="Renal Advantage"/>
    <s v="6411 Chillum Pl NW"/>
    <s v="Washington"/>
    <s v="DC"/>
    <n v="0.4267677"/>
    <m/>
    <n v="18958"/>
    <m/>
    <s v=" "/>
    <m/>
    <s v=" "/>
    <m/>
    <m/>
    <m/>
    <n v="2828000"/>
    <n v="149.1718535710518"/>
    <s v=" "/>
    <x v="1295"/>
    <x v="1227"/>
    <m/>
    <x v="1096"/>
    <s v="Individual"/>
    <m/>
    <m/>
    <m/>
    <s v=" "/>
    <s v=" "/>
    <m/>
    <s v=" "/>
    <s v=" "/>
    <s v=" "/>
    <m/>
    <s v=" "/>
  </r>
  <r>
    <s v="Fresenius Medical Care"/>
    <s v="757 W. Court St."/>
    <s v="Seguin"/>
    <s v="TX"/>
    <n v="0.9399999999999999"/>
    <n v="2008"/>
    <n v="14400"/>
    <n v="122800"/>
    <n v="8.527777777777779"/>
    <d v="2018-09-30T00:00:00"/>
    <n v="6.284931506849315"/>
    <s v="NN"/>
    <s v="5% every 5 years"/>
    <s v="3, 5 yr"/>
    <n v="1250000"/>
    <n v="86.80555555555556"/>
    <n v="0.09823999999999999"/>
    <x v="1296"/>
    <x v="1228"/>
    <m/>
    <x v="1097"/>
    <s v="Individual"/>
    <m/>
    <m/>
    <m/>
    <s v=" "/>
    <s v=" "/>
    <m/>
    <s v=" "/>
    <s v=" "/>
    <s v=" "/>
    <m/>
    <s v=" "/>
  </r>
  <r>
    <s v="DaVita Dialysis"/>
    <s v="854 Hwy 51 S"/>
    <s v="Ripley"/>
    <s v="TN"/>
    <n v="1.25"/>
    <n v="2009"/>
    <n v="4783"/>
    <n v="86670"/>
    <n v="18.12042651055823"/>
    <m/>
    <s v=" "/>
    <s v="NN"/>
    <m/>
    <m/>
    <n v="1000000"/>
    <n v="209.0738030524775"/>
    <n v="0.08667"/>
    <x v="1297"/>
    <x v="1229"/>
    <m/>
    <x v="1098"/>
    <s v="Individual"/>
    <m/>
    <m/>
    <m/>
    <s v=" "/>
    <s v=" "/>
    <m/>
    <s v=" "/>
    <s v=" "/>
    <s v=" "/>
    <m/>
    <s v=" "/>
  </r>
  <r>
    <s v="Fresenius Medical Care"/>
    <s v="1101 Winchester Rd"/>
    <s v="Lexington"/>
    <s v="KY"/>
    <n v="0.48"/>
    <n v="1972"/>
    <n v="12429"/>
    <n v="176505"/>
    <n v="14.20106203234371"/>
    <d v="2022-05-31T00:00:00"/>
    <n v="10.00821917808219"/>
    <s v="NN"/>
    <s v="3% annually"/>
    <s v="2, 5yr"/>
    <n v="1850000"/>
    <n v="148.8454421111916"/>
    <n v="0.09540810810810811"/>
    <x v="1298"/>
    <x v="1230"/>
    <m/>
    <x v="1099"/>
    <s v="Individual"/>
    <m/>
    <m/>
    <m/>
    <s v=" "/>
    <s v=" "/>
    <m/>
    <s v=" "/>
    <s v=" "/>
    <s v=" "/>
    <m/>
    <s v=" "/>
  </r>
  <r>
    <s v="DaVita Dialysis"/>
    <s v="114 DeVaughn Ave."/>
    <s v="Montezuma"/>
    <s v="GA"/>
    <n v="0.46"/>
    <n v="2001"/>
    <n v="4200"/>
    <m/>
    <s v=" "/>
    <m/>
    <s v=" "/>
    <m/>
    <m/>
    <m/>
    <n v="700000"/>
    <n v="166.6666666666667"/>
    <s v=" "/>
    <x v="1299"/>
    <x v="1231"/>
    <m/>
    <x v="1100"/>
    <s v="Fund"/>
    <m/>
    <m/>
    <n v="700000"/>
    <s v=" "/>
    <n v="1"/>
    <n v="700000"/>
    <s v=" "/>
    <s v=" "/>
    <s v="No"/>
    <m/>
    <s v=" "/>
  </r>
  <r>
    <s v="Fresenius Medical Care"/>
    <s v="218 S Carlisle St"/>
    <s v="New Bloomfield"/>
    <s v="PA"/>
    <n v="1.62"/>
    <n v="2012"/>
    <n v="6864"/>
    <n v="132904"/>
    <n v="19.36247086247086"/>
    <d v="2027-03-31T00:00:00"/>
    <n v="14.8958904109589"/>
    <s v="NN"/>
    <s v="1.7% annually"/>
    <s v="3, 5yr"/>
    <n v="1616799"/>
    <n v="235.5476398601399"/>
    <n v="0.08220193109966051"/>
    <x v="1300"/>
    <x v="494"/>
    <s v="M&amp;M; Trautvetter &amp; Patel"/>
    <x v="1101"/>
    <s v="Individual"/>
    <m/>
    <s v="MDG Development Group, LLC"/>
    <n v="1833158.620689655"/>
    <n v="0.0725"/>
    <n v="0.8819744138626376"/>
    <n v="1833158.620689655"/>
    <n v="0.0725"/>
    <n v="0.009701931099660513"/>
    <s v="No"/>
    <m/>
    <s v=" "/>
  </r>
  <r>
    <s v="Fresenius Medical Care"/>
    <s v="1276 Kitson St"/>
    <s v="Sturgis"/>
    <s v="MI"/>
    <n v="1.5"/>
    <n v="2008"/>
    <n v="6500"/>
    <n v="73980"/>
    <n v="11.38153846153846"/>
    <d v="2021-08-31T00:00:00"/>
    <n v="9.33972602739726"/>
    <s v="NN"/>
    <s v="2% annually"/>
    <s v="3, 5yr"/>
    <n v="790000"/>
    <n v="121.5384615384615"/>
    <n v="0.09364556962025317"/>
    <x v="1301"/>
    <x v="1232"/>
    <m/>
    <x v="1102"/>
    <s v="Individual"/>
    <m/>
    <m/>
    <m/>
    <s v=" "/>
    <s v=" "/>
    <m/>
    <s v=" "/>
    <s v=" "/>
    <s v=" "/>
    <m/>
    <s v=" "/>
  </r>
  <r>
    <s v="DaVita Dialysis"/>
    <s v="9521 N Owasso E Expy"/>
    <s v="Owasso"/>
    <s v="OK"/>
    <n v="1.15"/>
    <n v="2007"/>
    <n v="5850"/>
    <m/>
    <s v=" "/>
    <m/>
    <s v=" "/>
    <m/>
    <m/>
    <m/>
    <n v="2174000"/>
    <n v="371.6239316239316"/>
    <s v=" "/>
    <x v="1301"/>
    <x v="1233"/>
    <m/>
    <x v="1103"/>
    <s v="Individual"/>
    <m/>
    <m/>
    <m/>
    <s v=" "/>
    <s v=" "/>
    <m/>
    <s v=" "/>
    <s v=" "/>
    <s v=" "/>
    <m/>
    <s v=" "/>
  </r>
  <r>
    <s v="Fresenius Medical Care"/>
    <s v="3030 N Arnoult"/>
    <s v="Metairie"/>
    <s v="LA"/>
    <n v="1.01"/>
    <n v="1981"/>
    <n v="18149"/>
    <n v="314076"/>
    <n v="17.30541627637886"/>
    <m/>
    <s v=" "/>
    <m/>
    <m/>
    <m/>
    <n v="3739000"/>
    <n v="206.0168604330817"/>
    <n v="0.08400000000000001"/>
    <x v="1301"/>
    <x v="1234"/>
    <m/>
    <x v="1016"/>
    <s v="REIT"/>
    <m/>
    <m/>
    <m/>
    <s v=" "/>
    <s v=" "/>
    <m/>
    <s v=" "/>
    <s v=" "/>
    <s v=" "/>
    <m/>
    <s v=" "/>
  </r>
  <r>
    <s v="Fresenius Medical Care"/>
    <s v="200 McPherson Blvd"/>
    <s v="Fort Worth"/>
    <s v="TX"/>
    <n v="1.9"/>
    <n v="2011"/>
    <n v="8546"/>
    <m/>
    <s v=" "/>
    <m/>
    <s v=" "/>
    <m/>
    <m/>
    <m/>
    <n v="2310014"/>
    <n v="270.3035338169904"/>
    <s v=" "/>
    <x v="1302"/>
    <x v="494"/>
    <s v="C&amp;W; Trautvetter"/>
    <x v="748"/>
    <s v="Individual"/>
    <s v="M&amp;M; Cunning"/>
    <s v="MDG Development Group, LLC"/>
    <m/>
    <s v=" "/>
    <s v=" "/>
    <m/>
    <s v=" "/>
    <s v=" "/>
    <s v=" "/>
    <m/>
    <s v=" "/>
  </r>
  <r>
    <s v="DaVita Dialysis"/>
    <s v="10241 Lewis &amp; Clark Blvd"/>
    <s v="St. Louis"/>
    <s v="MO"/>
    <n v="0.52"/>
    <n v="2011"/>
    <n v="7312"/>
    <n v="131616"/>
    <n v="18"/>
    <d v="2023-11-01T00:00:00"/>
    <n v="11.56712328767123"/>
    <s v="NNN"/>
    <s v="2% annually"/>
    <s v="0"/>
    <n v="1662500"/>
    <n v="227.3659737417943"/>
    <n v="0.07916751879699248"/>
    <x v="1303"/>
    <x v="1235"/>
    <m/>
    <x v="1104"/>
    <s v="Individual"/>
    <m/>
    <m/>
    <n v="1732000"/>
    <n v="0.07599076212471131"/>
    <n v="0.9598729792147807"/>
    <n v="1732000"/>
    <n v="0.07599076212471131"/>
    <n v="0.003176756672281164"/>
    <s v="No"/>
    <m/>
    <s v=" "/>
  </r>
  <r>
    <s v="Fresenius Medical Care"/>
    <s v="1620 Williansboro St"/>
    <s v="Oxford"/>
    <s v="NC"/>
    <n v="1.72"/>
    <n v="2006"/>
    <n v="8803"/>
    <n v="145759"/>
    <n v="16.55787799613768"/>
    <d v="2020-11-30T00:00:00"/>
    <n v="8.671232876712329"/>
    <s v="NN"/>
    <s v="10% every 5"/>
    <s v="2, 5 yr"/>
    <n v="1688000"/>
    <n v="191.7528115415199"/>
    <n v="0.08635011848341233"/>
    <x v="1304"/>
    <x v="13"/>
    <m/>
    <x v="1105"/>
    <s v="Individual"/>
    <m/>
    <m/>
    <m/>
    <s v=" "/>
    <s v=" "/>
    <m/>
    <s v=" "/>
    <s v=" "/>
    <s v=" "/>
    <m/>
    <s v=" "/>
  </r>
  <r>
    <s v="DaVita Dialysis"/>
    <s v="941 Westgate Way"/>
    <s v="Wylie"/>
    <s v="TX"/>
    <m/>
    <m/>
    <n v="6800"/>
    <n v="193800"/>
    <n v="28.5"/>
    <m/>
    <s v=" "/>
    <m/>
    <m/>
    <m/>
    <n v="2673100"/>
    <n v="393.1029411764706"/>
    <n v="0.07250009352437245"/>
    <x v="1304"/>
    <x v="167"/>
    <m/>
    <x v="1106"/>
    <s v="Individual"/>
    <m/>
    <m/>
    <m/>
    <s v=" "/>
    <s v=" "/>
    <m/>
    <s v=" "/>
    <s v=" "/>
    <s v=" "/>
    <m/>
    <s v=" "/>
  </r>
  <r>
    <s v="Fresenius Medical Care"/>
    <s v="440-444 Lancaster Dr NE"/>
    <s v="Salem"/>
    <s v="OR"/>
    <n v="1.43"/>
    <n v="1995"/>
    <n v="13149"/>
    <m/>
    <s v=" "/>
    <m/>
    <s v=" "/>
    <m/>
    <m/>
    <m/>
    <n v="2650000"/>
    <n v="201.5362384972241"/>
    <s v=" "/>
    <x v="1305"/>
    <x v="494"/>
    <s v="M&amp;M; Trautvetter"/>
    <x v="1107"/>
    <s v="Individual"/>
    <m/>
    <m/>
    <m/>
    <s v=" "/>
    <s v=" "/>
    <m/>
    <s v=" "/>
    <s v=" "/>
    <s v=" "/>
    <m/>
    <s v=" "/>
  </r>
  <r>
    <s v="DaVita Dialysis"/>
    <s v="7800 NW 23rd St"/>
    <s v="Betheny"/>
    <s v="OK"/>
    <n v="0.92"/>
    <m/>
    <n v="9572"/>
    <n v="92602"/>
    <n v="9.674258253238612"/>
    <m/>
    <s v=" "/>
    <s v="NNN"/>
    <m/>
    <m/>
    <n v="835000"/>
    <n v="87.2335979941496"/>
    <n v="0.1109005988023952"/>
    <x v="1306"/>
    <x v="1236"/>
    <m/>
    <x v="1108"/>
    <s v="Individual"/>
    <m/>
    <m/>
    <m/>
    <s v=" "/>
    <s v=" "/>
    <m/>
    <s v=" "/>
    <s v=" "/>
    <s v=" "/>
    <m/>
    <s v=" "/>
  </r>
  <r>
    <s v="DaVita Dialysis"/>
    <s v="1840 Princeton Ave"/>
    <s v="Lawrenceville"/>
    <s v="NJ"/>
    <n v="2.16"/>
    <m/>
    <n v="7930"/>
    <n v="244053"/>
    <n v="30.77591424968474"/>
    <m/>
    <s v=" "/>
    <s v="NNN"/>
    <s v="2% annual"/>
    <m/>
    <n v="2931000"/>
    <n v="369.609079445145"/>
    <n v="0.0832661207778915"/>
    <x v="1307"/>
    <x v="1237"/>
    <m/>
    <x v="1016"/>
    <s v="REIT"/>
    <m/>
    <m/>
    <m/>
    <s v=" "/>
    <s v=" "/>
    <m/>
    <s v=" "/>
    <s v=" "/>
    <s v=" "/>
    <m/>
    <s v=" "/>
  </r>
  <r>
    <s v="Fresenius Medical Care"/>
    <s v="3883 Highway 25"/>
    <s v="Montevallo"/>
    <s v="AL"/>
    <n v="1.5"/>
    <n v="2010"/>
    <n v="5804"/>
    <n v="145910"/>
    <n v="25.13955892487939"/>
    <d v="2025-06-30T00:00:00"/>
    <n v="13.34246575342466"/>
    <s v="NN"/>
    <s v="10% every 5 years"/>
    <s v="3, 5yr"/>
    <n v="2061333.333333333"/>
    <n v="355.1573627383414"/>
    <n v="0.07078428201811125"/>
    <x v="1308"/>
    <x v="1238"/>
    <m/>
    <x v="1109"/>
    <s v="Individual"/>
    <m/>
    <m/>
    <m/>
    <s v=" "/>
    <s v=" "/>
    <m/>
    <s v=" "/>
    <s v=" "/>
    <s v=" "/>
    <m/>
    <s v=" "/>
  </r>
  <r>
    <s v="DaVita Dialysis"/>
    <s v="3883 Highway 25"/>
    <s v="Montevallo"/>
    <s v="IN"/>
    <n v="1.33"/>
    <m/>
    <n v="7930"/>
    <n v="216147"/>
    <n v="27.25687263556116"/>
    <m/>
    <s v=" "/>
    <s v="NNN"/>
    <s v="2% annually"/>
    <m/>
    <n v="2789000"/>
    <n v="351.702395964691"/>
    <n v="0.07749982072427393"/>
    <x v="1309"/>
    <x v="1237"/>
    <m/>
    <x v="1110"/>
    <s v="Individual"/>
    <m/>
    <m/>
    <m/>
    <s v=" "/>
    <s v=" "/>
    <m/>
    <s v=" "/>
    <s v=" "/>
    <s v=" "/>
    <m/>
    <s v=" "/>
  </r>
  <r>
    <s v="Fresenius Medical Care"/>
    <s v="9010 Culebra Rd"/>
    <s v="San Antonio"/>
    <s v="TX"/>
    <n v="1.4"/>
    <m/>
    <n v="7730"/>
    <n v="168000"/>
    <n v="21.73350582147477"/>
    <m/>
    <s v=" "/>
    <m/>
    <m/>
    <m/>
    <n v="2400000"/>
    <n v="310.4786545924968"/>
    <n v="0.07000000000000001"/>
    <x v="1310"/>
    <x v="1239"/>
    <m/>
    <x v="1111"/>
    <s v="Individual"/>
    <m/>
    <m/>
    <m/>
    <s v=" "/>
    <s v=" "/>
    <m/>
    <s v=" "/>
    <s v=" "/>
    <s v=" "/>
    <m/>
    <s v=" "/>
  </r>
  <r>
    <s v="Fresenius Medical Care"/>
    <s v="825 W. 35th Street"/>
    <s v="Chicago"/>
    <s v="IL"/>
    <n v="0.5"/>
    <n v="2008"/>
    <n v="13980"/>
    <m/>
    <s v=" "/>
    <m/>
    <s v=" "/>
    <m/>
    <m/>
    <m/>
    <n v="2283400"/>
    <n v="163.3333333333333"/>
    <s v=" "/>
    <x v="1310"/>
    <x v="404"/>
    <m/>
    <x v="1112"/>
    <s v="Individual"/>
    <m/>
    <s v="Renal Investment Properties"/>
    <m/>
    <s v=" "/>
    <s v=" "/>
    <m/>
    <s v=" "/>
    <s v=" "/>
    <s v=" "/>
    <m/>
    <s v=" "/>
  </r>
  <r>
    <s v="DaVita Dialysis"/>
    <s v="27602 Clinton Keith Rd"/>
    <s v="Murrieta"/>
    <s v="CA"/>
    <n v="0.83"/>
    <n v="2011"/>
    <n v="8500"/>
    <n v="229500"/>
    <n v="27"/>
    <m/>
    <s v=" "/>
    <s v="NNN"/>
    <s v="10% every 5 yrs"/>
    <s v="3, 5 yr"/>
    <n v="3360000"/>
    <n v="395.2941176470588"/>
    <n v="0.06830357142857142"/>
    <x v="1310"/>
    <x v="1240"/>
    <m/>
    <x v="1113"/>
    <s v="Individual"/>
    <m/>
    <m/>
    <m/>
    <s v=" "/>
    <s v=" "/>
    <m/>
    <s v=" "/>
    <s v=" "/>
    <s v=" "/>
    <m/>
    <s v=" "/>
  </r>
  <r>
    <s v="Fresenius Medical Care"/>
    <s v="10344 Indiantown Rd"/>
    <s v="King George"/>
    <s v="VA"/>
    <n v="0.82"/>
    <n v="2010"/>
    <n v="6500"/>
    <n v="141900"/>
    <n v="21.83076923076923"/>
    <m/>
    <s v=" "/>
    <s v="NN"/>
    <s v="10% every 5 yrs"/>
    <m/>
    <n v="2100000"/>
    <n v="323.0769230769231"/>
    <n v="0.06757142857142857"/>
    <x v="1310"/>
    <x v="1241"/>
    <m/>
    <x v="1114"/>
    <s v="Individual"/>
    <m/>
    <m/>
    <m/>
    <s v=" "/>
    <s v=" "/>
    <m/>
    <s v=" "/>
    <s v=" "/>
    <s v=" "/>
    <m/>
    <s v=" "/>
  </r>
  <r>
    <s v="Fresenius Medical Care"/>
    <s v="5000 Campus Dr."/>
    <s v="Fort Worth"/>
    <s v="TX"/>
    <n v="1.62"/>
    <n v="2005"/>
    <n v="21200"/>
    <n v="130900"/>
    <n v="6.174528301886792"/>
    <d v="2020-08-01T00:00:00"/>
    <n v="8.506849315068493"/>
    <s v="NN"/>
    <s v="No"/>
    <s v="3, five year options"/>
    <n v="1496000"/>
    <n v="70.56603773584905"/>
    <n v="0.08749999999999999"/>
    <x v="1311"/>
    <x v="1209"/>
    <m/>
    <x v="1100"/>
    <s v="Fund"/>
    <m/>
    <m/>
    <m/>
    <s v=" "/>
    <s v=" "/>
    <m/>
    <s v=" "/>
    <s v=" "/>
    <s v=" "/>
    <m/>
    <s v=" "/>
  </r>
  <r>
    <s v="DaVita Dialysis"/>
    <s v="795 Hamra St"/>
    <s v="Tiptonville"/>
    <s v="TN"/>
    <n v="1.5"/>
    <n v="2010"/>
    <n v="5132"/>
    <n v="82112"/>
    <n v="16"/>
    <m/>
    <s v=" "/>
    <s v="NN"/>
    <m/>
    <s v="3, 5 yr"/>
    <n v="860000"/>
    <n v="167.5759937646142"/>
    <n v="0.09547906976744186"/>
    <x v="1312"/>
    <x v="846"/>
    <m/>
    <x v="1115"/>
    <s v="Individual"/>
    <m/>
    <m/>
    <m/>
    <s v=" "/>
    <s v=" "/>
    <m/>
    <s v=" "/>
    <s v=" "/>
    <s v=" "/>
    <m/>
    <s v=" "/>
  </r>
  <r>
    <s v="DSI Dialysis"/>
    <s v="602 Sawyer Rd"/>
    <s v="Kendallville"/>
    <s v="IN"/>
    <n v="1.07"/>
    <n v="2007"/>
    <n v="6370"/>
    <m/>
    <s v=" "/>
    <m/>
    <s v=" "/>
    <m/>
    <m/>
    <m/>
    <n v="2814000"/>
    <n v="441.7582417582418"/>
    <s v=" "/>
    <x v="1313"/>
    <x v="1242"/>
    <m/>
    <x v="1116"/>
    <s v="REIT"/>
    <m/>
    <m/>
    <m/>
    <s v=" "/>
    <s v=" "/>
    <m/>
    <s v=" "/>
    <s v=" "/>
    <s v=" "/>
    <m/>
    <s v=" "/>
  </r>
  <r>
    <s v="DSI Dialysis Center"/>
    <s v="4180 Auburn Rd"/>
    <s v="Memphis"/>
    <s v="TN"/>
    <n v="1.41"/>
    <n v="2002"/>
    <n v="5560"/>
    <m/>
    <s v=" "/>
    <m/>
    <s v=" "/>
    <m/>
    <m/>
    <m/>
    <n v="3403000"/>
    <n v="612.0503597122303"/>
    <s v=" "/>
    <x v="1313"/>
    <x v="1242"/>
    <m/>
    <x v="1116"/>
    <s v="REIT"/>
    <m/>
    <m/>
    <m/>
    <s v=" "/>
    <s v=" "/>
    <m/>
    <s v=" "/>
    <s v=" "/>
    <s v=" "/>
    <m/>
    <s v=" "/>
  </r>
  <r>
    <s v="DSI Dialysis Center"/>
    <s v="1166 Monroe Ave"/>
    <s v="Memphis"/>
    <s v="TN"/>
    <n v="1.21"/>
    <n v="2001"/>
    <n v="8440"/>
    <m/>
    <s v=" "/>
    <m/>
    <s v=" "/>
    <m/>
    <m/>
    <m/>
    <n v="4429000"/>
    <n v="524.7630331753554"/>
    <s v=" "/>
    <x v="1313"/>
    <x v="1242"/>
    <m/>
    <x v="1116"/>
    <s v="REIT"/>
    <m/>
    <m/>
    <m/>
    <s v=" "/>
    <s v=" "/>
    <m/>
    <s v=" "/>
    <s v=" "/>
    <s v=" "/>
    <m/>
    <s v=" "/>
  </r>
  <r>
    <s v="DaVita Dialysis"/>
    <s v="1112 Old Bethelehem Pike"/>
    <s v="Sellersville"/>
    <s v="PA"/>
    <n v="0.4"/>
    <m/>
    <n v="6370"/>
    <n v="252000"/>
    <n v="39.56043956043956"/>
    <m/>
    <s v=" "/>
    <s v="NNN"/>
    <s v="2% annually"/>
    <m/>
    <n v="3360000"/>
    <n v="527.4725274725274"/>
    <n v="0.075"/>
    <x v="1313"/>
    <x v="1243"/>
    <m/>
    <x v="1016"/>
    <s v="REIT"/>
    <m/>
    <m/>
    <m/>
    <s v=" "/>
    <s v=" "/>
    <m/>
    <s v=" "/>
    <s v=" "/>
    <s v=" "/>
    <m/>
    <s v=" "/>
  </r>
  <r>
    <s v="DaVita Dialysis"/>
    <s v="8110 Network Dr."/>
    <s v="Plainfield"/>
    <s v="IN"/>
    <n v="1.38"/>
    <n v="2008"/>
    <n v="7475"/>
    <n v="192305"/>
    <n v="25.72642140468227"/>
    <d v="2023-10-27T00:00:00"/>
    <n v="11.85753424657534"/>
    <s v="NNN"/>
    <s v="CPI, no greater than 3%"/>
    <s v="3 x 5 yr options"/>
    <n v="2190000"/>
    <n v="292.9765886287626"/>
    <n v="0.08781050228310502"/>
    <x v="1314"/>
    <x v="855"/>
    <m/>
    <x v="1117"/>
    <s v="Individual"/>
    <m/>
    <m/>
    <n v="2267548"/>
    <n v="0.08480746603820515"/>
    <n v="0.9658009444563026"/>
    <n v="2267548"/>
    <n v="0.08480746603820515"/>
    <n v="0.003003036244899879"/>
    <s v="No"/>
    <m/>
    <s v=" "/>
  </r>
  <r>
    <s v="Fresenius Medical Care"/>
    <s v="2601 S Harlem Ave"/>
    <s v="Berwyn"/>
    <s v="IL"/>
    <n v="0.93"/>
    <n v="1962"/>
    <n v="11918"/>
    <n v="215155"/>
    <n v="18.05294512502098"/>
    <d v="2025-10-31T00:00:00"/>
    <n v="13.88767123287671"/>
    <s v="NN"/>
    <s v="2.5% annually"/>
    <s v="2, 5yr"/>
    <n v="2370000"/>
    <n v="198.8588689377412"/>
    <n v="0.09078270042194093"/>
    <x v="1315"/>
    <x v="1244"/>
    <s v="Grubb"/>
    <x v="1085"/>
    <s v="Fund"/>
    <m/>
    <m/>
    <m/>
    <s v=" "/>
    <s v=" "/>
    <m/>
    <s v=" "/>
    <s v=" "/>
    <s v=" "/>
    <m/>
    <s v=" "/>
  </r>
  <r>
    <s v="DaVita Dialysis"/>
    <s v="3642 Marathon Circle - dup"/>
    <s v="Austell"/>
    <s v="GA"/>
    <n v="1.06"/>
    <n v="2009"/>
    <n v="5460"/>
    <n v="226424"/>
    <n v="41.46959706959707"/>
    <m/>
    <s v=" "/>
    <s v="NNN"/>
    <s v="2% annually"/>
    <s v="2, 5 yr"/>
    <n v="2831000"/>
    <n v="518.4981684981685"/>
    <n v="0.07998021900388555"/>
    <x v="1316"/>
    <x v="1237"/>
    <m/>
    <x v="1118"/>
    <s v="Individual"/>
    <m/>
    <m/>
    <m/>
    <s v=" "/>
    <s v=" "/>
    <m/>
    <s v=" "/>
    <s v=" "/>
    <s v=" "/>
    <m/>
    <s v=" "/>
  </r>
  <r>
    <s v="DaVita Dialysis"/>
    <s v="4970 S Hwy 17-92"/>
    <s v="Casselberry"/>
    <s v="FL"/>
    <n v="0.55"/>
    <n v="2007"/>
    <n v="6232"/>
    <n v="188000"/>
    <n v="30.16688061617458"/>
    <m/>
    <s v=" "/>
    <s v="NN"/>
    <s v="3% annual"/>
    <s v="3, 5 yr"/>
    <n v="2300000"/>
    <n v="369.0629011553273"/>
    <n v="0.08173913043478261"/>
    <x v="1316"/>
    <x v="1245"/>
    <m/>
    <x v="1016"/>
    <s v="REIT"/>
    <m/>
    <m/>
    <m/>
    <s v=" "/>
    <s v=" "/>
    <m/>
    <s v=" "/>
    <s v=" "/>
    <s v=" "/>
    <m/>
    <s v=" "/>
  </r>
  <r>
    <s v="DaVita Dialysis"/>
    <s v="1701 W 1st St"/>
    <s v="Sanford"/>
    <s v="FL"/>
    <n v="1.42"/>
    <n v="2005"/>
    <n v="8586"/>
    <n v="240875"/>
    <n v="28.05439086885628"/>
    <m/>
    <s v=" "/>
    <s v="NNN"/>
    <s v="Every 3 yrs"/>
    <s v="3, 5 yr"/>
    <n v="2867000"/>
    <n v="333.9156766829723"/>
    <n v="0.08401639344262295"/>
    <x v="1316"/>
    <x v="1245"/>
    <m/>
    <x v="1016"/>
    <s v="REIT"/>
    <m/>
    <m/>
    <m/>
    <s v=" "/>
    <s v=" "/>
    <m/>
    <s v=" "/>
    <s v=" "/>
    <s v=" "/>
    <m/>
    <s v=" "/>
  </r>
  <r>
    <s v="Fresenius Medical Care"/>
    <s v="1202 Central Texas Expy"/>
    <s v="Lampasas"/>
    <s v="TX"/>
    <n v="0"/>
    <m/>
    <n v="7500"/>
    <n v="104860"/>
    <n v="13.98133333333333"/>
    <m/>
    <s v=" "/>
    <s v="NN"/>
    <s v="Not Known"/>
    <s v="Not Known"/>
    <n v="1020000"/>
    <n v="136"/>
    <n v="0.1028039215686275"/>
    <x v="1317"/>
    <x v="1209"/>
    <m/>
    <x v="1119"/>
    <s v="Individual"/>
    <m/>
    <m/>
    <n v="1198000"/>
    <n v="0.08752921535893156"/>
    <n v="0.8514190317195326"/>
    <n v="1198000"/>
    <n v="0.08752921535893156"/>
    <n v="0.0152747062096959"/>
    <s v="No"/>
    <m/>
    <s v=" "/>
  </r>
  <r>
    <s v="FMS Nephro Care West Dialysis"/>
    <s v="362 4th Ave"/>
    <s v="Brooklyn"/>
    <s v="NY"/>
    <n v="0.3310376"/>
    <n v="1971"/>
    <n v="9525"/>
    <m/>
    <s v=" "/>
    <m/>
    <s v=" "/>
    <m/>
    <m/>
    <m/>
    <n v="4100000"/>
    <n v="430.4461942257218"/>
    <s v=" "/>
    <x v="1318"/>
    <x v="1246"/>
    <m/>
    <x v="1120"/>
    <s v="Individual"/>
    <m/>
    <m/>
    <m/>
    <s v=" "/>
    <s v=" "/>
    <m/>
    <s v=" "/>
    <s v=" "/>
    <s v=" "/>
    <m/>
    <s v=" "/>
  </r>
  <r>
    <s v="DaVita Dialysis"/>
    <s v="209 Highland Ave"/>
    <s v="Waterbury"/>
    <s v="CT"/>
    <n v="1.75"/>
    <n v="1998"/>
    <n v="14000"/>
    <n v="149376"/>
    <n v="10.66971428571429"/>
    <m/>
    <s v=" "/>
    <s v="NNN"/>
    <s v="2% annual"/>
    <s v="No"/>
    <n v="1800000"/>
    <n v="128.5714285714286"/>
    <n v="0.08298666666666667"/>
    <x v="1319"/>
    <x v="1247"/>
    <m/>
    <x v="1121"/>
    <s v="Individual"/>
    <m/>
    <m/>
    <m/>
    <s v=" "/>
    <s v=" "/>
    <m/>
    <s v=" "/>
    <s v=" "/>
    <s v=" "/>
    <m/>
    <s v=" "/>
  </r>
  <r>
    <s v="DaVita Dialysis"/>
    <s v="31470 Ecorse Rd"/>
    <s v="Romulus"/>
    <s v="MI"/>
    <n v="0.97"/>
    <m/>
    <n v="7000"/>
    <n v="135387"/>
    <n v="19.341"/>
    <m/>
    <s v=" "/>
    <m/>
    <m/>
    <m/>
    <n v="1470000"/>
    <n v="210"/>
    <n v="0.0921"/>
    <x v="1319"/>
    <x v="1248"/>
    <m/>
    <x v="1122"/>
    <s v="Individual"/>
    <m/>
    <m/>
    <m/>
    <s v=" "/>
    <s v=" "/>
    <m/>
    <s v=" "/>
    <s v=" "/>
    <s v=" "/>
    <m/>
    <s v=" "/>
  </r>
  <r>
    <s v="DaVita Dialysis"/>
    <s v="7515-7519 Barlite Blvd"/>
    <s v="San Antonio"/>
    <s v="TX"/>
    <n v="1.77"/>
    <n v="1984"/>
    <n v="11022"/>
    <n v="201130"/>
    <n v="18.24804935583379"/>
    <m/>
    <s v=" "/>
    <s v="NNN"/>
    <s v="2% annual"/>
    <s v="3, 5 yr"/>
    <n v="2950000"/>
    <n v="267.6465251315551"/>
    <n v="0.06817966101694915"/>
    <x v="1319"/>
    <x v="1249"/>
    <m/>
    <x v="1123"/>
    <s v="Individual"/>
    <m/>
    <m/>
    <m/>
    <s v=" "/>
    <s v=" "/>
    <m/>
    <s v=" "/>
    <s v=" "/>
    <s v=" "/>
    <m/>
    <s v=" "/>
  </r>
  <r>
    <s v="Fresenius Medical Care"/>
    <s v="2225 Union"/>
    <s v="Memphis"/>
    <s v="TN"/>
    <n v="0.89"/>
    <n v="1967"/>
    <n v="14924"/>
    <n v="167000"/>
    <n v="11.19002948271241"/>
    <m/>
    <s v=" "/>
    <m/>
    <m/>
    <m/>
    <n v="1715000"/>
    <n v="114.9155722326454"/>
    <n v="0.09737609329446065"/>
    <x v="1320"/>
    <x v="1250"/>
    <m/>
    <x v="1124"/>
    <s v="Individual"/>
    <m/>
    <m/>
    <m/>
    <s v=" "/>
    <s v=" "/>
    <m/>
    <s v=" "/>
    <s v=" "/>
    <s v=" "/>
    <m/>
    <s v=" "/>
  </r>
  <r>
    <s v="Fresenius Medical Care"/>
    <s v="1060 2nd St NW"/>
    <s v="Salem"/>
    <s v="OR"/>
    <n v="0.78"/>
    <n v="2009"/>
    <n v="5915"/>
    <n v="233370"/>
    <n v="39.45393068469991"/>
    <d v="2021-02-14T00:00:00"/>
    <n v="9.331506849315069"/>
    <s v="NN"/>
    <s v="1.7% annually"/>
    <s v="3, 5yr"/>
    <n v="2800000"/>
    <n v="473.3727810650888"/>
    <n v="0.08334642857142857"/>
    <x v="1321"/>
    <x v="1251"/>
    <s v="SJC; Richardson"/>
    <x v="1125"/>
    <s v="Individual"/>
    <s v="SVN; Fischer"/>
    <s v="MDG Development Group"/>
    <n v="2915000"/>
    <n v="0.08005831903945111"/>
    <n v="0.9605488850771869"/>
    <n v="2915000"/>
    <n v="0.08005831903945111"/>
    <n v="0.003288109531977459"/>
    <s v="No"/>
    <d v="2011-08-13T00:00:00"/>
    <n v="67"/>
  </r>
  <r>
    <s v="DaVita Dialysis"/>
    <s v="1185 Monroe St"/>
    <s v="Dearborn"/>
    <s v="MI"/>
    <n v="0.8"/>
    <n v="1951"/>
    <n v="10250"/>
    <n v="227755"/>
    <n v="22.22"/>
    <d v="2018-07-31T00:00:00"/>
    <n v="6.835616438356165"/>
    <s v="NN"/>
    <s v="2% annually"/>
    <s v="3, 5yr"/>
    <n v="1825000"/>
    <n v="178.0487804878049"/>
    <n v="0.1247972602739726"/>
    <x v="1322"/>
    <x v="1252"/>
    <s v="M&amp;M; Vinco"/>
    <x v="1126"/>
    <s v="Individual"/>
    <m/>
    <m/>
    <n v="2262175"/>
    <n v="0.1006796556411418"/>
    <n v="0.806745720379723"/>
    <n v="2262175"/>
    <n v="0.1006796556411418"/>
    <n v="0.02411760463283077"/>
    <s v="No"/>
    <d v="2010-04-25T00:00:00"/>
    <n v="524"/>
  </r>
  <r>
    <s v="DaVita Dialysis"/>
    <s v="3071 Gold Canal Dr"/>
    <s v="Rancho Cordova"/>
    <s v="CA"/>
    <n v="0.86"/>
    <n v="2006"/>
    <n v="11136"/>
    <n v="254604"/>
    <n v="22.86314655172414"/>
    <m/>
    <s v=" "/>
    <s v="NN"/>
    <s v="3% annual"/>
    <s v="2, 5 yr"/>
    <n v="3915000"/>
    <n v="351.5625"/>
    <n v="0.06503295019157088"/>
    <x v="1322"/>
    <x v="1253"/>
    <m/>
    <x v="1127"/>
    <s v="Individual"/>
    <m/>
    <m/>
    <m/>
    <s v=" "/>
    <s v=" "/>
    <m/>
    <s v=" "/>
    <s v=" "/>
    <s v=" "/>
    <m/>
    <s v=" "/>
  </r>
  <r>
    <s v="DaVita Dialysis"/>
    <s v="3940 Commerce Ave"/>
    <s v="Willow Grove"/>
    <s v="PA"/>
    <n v="0.25"/>
    <m/>
    <n v="10578"/>
    <n v="271626"/>
    <n v="25.67838910947249"/>
    <m/>
    <s v=" "/>
    <s v="NN"/>
    <s v="In options"/>
    <s v="3, 5 yr"/>
    <n v="3245231"/>
    <n v="306.7906031385895"/>
    <n v="0.08370005093628158"/>
    <x v="1322"/>
    <x v="1254"/>
    <s v="CBRE; Gorman"/>
    <x v="1016"/>
    <s v="REIT"/>
    <m/>
    <m/>
    <m/>
    <s v=" "/>
    <s v=" "/>
    <m/>
    <s v=" "/>
    <s v=" "/>
    <s v=" "/>
    <m/>
    <s v=" "/>
  </r>
  <r>
    <s v="Fresenius Medical Care"/>
    <s v="622 Industrial Ave"/>
    <s v="Greensboro"/>
    <s v="NC"/>
    <n v="3.06"/>
    <n v="2000"/>
    <n v="15105"/>
    <m/>
    <s v=" "/>
    <m/>
    <s v=" "/>
    <m/>
    <m/>
    <m/>
    <n v="3400000"/>
    <n v="225.0910294604436"/>
    <s v=" "/>
    <x v="1323"/>
    <x v="1255"/>
    <m/>
    <x v="1128"/>
    <s v="Individual"/>
    <m/>
    <m/>
    <m/>
    <s v=" "/>
    <s v=" "/>
    <m/>
    <s v=" "/>
    <s v=" "/>
    <s v=" "/>
    <m/>
    <s v=" "/>
  </r>
  <r>
    <s v="Fresenius Medical Care"/>
    <s v="1004 Forestdale Blvd."/>
    <s v="Birmingham"/>
    <s v="AL"/>
    <n v="1.48"/>
    <n v="2011"/>
    <n v="7955"/>
    <n v="120724"/>
    <n v="15.17586423632935"/>
    <d v="2025-12-31T00:00:00"/>
    <n v="14.28219178082192"/>
    <s v="NN"/>
    <s v="7.5% every 5 years in primary term"/>
    <s v="Three (3), five (5) year options"/>
    <n v="1370000"/>
    <n v="172.2187303582652"/>
    <n v="0.08811970802919708"/>
    <x v="1324"/>
    <x v="1256"/>
    <m/>
    <x v="1129"/>
    <s v="Individual"/>
    <m/>
    <m/>
    <n v="1370000"/>
    <n v="0.08811970802919708"/>
    <n v="1"/>
    <n v="1370000"/>
    <n v="0.08811970802919708"/>
    <n v="0"/>
    <s v="No"/>
    <m/>
    <s v=" "/>
  </r>
  <r>
    <s v="Fresenius Medical Care"/>
    <s v="2125 Adams Grove Rd"/>
    <s v="Columbia"/>
    <s v="SC"/>
    <n v="1.41"/>
    <n v="1999"/>
    <n v="10520"/>
    <n v="180786.6"/>
    <n v="17.18503802281369"/>
    <d v="2019-12-31T00:00:00"/>
    <n v="8.295890410958904"/>
    <s v="NN"/>
    <s v="1.25% annually"/>
    <s v="2, 5yr"/>
    <n v="2145000"/>
    <n v="203.8973384030418"/>
    <n v="0.0842827972027972"/>
    <x v="1325"/>
    <x v="1257"/>
    <s v="Romans; Orr"/>
    <x v="1085"/>
    <s v="Fund"/>
    <m/>
    <m/>
    <n v="2260000"/>
    <n v="0.07999407079646018"/>
    <n v="0.9491150442477876"/>
    <n v="2260000"/>
    <n v="0.07999407079646018"/>
    <n v="0.004288726406337026"/>
    <s v="No"/>
    <d v="2011-01-06T00:00:00"/>
    <n v="253"/>
  </r>
  <r>
    <s v="Fresenius Medical Care"/>
    <s v="3302 W Golf Course Rd"/>
    <s v="Midland"/>
    <s v="TX"/>
    <n v="1.74"/>
    <n v="2011"/>
    <n v="3800"/>
    <m/>
    <s v=" "/>
    <m/>
    <s v=" "/>
    <m/>
    <m/>
    <m/>
    <n v="3250000"/>
    <n v="855.2631578947369"/>
    <s v=" "/>
    <x v="1326"/>
    <x v="192"/>
    <m/>
    <x v="1130"/>
    <s v="Individual"/>
    <m/>
    <m/>
    <m/>
    <s v=" "/>
    <s v=" "/>
    <m/>
    <s v=" "/>
    <s v=" "/>
    <s v=" "/>
    <m/>
    <s v=" "/>
  </r>
  <r>
    <s v="Fresenius Medical Care"/>
    <s v="4358 Kings Way"/>
    <s v="Valdosta"/>
    <s v="GA"/>
    <n v="1.14"/>
    <n v="2007"/>
    <n v="6700"/>
    <m/>
    <s v=" "/>
    <m/>
    <s v=" "/>
    <m/>
    <m/>
    <m/>
    <n v="1870743"/>
    <n v="279.2153731343283"/>
    <s v=" "/>
    <x v="1327"/>
    <x v="1258"/>
    <m/>
    <x v="1131"/>
    <s v="Fund"/>
    <m/>
    <m/>
    <m/>
    <s v=" "/>
    <s v=" "/>
    <m/>
    <s v=" "/>
    <s v=" "/>
    <s v=" "/>
    <m/>
    <s v=" "/>
  </r>
  <r>
    <s v="Fresenius Medical Care"/>
    <s v="710 W Hundson Blvd"/>
    <s v="Gastonia"/>
    <s v="NC"/>
    <n v="1.78"/>
    <n v="2009"/>
    <n v="11470"/>
    <n v="208664"/>
    <n v="18.19215344376635"/>
    <d v="2021-06-30T00:00:00"/>
    <n v="9.871232876712329"/>
    <s v="NN"/>
    <s v="12% in Year 7"/>
    <s v="2, 5 yr"/>
    <n v="2526200"/>
    <n v="220.2441150828247"/>
    <n v="0.08259995249782282"/>
    <x v="1328"/>
    <x v="138"/>
    <s v="M&amp;M; Niedergang"/>
    <x v="1000"/>
    <s v="Fund"/>
    <m/>
    <m/>
    <m/>
    <s v=" "/>
    <s v=" "/>
    <m/>
    <s v=" "/>
    <s v=" "/>
    <s v=" "/>
    <m/>
    <s v=" "/>
  </r>
  <r>
    <s v="Fresenius Medical Care"/>
    <s v="710 W Hudson Blvd"/>
    <s v="Charlotte"/>
    <s v="NC"/>
    <n v="1.78"/>
    <n v="2009"/>
    <n v="9620"/>
    <n v="206643"/>
    <n v="21.48056133056133"/>
    <m/>
    <s v=" "/>
    <s v="NN"/>
    <s v="12% in yr 7"/>
    <m/>
    <n v="2526200"/>
    <n v="262.5987525987526"/>
    <n v="0.08179993666376376"/>
    <x v="1329"/>
    <x v="138"/>
    <m/>
    <x v="111"/>
    <s v="Fund"/>
    <m/>
    <m/>
    <m/>
    <s v=" "/>
    <s v=" "/>
    <m/>
    <s v=" "/>
    <s v=" "/>
    <s v=" "/>
    <m/>
    <s v=" "/>
  </r>
  <r>
    <s v="DaVita Dialysis"/>
    <s v="1000 Marshall St"/>
    <s v="Redwood City"/>
    <s v="CA"/>
    <n v="0.5600000000000001"/>
    <m/>
    <n v="8190"/>
    <n v="285950"/>
    <n v="34.91452991452991"/>
    <m/>
    <s v=" "/>
    <m/>
    <s v="3% annual"/>
    <s v="2, 5 yr"/>
    <n v="4080000"/>
    <n v="498.1684981684982"/>
    <n v="0.07008578431372549"/>
    <x v="1329"/>
    <x v="565"/>
    <m/>
    <x v="60"/>
    <s v="Individual"/>
    <m/>
    <m/>
    <m/>
    <s v=" "/>
    <s v=" "/>
    <m/>
    <s v=" "/>
    <s v=" "/>
    <s v=" "/>
    <m/>
    <s v=" "/>
  </r>
  <r>
    <s v="Fresenius Medical Care"/>
    <s v="4800 N Kilpatrick"/>
    <s v="Chicago"/>
    <s v="IL"/>
    <n v="0.27"/>
    <n v="1975"/>
    <n v="5690"/>
    <n v="97500"/>
    <n v="17.13532513181019"/>
    <m/>
    <s v=" "/>
    <m/>
    <s v="10% every 5 yrs"/>
    <m/>
    <n v="1300000"/>
    <n v="228.4710017574693"/>
    <n v="0.075"/>
    <x v="1329"/>
    <x v="404"/>
    <m/>
    <x v="1132"/>
    <s v="Individual"/>
    <m/>
    <m/>
    <m/>
    <s v=" "/>
    <s v=" "/>
    <m/>
    <s v=" "/>
    <s v=" "/>
    <s v=" "/>
    <m/>
    <s v=" "/>
  </r>
  <r>
    <s v="Fresenius Medical Care"/>
    <s v="1662 Roane State Highway"/>
    <s v="Harriman"/>
    <s v="TN"/>
    <n v="1.74"/>
    <n v="2011"/>
    <n v="7935"/>
    <n v="108542"/>
    <n v="13.67889098928796"/>
    <m/>
    <s v=" "/>
    <s v="NN"/>
    <s v="In yr 7"/>
    <m/>
    <n v="1320000"/>
    <n v="166.351606805293"/>
    <n v="0.08222878787878787"/>
    <x v="1329"/>
    <x v="1259"/>
    <m/>
    <x v="1133"/>
    <s v="Individual"/>
    <m/>
    <m/>
    <m/>
    <s v=" "/>
    <s v=" "/>
    <m/>
    <s v=" "/>
    <s v=" "/>
    <s v=" "/>
    <m/>
    <s v=" "/>
  </r>
  <r>
    <s v="DaVita Dialysis"/>
    <s v="13155 S LaGrange Rd"/>
    <s v="Orland Park"/>
    <s v="IL"/>
    <n v="0.82"/>
    <m/>
    <n v="6000"/>
    <n v="156825"/>
    <n v="26.1375"/>
    <m/>
    <s v=" "/>
    <s v="NN"/>
    <s v="16% in yr 6"/>
    <s v="3, 5 yr"/>
    <n v="2091000"/>
    <n v="348.5"/>
    <n v="0.075"/>
    <x v="1330"/>
    <x v="1260"/>
    <m/>
    <x v="0"/>
    <s v="Individual"/>
    <m/>
    <m/>
    <m/>
    <s v=" "/>
    <s v=" "/>
    <m/>
    <s v=" "/>
    <s v=" "/>
    <s v=" "/>
    <m/>
    <s v=" "/>
  </r>
  <r>
    <s v="DaVita Dialysis"/>
    <s v="256 Broadway"/>
    <s v="Huntington Station"/>
    <s v="NY"/>
    <n v="1.13"/>
    <n v="1970"/>
    <n v="9602"/>
    <n v="305515"/>
    <n v="31.81785044782337"/>
    <m/>
    <s v=" "/>
    <s v="NNN"/>
    <s v="3.5% annual"/>
    <m/>
    <n v="3950000"/>
    <n v="411.3726307019371"/>
    <n v="0.07734556962025317"/>
    <x v="1331"/>
    <x v="1261"/>
    <m/>
    <x v="1134"/>
    <s v="Individual"/>
    <m/>
    <m/>
    <m/>
    <s v=" "/>
    <s v=" "/>
    <m/>
    <s v=" "/>
    <s v=" "/>
    <s v=" "/>
    <m/>
    <s v=" "/>
  </r>
  <r>
    <s v="Fresenius Medical Care"/>
    <s v="3839 Burlington Rd"/>
    <s v="Greensboro"/>
    <s v="NC"/>
    <n v="0.83"/>
    <n v="1944"/>
    <n v="12650"/>
    <n v="213000"/>
    <n v="16.83794466403162"/>
    <d v="2023-06-30T00:00:00"/>
    <n v="12.00547945205479"/>
    <s v="NN"/>
    <s v="2.5% annual"/>
    <s v="3, 5yr"/>
    <n v="2575000"/>
    <n v="203.5573122529644"/>
    <n v="0.08271844660194175"/>
    <x v="1331"/>
    <x v="1262"/>
    <m/>
    <x v="842"/>
    <s v="Fund"/>
    <m/>
    <m/>
    <m/>
    <s v=" "/>
    <s v=" "/>
    <m/>
    <s v=" "/>
    <s v=" "/>
    <s v=" "/>
    <m/>
    <s v=" "/>
  </r>
  <r>
    <s v="DaVita Dialysis"/>
    <s v="1815 Wylds Rd"/>
    <s v="Augusta"/>
    <s v="GA"/>
    <n v="1.82"/>
    <n v="2000"/>
    <n v="5241"/>
    <n v="111215"/>
    <n v="21.22018698721618"/>
    <m/>
    <s v=" "/>
    <m/>
    <m/>
    <m/>
    <n v="1534000"/>
    <n v="292.6922343064301"/>
    <n v="0.0725"/>
    <x v="1331"/>
    <x v="1231"/>
    <m/>
    <x v="1016"/>
    <s v="REIT"/>
    <m/>
    <m/>
    <m/>
    <s v=" "/>
    <s v=" "/>
    <m/>
    <s v=" "/>
    <s v=" "/>
    <s v=" "/>
    <m/>
    <s v=" "/>
  </r>
  <r>
    <s v="701 Lauchwood Dr"/>
    <s v="701 Lauchwood Dr"/>
    <s v="Laurinburg"/>
    <s v="NC"/>
    <m/>
    <m/>
    <n v="10676"/>
    <m/>
    <s v=" "/>
    <m/>
    <s v=" "/>
    <m/>
    <m/>
    <m/>
    <n v="2220000"/>
    <n v="207.9430498313975"/>
    <s v=" "/>
    <x v="1332"/>
    <x v="13"/>
    <m/>
    <x v="0"/>
    <s v="Individual"/>
    <m/>
    <m/>
    <m/>
    <s v=" "/>
    <s v=" "/>
    <m/>
    <s v=" "/>
    <s v=" "/>
    <s v=" "/>
    <m/>
    <s v=" "/>
  </r>
  <r>
    <s v="DaVita Dialysis"/>
    <s v="1302 E State St"/>
    <s v="Rockford"/>
    <s v="IL"/>
    <n v="0.98"/>
    <m/>
    <n v="7000"/>
    <n v="199500"/>
    <n v="28.5"/>
    <m/>
    <s v=" "/>
    <m/>
    <m/>
    <m/>
    <n v="2100000"/>
    <n v="300"/>
    <n v="0.095"/>
    <x v="1333"/>
    <x v="13"/>
    <m/>
    <x v="229"/>
    <s v="REIT"/>
    <m/>
    <m/>
    <m/>
    <s v=" "/>
    <s v=" "/>
    <m/>
    <s v=" "/>
    <s v=" "/>
    <s v=" "/>
    <m/>
    <s v=" "/>
  </r>
  <r>
    <s v="DaVita Dialysis"/>
    <s v="100 Main St"/>
    <s v="Middletown"/>
    <s v="CT"/>
    <n v="0.82"/>
    <n v="2009"/>
    <n v="29826"/>
    <m/>
    <s v=" "/>
    <m/>
    <s v=" "/>
    <m/>
    <m/>
    <m/>
    <n v="3144000"/>
    <n v="105.4113860390264"/>
    <s v=" "/>
    <x v="1334"/>
    <x v="1263"/>
    <m/>
    <x v="1135"/>
    <s v="Individual"/>
    <m/>
    <m/>
    <m/>
    <s v=" "/>
    <s v=" "/>
    <m/>
    <s v=" "/>
    <s v=" "/>
    <s v=" "/>
    <m/>
    <s v=" "/>
  </r>
  <r>
    <s v="DaVita Dialysis"/>
    <s v="9200 S S Chicago Ave"/>
    <s v="Chicago"/>
    <s v="IL"/>
    <m/>
    <n v="1999"/>
    <n v="12650"/>
    <m/>
    <s v=" "/>
    <m/>
    <s v=" "/>
    <m/>
    <m/>
    <m/>
    <m/>
    <s v=" "/>
    <s v=" "/>
    <x v="1335"/>
    <x v="404"/>
    <m/>
    <x v="0"/>
    <s v="Individual"/>
    <m/>
    <s v="Renal Investment Properties"/>
    <m/>
    <s v=" "/>
    <s v=" "/>
    <m/>
    <s v=" "/>
    <s v=" "/>
    <s v=" "/>
    <m/>
    <s v=" "/>
  </r>
  <r>
    <s v="DaVita Dialysis"/>
    <s v="1345 W Bush St"/>
    <s v="Lemoore"/>
    <s v="CA"/>
    <n v="0.73"/>
    <n v="2010"/>
    <n v="6310"/>
    <n v="150500"/>
    <n v="23.85103011093502"/>
    <m/>
    <s v=" "/>
    <s v="NN"/>
    <s v="15% every 5 yrs"/>
    <s v="3, 5 yr"/>
    <n v="2150000"/>
    <n v="340.729001584786"/>
    <n v="0.07000000000000001"/>
    <x v="1336"/>
    <x v="1264"/>
    <m/>
    <x v="1136"/>
    <s v="Individual"/>
    <m/>
    <m/>
    <m/>
    <s v=" "/>
    <s v=" "/>
    <m/>
    <s v=" "/>
    <s v=" "/>
    <s v=" "/>
    <m/>
    <s v=" "/>
  </r>
  <r>
    <s v="DaVita Dialysis"/>
    <s v="1230 Ekhart St NE"/>
    <s v="Grand Rapids"/>
    <s v="MI"/>
    <n v="1"/>
    <n v="1997"/>
    <n v="7056"/>
    <n v="146510"/>
    <n v="20.76388888888889"/>
    <m/>
    <s v=" "/>
    <s v="NN"/>
    <s v="10% in yr 6"/>
    <m/>
    <n v="1675000"/>
    <n v="237.3866213151927"/>
    <n v="0.08746865671641792"/>
    <x v="1337"/>
    <x v="1053"/>
    <m/>
    <x v="1016"/>
    <s v="REIT"/>
    <m/>
    <m/>
    <m/>
    <s v=" "/>
    <s v=" "/>
    <m/>
    <s v=" "/>
    <s v=" "/>
    <s v=" "/>
    <m/>
    <s v=" "/>
  </r>
  <r>
    <s v="DaVita Dialysis"/>
    <s v="1000-1018 Cypress Pkwy"/>
    <s v="Poinciana"/>
    <s v="FL"/>
    <n v="2.16"/>
    <m/>
    <n v="14000"/>
    <n v="114142"/>
    <n v="8.153"/>
    <m/>
    <s v=" "/>
    <m/>
    <m/>
    <m/>
    <n v="1472800"/>
    <n v="105.2"/>
    <n v="0.0775"/>
    <x v="1338"/>
    <x v="1265"/>
    <m/>
    <x v="1137"/>
    <s v="Individual"/>
    <m/>
    <m/>
    <m/>
    <s v=" "/>
    <s v=" "/>
    <m/>
    <s v=" "/>
    <s v=" "/>
    <s v=" "/>
    <m/>
    <s v=" "/>
  </r>
  <r>
    <s v="DaVita Dialysis"/>
    <s v="7179 E 31st Pl"/>
    <s v="Yuma"/>
    <s v="AZ"/>
    <n v="0.91"/>
    <n v="2009"/>
    <n v="7600"/>
    <n v="167443"/>
    <n v="22.03197368421053"/>
    <m/>
    <s v=" "/>
    <s v="NN"/>
    <s v="2% annual"/>
    <s v="3, 5 yr"/>
    <n v="2020000"/>
    <n v="265.7894736842105"/>
    <n v="0.08289257425742574"/>
    <x v="1339"/>
    <x v="1266"/>
    <m/>
    <x v="842"/>
    <s v="Fund"/>
    <m/>
    <m/>
    <m/>
    <s v=" "/>
    <s v=" "/>
    <m/>
    <s v=" "/>
    <s v=" "/>
    <s v=" "/>
    <m/>
    <s v=" "/>
  </r>
  <r>
    <s v="Fresenius Medical Care"/>
    <s v="204 Ross Blvd"/>
    <s v="Dodge City"/>
    <s v="KS"/>
    <n v="0.46"/>
    <n v="2000"/>
    <n v="4150"/>
    <n v="70051"/>
    <n v="16.87975903614458"/>
    <d v="2020-12-31T00:00:00"/>
    <n v="9.761643835616438"/>
    <s v="NN"/>
    <s v="Flat"/>
    <s v="2, 5yr"/>
    <n v="778000"/>
    <n v="187.4698795180723"/>
    <n v="0.09003984575835476"/>
    <x v="1340"/>
    <x v="1225"/>
    <s v="SJC; Warner"/>
    <x v="1138"/>
    <s v="Individual"/>
    <m/>
    <m/>
    <m/>
    <s v=" "/>
    <s v=" "/>
    <m/>
    <s v=" "/>
    <s v=" "/>
    <s v=" "/>
    <m/>
    <s v=" "/>
  </r>
  <r>
    <s v="DaVita Dialysis"/>
    <s v="2215 Yaupon Dr"/>
    <s v="Wilmington"/>
    <s v="NC"/>
    <n v="0.6899999999999999"/>
    <m/>
    <n v="20197"/>
    <n v="514000"/>
    <n v="25.44932415705303"/>
    <d v="2023-04-30T00:00:00"/>
    <n v="12.17534246575342"/>
    <s v="NNN"/>
    <s v="1.5% annual"/>
    <s v="4, 5 yr"/>
    <n v="6565000"/>
    <n v="325.0482744962123"/>
    <n v="0.0782939832444783"/>
    <x v="1341"/>
    <x v="1254"/>
    <s v="Jack Kimball"/>
    <x v="1016"/>
    <s v="REIT"/>
    <s v="Kase"/>
    <m/>
    <n v="6900000"/>
    <n v="0.07449275362318841"/>
    <n v="0.9514492753623188"/>
    <n v="6900000"/>
    <n v="0.07449275362318841"/>
    <n v="0.003801229621289884"/>
    <s v="No"/>
    <m/>
    <s v=" "/>
  </r>
  <r>
    <s v="Fresenius Medical Care"/>
    <s v="220 E Fern Ave"/>
    <s v="Foley"/>
    <s v="AL"/>
    <n v="3"/>
    <n v="2009"/>
    <n v="9340"/>
    <m/>
    <s v=" "/>
    <m/>
    <s v=" "/>
    <m/>
    <m/>
    <m/>
    <n v="2895922"/>
    <n v="310.0558886509636"/>
    <s v=" "/>
    <x v="1342"/>
    <x v="1267"/>
    <m/>
    <x v="1139"/>
    <s v="Individual"/>
    <m/>
    <m/>
    <m/>
    <s v=" "/>
    <s v=" "/>
    <m/>
    <s v=" "/>
    <s v=" "/>
    <s v=" "/>
    <m/>
    <s v=" "/>
  </r>
  <r>
    <s v="DaVita Dialysis"/>
    <s v="11306 N 53rd St"/>
    <s v="Temple Terrace"/>
    <s v="FL"/>
    <n v="1.04"/>
    <n v="1988"/>
    <n v="7056"/>
    <n v="125032"/>
    <n v="17.71995464852608"/>
    <m/>
    <s v=" "/>
    <s v="NN"/>
    <s v="7.5% in 2017 &amp; 2022"/>
    <m/>
    <n v="1615000"/>
    <n v="228.8832199546485"/>
    <n v="0.07741919504643963"/>
    <x v="1343"/>
    <x v="1053"/>
    <m/>
    <x v="1140"/>
    <s v="Individual"/>
    <m/>
    <m/>
    <m/>
    <s v=" "/>
    <s v=" "/>
    <m/>
    <s v=" "/>
    <s v=" "/>
    <s v=" "/>
    <m/>
    <s v=" "/>
  </r>
  <r>
    <s v="DaVita Dialysis"/>
    <s v="2049 E Shelby Dr"/>
    <s v="Memphis"/>
    <s v="TN"/>
    <n v="2.11"/>
    <n v="2010"/>
    <n v="7290"/>
    <m/>
    <s v=" "/>
    <m/>
    <s v=" "/>
    <m/>
    <m/>
    <m/>
    <n v="1535000"/>
    <n v="210.562414266118"/>
    <s v=" "/>
    <x v="1344"/>
    <x v="157"/>
    <m/>
    <x v="1141"/>
    <s v="Individual"/>
    <m/>
    <m/>
    <n v="1570000"/>
    <s v=" "/>
    <n v="0.9777070063694268"/>
    <n v="1570000"/>
    <s v=" "/>
    <s v=" "/>
    <s v="No"/>
    <m/>
    <s v=" "/>
  </r>
  <r>
    <s v="DaVita Dialysis"/>
    <s v="4041 N University Pkwy"/>
    <s v="San Bernardino"/>
    <s v="CA"/>
    <n v="0.64"/>
    <n v="2009"/>
    <n v="10200"/>
    <n v="281520"/>
    <n v="27.6"/>
    <m/>
    <s v=" "/>
    <s v="NNN"/>
    <s v="12% every 5 yrs"/>
    <s v="2, 5 yr"/>
    <n v="3850000"/>
    <n v="377.4509803921569"/>
    <n v="0.07312207792207792"/>
    <x v="1345"/>
    <x v="1268"/>
    <m/>
    <x v="1142"/>
    <s v="Individual"/>
    <m/>
    <m/>
    <m/>
    <s v=" "/>
    <s v=" "/>
    <m/>
    <s v=" "/>
    <s v=" "/>
    <s v=" "/>
    <m/>
    <s v=" "/>
  </r>
  <r>
    <s v="Fresenius Medical Care"/>
    <s v="200 Wake Avenue"/>
    <s v="El Centro"/>
    <s v="CA"/>
    <n v="1.62"/>
    <m/>
    <n v="13000"/>
    <n v="315953"/>
    <n v="24.30407692307692"/>
    <d v="2015-10-02T00:00:00"/>
    <n v="4.953424657534247"/>
    <s v="NNN"/>
    <s v="No"/>
    <s v="Not known"/>
    <n v="4250000"/>
    <n v="326.9230769230769"/>
    <n v="0.07434188235294117"/>
    <x v="1346"/>
    <x v="1269"/>
    <m/>
    <x v="163"/>
    <s v="Individual"/>
    <m/>
    <m/>
    <m/>
    <s v=" "/>
    <s v=" "/>
    <m/>
    <s v=" "/>
    <s v=" "/>
    <s v=" "/>
    <m/>
    <s v=" "/>
  </r>
  <r>
    <s v="Fresenius Medical Care"/>
    <s v="3290 Grant St"/>
    <s v="Gary"/>
    <s v="IN"/>
    <n v="1.1"/>
    <n v="2009"/>
    <n v="9580"/>
    <m/>
    <s v=" "/>
    <d v="2024-06-30T00:00:00"/>
    <n v="13.72054794520548"/>
    <s v="NN"/>
    <s v="CPI annually"/>
    <s v="2, 5 yr"/>
    <m/>
    <s v=" "/>
    <s v=" "/>
    <x v="1347"/>
    <x v="566"/>
    <m/>
    <x v="1143"/>
    <s v="Individual"/>
    <m/>
    <m/>
    <m/>
    <s v=" "/>
    <s v=" "/>
    <m/>
    <s v=" "/>
    <s v=" "/>
    <s v=" "/>
    <m/>
    <s v=" "/>
  </r>
  <r>
    <s v="DaVita Dialysis"/>
    <s v="5932 Rugby Ave"/>
    <s v="Huntington Park"/>
    <s v="CA"/>
    <n v="0.51"/>
    <n v="2009"/>
    <n v="7400"/>
    <n v="280608"/>
    <n v="37.92"/>
    <d v="2021-07-31T00:00:00"/>
    <n v="10.94246575342466"/>
    <s v="NNN"/>
    <s v="10% every 5 yrs"/>
    <s v="2, 5 yr"/>
    <n v="3700000"/>
    <n v="500"/>
    <n v="0.07584"/>
    <x v="1348"/>
    <x v="1140"/>
    <m/>
    <x v="1144"/>
    <s v="Individual"/>
    <m/>
    <m/>
    <m/>
    <s v=" "/>
    <s v=" "/>
    <m/>
    <s v=" "/>
    <s v=" "/>
    <s v=" "/>
    <m/>
    <s v=" "/>
  </r>
  <r>
    <s v="Fresenius Medical Care"/>
    <s v="2650 Miracle Mile"/>
    <s v="Bullhead City"/>
    <s v="AZ"/>
    <n v="1.9"/>
    <n v="2009"/>
    <n v="12500"/>
    <n v="341262"/>
    <n v="27.30096"/>
    <d v="2024-12-31T00:00:00"/>
    <n v="14.4"/>
    <s v="NN"/>
    <s v="1.7% annually"/>
    <s v="3, 5 yr"/>
    <n v="4062646"/>
    <n v="325.01168"/>
    <n v="0.08399993501771998"/>
    <x v="1349"/>
    <x v="494"/>
    <s v="M&amp;M; Trautvetter"/>
    <x v="1145"/>
    <s v="Individual"/>
    <s v="CBRE; Lewitt"/>
    <s v="MDG Development Group, LLC"/>
    <n v="4281000"/>
    <n v="0.07971548703573932"/>
    <n v="0.9489946274234992"/>
    <n v="4281000"/>
    <n v="0.07971548703573932"/>
    <n v="0.00428444798198066"/>
    <s v="No"/>
    <d v="2010-06-10T00:00:00"/>
    <n v="62"/>
  </r>
  <r>
    <s v="Fresenius Medical Care"/>
    <s v="3919 Atlanta Highway"/>
    <s v="Hiram"/>
    <s v="GA"/>
    <n v="0"/>
    <n v="2010"/>
    <n v="8370"/>
    <n v="196695"/>
    <n v="23.5"/>
    <d v="2021-02-27T00:00:00"/>
    <n v="10.60821917808219"/>
    <s v="NN"/>
    <s v="12% rental increase in year 6"/>
    <s v="Three (3), five (5) year renewal options"/>
    <n v="2314060"/>
    <n v="276.4707287933094"/>
    <n v="0.08499995678590874"/>
    <x v="1350"/>
    <x v="1194"/>
    <m/>
    <x v="111"/>
    <s v="Fund"/>
    <m/>
    <m/>
    <n v="2538000"/>
    <n v="0.0775"/>
    <n v="0.9117651694247438"/>
    <n v="2538000"/>
    <n v="0.0775"/>
    <n v="0.007499956785908743"/>
    <s v="No"/>
    <m/>
    <s v=" "/>
  </r>
  <r>
    <s v="Fresenius Medical Care"/>
    <s v="3605 Ranch Drive"/>
    <s v="Prescott"/>
    <s v="AZ"/>
    <n v="1"/>
    <n v="2009"/>
    <n v="7500"/>
    <n v="197791"/>
    <n v="26.37213333333333"/>
    <d v="2025-01-30T00:00:00"/>
    <n v="14.55342465753425"/>
    <s v="NN"/>
    <s v="1.7% annually"/>
    <s v="3, 5yr"/>
    <n v="2396200"/>
    <n v="319.4933333333333"/>
    <n v="0.08254361071696853"/>
    <x v="1351"/>
    <x v="494"/>
    <s v="M&amp;M; Trautvetter"/>
    <x v="1005"/>
    <s v="Individual"/>
    <s v="TCP; Morris"/>
    <s v="MDG Development Group, LLC"/>
    <m/>
    <s v=" "/>
    <s v=" "/>
    <m/>
    <s v=" "/>
    <s v=" "/>
    <s v=" "/>
    <m/>
    <s v=" "/>
  </r>
  <r>
    <s v="Fresenius Medical Care"/>
    <s v="2349 US Hwy 74 W"/>
    <s v="Wadesboro"/>
    <s v="NC"/>
    <n v="1.57"/>
    <n v="2009"/>
    <n v="7762"/>
    <n v="144137"/>
    <n v="18.56956969853131"/>
    <d v="2017-06-30T00:00:00"/>
    <n v="6.96986301369863"/>
    <s v="NN"/>
    <s v="1.7% annually"/>
    <s v="3, 5yr"/>
    <n v="1625000"/>
    <n v="209.353259469209"/>
    <n v="0.08869969230769231"/>
    <x v="1352"/>
    <x v="1270"/>
    <m/>
    <x v="1146"/>
    <s v="Individual"/>
    <m/>
    <m/>
    <m/>
    <s v=" "/>
    <s v=" "/>
    <m/>
    <s v=" "/>
    <s v=" "/>
    <s v=" "/>
    <m/>
    <s v=" "/>
  </r>
  <r>
    <s v="Fresenius Medical Care"/>
    <s v="5435 Aldine Mail Route"/>
    <s v="Houston"/>
    <s v="TX"/>
    <n v="0"/>
    <n v="2008"/>
    <n v="9682"/>
    <n v="200736"/>
    <n v="20.7329064242925"/>
    <d v="2018-12-31T00:00:00"/>
    <n v="8.484931506849316"/>
    <s v="NNN"/>
    <s v="not known"/>
    <s v="Three (3), Five (5)_x000a_year renewal options"/>
    <n v="2472000"/>
    <n v="255.3191489361702"/>
    <n v="0.08120388349514564"/>
    <x v="1353"/>
    <x v="956"/>
    <m/>
    <x v="842"/>
    <s v="Fund"/>
    <m/>
    <m/>
    <n v="2590000"/>
    <n v="0.07750424710424711"/>
    <n v="0.9544401544401544"/>
    <n v="2590000"/>
    <n v="0.07750424710424711"/>
    <n v="0.003699636390898528"/>
    <s v="No"/>
    <m/>
    <s v=" "/>
  </r>
  <r>
    <s v="2800 Kelly Dr"/>
    <s v="2800 Kelly Dr"/>
    <s v="Warrington"/>
    <s v="PA"/>
    <m/>
    <n v="2007"/>
    <n v="63612"/>
    <m/>
    <s v=" "/>
    <m/>
    <s v=" "/>
    <m/>
    <m/>
    <m/>
    <n v="11613085"/>
    <n v="182.5612305854241"/>
    <s v=" "/>
    <x v="1354"/>
    <x v="1271"/>
    <m/>
    <x v="1147"/>
    <s v="Individual"/>
    <m/>
    <m/>
    <m/>
    <s v=" "/>
    <s v=" "/>
    <m/>
    <s v=" "/>
    <s v=" "/>
    <s v=" "/>
    <m/>
    <s v=" "/>
  </r>
  <r>
    <s v="DaVita Dialysis"/>
    <s v="5942 Rugby Ave"/>
    <s v="Huntington Park"/>
    <s v="CA"/>
    <n v="0.52"/>
    <n v="2009"/>
    <n v="7400"/>
    <n v="280492"/>
    <n v="37.90432432432432"/>
    <m/>
    <s v=" "/>
    <s v="NN"/>
    <m/>
    <s v="2, 5yr"/>
    <n v="3725000"/>
    <n v="503.3783783783784"/>
    <n v="0.07529986577181208"/>
    <x v="1355"/>
    <x v="1140"/>
    <m/>
    <x v="1144"/>
    <s v="Individual"/>
    <m/>
    <m/>
    <m/>
    <s v=" "/>
    <s v=" "/>
    <m/>
    <s v=" "/>
    <s v=" "/>
    <s v=" "/>
    <m/>
    <s v=" "/>
  </r>
  <r>
    <s v="Fresenius Medical Care"/>
    <s v="1886 Stallion Pky."/>
    <s v="Austell (Atlanta)"/>
    <s v="GA"/>
    <n v="0"/>
    <n v="2009"/>
    <n v="11610"/>
    <n v="233060"/>
    <n v="20.07407407407407"/>
    <d v="2021-04-21T00:00:00"/>
    <n v="10.92876712328767"/>
    <s v="NN"/>
    <s v="10% rental increase in year 7"/>
    <s v="Three (3), five (5) year renewal options"/>
    <n v="2882000"/>
    <n v="248.2342807924203"/>
    <n v="0.0808674531575295"/>
    <x v="1356"/>
    <x v="1194"/>
    <m/>
    <x v="1053"/>
    <s v="Individual"/>
    <m/>
    <m/>
    <n v="3007226"/>
    <n v="0.07749999501201439"/>
    <n v="0.9583583009723912"/>
    <n v="3007226"/>
    <n v="0.07749999501201439"/>
    <n v="0.003367458145515104"/>
    <s v="No"/>
    <m/>
    <s v=" "/>
  </r>
  <r>
    <s v="Fresenius Medical Care"/>
    <s v="204 N Triangle Dr"/>
    <s v="Ponderay"/>
    <s v="ID"/>
    <n v="1"/>
    <n v="1989"/>
    <n v="7676"/>
    <n v="185520"/>
    <n v="24.16883793642522"/>
    <d v="2021-01-31T00:00:00"/>
    <n v="10.78356164383562"/>
    <s v="NN"/>
    <s v="FMV at each option"/>
    <s v="3, 5yr"/>
    <n v="1815000"/>
    <n v="236.451276706618"/>
    <n v="0.1022148760330578"/>
    <x v="1357"/>
    <x v="494"/>
    <s v="M&amp;M; Trautvetter"/>
    <x v="1090"/>
    <s v="Individual"/>
    <s v="M&amp;M; Roti"/>
    <s v="MDG Development Group, LLC"/>
    <m/>
    <s v=" "/>
    <s v=" "/>
    <m/>
    <s v=" "/>
    <s v=" "/>
    <s v=" "/>
    <m/>
    <s v=" "/>
  </r>
  <r>
    <s v="Fresenius Medical Care"/>
    <s v="204 N. Triangle Dr."/>
    <s v="Sandpoint"/>
    <s v="ID"/>
    <n v="1"/>
    <n v="2009"/>
    <n v="7661"/>
    <n v="166980"/>
    <n v="21.79611016838533"/>
    <m/>
    <s v=" "/>
    <m/>
    <m/>
    <m/>
    <n v="1815000"/>
    <n v="236.9142409607101"/>
    <n v="0.092"/>
    <x v="1357"/>
    <x v="1272"/>
    <m/>
    <x v="1148"/>
    <s v="Individual"/>
    <m/>
    <s v="MDG-FRE VIII, LP"/>
    <m/>
    <s v=" "/>
    <s v=" "/>
    <m/>
    <s v=" "/>
    <s v=" "/>
    <s v=" "/>
    <m/>
    <s v=" "/>
  </r>
  <r>
    <s v="Fresenius Medical Care"/>
    <s v="783 New Hwy 68"/>
    <s v="Sweetwater"/>
    <s v="TN"/>
    <n v="1.17"/>
    <n v="2009"/>
    <n v="8690"/>
    <n v="152075"/>
    <n v="17.5"/>
    <d v="2021-06-30T00:00:00"/>
    <n v="11.25479452054794"/>
    <s v="NN"/>
    <s v="12% in yr 7"/>
    <s v="2, 5 yr"/>
    <n v="1610000"/>
    <n v="185.2704257767549"/>
    <n v="0.09445652173913044"/>
    <x v="1358"/>
    <x v="1194"/>
    <s v="M&amp;M; Munn"/>
    <x v="1149"/>
    <s v="Individual"/>
    <s v="M&amp;M; Rea"/>
    <m/>
    <m/>
    <s v=" "/>
    <s v=" "/>
    <m/>
    <s v=" "/>
    <s v=" "/>
    <s v=" "/>
    <m/>
    <s v=" "/>
  </r>
  <r>
    <m/>
    <m/>
    <s v="Fallon"/>
    <s v="NV"/>
    <n v="1.3"/>
    <m/>
    <n v="8000"/>
    <n v="193732"/>
    <n v="24.2165"/>
    <m/>
    <s v=" "/>
    <s v="NN"/>
    <s v="3% annual"/>
    <m/>
    <n v="2150000"/>
    <n v="268.75"/>
    <n v="0.09010790697674419"/>
    <x v="1358"/>
    <x v="13"/>
    <m/>
    <x v="0"/>
    <s v="Individual"/>
    <m/>
    <m/>
    <m/>
    <s v=" "/>
    <s v=" "/>
    <m/>
    <s v=" "/>
    <s v=" "/>
    <s v=" "/>
    <m/>
    <s v=" "/>
  </r>
  <r>
    <s v="Fresenius Medical Care"/>
    <s v="1215 Maplewood Ave"/>
    <s v="Lewisburg"/>
    <s v="WV"/>
    <n v="1.76"/>
    <n v="2009"/>
    <n v="7417"/>
    <n v="170591.04"/>
    <n v="23.00000539301605"/>
    <d v="2024-07-30T00:00:00"/>
    <n v="14.34246575342466"/>
    <s v="NN"/>
    <s v="11.75% in year 6"/>
    <s v="3, 5yr"/>
    <n v="2010415"/>
    <n v="271.0550087636511"/>
    <n v="0.08485364464550851"/>
    <x v="1359"/>
    <x v="1273"/>
    <m/>
    <x v="1150"/>
    <s v="Individual"/>
    <m/>
    <s v="WT Dubois Construction"/>
    <n v="2118475"/>
    <n v="0.08052539680666518"/>
    <n v="0.9489916095304405"/>
    <n v="2118475"/>
    <n v="0.08052539680666518"/>
    <n v="0.004328247838843335"/>
    <s v="No"/>
    <m/>
    <s v=" "/>
  </r>
  <r>
    <s v="DaVita Dialysis"/>
    <s v="1210 Hicks Blvd"/>
    <s v="Fairfield"/>
    <s v="OH"/>
    <m/>
    <m/>
    <n v="7000"/>
    <n v="80527"/>
    <n v="11.50385714285714"/>
    <m/>
    <s v=" "/>
    <m/>
    <m/>
    <m/>
    <n v="675000"/>
    <n v="96.42857142857143"/>
    <n v="0.1192992592592593"/>
    <x v="1360"/>
    <x v="1274"/>
    <m/>
    <x v="1151"/>
    <s v="Individual"/>
    <m/>
    <m/>
    <m/>
    <s v=" "/>
    <s v=" "/>
    <m/>
    <s v=" "/>
    <s v=" "/>
    <s v=" "/>
    <m/>
    <s v=" "/>
  </r>
  <r>
    <s v="Fresenius Medical Care"/>
    <s v="1210 Milita Ct"/>
    <s v="Elizabeth"/>
    <s v="TN"/>
    <m/>
    <m/>
    <n v="7520"/>
    <n v="137970"/>
    <n v="18.34707446808511"/>
    <m/>
    <s v=" "/>
    <m/>
    <m/>
    <m/>
    <n v="1575000"/>
    <n v="209.4414893617021"/>
    <n v="0.0876"/>
    <x v="1361"/>
    <x v="1275"/>
    <m/>
    <x v="1152"/>
    <s v="Individual"/>
    <m/>
    <s v="WT Dubois Construction"/>
    <m/>
    <s v=" "/>
    <s v=" "/>
    <m/>
    <s v=" "/>
    <s v=" "/>
    <s v=" "/>
    <m/>
    <s v=" "/>
  </r>
  <r>
    <s v="Fresenius Medical Care"/>
    <s v="193 Brown Junction Rd."/>
    <s v="Centerville"/>
    <s v="TN"/>
    <n v="1.01"/>
    <n v="2008"/>
    <n v="6730"/>
    <n v="120736"/>
    <n v="17.93997028231798"/>
    <d v="2019-12-31T00:00:00"/>
    <n v="9.841095890410958"/>
    <s v="NN"/>
    <s v="10% in Yr 6"/>
    <s v="3,5 year options"/>
    <n v="1300000"/>
    <n v="193.1649331352154"/>
    <n v="0.09287384615384615"/>
    <x v="1362"/>
    <x v="1276"/>
    <s v="M&amp;M; Roti"/>
    <x v="1090"/>
    <s v="Individual"/>
    <m/>
    <m/>
    <m/>
    <s v=" "/>
    <s v=" "/>
    <m/>
    <s v=" "/>
    <s v=" "/>
    <s v=" "/>
    <m/>
    <s v=" "/>
  </r>
  <r>
    <s v="DaVita Dialysis"/>
    <s v="8111 S Western Ave"/>
    <s v="Chicago"/>
    <s v="IL"/>
    <n v="0.4"/>
    <n v="2009"/>
    <n v="8000"/>
    <n v="141840"/>
    <n v="17.73"/>
    <m/>
    <s v=" "/>
    <s v="NN"/>
    <s v="2% annual"/>
    <s v="3, 5 yr"/>
    <n v="1725000"/>
    <n v="215.625"/>
    <n v="0.08222608695652174"/>
    <x v="1363"/>
    <x v="1277"/>
    <m/>
    <x v="1153"/>
    <s v="Individual"/>
    <m/>
    <m/>
    <m/>
    <s v=" "/>
    <s v=" "/>
    <m/>
    <s v=" "/>
    <s v=" "/>
    <s v=" "/>
    <m/>
    <s v=" "/>
  </r>
  <r>
    <s v="Fresenius Medical Care"/>
    <s v="530 South First Avenue"/>
    <s v="Othello"/>
    <s v="WA"/>
    <n v="1"/>
    <n v="2009"/>
    <n v="5215"/>
    <n v="172009"/>
    <n v="32.98350910834132"/>
    <d v="2021-07-31T00:00:00"/>
    <n v="11.50958904109589"/>
    <s v="NN"/>
    <s v="1.7% annually"/>
    <s v="3, 5 yr"/>
    <n v="2000105"/>
    <n v="383.529242569511"/>
    <n v="0.08599998500078745"/>
    <x v="1364"/>
    <x v="494"/>
    <s v="M&amp;M; Trautvetter"/>
    <x v="1154"/>
    <s v="Individual"/>
    <s v="Theron Meier"/>
    <s v="MDG Development Group, LLC"/>
    <n v="2084954"/>
    <n v="0.08250014148993215"/>
    <n v="0.9593041381248699"/>
    <n v="2084954"/>
    <n v="0.08250014148993215"/>
    <n v="0.003499843510855305"/>
    <s v="No"/>
    <d v="2009-10-07T00:00:00"/>
    <n v="114"/>
  </r>
  <r>
    <s v="DaVita Dialysis"/>
    <s v="2517 Jensen Ave, Bldg B"/>
    <s v="Sanger"/>
    <s v="CA"/>
    <n v="1"/>
    <n v="2010"/>
    <n v="6500"/>
    <n v="183883.56"/>
    <n v="28.28977846153846"/>
    <d v="2022-02-01T00:00:00"/>
    <n v="12.04383561643836"/>
    <s v="NN"/>
    <s v="CPI increases annually; FMV at each option"/>
    <s v="2, 5yr"/>
    <n v="2100000"/>
    <n v="323.0769230769231"/>
    <n v="0.08756360000000001"/>
    <x v="1365"/>
    <x v="1278"/>
    <m/>
    <x v="0"/>
    <s v="Individual"/>
    <m/>
    <m/>
    <m/>
    <s v=" "/>
    <s v=" "/>
    <m/>
    <s v=" "/>
    <s v=" "/>
    <s v=" "/>
    <m/>
    <s v=" "/>
  </r>
  <r>
    <s v="Fresenius Medical Care"/>
    <s v="732 E. Emory Rd."/>
    <s v="Knoxville"/>
    <s v="TN"/>
    <n v="1.44"/>
    <n v="2008"/>
    <n v="10951"/>
    <n v="208069"/>
    <n v="19"/>
    <m/>
    <s v=" "/>
    <s v="NN"/>
    <s v="12% in yr 7"/>
    <m/>
    <n v="2390000"/>
    <n v="218.2449091407177"/>
    <n v="0.0870581589958159"/>
    <x v="1366"/>
    <x v="1279"/>
    <m/>
    <x v="1155"/>
    <s v="Individual"/>
    <m/>
    <m/>
    <m/>
    <s v=" "/>
    <s v=" "/>
    <m/>
    <s v=" "/>
    <s v=" "/>
    <s v=" "/>
    <m/>
    <s v=" "/>
  </r>
  <r>
    <s v="DaVita Dialysis"/>
    <s v="1757 Candler Rd"/>
    <s v="Decatur"/>
    <s v="GA"/>
    <n v="0.66"/>
    <n v="1950"/>
    <n v="7750"/>
    <n v="124085"/>
    <n v="16.01096774193548"/>
    <m/>
    <s v=" "/>
    <s v="NN"/>
    <s v="3% annual"/>
    <m/>
    <n v="1400000"/>
    <n v="180.6451612903226"/>
    <n v="0.08863214285714285"/>
    <x v="1367"/>
    <x v="1280"/>
    <m/>
    <x v="1156"/>
    <s v="Individual"/>
    <m/>
    <m/>
    <m/>
    <s v=" "/>
    <s v=" "/>
    <m/>
    <s v=" "/>
    <s v=" "/>
    <s v=" "/>
    <m/>
    <s v=" "/>
  </r>
  <r>
    <s v="DaVita Dialysis"/>
    <s v="335 Cooper Point Rd"/>
    <s v="Olympia"/>
    <s v="WA"/>
    <n v="0.65"/>
    <n v="2009"/>
    <n v="7084"/>
    <m/>
    <s v=" "/>
    <m/>
    <s v=" "/>
    <m/>
    <m/>
    <m/>
    <n v="2700000"/>
    <n v="381.1405985319029"/>
    <s v=" "/>
    <x v="1368"/>
    <x v="565"/>
    <m/>
    <x v="1157"/>
    <s v="Individual"/>
    <m/>
    <m/>
    <n v="2825000"/>
    <s v=" "/>
    <n v="0.9557522123893806"/>
    <n v="2825000"/>
    <s v=" "/>
    <s v=" "/>
    <s v="No"/>
    <m/>
    <s v=" "/>
  </r>
  <r>
    <s v="DaVita Dialysis"/>
    <s v="704 S Dickerson St"/>
    <s v="Burgaw "/>
    <s v="NC"/>
    <n v="2.73"/>
    <n v="2016"/>
    <n v="8876"/>
    <n v="112040"/>
    <n v="12.62280306444344"/>
    <d v="2022-04-30T00:00:00"/>
    <n v="12.75616438356164"/>
    <s v="NN"/>
    <s v="CPI annually"/>
    <s v="3, 5 yr"/>
    <n v="1418228"/>
    <n v="159.782334384858"/>
    <n v="0.07899999153873707"/>
    <x v="1369"/>
    <x v="351"/>
    <s v="M&amp;M; Glass"/>
    <x v="1158"/>
    <s v="Individual"/>
    <m/>
    <m/>
    <n v="1445677"/>
    <n v="0.07750002248081694"/>
    <n v="0.9810130478661554"/>
    <n v="1445677"/>
    <n v="0.07750002248081694"/>
    <n v="0.001499969057920131"/>
    <s v="No"/>
    <d v="2009-03-26T00:00:00"/>
    <n v="127"/>
  </r>
  <r>
    <s v="DaVita Dialysis"/>
    <s v="3812 E Belknap St"/>
    <s v="Forth Worth"/>
    <s v="TX"/>
    <n v="0.8100000000000001"/>
    <n v="1997"/>
    <n v="6500"/>
    <n v="101700"/>
    <n v="15.64615384615385"/>
    <m/>
    <s v=" "/>
    <m/>
    <m/>
    <m/>
    <n v="900000"/>
    <n v="138.4615384615385"/>
    <n v="0.113"/>
    <x v="1369"/>
    <x v="1281"/>
    <m/>
    <x v="1159"/>
    <s v="Individual"/>
    <m/>
    <m/>
    <m/>
    <s v=" "/>
    <s v=" "/>
    <m/>
    <s v=" "/>
    <s v=" "/>
    <s v=" "/>
    <m/>
    <s v=" "/>
  </r>
  <r>
    <s v="DaVita Dialysis"/>
    <s v="640 Executive Park Ct."/>
    <s v="Apopka"/>
    <s v="FL"/>
    <n v="1.17"/>
    <n v="2006"/>
    <n v="8586"/>
    <m/>
    <s v=" "/>
    <m/>
    <s v=" "/>
    <m/>
    <m/>
    <m/>
    <n v="2825000"/>
    <n v="329.0239925460051"/>
    <s v=" "/>
    <x v="1370"/>
    <x v="1282"/>
    <m/>
    <x v="0"/>
    <s v="Individual"/>
    <m/>
    <s v="Renal Properties - Sanford LLC"/>
    <n v="2975000"/>
    <s v=" "/>
    <n v="0.9495798319327731"/>
    <n v="2975000"/>
    <s v=" "/>
    <s v=" "/>
    <s v="No"/>
    <m/>
    <s v=" "/>
  </r>
  <r>
    <s v="DaVita Dialysis"/>
    <s v="4770 Shallotte Ave "/>
    <s v="Shallotte "/>
    <s v="NC"/>
    <n v="0.65"/>
    <n v="2004"/>
    <n v="7857"/>
    <n v="124084"/>
    <n v="15.79279623265877"/>
    <d v="2018-07-31T00:00:00"/>
    <n v="9.178082191780822"/>
    <s v="NN"/>
    <s v="FMV"/>
    <s v="2, 5yr"/>
    <n v="1260000"/>
    <n v="160.3665521191294"/>
    <n v="0.09847936507936508"/>
    <x v="1371"/>
    <x v="1283"/>
    <m/>
    <x v="1160"/>
    <s v="Individual"/>
    <m/>
    <m/>
    <m/>
    <s v=" "/>
    <s v=" "/>
    <m/>
    <s v=" "/>
    <s v=" "/>
    <s v=" "/>
    <m/>
    <s v=" "/>
  </r>
  <r>
    <s v="Fresenius Medical Care"/>
    <s v="1060 2nd St NW"/>
    <s v="Salem"/>
    <s v="OR"/>
    <n v="0.78"/>
    <n v="2009"/>
    <n v="5915"/>
    <n v="233370"/>
    <n v="39.45393068469991"/>
    <d v="2021-02-14T00:00:00"/>
    <n v="11.77260273972603"/>
    <s v="NN"/>
    <s v="1.7% annually"/>
    <s v="3, 5yr"/>
    <n v="2709479"/>
    <n v="458.069146238377"/>
    <n v="0.08613094989848602"/>
    <x v="1372"/>
    <x v="494"/>
    <s v="SJC; Cropper"/>
    <x v="1161"/>
    <s v="Individual"/>
    <s v="M&amp;M; Trautvetter"/>
    <s v="MDG Development Group, LLC"/>
    <n v="3069500"/>
    <n v="0.07602866916435902"/>
    <n v="0.8827102133898029"/>
    <n v="3069500"/>
    <n v="0.07602866916435902"/>
    <n v="0.010102280734127"/>
    <s v="No"/>
    <d v="2009-03-18T00:00:00"/>
    <n v="54"/>
  </r>
  <r>
    <s v="DaVita Dialysis"/>
    <s v="101 Dialysis Dr"/>
    <s v="Elizabethtown"/>
    <s v="NC"/>
    <n v="1"/>
    <n v="1999"/>
    <n v="8308"/>
    <n v="200428"/>
    <n v="24.12469908521907"/>
    <d v="2021-07-31T00:00:00"/>
    <n v="12.24383561643836"/>
    <s v="NN"/>
    <s v="FMV"/>
    <s v="2, 5 yr"/>
    <n v="2075000"/>
    <n v="249.7592681752528"/>
    <n v="0.09659180722891567"/>
    <x v="1373"/>
    <x v="1283"/>
    <m/>
    <x v="1160"/>
    <s v="Individual"/>
    <m/>
    <m/>
    <m/>
    <s v=" "/>
    <s v=" "/>
    <m/>
    <s v=" "/>
    <s v=" "/>
    <s v=" "/>
    <m/>
    <s v=" "/>
  </r>
  <r>
    <s v="Fresenius Medical Care"/>
    <s v="2133 Lockwood Dr."/>
    <s v="Houston"/>
    <s v="TX"/>
    <n v="0"/>
    <n v="2008"/>
    <n v="7450"/>
    <m/>
    <s v=" "/>
    <d v="2015-10-02T00:00:00"/>
    <n v="6.424657534246576"/>
    <s v="NNN"/>
    <s v="not known"/>
    <s v="not known"/>
    <n v="2010000"/>
    <n v="269.7986577181208"/>
    <s v=" "/>
    <x v="1374"/>
    <x v="1284"/>
    <m/>
    <x v="0"/>
    <s v="Individual"/>
    <m/>
    <s v="Rockwell TIC Inc"/>
    <n v="2010000"/>
    <s v=" "/>
    <n v="1"/>
    <n v="2010000"/>
    <s v=" "/>
    <s v=" "/>
    <s v="No"/>
    <m/>
    <s v=" "/>
  </r>
  <r>
    <s v="Fresenius Medical Care"/>
    <s v="1507 Hillview Dr."/>
    <s v="Hillsboro"/>
    <s v="TX"/>
    <n v="0"/>
    <n v="2005"/>
    <n v="8500"/>
    <n v="95625"/>
    <n v="11.25"/>
    <d v="2020-08-31T00:00:00"/>
    <n v="11.44931506849315"/>
    <s v="NNN"/>
    <s v="not known"/>
    <s v="2, (5) year renewal options"/>
    <n v="1233000"/>
    <n v="145.0588235294118"/>
    <n v="0.07755474452554745"/>
    <x v="1375"/>
    <x v="1209"/>
    <m/>
    <x v="1162"/>
    <s v="Individual"/>
    <m/>
    <m/>
    <n v="1319000"/>
    <n v="0.07249810462471569"/>
    <n v="0.9347990902198635"/>
    <n v="1319000"/>
    <n v="0.07249810462471569"/>
    <n v="0.005056639900831758"/>
    <s v="No"/>
    <m/>
    <s v=" "/>
  </r>
  <r>
    <s v="DaVita Dialysis"/>
    <s v="1059 SE 82nd St"/>
    <s v="Oklahoma City"/>
    <s v="OK"/>
    <n v="0.76"/>
    <n v="2009"/>
    <n v="7000"/>
    <n v="117122.7272727273"/>
    <n v="16.73181818181818"/>
    <d v="2021-11-30T00:00:00"/>
    <n v="13.00547945205479"/>
    <s v="NN"/>
    <s v="10% every 5"/>
    <s v="3, 5yr"/>
    <n v="1181000"/>
    <n v="168.7142857142857"/>
    <n v="0.09917250404125932"/>
    <x v="1376"/>
    <x v="1285"/>
    <m/>
    <x v="1163"/>
    <s v="Individual"/>
    <m/>
    <m/>
    <n v="1181000"/>
    <n v="0.09917250404125932"/>
    <n v="1"/>
    <m/>
    <s v=" "/>
    <s v=" "/>
    <s v=" "/>
    <m/>
    <s v=" "/>
  </r>
  <r>
    <s v="Fresenius Medical Care"/>
    <s v="2390 E 29th St"/>
    <s v="Bryan"/>
    <s v="TX"/>
    <n v="1.5"/>
    <n v="2008"/>
    <n v="11520"/>
    <m/>
    <s v=" "/>
    <m/>
    <s v=" "/>
    <m/>
    <m/>
    <m/>
    <n v="1726352"/>
    <n v="149.8569444444445"/>
    <s v=" "/>
    <x v="1377"/>
    <x v="13"/>
    <m/>
    <x v="1164"/>
    <s v="Individual"/>
    <m/>
    <m/>
    <m/>
    <s v=" "/>
    <s v=" "/>
    <m/>
    <s v=" "/>
    <s v=" "/>
    <s v=" "/>
    <m/>
    <s v=" "/>
  </r>
  <r>
    <s v="Fresenius Medical Care"/>
    <s v="862 W James Campbell Blvd"/>
    <s v="Columbia"/>
    <s v="TN"/>
    <n v="1.93"/>
    <n v="2007"/>
    <n v="14514"/>
    <n v="210250"/>
    <n v="14.48601350420284"/>
    <d v="2020-02-28T00:00:00"/>
    <n v="11.35890410958904"/>
    <s v="NN"/>
    <s v="10% every 5"/>
    <s v="3, 5 yr"/>
    <n v="2900000"/>
    <n v="199.8070828165909"/>
    <n v="0.0725"/>
    <x v="1378"/>
    <x v="1286"/>
    <m/>
    <x v="1165"/>
    <s v="Individual"/>
    <m/>
    <m/>
    <m/>
    <s v=" "/>
    <s v=" "/>
    <m/>
    <s v=" "/>
    <s v=" "/>
    <s v=" "/>
    <m/>
    <s v=" "/>
  </r>
  <r>
    <s v="Fresenius Medical Care"/>
    <s v="1090 S Grove Street Ext"/>
    <s v="Lincolnton"/>
    <s v="NC"/>
    <n v="2.6"/>
    <n v="2008"/>
    <n v="11544"/>
    <n v="174633"/>
    <n v="15.12759875259875"/>
    <d v="2022-05-31T00:00:00"/>
    <n v="13.65753424657534"/>
    <s v="NN"/>
    <s v="1.7% annually"/>
    <s v="2, 5 yr"/>
    <n v="2025000"/>
    <n v="175.4158004158004"/>
    <n v="0.08623851851851852"/>
    <x v="1379"/>
    <x v="1270"/>
    <m/>
    <x v="1166"/>
    <s v="Individual"/>
    <m/>
    <m/>
    <m/>
    <s v=" "/>
    <s v=" "/>
    <m/>
    <s v=" "/>
    <s v=" "/>
    <s v=" "/>
    <m/>
    <s v=" "/>
  </r>
  <r>
    <s v="Fresenius Medical Care"/>
    <s v="9000 Block of Kingston Road"/>
    <s v="Shreveport"/>
    <s v="LA"/>
    <n v="2"/>
    <m/>
    <n v="8562"/>
    <m/>
    <s v=" "/>
    <d v="2018-04-01T00:00:00"/>
    <n v="9.501369863013698"/>
    <m/>
    <m/>
    <m/>
    <n v="2436000"/>
    <n v="284.5129642606868"/>
    <s v=" "/>
    <x v="1380"/>
    <x v="1234"/>
    <m/>
    <x v="111"/>
    <s v="Fund"/>
    <m/>
    <m/>
    <n v="2571000"/>
    <s v=" "/>
    <n v="0.9474912485414235"/>
    <n v="2571000"/>
    <s v=" "/>
    <s v=" "/>
    <s v="No"/>
    <m/>
    <s v=" "/>
  </r>
  <r>
    <s v="Fresenius Medical Care"/>
    <s v="2800 Palmilla Rd NW"/>
    <s v="Los Lunas"/>
    <s v="NM"/>
    <n v="1.330005"/>
    <n v="2008"/>
    <n v="8017"/>
    <m/>
    <s v=" "/>
    <m/>
    <s v=" "/>
    <m/>
    <m/>
    <m/>
    <n v="1393750"/>
    <n v="173.8493201945865"/>
    <s v=" "/>
    <x v="1381"/>
    <x v="758"/>
    <m/>
    <x v="1167"/>
    <s v="Individual"/>
    <m/>
    <m/>
    <m/>
    <s v=" "/>
    <s v=" "/>
    <m/>
    <s v=" "/>
    <s v=" "/>
    <s v=" "/>
    <m/>
    <s v=" "/>
  </r>
  <r>
    <s v="Fresenius Medical Care"/>
    <s v="1900 E 23rd St"/>
    <s v="Hutchinson"/>
    <s v="KS"/>
    <n v="1.5"/>
    <m/>
    <n v="7000"/>
    <m/>
    <s v=" "/>
    <m/>
    <s v=" "/>
    <m/>
    <m/>
    <m/>
    <n v="1250000"/>
    <n v="178.5714285714286"/>
    <s v=" "/>
    <x v="1381"/>
    <x v="1225"/>
    <m/>
    <x v="870"/>
    <s v="Individual"/>
    <m/>
    <m/>
    <n v="1237500"/>
    <s v=" "/>
    <n v="1.01010101010101"/>
    <n v="1237500"/>
    <s v=" "/>
    <s v=" "/>
    <s v="No"/>
    <m/>
    <s v=" "/>
  </r>
  <r>
    <s v="Fresenius Medical Care"/>
    <s v="1010 War Eagle Dr."/>
    <s v="Lewisburg"/>
    <s v="TN"/>
    <n v="1.93"/>
    <n v="2008"/>
    <n v="6730"/>
    <m/>
    <s v=" "/>
    <m/>
    <s v=" "/>
    <m/>
    <m/>
    <m/>
    <n v="1617000"/>
    <n v="240.2674591381872"/>
    <s v=" "/>
    <x v="1382"/>
    <x v="1194"/>
    <m/>
    <x v="870"/>
    <s v="Individual"/>
    <m/>
    <m/>
    <n v="1729000"/>
    <s v=" "/>
    <n v="0.9352226720647774"/>
    <n v="1729000"/>
    <s v=" "/>
    <s v=" "/>
    <s v="No"/>
    <m/>
    <s v=" "/>
  </r>
  <r>
    <s v="DaVita Dialysis"/>
    <s v="7525 Wayzata Blvd"/>
    <s v="Saint Louis Park"/>
    <s v="MN"/>
    <m/>
    <n v="2008"/>
    <n v="8000"/>
    <m/>
    <s v=" "/>
    <m/>
    <s v=" "/>
    <m/>
    <m/>
    <m/>
    <n v="300000"/>
    <n v="37.5"/>
    <s v=" "/>
    <x v="1383"/>
    <x v="1287"/>
    <m/>
    <x v="1168"/>
    <s v="Individual"/>
    <m/>
    <m/>
    <n v="3000000"/>
    <s v=" "/>
    <n v="0.1"/>
    <n v="3000000"/>
    <s v=" "/>
    <s v=" "/>
    <s v="No"/>
    <m/>
    <s v=" "/>
  </r>
  <r>
    <s v="Fresenius Medical Care"/>
    <s v="1717 S Wabash Avenue"/>
    <s v="Chicago"/>
    <s v="IL"/>
    <n v="0.53"/>
    <n v="1975"/>
    <n v="10710"/>
    <n v="257147"/>
    <n v="24.00999066293184"/>
    <m/>
    <s v=" "/>
    <m/>
    <m/>
    <m/>
    <n v="3867500"/>
    <n v="361.1111111111111"/>
    <n v="0.06648920491273433"/>
    <x v="1384"/>
    <x v="1288"/>
    <m/>
    <x v="1169"/>
    <s v="User"/>
    <m/>
    <m/>
    <n v="3867500"/>
    <n v="0.06648920491273433"/>
    <n v="1"/>
    <m/>
    <s v=" "/>
    <s v=" "/>
    <s v=" "/>
    <d v="2008-03-29T00:00:00"/>
    <n v="109"/>
  </r>
  <r>
    <s v="DaVita Dialysis"/>
    <s v="101 Dialysis Dr"/>
    <s v="Elizabethtown"/>
    <s v="NC"/>
    <n v="1"/>
    <n v="1999"/>
    <n v="8308"/>
    <n v="200428"/>
    <n v="24.12469908521907"/>
    <d v="2021-07-31T00:00:00"/>
    <n v="13.0986301369863"/>
    <s v="NN"/>
    <s v="FMV"/>
    <s v="2, 5 yr"/>
    <n v="1827000"/>
    <n v="219.9085219065961"/>
    <n v="0.1097033388067871"/>
    <x v="1385"/>
    <x v="1289"/>
    <m/>
    <x v="1170"/>
    <s v="Individual"/>
    <m/>
    <m/>
    <m/>
    <s v=" "/>
    <s v=" "/>
    <m/>
    <s v=" "/>
    <s v=" "/>
    <s v=" "/>
    <m/>
    <s v=" "/>
  </r>
  <r>
    <s v="DaVita Dialysis"/>
    <s v="4770 Shallotte Ave "/>
    <s v="Shallotte "/>
    <s v="NC"/>
    <n v="0.65"/>
    <n v="2004"/>
    <n v="7857"/>
    <n v="124084"/>
    <n v="15.79279623265877"/>
    <d v="2018-07-31T00:00:00"/>
    <n v="10.1013698630137"/>
    <s v="NN"/>
    <s v="FMV"/>
    <s v="2, 5yr"/>
    <n v="1195000"/>
    <n v="152.0936744304442"/>
    <n v="0.1038359832635983"/>
    <x v="1386"/>
    <x v="1289"/>
    <m/>
    <x v="1170"/>
    <s v="Individual"/>
    <m/>
    <m/>
    <m/>
    <s v=" "/>
    <s v=" "/>
    <m/>
    <s v=" "/>
    <s v=" "/>
    <s v=" "/>
    <m/>
    <s v=" "/>
  </r>
  <r>
    <s v="DaVita Dialysis"/>
    <s v="704 S Dickerson St"/>
    <s v="Burgaw "/>
    <s v="NC"/>
    <n v="2.73"/>
    <n v="2016"/>
    <n v="8876"/>
    <n v="112040"/>
    <n v="12.62280306444344"/>
    <d v="2022-04-30T00:00:00"/>
    <n v="13.86027397260274"/>
    <s v="NN"/>
    <s v="CPI annually"/>
    <s v="3, 5 yr"/>
    <n v="1221500"/>
    <n v="137.6182965299685"/>
    <n v="0.09172329103561196"/>
    <x v="1387"/>
    <x v="1289"/>
    <m/>
    <x v="330"/>
    <s v="Fund"/>
    <m/>
    <m/>
    <m/>
    <s v=" "/>
    <s v=" "/>
    <m/>
    <s v=" "/>
    <s v=" "/>
    <s v=" "/>
    <m/>
    <s v=" "/>
  </r>
  <r>
    <m/>
    <s v="1202 E. Sonterra Blvd."/>
    <s v="San Antonio"/>
    <s v="TX"/>
    <n v="1.82"/>
    <n v="2006"/>
    <n v="21356"/>
    <m/>
    <s v=" "/>
    <d v="2021-04-01T00:00:00"/>
    <n v="12.96164383561644"/>
    <m/>
    <m/>
    <m/>
    <n v="5733385"/>
    <n v="268.4671755010302"/>
    <s v=" "/>
    <x v="1388"/>
    <x v="703"/>
    <m/>
    <x v="1171"/>
    <s v="Individual"/>
    <m/>
    <m/>
    <n v="6120300"/>
    <s v=" "/>
    <n v="0.9367816937078248"/>
    <n v="6120300"/>
    <s v=" "/>
    <s v=" "/>
    <s v="No"/>
    <m/>
    <s v=" "/>
  </r>
  <r>
    <s v="Fresenius Medical Care"/>
    <s v="3314 Longmire"/>
    <s v="College Station"/>
    <s v="TX"/>
    <n v="0.1722"/>
    <n v="1999"/>
    <n v="7267"/>
    <m/>
    <s v=" "/>
    <m/>
    <s v=" "/>
    <m/>
    <m/>
    <m/>
    <n v="1735000"/>
    <n v="238.7505160313747"/>
    <s v=" "/>
    <x v="1389"/>
    <x v="13"/>
    <m/>
    <x v="1172"/>
    <s v="Individual"/>
    <m/>
    <m/>
    <m/>
    <s v=" "/>
    <s v=" "/>
    <m/>
    <s v=" "/>
    <s v=" "/>
    <s v=" "/>
    <m/>
    <s v=" "/>
  </r>
  <r>
    <s v="Fresenius Medical Care"/>
    <s v="177 Laurel Creek Rd."/>
    <s v="Fayetteville"/>
    <s v="WV"/>
    <n v="1.55"/>
    <n v="2007"/>
    <n v="6671"/>
    <n v="118243"/>
    <n v="17.72492879628242"/>
    <d v="2020-01-27T00:00:00"/>
    <n v="11.91780821917808"/>
    <s v="NN"/>
    <s v="10% every 5 years"/>
    <s v="2, 5yr"/>
    <n v="1642376"/>
    <n v="246.1963723579673"/>
    <n v="0.07199508516929132"/>
    <x v="1390"/>
    <x v="494"/>
    <s v="SJC"/>
    <x v="1173"/>
    <s v="Individual"/>
    <m/>
    <s v="MDG Development Group, LLC"/>
    <m/>
    <s v=" "/>
    <s v=" "/>
    <m/>
    <s v=" "/>
    <s v=" "/>
    <s v=" "/>
    <m/>
    <s v=" "/>
  </r>
  <r>
    <s v="DaVita Dialysis"/>
    <s v="5610 W Gage St"/>
    <s v="Boise"/>
    <s v="ID"/>
    <n v="1.31"/>
    <n v="1997"/>
    <n v="13662"/>
    <n v="283534"/>
    <n v="20.75347679695506"/>
    <d v="2016-03-31T00:00:00"/>
    <n v="8.098630136986301"/>
    <s v="NN"/>
    <s v="10% every 5"/>
    <s v="3, 5yr"/>
    <n v="4500000"/>
    <n v="329.3807641633729"/>
    <n v="0.06300755555555555"/>
    <x v="1391"/>
    <x v="1290"/>
    <s v="SVN; Cooper"/>
    <x v="1174"/>
    <s v="Individual"/>
    <s v="Cliff Gustin"/>
    <m/>
    <n v="4536544"/>
    <n v="0.0625"/>
    <n v="0.9919445286984983"/>
    <n v="4536544"/>
    <n v="0.0625"/>
    <n v="0.0005075555555555528"/>
    <s v="No"/>
    <d v="2007-08-20T00:00:00"/>
    <n v="190"/>
  </r>
  <r>
    <s v="DaVita Dialysis"/>
    <s v="9199 S S Chicago Ave"/>
    <s v="Chicago"/>
    <s v="IL"/>
    <m/>
    <n v="1999"/>
    <n v="12650"/>
    <n v="245720"/>
    <n v="19.42450592885375"/>
    <m/>
    <s v=" "/>
    <m/>
    <m/>
    <m/>
    <n v="2776500"/>
    <n v="219.4861660079051"/>
    <n v="0.08849990995858095"/>
    <x v="1392"/>
    <x v="1291"/>
    <m/>
    <x v="1175"/>
    <s v="Individual"/>
    <m/>
    <m/>
    <m/>
    <s v=" "/>
    <s v=" "/>
    <m/>
    <s v=" "/>
    <s v=" "/>
    <s v=" "/>
    <m/>
    <s v=" "/>
  </r>
  <r>
    <s v="DaVita Dialysis"/>
    <s v="846 Parkcentre Way"/>
    <s v="Nampa"/>
    <s v="ID"/>
    <n v="1.26"/>
    <n v="1996"/>
    <n v="7728"/>
    <n v="168688.94"/>
    <n v="21.82827898550725"/>
    <d v="2016-03-31T00:00:00"/>
    <n v="8.186301369863013"/>
    <s v="NN"/>
    <s v="10% every 5"/>
    <s v="3, 5yr"/>
    <n v="1795500"/>
    <n v="232.3369565217391"/>
    <n v="0.093950955165692"/>
    <x v="1393"/>
    <x v="13"/>
    <m/>
    <x v="1176"/>
    <s v="Individual"/>
    <m/>
    <m/>
    <m/>
    <s v=" "/>
    <s v=" "/>
    <m/>
    <s v=" "/>
    <s v=" "/>
    <s v=" "/>
    <m/>
    <s v=" "/>
  </r>
  <r>
    <s v="Seguin Medical Building"/>
    <s v="757 West Court St"/>
    <s v="Seguin"/>
    <s v="TX"/>
    <n v="0.9440082"/>
    <m/>
    <n v="14400"/>
    <m/>
    <s v=" "/>
    <m/>
    <s v=" "/>
    <m/>
    <m/>
    <m/>
    <m/>
    <s v=" "/>
    <s v=" "/>
    <x v="1394"/>
    <x v="13"/>
    <m/>
    <x v="1177"/>
    <s v="Individual"/>
    <m/>
    <s v="J DC One, LLC"/>
    <m/>
    <s v=" "/>
    <s v=" "/>
    <m/>
    <s v=" "/>
    <s v=" "/>
    <s v=" "/>
    <m/>
    <s v=" "/>
  </r>
  <r>
    <s v="Fresenius Medical Care"/>
    <s v="4358 Kings Way"/>
    <s v="Valdosta"/>
    <s v="GA"/>
    <n v="1.14"/>
    <n v="2007"/>
    <n v="6700"/>
    <m/>
    <s v=" "/>
    <m/>
    <s v=" "/>
    <m/>
    <m/>
    <m/>
    <n v="1566100"/>
    <n v="233.7462686567164"/>
    <s v=" "/>
    <x v="1395"/>
    <x v="1292"/>
    <m/>
    <x v="1178"/>
    <s v="Individual"/>
    <m/>
    <m/>
    <m/>
    <s v=" "/>
    <s v=" "/>
    <m/>
    <s v=" "/>
    <s v=" "/>
    <s v=" "/>
    <m/>
    <s v=" "/>
  </r>
  <r>
    <s v="Fresenius Medical Care"/>
    <s v="715 N. St. Mary's Street"/>
    <s v="Falfurrias"/>
    <s v="TX"/>
    <n v="1.2"/>
    <m/>
    <n v="6426"/>
    <m/>
    <s v=" "/>
    <d v="2019-01-30T00:00:00"/>
    <n v="11.12054794520548"/>
    <m/>
    <m/>
    <m/>
    <n v="1417213"/>
    <n v="220.5435729847495"/>
    <s v=" "/>
    <x v="1396"/>
    <x v="494"/>
    <m/>
    <x v="870"/>
    <s v="Individual"/>
    <m/>
    <s v="MDG Development Group, LLC"/>
    <n v="1417200"/>
    <s v=" "/>
    <n v="1.000009173017217"/>
    <n v="1417200"/>
    <s v=" "/>
    <s v=" "/>
    <s v="No"/>
    <m/>
    <s v=" "/>
  </r>
  <r>
    <s v="Fresenius Medical Care"/>
    <s v="3465 Northdale Boulevard"/>
    <s v="Coon Rapids (Minneapolis)"/>
    <s v="MN"/>
    <n v="1.13"/>
    <m/>
    <n v="5820"/>
    <m/>
    <s v=" "/>
    <d v="2019-05-03T00:00:00"/>
    <n v="11.39452054794521"/>
    <m/>
    <m/>
    <m/>
    <n v="2634028"/>
    <n v="452.5821305841924"/>
    <s v=" "/>
    <x v="1397"/>
    <x v="494"/>
    <m/>
    <x v="1179"/>
    <s v="Individual"/>
    <m/>
    <s v="MDG Development Group, LLC"/>
    <n v="2464440"/>
    <s v=" "/>
    <n v="1.068814010485141"/>
    <n v="2464440"/>
    <s v=" "/>
    <s v=" "/>
    <s v="No"/>
    <m/>
    <s v=" "/>
  </r>
  <r>
    <s v="Fresenius Medical Care"/>
    <s v="10301 Greenbriar Parkway"/>
    <s v="Oklahoma City"/>
    <s v="OK"/>
    <n v="1.86"/>
    <m/>
    <n v="6800"/>
    <m/>
    <s v=" "/>
    <d v="2015-09-01T00:00:00"/>
    <n v="7.745205479452054"/>
    <m/>
    <m/>
    <m/>
    <n v="1750000"/>
    <n v="257.3529411764706"/>
    <s v=" "/>
    <x v="1398"/>
    <x v="1234"/>
    <m/>
    <x v="870"/>
    <s v="Individual"/>
    <m/>
    <m/>
    <n v="1800000"/>
    <s v=" "/>
    <n v="0.9722222222222222"/>
    <n v="1800000"/>
    <s v=" "/>
    <s v=" "/>
    <s v="No"/>
    <m/>
    <s v=" "/>
  </r>
  <r>
    <s v="DaVita Dialysis"/>
    <s v="660 Harrison Ave"/>
    <s v="Roxbury"/>
    <s v="MA"/>
    <n v="0.53"/>
    <n v="1994"/>
    <n v="34905"/>
    <m/>
    <s v=" "/>
    <d v="2022-11-30T00:00:00"/>
    <n v="15.06849315068493"/>
    <s v="NN"/>
    <s v="10% every 5"/>
    <s v="3, 5yr"/>
    <n v="10100000"/>
    <n v="289.3568256696748"/>
    <s v=" "/>
    <x v="1399"/>
    <x v="66"/>
    <m/>
    <x v="1180"/>
    <s v="User"/>
    <m/>
    <m/>
    <m/>
    <s v=" "/>
    <s v=" "/>
    <m/>
    <s v=" "/>
    <s v=" "/>
    <s v=" "/>
    <m/>
    <s v=" "/>
  </r>
  <r>
    <s v="DaVita Dialysis"/>
    <s v="515 East Ln"/>
    <s v="Ontario"/>
    <s v="OR"/>
    <n v="3.39"/>
    <n v="2003"/>
    <n v="5622"/>
    <n v="106789.9625"/>
    <n v="18.99501289576663"/>
    <d v="2016-03-31T00:00:00"/>
    <n v="8.4"/>
    <s v="NN"/>
    <s v="CPI annually"/>
    <s v="1, 5 yr"/>
    <n v="1722965"/>
    <n v="306.4683386695126"/>
    <n v="0.06198034347766786"/>
    <x v="1400"/>
    <x v="1293"/>
    <s v="SVN; Cooper"/>
    <x v="0"/>
    <s v="Individual"/>
    <m/>
    <s v="Medical Office Buildings/ David Holmes"/>
    <n v="1472965"/>
    <n v="0.0725"/>
    <n v="1.169725689340887"/>
    <n v="1472965"/>
    <n v="0.0725"/>
    <n v="-0.01051965652233214"/>
    <s v="No"/>
    <d v="2007-08-20T00:00:00"/>
    <n v="80"/>
  </r>
  <r>
    <s v="Fresenius Medical Care"/>
    <s v="2545 Sullivan Rd"/>
    <s v="College Park"/>
    <s v="GA"/>
    <n v="1.05"/>
    <n v="1977"/>
    <n v="6400"/>
    <n v="114441.2050534499"/>
    <n v="17.88143828960155"/>
    <d v="2020-06-30T00:00:00"/>
    <n v="12.68767123287671"/>
    <s v="NNN"/>
    <s v="5% at option"/>
    <s v="1, 5yr remaining"/>
    <n v="1509070"/>
    <n v="235.7921875"/>
    <n v="0.07583558420315158"/>
    <x v="1401"/>
    <x v="1021"/>
    <m/>
    <x v="1181"/>
    <s v="Individual"/>
    <m/>
    <m/>
    <m/>
    <s v=" "/>
    <s v=" "/>
    <m/>
    <s v=" "/>
    <s v=" "/>
    <s v=" "/>
    <d v="2007-02-01T00:00:00"/>
    <n v="267"/>
  </r>
  <r>
    <s v="DaVita Dialysis"/>
    <s v="1840 Canyon Crest"/>
    <s v="Twin Falls"/>
    <s v="ID"/>
    <n v="1"/>
    <n v="1999"/>
    <n v="6463"/>
    <n v="133656"/>
    <n v="20.68017948321213"/>
    <d v="2016-03-31T00:00:00"/>
    <n v="8.550684931506849"/>
    <s v="NN"/>
    <s v="10% every 5"/>
    <s v="4, 5yr"/>
    <n v="1694420"/>
    <n v="262.1723657744081"/>
    <n v="0.07888008876193624"/>
    <x v="1402"/>
    <x v="1290"/>
    <s v="SVn; Cooper"/>
    <x v="1174"/>
    <s v="Individual"/>
    <m/>
    <m/>
    <n v="2060323"/>
    <n v="0.064871381817317"/>
    <n v="0.8224050306675216"/>
    <n v="2060323"/>
    <n v="0.064871381817317"/>
    <n v="0.01400870694461924"/>
    <s v="No"/>
    <d v="2007-06-21T00:00:00"/>
    <n v="85"/>
  </r>
  <r>
    <s v="Fresenius Medical Care"/>
    <s v="1002 American Way"/>
    <s v="Apex"/>
    <s v="NC"/>
    <n v="1.4"/>
    <m/>
    <n v="7992"/>
    <m/>
    <s v=" "/>
    <m/>
    <s v=" "/>
    <m/>
    <m/>
    <m/>
    <n v="4138180"/>
    <n v="517.7902902902903"/>
    <s v=" "/>
    <x v="1403"/>
    <x v="1294"/>
    <m/>
    <x v="214"/>
    <s v="Fund"/>
    <m/>
    <s v="Shuford Development/Hunt Shuford"/>
    <m/>
    <s v=" "/>
    <s v=" "/>
    <m/>
    <s v=" "/>
    <s v=" "/>
    <s v=" "/>
    <m/>
    <s v=" "/>
  </r>
  <r>
    <s v="Fresenius Medical Care"/>
    <s v="1000 New Stone Ridge Rd"/>
    <s v="Ripley"/>
    <s v="WV"/>
    <n v="1.3"/>
    <n v="2007"/>
    <n v="6372"/>
    <m/>
    <s v=" "/>
    <m/>
    <s v=" "/>
    <m/>
    <m/>
    <m/>
    <m/>
    <s v=" "/>
    <s v=" "/>
    <x v="1404"/>
    <x v="494"/>
    <m/>
    <x v="1182"/>
    <s v="Individual"/>
    <m/>
    <m/>
    <m/>
    <s v=" "/>
    <s v=" "/>
    <m/>
    <s v=" "/>
    <s v=" "/>
    <s v=" "/>
    <m/>
    <s v=" "/>
  </r>
  <r>
    <s v="DaVita Dialysis"/>
    <s v="2001 Bench Rd"/>
    <s v="Pocatello"/>
    <s v="ID"/>
    <n v="1.06"/>
    <n v="1999"/>
    <n v="6711"/>
    <n v="139741.9425"/>
    <n v="20.8228196244971"/>
    <d v="2016-03-31T00:00:00"/>
    <n v="8.761643835616438"/>
    <s v="NN"/>
    <s v="10% every 5"/>
    <s v="3, 5yr"/>
    <m/>
    <s v=" "/>
    <s v=" "/>
    <x v="1405"/>
    <x v="1295"/>
    <s v="SVN; Cooper"/>
    <x v="1183"/>
    <s v="Individual"/>
    <m/>
    <m/>
    <n v="2070251"/>
    <n v="0.0675"/>
    <s v=" "/>
    <n v="2070251"/>
    <n v="0.0675"/>
    <s v=" "/>
    <s v="No"/>
    <d v="2007-02-24T00:00:00"/>
    <n v="125"/>
  </r>
  <r>
    <s v="North Gwinnett Dialysis Center"/>
    <s v="185 Old Peachtree Rd"/>
    <s v="Lawrenceville"/>
    <s v="GA"/>
    <n v="1.02"/>
    <n v="2006"/>
    <n v="7740"/>
    <m/>
    <s v=" "/>
    <m/>
    <s v=" "/>
    <m/>
    <m/>
    <m/>
    <n v="1242189.5"/>
    <n v="160.4895994832041"/>
    <s v=" "/>
    <x v="1406"/>
    <x v="1296"/>
    <m/>
    <x v="713"/>
    <s v="Individual"/>
    <m/>
    <m/>
    <m/>
    <s v=" "/>
    <s v=" "/>
    <m/>
    <s v=" "/>
    <s v=" "/>
    <s v=" "/>
    <m/>
    <s v=" "/>
  </r>
  <r>
    <s v="Covington Dialysis Center"/>
    <s v="7215 Industrial Blvd NE"/>
    <s v="Covington"/>
    <s v="GA"/>
    <m/>
    <n v="1999"/>
    <n v="6403"/>
    <m/>
    <s v=" "/>
    <m/>
    <s v=" "/>
    <m/>
    <m/>
    <m/>
    <n v="1830363.9"/>
    <n v="285.8603623301577"/>
    <s v=" "/>
    <x v="1406"/>
    <x v="1296"/>
    <m/>
    <x v="713"/>
    <s v="Individual"/>
    <m/>
    <m/>
    <m/>
    <s v=" "/>
    <s v=" "/>
    <m/>
    <s v=" "/>
    <s v=" "/>
    <s v=" "/>
    <m/>
    <s v=" "/>
  </r>
  <r>
    <s v="Fresenius Medical Care"/>
    <s v="5723 Memorial Dr"/>
    <s v="Stone Mountain"/>
    <s v="GA"/>
    <n v="0.8"/>
    <n v="1995"/>
    <n v="8700"/>
    <n v="157823.1292517007"/>
    <n v="18.140589569161"/>
    <d v="2020-06-06T00:00:00"/>
    <n v="13.10958904109589"/>
    <s v="NN"/>
    <s v="5% at options"/>
    <s v="1, 5yr remaining"/>
    <n v="1645928"/>
    <n v="189.1871264367816"/>
    <n v="0.09588701890465481"/>
    <x v="1407"/>
    <x v="1296"/>
    <m/>
    <x v="713"/>
    <m/>
    <m/>
    <m/>
    <m/>
    <s v=" "/>
    <s v=" "/>
    <m/>
    <s v=" "/>
    <s v=" "/>
    <s v=" "/>
    <m/>
    <s v=" "/>
  </r>
  <r>
    <s v="Fresenius Medical Care"/>
    <s v="8340 Coffee Street"/>
    <s v="Houston"/>
    <s v="TX"/>
    <n v="2.12"/>
    <n v="2006"/>
    <n v="10500"/>
    <m/>
    <s v=" "/>
    <d v="2018-12-01T00:00:00"/>
    <n v="11.62739726027397"/>
    <m/>
    <m/>
    <m/>
    <n v="1919130"/>
    <n v="182.7742857142857"/>
    <s v=" "/>
    <x v="1408"/>
    <x v="494"/>
    <m/>
    <x v="1182"/>
    <s v="Individual"/>
    <m/>
    <s v="MDG Development Group, LLC"/>
    <n v="1892080"/>
    <s v=" "/>
    <n v="1.014296435668682"/>
    <n v="1892080"/>
    <s v=" "/>
    <s v=" "/>
    <s v="No"/>
    <m/>
    <s v=" "/>
  </r>
  <r>
    <s v="Fresenius Medical Care"/>
    <s v="5501 Springfield Ave"/>
    <s v="Laredo"/>
    <s v="TX"/>
    <n v="1.43"/>
    <m/>
    <n v="9780"/>
    <m/>
    <s v=" "/>
    <d v="2018-12-01T00:00:00"/>
    <n v="11.62739726027397"/>
    <m/>
    <m/>
    <m/>
    <n v="2496572"/>
    <n v="255.2732106339468"/>
    <s v=" "/>
    <x v="1408"/>
    <x v="494"/>
    <m/>
    <x v="1182"/>
    <s v="Individual"/>
    <m/>
    <s v="MDG Development Group, LLC"/>
    <n v="2461050"/>
    <s v=" "/>
    <n v="1.014433676682717"/>
    <n v="2461050"/>
    <s v=" "/>
    <s v=" "/>
    <s v="No"/>
    <m/>
    <s v=" "/>
  </r>
  <r>
    <s v="DaVita Plaza"/>
    <s v="8600 Florence Ave"/>
    <s v="Downey"/>
    <s v="CA"/>
    <n v="1.0952"/>
    <n v="1969"/>
    <n v="14300"/>
    <m/>
    <s v=" "/>
    <m/>
    <s v=" "/>
    <m/>
    <m/>
    <m/>
    <n v="5040000"/>
    <n v="352.4475524475524"/>
    <s v=" "/>
    <x v="1409"/>
    <x v="1297"/>
    <m/>
    <x v="1184"/>
    <s v="Individual"/>
    <m/>
    <m/>
    <m/>
    <s v=" "/>
    <s v=" "/>
    <m/>
    <s v=" "/>
    <s v=" "/>
    <s v=" "/>
    <m/>
    <s v=" "/>
  </r>
  <r>
    <s v="Fresenius Medical Care"/>
    <s v="31 Landing Ln"/>
    <s v="Fairmont"/>
    <s v="WV"/>
    <n v="0.92"/>
    <n v="2001"/>
    <n v="8500"/>
    <n v="157559.1317543877"/>
    <n v="18.53636844169267"/>
    <d v="2026-07-31T00:00:00"/>
    <n v="19.3972602739726"/>
    <s v="NN"/>
    <s v="CPI annually"/>
    <s v="3, 5yr"/>
    <n v="1400000"/>
    <n v="164.7058823529412"/>
    <n v="0.1125422369674198"/>
    <x v="1410"/>
    <x v="1298"/>
    <m/>
    <x v="1185"/>
    <s v="Individual"/>
    <m/>
    <m/>
    <m/>
    <s v=" "/>
    <s v=" "/>
    <m/>
    <s v=" "/>
    <s v=" "/>
    <s v=" "/>
    <m/>
    <s v=" "/>
  </r>
  <r>
    <s v="66 Cherry Hill Dr"/>
    <s v="66 Cherry Hill Dr"/>
    <s v="Beverly"/>
    <s v="MA"/>
    <m/>
    <n v="1988"/>
    <n v="32669"/>
    <m/>
    <s v=" "/>
    <m/>
    <s v=" "/>
    <m/>
    <m/>
    <m/>
    <n v="4700000"/>
    <n v="143.8672747864948"/>
    <s v=" "/>
    <x v="1411"/>
    <x v="1299"/>
    <m/>
    <x v="1186"/>
    <s v="Individual"/>
    <m/>
    <m/>
    <m/>
    <s v=" "/>
    <s v=" "/>
    <m/>
    <s v=" "/>
    <s v=" "/>
    <s v=" "/>
    <m/>
    <s v=" "/>
  </r>
  <r>
    <s v="Fresenius Medical Care"/>
    <s v="185 Old Peachtree Rd NW"/>
    <s v="Suwanee"/>
    <s v="GA"/>
    <n v="1.02"/>
    <n v="2006"/>
    <n v="7740"/>
    <n v="137219.0476190476"/>
    <n v="17.72855912390796"/>
    <d v="2016-09-30T00:00:00"/>
    <n v="9.597260273972603"/>
    <s v="NN"/>
    <s v="5% every 5 years"/>
    <s v="1, 5yr"/>
    <n v="1640000"/>
    <n v="211.8863049095607"/>
    <n v="0.08367015098722415"/>
    <x v="1412"/>
    <x v="1300"/>
    <m/>
    <x v="713"/>
    <s v="Individual"/>
    <m/>
    <m/>
    <m/>
    <s v=" "/>
    <s v=" "/>
    <m/>
    <s v=" "/>
    <s v=" "/>
    <s v=" "/>
    <m/>
    <s v=" "/>
  </r>
  <r>
    <s v="Fresenius Medical Care"/>
    <s v="2545 Sullivan Rd"/>
    <s v="College Park"/>
    <s v="GA"/>
    <n v="1.05"/>
    <n v="1977"/>
    <n v="6400"/>
    <n v="114441.2050534499"/>
    <n v="17.88143828960155"/>
    <d v="2020-06-30T00:00:00"/>
    <n v="13.43561643835617"/>
    <s v="NNN"/>
    <s v="5% at option"/>
    <s v="1, 5yr remaining"/>
    <n v="1280000"/>
    <n v="200"/>
    <n v="0.08940719144800777"/>
    <x v="1413"/>
    <x v="1300"/>
    <m/>
    <x v="713"/>
    <s v="Individual"/>
    <m/>
    <m/>
    <m/>
    <s v=" "/>
    <s v=" "/>
    <m/>
    <s v=" "/>
    <s v=" "/>
    <s v=" "/>
    <m/>
    <s v=" "/>
  </r>
  <r>
    <s v="Davita Dialysis Center"/>
    <s v="33499 Yucaipa Blvd"/>
    <s v="Yucaipa"/>
    <s v="CA"/>
    <n v="0.528"/>
    <n v="2001"/>
    <n v="6000"/>
    <m/>
    <s v=" "/>
    <m/>
    <s v=" "/>
    <m/>
    <m/>
    <m/>
    <m/>
    <s v=" "/>
    <s v=" "/>
    <x v="1414"/>
    <x v="1301"/>
    <m/>
    <x v="1187"/>
    <s v="User"/>
    <m/>
    <m/>
    <m/>
    <s v=" "/>
    <s v=" "/>
    <m/>
    <s v=" "/>
    <s v=" "/>
    <s v=" "/>
    <m/>
    <s v=" "/>
  </r>
  <r>
    <s v="Fresenius Medical Care"/>
    <s v="RR 3, Box 300"/>
    <s v="Hazelton (Bruceton Mills)"/>
    <s v="WV"/>
    <n v="1.45"/>
    <m/>
    <n v="7416"/>
    <m/>
    <s v=" "/>
    <d v="2016-06-01T00:00:00"/>
    <n v="9.38082191780822"/>
    <m/>
    <m/>
    <m/>
    <n v="1350000"/>
    <n v="182.0388349514563"/>
    <s v=" "/>
    <x v="1415"/>
    <x v="494"/>
    <m/>
    <x v="1188"/>
    <s v="Individual"/>
    <m/>
    <s v="MDG Development Group, LLC"/>
    <m/>
    <s v=" "/>
    <s v=" "/>
    <m/>
    <s v=" "/>
    <s v=" "/>
    <s v=" "/>
    <m/>
    <s v=" "/>
  </r>
  <r>
    <s v="Fresenius Medical Care"/>
    <s v="2206 Barnes St"/>
    <s v="Reidsville"/>
    <s v="NC"/>
    <n v="2.33"/>
    <n v="2004"/>
    <n v="8400"/>
    <n v="117592.2972"/>
    <n v="13.999083"/>
    <d v="2014-05-31T00:00:00"/>
    <n v="7.83013698630137"/>
    <s v="NN"/>
    <s v="FMV"/>
    <s v="2, 5yr"/>
    <n v="1400000"/>
    <n v="166.6666666666667"/>
    <n v="0.08399449800000001"/>
    <x v="1416"/>
    <x v="1270"/>
    <m/>
    <x v="1189"/>
    <s v="Individual"/>
    <m/>
    <m/>
    <m/>
    <s v=" "/>
    <s v=" "/>
    <m/>
    <s v=" "/>
    <s v=" "/>
    <s v=" "/>
    <m/>
    <s v=" "/>
  </r>
  <r>
    <s v="Fresenius Medical Care"/>
    <s v="420 Industrial Dr"/>
    <s v="Livingston"/>
    <s v="CA"/>
    <n v="7.62"/>
    <n v="1992"/>
    <n v="84905"/>
    <m/>
    <s v=" "/>
    <m/>
    <s v=" "/>
    <m/>
    <m/>
    <m/>
    <n v="7400000"/>
    <n v="87.15623343737118"/>
    <s v=" "/>
    <x v="1417"/>
    <x v="1302"/>
    <m/>
    <x v="1190"/>
    <s v="Individual"/>
    <m/>
    <m/>
    <m/>
    <s v=" "/>
    <s v=" "/>
    <m/>
    <s v=" "/>
    <s v=" "/>
    <s v=" "/>
    <m/>
    <s v=" "/>
  </r>
  <r>
    <s v="Fresenius Medical Care"/>
    <s v="12245 Rojas Dr"/>
    <s v="El Paso"/>
    <s v="TX"/>
    <n v="1.5"/>
    <n v="2006"/>
    <n v="9690"/>
    <m/>
    <s v=" "/>
    <m/>
    <s v=" "/>
    <m/>
    <m/>
    <m/>
    <n v="1746756"/>
    <n v="180.2637770897833"/>
    <s v=" "/>
    <x v="1418"/>
    <x v="1303"/>
    <m/>
    <x v="1191"/>
    <s v="Individual"/>
    <m/>
    <m/>
    <m/>
    <s v=" "/>
    <s v=" "/>
    <m/>
    <s v=" "/>
    <s v=" "/>
    <s v=" "/>
    <m/>
    <s v=" "/>
  </r>
  <r>
    <s v="DaVita Dialysis"/>
    <s v="233 I-45 "/>
    <s v="Conroe"/>
    <s v="TX"/>
    <n v="1.16"/>
    <n v="2005"/>
    <n v="8200"/>
    <n v="163900"/>
    <n v="19.98780487804878"/>
    <m/>
    <s v=" "/>
    <m/>
    <m/>
    <m/>
    <n v="2200000"/>
    <n v="268.2926829268293"/>
    <n v="0.0745"/>
    <x v="1419"/>
    <x v="1304"/>
    <m/>
    <x v="1192"/>
    <s v="Individual"/>
    <m/>
    <m/>
    <m/>
    <s v=" "/>
    <s v=" "/>
    <m/>
    <s v=" "/>
    <s v=" "/>
    <s v=" "/>
    <m/>
    <s v=" "/>
  </r>
  <r>
    <s v="DaVita Dialysis"/>
    <s v="1124 Lakeview Rd"/>
    <s v="Clearwater"/>
    <s v="FL"/>
    <n v="0.65"/>
    <n v="1991"/>
    <n v="8400"/>
    <m/>
    <s v=" "/>
    <m/>
    <s v=" "/>
    <m/>
    <m/>
    <m/>
    <n v="1217800"/>
    <n v="144.9761904761905"/>
    <s v=" "/>
    <x v="1420"/>
    <x v="296"/>
    <m/>
    <x v="1193"/>
    <s v="Individual"/>
    <m/>
    <m/>
    <m/>
    <s v=" "/>
    <s v=" "/>
    <m/>
    <s v=" "/>
    <s v=" "/>
    <s v=" "/>
    <m/>
    <s v=" "/>
  </r>
  <r>
    <s v="U.S. Renal Care"/>
    <s v="4705 N Armenia Ave"/>
    <s v="Tampa"/>
    <s v="FL"/>
    <n v="1.8"/>
    <n v="1965"/>
    <n v="13065"/>
    <n v="148750"/>
    <n v="11.38538078836586"/>
    <d v="2021-07-01T00:00:00"/>
    <n v="15.26301369863014"/>
    <s v="NN"/>
    <s v="10% ever 5"/>
    <s v="3, 5 yr"/>
    <n v="2125000"/>
    <n v="162.6482969766552"/>
    <n v="0.07000000000000001"/>
    <x v="1421"/>
    <x v="1305"/>
    <m/>
    <x v="1194"/>
    <s v="Individual"/>
    <m/>
    <m/>
    <m/>
    <s v=" "/>
    <s v=" "/>
    <m/>
    <s v=" "/>
    <s v=" "/>
    <s v=" "/>
    <m/>
    <s v=" "/>
  </r>
  <r>
    <s v="Fresenius Medical Care"/>
    <s v="1534 N Hoskins Rd"/>
    <s v="Charlotte"/>
    <s v="NC"/>
    <n v="3"/>
    <n v="2002"/>
    <n v="10000"/>
    <n v="225000"/>
    <n v="22.5"/>
    <d v="2016-09-30T00:00:00"/>
    <n v="10.51780821917808"/>
    <s v="NN"/>
    <s v="1.7% annually"/>
    <s v="3, 5yr"/>
    <n v="2080000"/>
    <n v="208"/>
    <n v="0.1081730769230769"/>
    <x v="1422"/>
    <x v="927"/>
    <m/>
    <x v="1195"/>
    <s v="Individual"/>
    <m/>
    <m/>
    <m/>
    <s v=" "/>
    <s v=" "/>
    <m/>
    <s v=" "/>
    <s v=" "/>
    <s v=" "/>
    <m/>
    <s v=" "/>
  </r>
  <r>
    <s v="DaVita Dialysis"/>
    <s v="5610 Almeda Rd"/>
    <s v="Houston"/>
    <s v="TX"/>
    <n v="0.28427"/>
    <n v="2000"/>
    <n v="29390"/>
    <n v="675000"/>
    <n v="22.96699557672678"/>
    <d v="2015-12-30T00:00:00"/>
    <n v="9.841095890410958"/>
    <s v="NN"/>
    <s v="10% every 5 years"/>
    <s v="3, 5 yr"/>
    <n v="9375000"/>
    <n v="318.9860496767608"/>
    <n v="0.07199999999999999"/>
    <x v="1423"/>
    <x v="1306"/>
    <s v="M&amp;M; Cannizaro"/>
    <x v="1196"/>
    <s v="Individual"/>
    <m/>
    <m/>
    <m/>
    <s v=" "/>
    <s v=" "/>
    <m/>
    <s v=" "/>
    <s v=" "/>
    <s v=" "/>
    <m/>
    <s v=" "/>
  </r>
  <r>
    <s v="U.S. Renal Care"/>
    <s v="4705 N Armenia Ave"/>
    <s v="Tampa"/>
    <s v="FL"/>
    <n v="1.8"/>
    <n v="1965"/>
    <n v="13065"/>
    <n v="148750"/>
    <n v="11.38538078836586"/>
    <d v="2021-07-01T00:00:00"/>
    <n v="15.59178082191781"/>
    <s v="NN"/>
    <s v="10% every 5 years"/>
    <s v="3, 5 yr"/>
    <n v="2093000"/>
    <n v="160.1990049751244"/>
    <n v="0.07107023411371237"/>
    <x v="1424"/>
    <x v="1307"/>
    <s v="Dutter; Bob White"/>
    <x v="1197"/>
    <s v="Individual"/>
    <m/>
    <m/>
    <m/>
    <s v=" "/>
    <s v=" "/>
    <m/>
    <s v=" "/>
    <s v=" "/>
    <s v=" "/>
    <m/>
    <s v=" "/>
  </r>
  <r>
    <s v="DaVita Dialysis"/>
    <s v="2494 Second St"/>
    <s v="Macon"/>
    <s v="GA"/>
    <n v="1.8"/>
    <n v="2018"/>
    <n v="8925"/>
    <m/>
    <s v=" "/>
    <m/>
    <s v=" "/>
    <m/>
    <m/>
    <m/>
    <n v="1980000"/>
    <n v="221.8487394957983"/>
    <s v=" "/>
    <x v="1425"/>
    <x v="1308"/>
    <m/>
    <x v="1198"/>
    <s v="Individual"/>
    <m/>
    <m/>
    <m/>
    <s v=" "/>
    <s v=" "/>
    <m/>
    <s v=" "/>
    <s v=" "/>
    <s v=" "/>
    <m/>
    <s v=" "/>
  </r>
  <r>
    <s v="Fresenius Medical Care"/>
    <s v="1801 W Valley Blvd"/>
    <s v="Alhambra"/>
    <s v="CA"/>
    <n v="0.57"/>
    <n v="1963"/>
    <n v="19800"/>
    <m/>
    <s v=" "/>
    <d v="2004-11-30T00:00:00"/>
    <n v="0.1178082191780822"/>
    <s v="NN"/>
    <m/>
    <m/>
    <m/>
    <s v=" "/>
    <s v=" "/>
    <x v="1426"/>
    <x v="1309"/>
    <m/>
    <x v="1199"/>
    <s v="Individual"/>
    <m/>
    <m/>
    <m/>
    <s v=" "/>
    <s v=" "/>
    <m/>
    <s v=" "/>
    <s v=" "/>
    <s v=" "/>
    <m/>
    <s v=" "/>
  </r>
  <r>
    <s v="DaVita Dialysis"/>
    <s v="11515 Market St"/>
    <s v="Jacinto City"/>
    <s v="TX"/>
    <n v="0.578191"/>
    <n v="2004"/>
    <n v="6115"/>
    <m/>
    <s v=" "/>
    <d v="2019-09-30T00:00:00"/>
    <n v="15.10684931506849"/>
    <s v="NN"/>
    <s v="CPI annually"/>
    <s v="2, 5yr"/>
    <n v="1500000"/>
    <n v="245.2984464431725"/>
    <s v=" "/>
    <x v="1427"/>
    <x v="1310"/>
    <m/>
    <x v="1200"/>
    <s v="Individual"/>
    <m/>
    <m/>
    <m/>
    <s v=" "/>
    <s v=" "/>
    <m/>
    <s v=" "/>
    <s v=" "/>
    <s v=" "/>
    <d v="2004-05-27T00:00:00"/>
    <n v="90"/>
  </r>
  <r>
    <s v="601 Hawaii St"/>
    <s v="601 Hawaii St"/>
    <s v="El Segundo"/>
    <s v="CA"/>
    <n v="3.10998"/>
    <n v="1963"/>
    <n v="50751"/>
    <m/>
    <s v=" "/>
    <m/>
    <s v=" "/>
    <m/>
    <m/>
    <m/>
    <n v="13200000"/>
    <n v="260.0933971744399"/>
    <s v=" "/>
    <x v="1428"/>
    <x v="1311"/>
    <m/>
    <x v="1201"/>
    <s v="Individual"/>
    <m/>
    <m/>
    <m/>
    <s v=" "/>
    <s v=" "/>
    <m/>
    <s v=" "/>
    <s v=" "/>
    <s v=" "/>
    <m/>
    <s v=" "/>
  </r>
  <r>
    <s v="Fresenius Medical Care"/>
    <s v="1017 N Pines Rd"/>
    <s v="Spokane"/>
    <s v="WA"/>
    <n v="1.24"/>
    <n v="2001"/>
    <n v="8903"/>
    <m/>
    <s v=" "/>
    <m/>
    <s v=" "/>
    <m/>
    <m/>
    <m/>
    <n v="1750000"/>
    <n v="196.5629563068628"/>
    <s v=" "/>
    <x v="1429"/>
    <x v="1312"/>
    <m/>
    <x v="1202"/>
    <s v="Individual"/>
    <m/>
    <m/>
    <m/>
    <s v=" "/>
    <s v=" "/>
    <m/>
    <s v=" "/>
    <s v=" "/>
    <s v=" "/>
    <m/>
    <s v=" "/>
  </r>
  <r>
    <s v="Fresenius Medical Care"/>
    <s v="3300 N Main St"/>
    <s v="East Peoria"/>
    <s v="IL"/>
    <n v="3.52"/>
    <n v="1997"/>
    <n v="10280"/>
    <m/>
    <s v=" "/>
    <m/>
    <s v=" "/>
    <m/>
    <m/>
    <m/>
    <n v="3750000"/>
    <n v="364.7859922178988"/>
    <s v=" "/>
    <x v="1430"/>
    <x v="1313"/>
    <m/>
    <x v="1203"/>
    <s v="Individual"/>
    <m/>
    <m/>
    <m/>
    <s v=" "/>
    <s v=" "/>
    <m/>
    <s v=" "/>
    <s v=" "/>
    <s v=" "/>
    <m/>
    <s v=" "/>
  </r>
  <r>
    <s v="Fresenius Medical Care"/>
    <s v="1801 W Valley Blvd"/>
    <s v="Alhambra"/>
    <s v="CA"/>
    <n v="0.57"/>
    <n v="1963"/>
    <n v="19800"/>
    <m/>
    <s v=" "/>
    <d v="2004-11-30T00:00:00"/>
    <n v="2.879452054794521"/>
    <s v="NN"/>
    <m/>
    <m/>
    <n v="2655000"/>
    <n v="134.0909090909091"/>
    <s v=" "/>
    <x v="1431"/>
    <x v="1314"/>
    <m/>
    <x v="1204"/>
    <s v="Individual"/>
    <s v="Grady Liu"/>
    <m/>
    <m/>
    <s v=" "/>
    <s v=" "/>
    <m/>
    <s v=" "/>
    <s v=" "/>
    <s v=" "/>
    <d v="2001-10-16T00:00:00"/>
    <n v="90"/>
  </r>
  <r>
    <s v="Fresenius Medical Care"/>
    <s v="118 Osigian Blvd"/>
    <s v="Warner Robins"/>
    <s v="GA"/>
    <n v="2.04"/>
    <n v="1996"/>
    <n v="6600"/>
    <m/>
    <s v=" "/>
    <m/>
    <s v=" "/>
    <s v="NN"/>
    <m/>
    <m/>
    <n v="1086979"/>
    <n v="164.6937878787879"/>
    <s v=" "/>
    <x v="1432"/>
    <x v="1315"/>
    <m/>
    <x v="73"/>
    <s v="Fund"/>
    <m/>
    <s v="Divinity Warner Robins/Chris Sands"/>
    <m/>
    <s v=" "/>
    <s v=" "/>
    <m/>
    <s v=" "/>
    <s v=" "/>
    <s v=" "/>
    <m/>
    <s v=" "/>
  </r>
  <r>
    <s v="Fresenius Medical Care (MT)"/>
    <s v="1800 Haight St"/>
    <s v="San Francisco"/>
    <s v="CA"/>
    <n v="0.35"/>
    <n v="1939"/>
    <n v="7300"/>
    <n v="288000"/>
    <n v="39.45205479452055"/>
    <m/>
    <s v=" "/>
    <m/>
    <m/>
    <m/>
    <n v="7500000"/>
    <n v="1027.397260273973"/>
    <n v="0.0384"/>
    <x v="1433"/>
    <x v="13"/>
    <m/>
    <x v="0"/>
    <m/>
    <m/>
    <m/>
    <m/>
    <s v=" "/>
    <s v=" "/>
    <m/>
    <s v=" "/>
    <s v=" "/>
    <s v=" "/>
    <m/>
    <s v=" "/>
  </r>
  <r>
    <s v="DaVita Dialysis"/>
    <s v="5933 N Broad St"/>
    <s v="Philadelphia"/>
    <s v="PA"/>
    <n v="0.43"/>
    <n v="1925"/>
    <n v="11526"/>
    <n v="230520"/>
    <n v="20"/>
    <d v="2030-11-29T00:00:00"/>
    <n v="131.0027397260274"/>
    <s v="NN"/>
    <s v="10% every 5 years"/>
    <s v="3, 5yr"/>
    <m/>
    <s v=" "/>
    <s v=" "/>
    <x v="1433"/>
    <x v="351"/>
    <m/>
    <x v="1205"/>
    <s v="Individual"/>
    <m/>
    <s v="Genesis KC Dev, LLC / DaVita"/>
    <m/>
    <s v=" "/>
    <s v=" "/>
    <m/>
    <s v=" "/>
    <s v=" "/>
    <s v=" "/>
    <m/>
    <s v=" "/>
  </r>
  <r>
    <s v="Fresenius Medical Care"/>
    <s v="312 Highland Blvd"/>
    <s v="Natchez"/>
    <s v="MS"/>
    <n v="0.79"/>
    <n v="1982"/>
    <n v="7528"/>
    <n v="110916"/>
    <n v="14.73379383634432"/>
    <d v="2038-02-01T00:00:00"/>
    <n v="138.1835616438356"/>
    <s v="Absolute NNN"/>
    <s v="CPI annually"/>
    <s v="3, 5yr"/>
    <m/>
    <s v=" "/>
    <s v=" "/>
    <x v="1433"/>
    <x v="351"/>
    <s v="M&amp;M; Glass"/>
    <x v="1206"/>
    <s v="Individual"/>
    <m/>
    <m/>
    <n v="2073199"/>
    <n v="0.05349992933625764"/>
    <s v=" "/>
    <n v="2073199"/>
    <n v="0.05349992933625764"/>
    <s v=" "/>
    <s v="No"/>
    <d v="2021-02-03T00:00:00"/>
    <n v="-44230"/>
  </r>
  <r>
    <s v="DaVita Dialysis"/>
    <s v="430 Crossroads Blvd"/>
    <s v="Cold Spring"/>
    <s v="KY"/>
    <n v="0.9399999999999999"/>
    <n v="2006"/>
    <n v="4800"/>
    <n v="79650"/>
    <n v="16.59375"/>
    <d v="2022-04-03T00:00:00"/>
    <n v="122.3397260273973"/>
    <s v="NN"/>
    <s v="2% annually"/>
    <s v="3, 5yr"/>
    <n v="1170000"/>
    <n v="243.75"/>
    <n v="0.06807692307692308"/>
    <x v="1433"/>
    <x v="296"/>
    <s v="C&amp;W; Patel"/>
    <x v="1207"/>
    <s v="Individual"/>
    <m/>
    <m/>
    <n v="1180000"/>
    <n v="0.0675"/>
    <n v="0.9915254237288136"/>
    <n v="1180000"/>
    <n v="0.0675"/>
    <n v="0.0005769230769230721"/>
    <s v="No"/>
    <d v="2017-05-18T00:00:00"/>
    <n v="-42873"/>
  </r>
  <r>
    <s v="Fresenius Medical Care"/>
    <s v="3320 W Kearney St"/>
    <s v="Springfield"/>
    <s v="IL"/>
    <n v="1.99"/>
    <n v="2015"/>
    <n v="8716"/>
    <m/>
    <s v=" "/>
    <m/>
    <s v=" "/>
    <m/>
    <m/>
    <m/>
    <n v="2588000"/>
    <n v="296.925195043598"/>
    <s v=" "/>
    <x v="1433"/>
    <x v="1316"/>
    <m/>
    <x v="73"/>
    <s v="Fund"/>
    <m/>
    <m/>
    <m/>
    <s v=" "/>
    <s v=" "/>
    <m/>
    <s v=" "/>
    <s v=" "/>
    <s v=" "/>
    <m/>
    <s v=" "/>
  </r>
  <r>
    <s v="U.S. Renal Care"/>
    <s v="2066 Fremont St"/>
    <s v="Monterey"/>
    <s v="CA"/>
    <n v="0.97"/>
    <n v="1948"/>
    <n v="7029"/>
    <n v="262783"/>
    <n v="37.3855455968132"/>
    <d v="2024-05-30T00:00:00"/>
    <n v="124.4986301369863"/>
    <s v="NN"/>
    <s v="CPI annually"/>
    <s v="1, 7yr"/>
    <n v="5500000"/>
    <n v="782.4726134585289"/>
    <n v="0.04777872727272727"/>
    <x v="1433"/>
    <x v="64"/>
    <s v="C&amp;W; Sheldon"/>
    <x v="1208"/>
    <s v="Individual"/>
    <s v="NAI; Archibald"/>
    <m/>
    <m/>
    <s v=" "/>
    <s v=" "/>
    <m/>
    <s v=" "/>
    <s v=" "/>
    <s v=" "/>
    <m/>
    <s v=" "/>
  </r>
  <r>
    <s v="Fresenius Medical Care"/>
    <s v="6830 Capitol St"/>
    <s v="Houston"/>
    <s v="TX"/>
    <n v="0.88"/>
    <n v="1996"/>
    <n v="8050"/>
    <m/>
    <s v=" "/>
    <m/>
    <s v=" "/>
    <m/>
    <m/>
    <m/>
    <m/>
    <s v=" "/>
    <s v=" "/>
    <x v="1433"/>
    <x v="1317"/>
    <m/>
    <x v="3"/>
    <s v="Fund"/>
    <m/>
    <m/>
    <m/>
    <s v=" "/>
    <s v=" "/>
    <m/>
    <s v=" "/>
    <s v=" "/>
    <s v=" "/>
    <m/>
    <s v=" "/>
  </r>
  <r>
    <s v="Fresenius Medical Care"/>
    <s v="1003 N Cleveland St"/>
    <s v="Dayton"/>
    <s v="TX"/>
    <n v="2.14"/>
    <n v="2018"/>
    <n v="5931"/>
    <m/>
    <s v=" "/>
    <m/>
    <s v=" "/>
    <m/>
    <m/>
    <m/>
    <m/>
    <s v=" "/>
    <s v=" "/>
    <x v="1433"/>
    <x v="13"/>
    <s v="Ed Hanley"/>
    <x v="0"/>
    <s v="Individual"/>
    <s v="Shoemaker Commercial Real Estate"/>
    <m/>
    <m/>
    <s v=" "/>
    <s v=" "/>
    <m/>
    <s v=" "/>
    <s v=" "/>
    <s v=" "/>
    <m/>
    <s v=" 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7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C95" firstHeaderRow="0" firstDataRow="1" firstDataCol="1"/>
  <pivotFields count="2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276">
        <item t="data" sd="1" m="1" x="108"/>
        <item t="data" sd="1" m="1" x="94"/>
        <item t="data" sd="1" m="1" x="109"/>
        <item t="data" sd="1" m="1" x="155"/>
        <item t="data" sd="1" m="1" x="232"/>
        <item t="data" sd="1" m="1" x="97"/>
        <item t="data" sd="1" m="1" x="218"/>
        <item t="data" sd="1" x="44"/>
        <item t="data" sd="1" m="1" x="205"/>
        <item t="data" sd="1" m="1" x="122"/>
        <item t="data" sd="1" m="1" x="154"/>
        <item t="data" sd="1" m="1" x="209"/>
        <item t="data" sd="1" m="1" x="136"/>
        <item t="data" sd="1" m="1" x="96"/>
        <item t="data" sd="1" m="1" x="189"/>
        <item t="data" sd="1" m="1" x="252"/>
        <item t="data" sd="1" x="52"/>
        <item t="data" sd="1" m="1" x="240"/>
        <item t="data" sd="1" m="1" x="206"/>
        <item t="data" sd="1" m="1" x="242"/>
        <item t="data" sd="1" m="1" x="266"/>
        <item t="data" sd="1" m="1" x="188"/>
        <item t="data" sd="1" m="1" x="128"/>
        <item t="data" sd="1" m="1" x="207"/>
        <item t="data" sd="1" m="1" x="156"/>
        <item t="data" sd="1" m="1" x="101"/>
        <item t="data" sd="1" m="1" x="163"/>
        <item t="data" sd="1" m="1" x="198"/>
        <item t="data" sd="1" m="1" x="129"/>
        <item t="data" sd="1" m="1" x="124"/>
        <item t="data" sd="1" m="1" x="110"/>
        <item t="data" sd="1" m="1" x="133"/>
        <item t="data" sd="1" m="1" x="203"/>
        <item t="data" sd="1" m="1" x="249"/>
        <item t="data" sd="1" m="1" x="194"/>
        <item t="data" sd="1" m="1" x="212"/>
        <item t="data" sd="1" m="1" x="183"/>
        <item t="data" sd="1" m="1" x="196"/>
        <item t="data" sd="1" m="1" x="118"/>
        <item t="data" sd="1" m="1" x="192"/>
        <item t="data" sd="1" m="1" x="231"/>
        <item t="data" sd="1" m="1" x="195"/>
        <item t="data" sd="1" m="1" x="228"/>
        <item t="data" sd="1" m="1" x="246"/>
        <item t="data" sd="1" m="1" x="213"/>
        <item t="data" sd="1" m="1" x="160"/>
        <item t="data" sd="1" x="88"/>
        <item t="data" sd="1" m="1" x="216"/>
        <item t="data" sd="1" m="1" x="162"/>
        <item t="data" sd="1" m="1" x="173"/>
        <item t="data" sd="1" m="1" x="146"/>
        <item t="data" sd="1" m="1" x="178"/>
        <item t="data" sd="1" m="1" x="106"/>
        <item t="data" sd="1" m="1" x="191"/>
        <item t="data" sd="1" m="1" x="159"/>
        <item t="data" sd="1" x="63"/>
        <item t="data" sd="1" m="1" x="263"/>
        <item t="data" sd="1" m="1" x="182"/>
        <item t="data" sd="1" m="1" x="170"/>
        <item t="data" sd="1" m="1" x="127"/>
        <item t="data" sd="1" m="1" x="237"/>
        <item t="data" sd="1" m="1" x="147"/>
        <item t="data" sd="1" x="7"/>
        <item t="data" sd="1" m="1" x="248"/>
        <item t="data" sd="1" m="1" x="121"/>
        <item t="data" sd="1" m="1" x="250"/>
        <item t="data" sd="1" x="33"/>
        <item t="data" sd="1" m="1" x="222"/>
        <item t="data" sd="1" m="1" x="227"/>
        <item t="data" sd="1" m="1" x="238"/>
        <item t="data" sd="1" m="1" x="177"/>
        <item t="data" sd="1" m="1" x="258"/>
        <item t="data" sd="1" m="1" x="267"/>
        <item t="data" sd="1" m="1" x="251"/>
        <item t="data" sd="1" m="1" x="120"/>
        <item t="data" sd="1" m="1" x="114"/>
        <item t="data" sd="1" m="1" x="208"/>
        <item t="data" sd="1" m="1" x="165"/>
        <item t="data" sd="1" m="1" x="257"/>
        <item t="data" sd="1" m="1" x="105"/>
        <item t="data" sd="1" m="1" x="181"/>
        <item t="data" sd="1" m="1" x="193"/>
        <item t="data" sd="1" m="1" x="180"/>
        <item t="data" sd="1" m="1" x="255"/>
        <item t="data" sd="1" m="1" x="199"/>
        <item t="data" sd="1" m="1" x="104"/>
        <item t="data" sd="1" m="1" x="271"/>
        <item t="data" sd="1" m="1" x="220"/>
        <item t="data" sd="1" m="1" x="117"/>
        <item t="data" sd="1" m="1" x="115"/>
        <item t="data" sd="1" m="1" x="102"/>
        <item t="data" sd="1" x="23"/>
        <item t="data" sd="1" m="1" x="268"/>
        <item t="data" sd="1" m="1" x="190"/>
        <item t="data" sd="1" x="35"/>
        <item t="data" sd="1" m="1" x="145"/>
        <item t="data" sd="1" m="1" x="139"/>
        <item t="data" sd="1" m="1" x="140"/>
        <item t="data" sd="1" m="1" x="164"/>
        <item t="data" sd="1" m="1" x="158"/>
        <item t="data" sd="1" m="1" x="260"/>
        <item t="data" sd="1" m="1" x="167"/>
        <item t="data" sd="1" m="1" x="151"/>
        <item t="data" sd="1" m="1" x="243"/>
        <item t="data" sd="1" m="1" x="204"/>
        <item t="data" sd="1" m="1" x="179"/>
        <item t="data" sd="1" m="1" x="134"/>
        <item t="data" sd="1" x="5"/>
        <item t="data" sd="1" m="1" x="126"/>
        <item t="data" sd="1" m="1" x="210"/>
        <item t="data" sd="1" m="1" x="215"/>
        <item t="data" sd="1" m="1" x="273"/>
        <item t="data" sd="1" m="1" x="269"/>
        <item t="data" sd="1" m="1" x="223"/>
        <item t="data" sd="1" m="1" x="103"/>
        <item t="data" sd="1" m="1" x="214"/>
        <item t="data" sd="1" x="77"/>
        <item t="data" sd="1" m="1" x="93"/>
        <item t="data" sd="1" m="1" x="233"/>
        <item t="data" sd="1" m="1" x="229"/>
        <item t="data" sd="1" m="1" x="130"/>
        <item t="data" sd="1" m="1" x="125"/>
        <item t="data" sd="1" x="85"/>
        <item t="data" sd="1" x="8"/>
        <item t="data" sd="1" m="1" x="161"/>
        <item t="data" sd="1" x="30"/>
        <item t="data" sd="1" m="1" x="169"/>
        <item t="data" sd="1" m="1" x="149"/>
        <item t="data" sd="1" x="41"/>
        <item t="data" sd="1" x="12"/>
        <item t="data" sd="1" m="1" x="100"/>
        <item t="data" sd="1" x="61"/>
        <item t="data" sd="1" m="1" x="141"/>
        <item t="data" sd="1" m="1" x="153"/>
        <item t="data" sd="1" m="1" x="236"/>
        <item t="data" sd="1" x="79"/>
        <item t="data" sd="1" x="2"/>
        <item t="data" sd="1" x="25"/>
        <item t="data" sd="1" x="9"/>
        <item t="data" sd="1" m="1" x="265"/>
        <item t="data" sd="1" m="1" x="221"/>
        <item t="data" sd="1" m="1" x="144"/>
        <item t="data" sd="1" m="1" x="175"/>
        <item t="data" sd="1" m="1" x="261"/>
        <item t="data" sd="1" m="1" x="184"/>
        <item t="data" sd="1" x="15"/>
        <item t="data" sd="1" m="1" x="119"/>
        <item t="data" sd="1" m="1" x="92"/>
        <item t="data" sd="1" m="1" x="259"/>
        <item t="data" sd="1" x="17"/>
        <item t="data" sd="1" m="1" x="274"/>
        <item t="data" sd="1" m="1" x="166"/>
        <item t="data" sd="1" m="1" x="224"/>
        <item t="data" sd="1" m="1" x="135"/>
        <item t="data" sd="1" m="1" x="111"/>
        <item t="data" sd="1" m="1" x="172"/>
        <item t="data" sd="1" m="1" x="200"/>
        <item t="data" sd="1" m="1" x="138"/>
        <item t="data" sd="1" m="1" x="219"/>
        <item t="data" sd="1" m="1" x="91"/>
        <item t="data" sd="1" m="1" x="272"/>
        <item t="data" sd="1" x="74"/>
        <item t="data" sd="1" x="89"/>
        <item t="data" sd="1" m="1" x="201"/>
        <item t="data" sd="1" m="1" x="185"/>
        <item t="data" sd="1" x="6"/>
        <item t="data" sd="1" x="69"/>
        <item t="data" sd="1" m="1" x="113"/>
        <item t="data" sd="1" m="1" x="187"/>
        <item t="data" sd="1" x="86"/>
        <item t="data" sd="1" m="1" x="157"/>
        <item t="data" sd="1" m="1" x="226"/>
        <item t="data" sd="1" m="1" x="137"/>
        <item t="data" sd="1" x="47"/>
        <item t="data" sd="1" m="1" x="264"/>
        <item t="data" sd="1" m="1" x="112"/>
        <item t="data" sd="1" m="1" x="211"/>
        <item t="data" sd="1" m="1" x="262"/>
        <item t="data" sd="1" x="0"/>
        <item t="data" sd="1" m="1" x="225"/>
        <item t="data" sd="1" m="1" x="171"/>
        <item t="data" sd="1" x="10"/>
        <item t="data" sd="1" m="1" x="253"/>
        <item t="data" sd="1" m="1" x="270"/>
        <item t="data" sd="1" x="57"/>
        <item t="data" sd="1" m="1" x="245"/>
        <item t="data" sd="1" m="1" x="256"/>
        <item t="data" sd="1" m="1" x="230"/>
        <item t="data" sd="1" x="81"/>
        <item t="data" sd="1" m="1" x="98"/>
        <item t="data" sd="1" x="45"/>
        <item t="data" sd="1" m="1" x="239"/>
        <item t="data" sd="1" m="1" x="217"/>
        <item t="data" sd="1" m="1" x="168"/>
        <item t="data" sd="1" m="1" x="241"/>
        <item t="data" sd="1" m="1" x="247"/>
        <item t="data" sd="1" m="1" x="132"/>
        <item t="data" sd="1" m="1" x="235"/>
        <item t="data" sd="1" x="37"/>
        <item t="data" sd="1" m="1" x="148"/>
        <item t="data" sd="1" m="1" x="186"/>
        <item t="data" sd="1" x="78"/>
        <item t="data" sd="1" m="1" x="197"/>
        <item t="data" sd="1" x="58"/>
        <item t="data" sd="1" x="51"/>
        <item t="data" sd="1" m="1" x="150"/>
        <item t="data" sd="1" x="48"/>
        <item t="data" sd="1" x="50"/>
        <item t="data" sd="1" x="75"/>
        <item t="data" sd="1" m="1" x="152"/>
        <item t="data" sd="1" x="34"/>
        <item t="data" sd="1" m="1" x="123"/>
        <item t="data" sd="1" x="80"/>
        <item t="data" sd="1" x="82"/>
        <item t="data" sd="1" x="83"/>
        <item t="data" sd="1" x="87"/>
        <item t="data" sd="1" m="1" x="244"/>
        <item t="data" sd="1" x="53"/>
        <item t="data" sd="1" x="56"/>
        <item t="data" sd="1" m="1" x="176"/>
        <item t="data" sd="1" m="1" x="142"/>
        <item t="data" sd="1" x="19"/>
        <item t="data" sd="1" x="32"/>
        <item t="data" sd="1" x="60"/>
        <item t="data" sd="1" x="54"/>
        <item t="data" sd="1" m="1" x="131"/>
        <item t="data" sd="1" x="70"/>
        <item t="data" sd="1" m="1" x="254"/>
        <item t="data" sd="1" x="59"/>
        <item t="data" sd="1" m="1" x="99"/>
        <item t="data" sd="1" m="1" x="174"/>
        <item t="data" sd="1" x="13"/>
        <item t="data" sd="1" m="1" x="95"/>
        <item t="data" sd="1" x="71"/>
        <item t="data" sd="1" m="1" x="107"/>
        <item t="data" sd="1" x="3"/>
        <item t="data" sd="1" x="26"/>
        <item t="data" sd="1" x="22"/>
        <item t="data" sd="1" x="14"/>
        <item t="data" sd="1" x="16"/>
        <item t="data" sd="1" x="20"/>
        <item t="data" sd="1" x="46"/>
        <item t="data" sd="1" m="1" x="143"/>
        <item t="data" sd="1" m="1" x="116"/>
        <item t="data" sd="1" x="24"/>
        <item t="data" sd="1" x="68"/>
        <item t="data" sd="1" x="18"/>
        <item t="data" sd="1" x="67"/>
        <item t="data" sd="1" x="36"/>
        <item t="data" sd="1" m="1" x="234"/>
        <item t="data" sd="1" x="27"/>
        <item t="data" sd="1" x="28"/>
        <item t="data" sd="1" x="4"/>
        <item t="data" sd="1" x="29"/>
        <item t="data" sd="1" m="1" x="202"/>
        <item t="data" sd="1" x="39"/>
        <item t="data" sd="1" x="38"/>
        <item t="data" sd="1" x="72"/>
        <item t="data" sd="1" x="43"/>
        <item t="data" sd="1" x="1"/>
        <item t="data" sd="1" x="11"/>
        <item t="data" sd="1" x="21"/>
        <item t="data" sd="1" x="31"/>
        <item t="data" sd="1" x="40"/>
        <item t="data" sd="1" x="42"/>
        <item t="data" sd="1" x="49"/>
        <item t="data" sd="1" x="55"/>
        <item t="data" sd="1" x="62"/>
        <item t="data" sd="1" x="64"/>
        <item t="data" sd="1" x="65"/>
        <item t="data" sd="1" x="66"/>
        <item t="data" sd="1" x="73"/>
        <item t="data" sd="1" x="76"/>
        <item t="data" sd="1" x="84"/>
        <item t="data" sd="1" x="90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5"/>
  </rowFields>
  <rowItems count="92">
    <i t="data" r="0" i="0">
      <x v="221"/>
    </i>
    <i t="data" r="0" i="0">
      <x v="252"/>
    </i>
    <i t="data" r="0" i="0">
      <x v="251"/>
    </i>
    <i t="data" r="0" i="0">
      <x v="136"/>
    </i>
    <i t="data" r="0" i="0">
      <x v="274"/>
    </i>
    <i t="data" r="0" i="0">
      <x v="217"/>
    </i>
    <i t="data" r="0" i="0">
      <x v="129"/>
    </i>
    <i t="data" r="0" i="0">
      <x v="262"/>
    </i>
    <i t="data" r="0" i="0">
      <x v="206"/>
    </i>
    <i t="data" r="0" i="0">
      <x v="223"/>
    </i>
    <i t="data" r="0" i="0">
      <x v="255"/>
    </i>
    <i t="data" r="0" i="0">
      <x v="237"/>
    </i>
    <i t="data" r="0" i="0">
      <x v="128"/>
    </i>
    <i t="data" r="0" i="0">
      <x v="268"/>
    </i>
    <i t="data" r="0" i="0">
      <x v="94"/>
    </i>
    <i t="data" r="0" i="0">
      <x v="231"/>
    </i>
    <i t="data" r="0" i="0">
      <x v="131"/>
    </i>
    <i t="data" r="0" i="0">
      <x v="241"/>
    </i>
    <i t="data" r="0" i="0">
      <x v="135"/>
    </i>
    <i t="data" r="0" i="0">
      <x v="123"/>
    </i>
    <i t="data" r="0" i="0">
      <x v="16"/>
    </i>
    <i t="data" r="0" i="0">
      <x v="273"/>
    </i>
    <i t="data" r="0" i="0">
      <x v="138"/>
    </i>
    <i t="data" r="0" i="0">
      <x v="226"/>
    </i>
    <i t="data" r="0" i="0">
      <x v="149"/>
    </i>
    <i t="data" r="0" i="0">
      <x v="235"/>
    </i>
    <i t="data" r="0" i="0">
      <x v="161"/>
    </i>
    <i t="data" r="0" i="0">
      <x v="239"/>
    </i>
    <i t="data" r="0" i="0">
      <x v="162"/>
    </i>
    <i t="data" r="0" i="0">
      <x v="125"/>
    </i>
    <i t="data" r="0" i="0">
      <x v="165"/>
    </i>
    <i t="data" r="0" i="0">
      <x v="259"/>
    </i>
    <i t="data" r="0" i="0">
      <x v="166"/>
    </i>
    <i t="data" r="0" i="0">
      <x v="266"/>
    </i>
    <i t="data" r="0" i="0">
      <x v="169"/>
    </i>
    <i t="data" r="0" i="0">
      <x v="270"/>
    </i>
    <i t="data" r="0" i="0">
      <x v="178"/>
    </i>
    <i t="data" r="0" i="0">
      <x v="91"/>
    </i>
    <i t="data" r="0" i="0">
      <x v="181"/>
    </i>
    <i t="data" r="0" i="0">
      <x v="224"/>
    </i>
    <i t="data" r="0" i="0">
      <x v="188"/>
    </i>
    <i t="data" r="0" i="0">
      <x v="228"/>
    </i>
    <i t="data" r="0" i="0">
      <x v="190"/>
    </i>
    <i t="data" r="0" i="0">
      <x v="233"/>
    </i>
    <i t="data" r="0" i="0">
      <x v="198"/>
    </i>
    <i t="data" r="0" i="0">
      <x v="236"/>
    </i>
    <i t="data" r="0" i="0">
      <x v="203"/>
    </i>
    <i t="data" r="0" i="0">
      <x v="238"/>
    </i>
    <i t="data" r="0" i="0">
      <x v="204"/>
    </i>
    <i t="data" r="0" i="0">
      <x v="240"/>
    </i>
    <i t="data" r="0" i="0">
      <x v="246"/>
    </i>
    <i t="data" r="0" i="0">
      <x v="244"/>
    </i>
    <i t="data" r="0" i="0">
      <x v="247"/>
    </i>
    <i t="data" r="0" i="0">
      <x v="55"/>
    </i>
    <i t="data" r="0" i="0">
      <x v="250"/>
    </i>
    <i t="data" r="0" i="0">
      <x v="207"/>
    </i>
    <i t="data" r="0" i="0">
      <x v="253"/>
    </i>
    <i t="data" r="0" i="0">
      <x v="208"/>
    </i>
    <i t="data" r="0" i="0">
      <x v="257"/>
    </i>
    <i t="data" r="0" i="0">
      <x v="210"/>
    </i>
    <i t="data" r="0" i="0">
      <x v="260"/>
    </i>
    <i t="data" r="0" i="0">
      <x v="212"/>
    </i>
    <i t="data" r="0" i="0">
      <x v="263"/>
    </i>
    <i t="data" r="0" i="0">
      <x v="213"/>
    </i>
    <i t="data" r="0" i="0">
      <x v="267"/>
    </i>
    <i t="data" r="0" i="0">
      <x v="214"/>
    </i>
    <i t="data" r="0" i="0">
      <x v="269"/>
    </i>
    <i t="data" r="0" i="0">
      <x v="215"/>
    </i>
    <i t="data" r="0" i="0">
      <x v="218"/>
    </i>
    <i t="data" r="0" i="0">
      <x v="66"/>
    </i>
    <i t="data" r="0" i="0">
      <x v="116"/>
    </i>
    <i t="data" r="0" i="0">
      <x v="265"/>
    </i>
    <i t="data" r="0" i="0">
      <x v="145"/>
    </i>
    <i t="data" r="0" i="0">
      <x v="122"/>
    </i>
    <i t="data" r="0" i="0">
      <x v="248"/>
    </i>
    <i t="data" r="0" i="0">
      <x v="256"/>
    </i>
    <i t="data" r="0" i="0">
      <x v="271"/>
    </i>
    <i t="data" r="0" i="0">
      <x v="201"/>
    </i>
    <i t="data" r="0" i="0">
      <x v="264"/>
    </i>
    <i t="data" r="0" i="0">
      <x v="258"/>
    </i>
    <i t="data" r="0" i="0">
      <x v="137"/>
    </i>
    <i t="data" r="0" i="0">
      <x v="173"/>
    </i>
    <i t="data" r="0" i="0">
      <x v="184"/>
    </i>
    <i t="data" r="0" i="0">
      <x v="107"/>
    </i>
    <i t="data" r="0" i="0">
      <x v="62"/>
    </i>
    <i t="data" r="0" i="0">
      <x v="261"/>
    </i>
    <i t="data" r="0" i="0">
      <x v="272"/>
    </i>
    <i t="data" r="0" i="0">
      <x v="245"/>
    </i>
    <i t="data" r="0" i="0">
      <x v="7"/>
    </i>
    <i t="data" r="0" i="0">
      <x v="46"/>
    </i>
    <i t="data" r="0" i="0">
      <x v="222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Count of Client Coverage" fld="18" subtotal="count" showDataAs="normal" baseField="0" baseItem="0"/>
    <dataField name="Sum of L. BROKER" fld="16" subtotal="sum" showDataAs="normal" baseField="15" baseItem="57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D1213" firstHeaderRow="0" firstDataRow="1" firstDataCol="1"/>
  <pivotFields count="33">
    <pivotField showDropDowns="1" compact="1" outline="1" subtotalTop="1" dragToRow="1" dragToCol="1" multipleItemSelectionAllowed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1328">
        <item t="data" sd="1" m="1" x="1247"/>
        <item t="data" sd="1" x="878"/>
        <item t="data" sd="1" x="1020"/>
        <item t="data" sd="1" x="896"/>
        <item t="data" sd="1" m="1" x="1258"/>
        <item t="data" sd="1" x="887"/>
        <item t="data" sd="1" x="1010"/>
        <item t="data" sd="1" x="886"/>
        <item t="data" sd="1" x="1041"/>
        <item t="data" sd="1" x="919"/>
        <item t="data" sd="1" x="591"/>
        <item t="data" sd="1" x="794"/>
        <item t="data" sd="1" m="1" x="1226"/>
        <item t="data" sd="1" x="1069"/>
        <item t="data" sd="1" x="111"/>
        <item t="data" sd="1" m="1" x="1287"/>
        <item t="data" sd="1" m="1" x="1318"/>
        <item t="data" sd="1" m="1" x="1266"/>
        <item t="data" sd="1" m="1" x="1290"/>
        <item t="data" sd="1" m="1" x="1303"/>
        <item t="data" sd="1" x="35"/>
        <item t="data" sd="1" x="608"/>
        <item t="data" sd="1" x="826"/>
        <item t="data" sd="1" x="599"/>
        <item t="data" sd="1" x="624"/>
        <item t="data" sd="1" x="708"/>
        <item t="data" sd="1" x="869"/>
        <item t="data" sd="1" m="1" x="1261"/>
        <item t="data" sd="1" m="1" x="1241"/>
        <item t="data" sd="1" x="1131"/>
        <item t="data" sd="1" m="1" x="1251"/>
        <item t="data" sd="1" x="987"/>
        <item t="data" sd="1" x="831"/>
        <item t="data" sd="1" x="833"/>
        <item t="data" sd="1" x="1136"/>
        <item t="data" sd="1" x="628"/>
        <item t="data" sd="1" x="988"/>
        <item t="data" sd="1" x="229"/>
        <item t="data" sd="1" m="1" x="1271"/>
        <item t="data" sd="1" m="1" x="1224"/>
        <item t="data" sd="1" m="1" x="1301"/>
        <item t="data" sd="1" m="1" x="1234"/>
        <item t="data" sd="1" x="784"/>
        <item t="data" sd="1" x="846"/>
        <item t="data" sd="1" x="1142"/>
        <item t="data" sd="1" x="881"/>
        <item t="data" sd="1" x="937"/>
        <item t="data" sd="1" x="1036"/>
        <item t="data" sd="1" x="810"/>
        <item t="data" sd="1" x="1073"/>
        <item t="data" sd="1" x="910"/>
        <item t="data" sd="1" x="906"/>
        <item t="data" sd="1" x="811"/>
        <item t="data" sd="1" x="822"/>
        <item t="data" sd="1" x="1035"/>
        <item t="data" sd="1" x="763"/>
        <item t="data" sd="1" x="745"/>
        <item t="data" sd="1" x="311"/>
        <item t="data" sd="1" m="1" x="1263"/>
        <item t="data" sd="1" x="928"/>
        <item t="data" sd="1" x="924"/>
        <item t="data" sd="1" x="1129"/>
        <item t="data" sd="1" x="791"/>
        <item t="data" sd="1" x="1117"/>
        <item t="data" sd="1" x="1121"/>
        <item t="data" sd="1" x="1097"/>
        <item t="data" sd="1" m="1" x="1220"/>
        <item t="data" sd="1" x="60"/>
        <item t="data" sd="1" x="1026"/>
        <item t="data" sd="1" x="629"/>
        <item t="data" sd="1" x="592"/>
        <item t="data" sd="1" x="923"/>
        <item t="data" sd="1" x="843"/>
        <item t="data" sd="1" x="598"/>
        <item t="data" sd="1" x="637"/>
        <item t="data" sd="1" x="948"/>
        <item t="data" sd="1" x="951"/>
        <item t="data" sd="1" x="1061"/>
        <item t="data" sd="1" x="929"/>
        <item t="data" sd="1" x="819"/>
        <item t="data" sd="1" x="1049"/>
        <item t="data" sd="1" x="724"/>
        <item t="data" sd="1" x="697"/>
        <item t="data" sd="1" x="807"/>
        <item t="data" sd="1" x="812"/>
        <item t="data" sd="1" m="1" x="1300"/>
        <item t="data" sd="1" x="917"/>
        <item t="data" sd="1" x="801"/>
        <item t="data" sd="1" x="756"/>
        <item t="data" sd="1" x="795"/>
        <item t="data" sd="1" x="578"/>
        <item t="data" sd="1" x="1099"/>
        <item t="data" sd="1" x="625"/>
        <item t="data" sd="1" x="1110"/>
        <item t="data" sd="1" x="1188"/>
        <item t="data" sd="1" m="1" x="1229"/>
        <item t="data" sd="1" x="871"/>
        <item t="data" sd="1" m="1" x="1274"/>
        <item t="data" sd="1" x="398"/>
        <item t="data" sd="1" x="510"/>
        <item t="data" sd="1" x="1162"/>
        <item t="data" sd="1" x="934"/>
        <item t="data" sd="1" x="1034"/>
        <item t="data" sd="1" x="974"/>
        <item t="data" sd="1" x="589"/>
        <item t="data" sd="1" x="970"/>
        <item t="data" sd="1" x="952"/>
        <item t="data" sd="1" x="613"/>
        <item t="data" sd="1" x="371"/>
        <item t="data" sd="1" x="746"/>
        <item t="data" sd="1" m="1" x="1242"/>
        <item t="data" sd="1" m="1" x="1297"/>
        <item t="data" sd="1" x="1115"/>
        <item t="data" sd="1" x="683"/>
        <item t="data" sd="1" x="1124"/>
        <item t="data" sd="1" x="686"/>
        <item t="data" sd="1" x="845"/>
        <item t="data" sd="1" x="698"/>
        <item t="data" sd="1" x="581"/>
        <item t="data" sd="1" x="839"/>
        <item t="data" sd="1" x="743"/>
        <item t="data" sd="1" x="769"/>
        <item t="data" sd="1" x="702"/>
        <item t="data" sd="1" x="938"/>
        <item t="data" sd="1" m="1" x="1280"/>
        <item t="data" sd="1" x="267"/>
        <item t="data" sd="1" m="1" x="1249"/>
        <item t="data" sd="1" x="1179"/>
        <item t="data" sd="1" x="665"/>
        <item t="data" sd="1" x="830"/>
        <item t="data" sd="1" x="1173"/>
        <item t="data" sd="1" x="64"/>
        <item t="data" sd="1" x="993"/>
        <item t="data" sd="1" x="893"/>
        <item t="data" sd="1" x="750"/>
        <item t="data" sd="1" x="834"/>
        <item t="data" sd="1" x="144"/>
        <item t="data" sd="1" x="738"/>
        <item t="data" sd="1" m="1" x="1227"/>
        <item t="data" sd="1" m="1" x="1240"/>
        <item t="data" sd="1" x="294"/>
        <item t="data" sd="1" x="694"/>
        <item t="data" sd="1" x="850"/>
        <item t="data" sd="1" m="1" x="1278"/>
        <item t="data" sd="1" x="579"/>
        <item t="data" sd="1" x="685"/>
        <item t="data" sd="1" x="684"/>
        <item t="data" sd="1" x="976"/>
        <item t="data" sd="1" m="1" x="1320"/>
        <item t="data" sd="1" x="272"/>
        <item t="data" sd="1" m="1" x="1264"/>
        <item t="data" sd="1" m="1" x="1298"/>
        <item t="data" sd="1" x="1006"/>
        <item t="data" sd="1" x="883"/>
        <item t="data" sd="1" x="393"/>
        <item t="data" sd="1" x="695"/>
        <item t="data" sd="1" x="1100"/>
        <item t="data" sd="1" m="1" x="1255"/>
        <item t="data" sd="1" x="667"/>
        <item t="data" sd="1" x="725"/>
        <item t="data" sd="1" x="761"/>
        <item t="data" sd="1" x="722"/>
        <item t="data" sd="1" x="597"/>
        <item t="data" sd="1" x="789"/>
        <item t="data" sd="1" x="349"/>
        <item t="data" sd="1" m="1" x="1288"/>
        <item t="data" sd="1" x="1092"/>
        <item t="data" sd="1" x="1132"/>
        <item t="data" sd="1" x="875"/>
        <item t="data" sd="1" x="835"/>
        <item t="data" sd="1" m="1" x="1312"/>
        <item t="data" sd="1" x="712"/>
        <item t="data" sd="1" x="982"/>
        <item t="data" sd="1" x="999"/>
        <item t="data" sd="1" x="817"/>
        <item t="data" sd="1" x="582"/>
        <item t="data" sd="1" x="1011"/>
        <item t="data" sd="1" x="798"/>
        <item t="data" sd="1" x="610"/>
        <item t="data" sd="1" x="1150"/>
        <item t="data" sd="1" x="606"/>
        <item t="data" sd="1" m="1" x="1267"/>
        <item t="data" sd="1" m="1" x="1293"/>
        <item t="data" sd="1" x="915"/>
        <item t="data" sd="1" x="1053"/>
        <item t="data" sd="1" m="1" x="1299"/>
        <item t="data" sd="1" x="563"/>
        <item t="data" sd="1" m="1" x="1304"/>
        <item t="data" sd="1" x="1118"/>
        <item t="data" sd="1" x="1090"/>
        <item t="data" sd="1" x="1138"/>
        <item t="data" sd="1" x="1094"/>
        <item t="data" sd="1" x="1182"/>
        <item t="data" sd="1" x="631"/>
        <item t="data" sd="1" x="857"/>
        <item t="data" sd="1" x="705"/>
        <item t="data" sd="1" x="609"/>
        <item t="data" sd="1" x="159"/>
        <item t="data" sd="1" x="1122"/>
        <item t="data" sd="1" x="588"/>
        <item t="data" sd="1" x="911"/>
        <item t="data" sd="1" x="748"/>
        <item t="data" sd="1" x="653"/>
        <item t="data" sd="1" x="971"/>
        <item t="data" sd="1" x="728"/>
        <item t="data" sd="1" x="1113"/>
        <item t="data" sd="1" x="953"/>
        <item t="data" sd="1" x="681"/>
        <item t="data" sd="1" x="741"/>
        <item t="data" sd="1" x="23"/>
        <item t="data" sd="1" x="190"/>
        <item t="data" sd="1" x="1098"/>
        <item t="data" sd="1" x="627"/>
        <item t="data" sd="1" x="1004"/>
        <item t="data" sd="1" x="689"/>
        <item t="data" sd="1" m="1" x="1286"/>
        <item t="data" sd="1" m="1" x="1282"/>
        <item t="data" sd="1" x="305"/>
        <item t="data" sd="1" m="1" x="1235"/>
        <item t="data" sd="1" x="595"/>
        <item t="data" sd="1" m="1" x="1239"/>
        <item t="data" sd="1" x="1164"/>
        <item t="data" sd="1" x="324"/>
        <item t="data" sd="1" x="1051"/>
        <item t="data" sd="1" x="808"/>
        <item t="data" sd="1" x="692"/>
        <item t="data" sd="1" m="1" x="1244"/>
        <item t="data" sd="1" x="762"/>
        <item t="data" sd="1" x="1005"/>
        <item t="data" sd="1" x="172"/>
        <item t="data" sd="1" x="828"/>
        <item t="data" sd="1" x="687"/>
        <item t="data" sd="1" x="709"/>
        <item t="data" sd="1" x="832"/>
        <item t="data" sd="1" x="868"/>
        <item t="data" sd="1" x="797"/>
        <item t="data" sd="1" x="1119"/>
        <item t="data" sd="1" x="673"/>
        <item t="data" sd="1" x="1018"/>
        <item t="data" sd="1" x="558"/>
        <item t="data" sd="1" x="574"/>
        <item t="data" sd="1" x="964"/>
        <item t="data" sd="1" x="813"/>
        <item t="data" sd="1" m="1" x="1221"/>
        <item t="data" sd="1" m="1" x="1269"/>
        <item t="data" sd="1" x="621"/>
        <item t="data" sd="1" x="1151"/>
        <item t="data" sd="1" x="873"/>
        <item t="data" sd="1" x="775"/>
        <item t="data" sd="1" x="1153"/>
        <item t="data" sd="1" x="864"/>
        <item t="data" sd="1" x="1091"/>
        <item t="data" sd="1" x="1106"/>
        <item t="data" sd="1" x="717"/>
        <item t="data" sd="1" m="1" x="1292"/>
        <item t="data" sd="1" x="664"/>
        <item t="data" sd="1" x="954"/>
        <item t="data" sd="1" x="803"/>
        <item t="data" sd="1" x="716"/>
        <item t="data" sd="1" x="580"/>
        <item t="data" sd="1" x="771"/>
        <item t="data" sd="1" x="882"/>
        <item t="data" sd="1" x="492"/>
        <item t="data" sd="1" x="1140"/>
        <item t="data" sd="1" x="920"/>
        <item t="data" sd="1" x="944"/>
        <item t="data" sd="1" x="1037"/>
        <item t="data" sd="1" x="774"/>
        <item t="data" sd="1" x="163"/>
        <item t="data" sd="1" x="956"/>
        <item t="data" sd="1" x="1068"/>
        <item t="data" sd="1" x="994"/>
        <item t="data" sd="1" x="1009"/>
        <item t="data" sd="1" x="913"/>
        <item t="data" sd="1" x="793"/>
        <item t="data" sd="1" x="670"/>
        <item t="data" sd="1" x="675"/>
        <item t="data" sd="1" x="1081"/>
        <item t="data" sd="1" m="1" x="1254"/>
        <item t="data" sd="1" x="1027"/>
        <item t="data" sd="1" x="995"/>
        <item t="data" sd="1" m="1" x="1305"/>
        <item t="data" sd="1" x="744"/>
        <item t="data" sd="1" x="968"/>
        <item t="data" sd="1" x="602"/>
        <item t="data" sd="1" x="585"/>
        <item t="data" sd="1" x="1063"/>
        <item t="data" sd="1" x="452"/>
        <item t="data" sd="1" x="1144"/>
        <item t="data" sd="1" x="1141"/>
        <item t="data" sd="1" x="587"/>
        <item t="data" sd="1" m="1" x="1237"/>
        <item t="data" sd="1" x="1133"/>
        <item t="data" sd="1" x="1055"/>
        <item t="data" sd="1" x="551"/>
        <item t="data" sd="1" x="1024"/>
        <item t="data" sd="1" m="1" x="1306"/>
        <item t="data" sd="1" x="137"/>
        <item t="data" sd="1" m="1" x="1285"/>
        <item t="data" sd="1" x="754"/>
        <item t="data" sd="1" x="644"/>
        <item t="data" sd="1" x="747"/>
        <item t="data" sd="1" x="902"/>
        <item t="data" sd="1" x="727"/>
        <item t="data" sd="1" x="586"/>
        <item t="data" sd="1" m="1" x="1319"/>
        <item t="data" sd="1" x="729"/>
        <item t="data" sd="1" x="616"/>
        <item t="data" sd="1" x="854"/>
        <item t="data" sd="1" m="1" x="1323"/>
        <item t="data" sd="1" m="1" x="1236"/>
        <item t="data" sd="1" x="870"/>
        <item t="data" sd="1" x="876"/>
        <item t="data" sd="1" x="1126"/>
        <item t="data" sd="1" m="1" x="1272"/>
        <item t="data" sd="1" x="719"/>
        <item t="data" sd="1" x="668"/>
        <item t="data" sd="1" x="1015"/>
        <item t="data" sd="1" x="1134"/>
        <item t="data" sd="1" x="1127"/>
        <item t="data" sd="1" x="636"/>
        <item t="data" sd="1" x="601"/>
        <item t="data" sd="1" m="1" x="1281"/>
        <item t="data" sd="1" x="706"/>
        <item t="data" sd="1" x="603"/>
        <item t="data" sd="1" x="1033"/>
        <item t="data" sd="1" x="823"/>
        <item t="data" sd="1" x="734"/>
        <item t="data" sd="1" x="564"/>
        <item t="data" sd="1" x="842"/>
        <item t="data" sd="1" m="1" x="1222"/>
        <item t="data" sd="1" x="737"/>
        <item t="data" sd="1" x="849"/>
        <item t="data" sd="1" x="1108"/>
        <item t="data" sd="1" x="204"/>
        <item t="data" sd="1" x="867"/>
        <item t="data" sd="1" x="418"/>
        <item t="data" sd="1" x="1057"/>
        <item t="data" sd="1" x="815"/>
        <item t="data" sd="1" x="1114"/>
        <item t="data" sd="1" x="566"/>
        <item t="data" sd="1" x="565"/>
        <item t="data" sd="1" x="814"/>
        <item t="data" sd="1" x="847"/>
        <item t="data" sd="1" x="757"/>
        <item t="data" sd="1" x="1156"/>
        <item t="data" sd="1" x="660"/>
        <item t="data" sd="1" x="1088"/>
        <item t="data" sd="1" x="1032"/>
        <item t="data" sd="1" x="690"/>
        <item t="data" sd="1" x="556"/>
        <item t="data" sd="1" x="1067"/>
        <item t="data" sd="1" x="605"/>
        <item t="data" sd="1" x="720"/>
        <item t="data" sd="1" x="658"/>
        <item t="data" sd="1" x="1146"/>
        <item t="data" sd="1" x="752"/>
        <item t="data" sd="1" x="894"/>
        <item t="data" sd="1" x="1021"/>
        <item t="data" sd="1" m="1" x="1268"/>
        <item t="data" sd="1" x="671"/>
        <item t="data" sd="1" x="1025"/>
        <item t="data" sd="1" x="622"/>
        <item t="data" sd="1" x="1149"/>
        <item t="data" sd="1" x="973"/>
        <item t="data" sd="1" x="1040"/>
        <item t="data" sd="1" x="958"/>
        <item t="data" sd="1" x="742"/>
        <item t="data" sd="1" x="891"/>
        <item t="data" sd="1" x="330"/>
        <item t="data" sd="1" x="559"/>
        <item t="data" sd="1" x="626"/>
        <item t="data" sd="1" x="607"/>
        <item t="data" sd="1" x="962"/>
        <item t="data" sd="1" x="569"/>
        <item t="data" sd="1" x="972"/>
        <item t="data" sd="1" x="786"/>
        <item t="data" sd="1" x="818"/>
        <item t="data" sd="1" x="990"/>
        <item t="data" sd="1" x="1064"/>
        <item t="data" sd="1" x="856"/>
        <item t="data" sd="1" x="678"/>
        <item t="data" sd="1" x="778"/>
        <item t="data" sd="1" x="874"/>
        <item t="data" sd="1" x="1137"/>
        <item t="data" sd="1" x="758"/>
        <item t="data" sd="1" x="909"/>
        <item t="data" sd="1" x="1014"/>
        <item t="data" sd="1" x="735"/>
        <item t="data" sd="1" x="1046"/>
        <item t="data" sd="1" x="931"/>
        <item t="data" sd="1" x="669"/>
        <item t="data" sd="1" m="1" x="1309"/>
        <item t="data" sd="1" m="1" x="1223"/>
        <item t="data" sd="1" x="561"/>
        <item t="data" sd="1" x="1002"/>
        <item t="data" sd="1" x="935"/>
        <item t="data" sd="1" x="193"/>
        <item t="data" sd="1" x="1016"/>
        <item t="data" sd="1" x="866"/>
        <item t="data" sd="1" x="1123"/>
        <item t="data" sd="1" x="590"/>
        <item t="data" sd="1" x="1054"/>
        <item t="data" sd="1" x="837"/>
        <item t="data" sd="1" x="596"/>
        <item t="data" sd="1" x="704"/>
        <item t="data" sd="1" x="570"/>
        <item t="data" sd="1" x="852"/>
        <item t="data" sd="1" x="1157"/>
        <item t="data" sd="1" x="1154"/>
        <item t="data" sd="1" x="1028"/>
        <item t="data" sd="1" x="825"/>
        <item t="data" sd="1" x="861"/>
        <item t="data" sd="1" x="1171"/>
        <item t="data" sd="1" x="884"/>
        <item t="data" sd="1" x="0"/>
        <item t="data" sd="1" m="1" x="1273"/>
        <item t="data" sd="1" x="290"/>
        <item t="data" sd="1" x="291"/>
        <item t="data" sd="1" x="292"/>
        <item t="data" sd="1" x="293"/>
        <item t="data" sd="1" x="299"/>
        <item t="data" sd="1" x="300"/>
        <item t="data" sd="1" x="302"/>
        <item t="data" sd="1" x="304"/>
        <item t="data" sd="1" x="306"/>
        <item t="data" sd="1" x="307"/>
        <item t="data" sd="1" x="308"/>
        <item t="data" sd="1" x="309"/>
        <item t="data" sd="1" x="310"/>
        <item t="data" sd="1" x="314"/>
        <item t="data" sd="1" x="318"/>
        <item t="data" sd="1" m="1" x="1275"/>
        <item t="data" sd="1" x="321"/>
        <item t="data" sd="1" x="322"/>
        <item t="data" sd="1" x="328"/>
        <item t="data" sd="1" x="329"/>
        <item t="data" sd="1" x="331"/>
        <item t="data" sd="1" x="332"/>
        <item t="data" sd="1" x="333"/>
        <item t="data" sd="1" x="334"/>
        <item t="data" sd="1" x="336"/>
        <item t="data" sd="1" x="337"/>
        <item t="data" sd="1" x="338"/>
        <item t="data" sd="1" x="343"/>
        <item t="data" sd="1" m="1" x="1311"/>
        <item t="data" sd="1" x="345"/>
        <item t="data" sd="1" x="348"/>
        <item t="data" sd="1" x="350"/>
        <item t="data" sd="1" x="351"/>
        <item t="data" sd="1" x="27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5"/>
        <item t="data" sd="1" x="366"/>
        <item t="data" sd="1" x="367"/>
        <item t="data" sd="1" x="369"/>
        <item t="data" sd="1" x="372"/>
        <item t="data" sd="1" x="373"/>
        <item t="data" sd="1" x="374"/>
        <item t="data" sd="1" x="375"/>
        <item t="data" sd="1" x="377"/>
        <item t="data" sd="1" x="378"/>
        <item t="data" sd="1" x="380"/>
        <item t="data" sd="1" x="381"/>
        <item t="data" sd="1" x="382"/>
        <item t="data" sd="1" x="384"/>
        <item t="data" sd="1" x="385"/>
        <item t="data" sd="1" m="1" x="1230"/>
        <item t="data" sd="1" x="265"/>
        <item t="data" sd="1" x="387"/>
        <item t="data" sd="1" x="388"/>
        <item t="data" sd="1" x="389"/>
        <item t="data" sd="1" x="391"/>
        <item t="data" sd="1" x="392"/>
        <item t="data" sd="1" x="394"/>
        <item t="data" sd="1" x="395"/>
        <item t="data" sd="1" x="151"/>
        <item t="data" sd="1" x="396"/>
        <item t="data" sd="1" m="1" x="1219"/>
        <item t="data" sd="1" x="188"/>
        <item t="data" sd="1" x="400"/>
        <item t="data" sd="1" x="401"/>
        <item t="data" sd="1" x="399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121"/>
        <item t="data" sd="1" x="413"/>
        <item t="data" sd="1" x="415"/>
        <item t="data" sd="1" x="416"/>
        <item t="data" sd="1" x="417"/>
        <item t="data" sd="1" x="419"/>
        <item t="data" sd="1" x="420"/>
        <item t="data" sd="1" x="676"/>
        <item t="data" sd="1" x="422"/>
        <item t="data" sd="1" x="423"/>
        <item t="data" sd="1" x="269"/>
        <item t="data" sd="1" x="425"/>
        <item t="data" sd="1" x="426"/>
        <item t="data" sd="1" x="427"/>
        <item t="data" sd="1" x="428"/>
        <item t="data" sd="1" m="1" x="1321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1"/>
        <item t="data" sd="1" x="442"/>
        <item t="data" sd="1" x="370"/>
        <item t="data" sd="1" x="443"/>
        <item t="data" sd="1" x="444"/>
        <item t="data" sd="1" x="445"/>
        <item t="data" sd="1" x="446"/>
        <item t="data" sd="1" m="1" x="1232"/>
        <item t="data" sd="1" x="447"/>
        <item t="data" sd="1" x="448"/>
        <item t="data" sd="1" x="450"/>
        <item t="data" sd="1" x="451"/>
        <item t="data" sd="1" x="453"/>
        <item t="data" sd="1" x="454"/>
        <item t="data" sd="1" x="455"/>
        <item t="data" sd="1" x="456"/>
        <item t="data" sd="1" x="457"/>
        <item t="data" sd="1" x="458"/>
        <item t="data" sd="1" x="460"/>
        <item t="data" sd="1" x="461"/>
        <item t="data" sd="1" x="462"/>
        <item t="data" sd="1" x="465"/>
        <item t="data" sd="1" m="1" x="1248"/>
        <item t="data" sd="1" x="467"/>
        <item t="data" sd="1" x="469"/>
        <item t="data" sd="1" x="471"/>
        <item t="data" sd="1" x="139"/>
        <item t="data" sd="1" x="472"/>
        <item t="data" sd="1" x="473"/>
        <item t="data" sd="1" x="476"/>
        <item t="data" sd="1" x="477"/>
        <item t="data" sd="1" x="478"/>
        <item t="data" sd="1" x="479"/>
        <item t="data" sd="1" x="480"/>
        <item t="data" sd="1" x="112"/>
        <item t="data" sd="1" x="481"/>
        <item t="data" sd="1" x="482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4"/>
        <item t="data" sd="1" m="1" x="1228"/>
        <item t="data" sd="1" x="495"/>
        <item t="data" sd="1" x="497"/>
        <item t="data" sd="1" x="498"/>
        <item t="data" sd="1" x="499"/>
        <item t="data" sd="1" x="500"/>
        <item t="data" sd="1" x="502"/>
        <item t="data" sd="1" x="503"/>
        <item t="data" sd="1" m="1" x="1256"/>
        <item t="data" sd="1" x="505"/>
        <item t="data" sd="1" x="506"/>
        <item t="data" sd="1" x="509"/>
        <item t="data" sd="1" x="511"/>
        <item t="data" sd="1" x="512"/>
        <item t="data" sd="1" x="513"/>
        <item t="data" sd="1" x="514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8"/>
        <item t="data" sd="1" x="530"/>
        <item t="data" sd="1" x="531"/>
        <item t="data" sd="1" x="532"/>
        <item t="data" sd="1" x="533"/>
        <item t="data" sd="1" x="534"/>
        <item t="data" sd="1" x="535"/>
        <item t="data" sd="1" x="537"/>
        <item t="data" sd="1" x="539"/>
        <item t="data" sd="1" x="540"/>
        <item t="data" sd="1" x="541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2"/>
        <item t="data" sd="1" x="554"/>
        <item t="data" sd="1" x="555"/>
        <item t="data" sd="1" x="557"/>
        <item t="data" sd="1" m="1" x="1243"/>
        <item t="data" sd="1" x="560"/>
        <item t="data" sd="1" x="562"/>
        <item t="data" sd="1" x="567"/>
        <item t="data" sd="1" x="568"/>
        <item t="data" sd="1" x="571"/>
        <item t="data" sd="1" m="1" x="1277"/>
        <item t="data" sd="1" x="575"/>
        <item t="data" sd="1" x="577"/>
        <item t="data" sd="1" x="583"/>
        <item t="data" sd="1" m="1" x="1245"/>
        <item t="data" sd="1" x="584"/>
        <item t="data" sd="1" x="594"/>
        <item t="data" sd="1" x="600"/>
        <item t="data" sd="1" x="604"/>
        <item t="data" sd="1" x="612"/>
        <item t="data" sd="1" x="615"/>
        <item t="data" sd="1" x="617"/>
        <item t="data" sd="1" x="618"/>
        <item t="data" sd="1" x="619"/>
        <item t="data" sd="1" x="620"/>
        <item t="data" sd="1" x="623"/>
        <item t="data" sd="1" x="635"/>
        <item t="data" sd="1" x="93"/>
        <item t="data" sd="1" x="638"/>
        <item t="data" sd="1" x="639"/>
        <item t="data" sd="1" x="643"/>
        <item t="data" sd="1" x="648"/>
        <item t="data" sd="1" x="652"/>
        <item t="data" sd="1" x="654"/>
        <item t="data" sd="1" x="655"/>
        <item t="data" sd="1" x="656"/>
        <item t="data" sd="1" x="657"/>
        <item t="data" sd="1" m="1" x="1289"/>
        <item t="data" sd="1" m="1" x="1313"/>
        <item t="data" sd="1" m="1" x="1270"/>
        <item t="data" sd="1" x="677"/>
        <item t="data" sd="1" x="680"/>
        <item t="data" sd="1" x="703"/>
        <item t="data" sd="1" x="710"/>
        <item t="data" sd="1" x="711"/>
        <item t="data" sd="1" x="726"/>
        <item t="data" sd="1" x="730"/>
        <item t="data" sd="1" x="731"/>
        <item t="data" sd="1" x="733"/>
        <item t="data" sd="1" m="1" x="1253"/>
        <item t="data" sd="1" x="740"/>
        <item t="data" sd="1" m="1" x="1252"/>
        <item t="data" sd="1" m="1" x="1259"/>
        <item t="data" sd="1" m="1" x="1294"/>
        <item t="data" sd="1" x="760"/>
        <item t="data" sd="1" x="764"/>
        <item t="data" sd="1" x="766"/>
        <item t="data" sd="1" x="770"/>
        <item t="data" sd="1" x="781"/>
        <item t="data" sd="1" m="1" x="1216"/>
        <item t="data" sd="1" x="790"/>
        <item t="data" sd="1" x="799"/>
        <item t="data" sd="1" x="98"/>
        <item t="data" sd="1" m="1" x="1265"/>
        <item t="data" sd="1" x="806"/>
        <item t="data" sd="1" m="1" x="1317"/>
        <item t="data" sd="1" x="816"/>
        <item t="data" sd="1" x="820"/>
        <item t="data" sd="1" x="821"/>
        <item t="data" sd="1" x="824"/>
        <item t="data" sd="1" x="827"/>
        <item t="data" sd="1" x="840"/>
        <item t="data" sd="1" x="841"/>
        <item t="data" sd="1" x="844"/>
        <item t="data" sd="1" x="851"/>
        <item t="data" sd="1" x="877"/>
        <item t="data" sd="1" x="889"/>
        <item t="data" sd="1" x="892"/>
        <item t="data" sd="1" x="897"/>
        <item t="data" sd="1" x="908"/>
        <item t="data" sd="1" x="926"/>
        <item t="data" sd="1" x="946"/>
        <item t="data" sd="1" x="957"/>
        <item t="data" sd="1" x="965"/>
        <item t="data" sd="1" x="986"/>
        <item t="data" sd="1" m="1" x="1284"/>
        <item t="data" sd="1" x="1001"/>
        <item t="data" sd="1" x="1003"/>
        <item t="data" sd="1" x="1030"/>
        <item t="data" sd="1" x="1076"/>
        <item t="data" sd="1" x="1104"/>
        <item t="data" sd="1" x="1105"/>
        <item t="data" sd="1" x="1159"/>
        <item t="data" sd="1" x="1163"/>
        <item t="data" sd="1" x="1168"/>
        <item t="data" sd="1" x="1169"/>
        <item t="data" sd="1" x="1070"/>
        <item t="data" sd="1" x="1186"/>
        <item t="data" sd="1" x="1120"/>
        <item t="data" sd="1" x="713"/>
        <item t="data" sd="1" x="1184"/>
        <item t="data" sd="1" x="1201"/>
        <item t="data" sd="1" x="1139"/>
        <item t="data" sd="1" x="1128"/>
        <item t="data" sd="1" x="1196"/>
        <item t="data" sd="1" x="862"/>
        <item t="data" sd="1" x="1116"/>
        <item t="data" sd="1" x="1071"/>
        <item t="data" sd="1" x="1190"/>
        <item t="data" sd="1" x="997"/>
        <item t="data" sd="1" x="1130"/>
        <item t="data" sd="1" x="1103"/>
        <item t="data" sd="1" m="1" x="1262"/>
        <item t="data" sd="1" x="1177"/>
        <item t="data" sd="1" x="977"/>
        <item t="data" sd="1" x="1080"/>
        <item t="data" sd="1" x="939"/>
        <item t="data" sd="1" x="1147"/>
        <item t="data" sd="1" x="980"/>
        <item t="data" sd="1" x="1096"/>
        <item t="data" sd="1" x="1187"/>
        <item t="data" sd="1" x="932"/>
        <item t="data" sd="1" x="273"/>
        <item t="data" sd="1" x="298"/>
        <item t="data" sd="1" x="313"/>
        <item t="data" sd="1" x="339"/>
        <item t="data" sd="1" x="368"/>
        <item t="data" sd="1" x="376"/>
        <item t="data" sd="1" x="440"/>
        <item t="data" sd="1" x="493"/>
        <item t="data" sd="1" x="640"/>
        <item t="data" sd="1" x="642"/>
        <item t="data" sd="1" x="646"/>
        <item t="data" sd="1" x="682"/>
        <item t="data" sd="1" x="688"/>
        <item t="data" sd="1" x="707"/>
        <item t="data" sd="1" x="718"/>
        <item t="data" sd="1" x="721"/>
        <item t="data" sd="1" x="736"/>
        <item t="data" sd="1" x="739"/>
        <item t="data" sd="1" x="753"/>
        <item t="data" sd="1" x="755"/>
        <item t="data" sd="1" x="759"/>
        <item t="data" sd="1" m="1" x="1326"/>
        <item t="data" sd="1" x="776"/>
        <item t="data" sd="1" x="1207"/>
        <item t="data" sd="1" x="779"/>
        <item t="data" sd="1" x="780"/>
        <item t="data" sd="1" x="783"/>
        <item t="data" sd="1" x="785"/>
        <item t="data" sd="1" x="802"/>
        <item t="data" sd="1" x="805"/>
        <item t="data" sd="1" x="859"/>
        <item t="data" sd="1" x="863"/>
        <item t="data" sd="1" m="1" x="1250"/>
        <item t="data" sd="1" x="898"/>
        <item t="data" sd="1" x="900"/>
        <item t="data" sd="1" x="904"/>
        <item t="data" sd="1" x="905"/>
        <item t="data" sd="1" x="914"/>
        <item t="data" sd="1" x="916"/>
        <item t="data" sd="1" x="927"/>
        <item t="data" sd="1" x="933"/>
        <item t="data" sd="1" x="943"/>
        <item t="data" sd="1" x="945"/>
        <item t="data" sd="1" x="949"/>
        <item t="data" sd="1" x="959"/>
        <item t="data" sd="1" x="963"/>
        <item t="data" sd="1" x="989"/>
        <item t="data" sd="1" x="1012"/>
        <item t="data" sd="1" x="1019"/>
        <item t="data" sd="1" x="1048"/>
        <item t="data" sd="1" m="1" x="1217"/>
        <item t="data" sd="1" x="1022"/>
        <item t="data" sd="1" x="1058"/>
        <item t="data" sd="1" x="1077"/>
        <item t="data" sd="1" x="1082"/>
        <item t="data" sd="1" x="1084"/>
        <item t="data" sd="1" x="1101"/>
        <item t="data" sd="1" x="1107"/>
        <item t="data" sd="1" x="1125"/>
        <item t="data" sd="1" x="1145"/>
        <item t="data" sd="1" x="1161"/>
        <item t="data" sd="1" x="1174"/>
        <item t="data" sd="1" x="1176"/>
        <item t="data" sd="1" x="1180"/>
        <item t="data" sd="1" x="1183"/>
        <item t="data" sd="1" x="1193"/>
        <item t="data" sd="1" x="49"/>
        <item t="data" sd="1" x="297"/>
        <item t="data" sd="1" x="985"/>
        <item t="data" sd="1" x="634"/>
        <item t="data" sd="1" x="641"/>
        <item t="data" sd="1" x="649"/>
        <item t="data" sd="1" x="693"/>
        <item t="data" sd="1" x="699"/>
        <item t="data" sd="1" x="772"/>
        <item t="data" sd="1" x="788"/>
        <item t="data" sd="1" x="804"/>
        <item t="data" sd="1" x="967"/>
        <item t="data" sd="1" x="879"/>
        <item t="data" sd="1" x="1195"/>
        <item t="data" sd="1" x="169"/>
        <item t="data" sd="1" x="662"/>
        <item t="data" sd="1" x="888"/>
        <item t="data" sd="1" x="936"/>
        <item t="data" sd="1" x="1013"/>
        <item t="data" sd="1" x="1023"/>
        <item t="data" sd="1" x="116"/>
        <item t="data" sd="1" m="1" x="1314"/>
        <item t="data" sd="1" x="507"/>
        <item t="data" sd="1" m="1" x="1322"/>
        <item t="data" sd="1" x="732"/>
        <item t="data" sd="1" x="1189"/>
        <item t="data" sd="1" x="1200"/>
        <item t="data" sd="1" x="470"/>
        <item t="data" sd="1" x="527"/>
        <item t="data" sd="1" x="573"/>
        <item t="data" sd="1" x="576"/>
        <item t="data" sd="1" x="782"/>
        <item t="data" sd="1" x="901"/>
        <item t="data" sd="1" x="903"/>
        <item t="data" sd="1" x="918"/>
        <item t="data" sd="1" x="950"/>
        <item t="data" sd="1" x="996"/>
        <item t="data" sd="1" m="1" x="1231"/>
        <item t="data" sd="1" x="1167"/>
        <item t="data" sd="1" x="1192"/>
        <item t="data" sd="1" x="1203"/>
        <item t="data" sd="1" x="611"/>
        <item t="data" sd="1" x="466"/>
        <item t="data" sd="1" x="123"/>
        <item t="data" sd="1" m="1" x="1315"/>
        <item t="data" sd="1" x="679"/>
        <item t="data" sd="1" x="700"/>
        <item t="data" sd="1" m="1" x="1283"/>
        <item t="data" sd="1" x="773"/>
        <item t="data" sd="1" x="838"/>
        <item t="data" sd="1" x="895"/>
        <item t="data" sd="1" x="274"/>
        <item t="data" sd="1" x="1160"/>
        <item t="data" sd="1" x="1170"/>
        <item t="data" sd="1" x="285"/>
        <item t="data" sd="1" x="286"/>
        <item t="data" sd="1" x="383"/>
        <item t="data" sd="1" x="463"/>
        <item t="data" sd="1" x="504"/>
        <item t="data" sd="1" x="632"/>
        <item t="data" sd="1" x="633"/>
        <item t="data" sd="1" x="645"/>
        <item t="data" sd="1" x="661"/>
        <item t="data" sd="1" x="672"/>
        <item t="data" sd="1" x="777"/>
        <item t="data" sd="1" x="809"/>
        <item t="data" sd="1" x="1079"/>
        <item t="data" sd="1" x="1095"/>
        <item t="data" sd="1" x="1102"/>
        <item t="data" sd="1" x="316"/>
        <item t="data" sd="1" x="912"/>
        <item t="data" sd="1" m="1" x="1325"/>
        <item t="data" sd="1" x="353"/>
        <item t="data" sd="1" x="787"/>
        <item t="data" sd="1" x="496"/>
        <item t="data" sd="1" x="1056"/>
        <item t="data" sd="1" m="1" x="1310"/>
        <item t="data" sd="1" x="930"/>
        <item t="data" sd="1" x="1031"/>
        <item t="data" sd="1" x="1038"/>
        <item t="data" sd="1" x="1039"/>
        <item t="data" sd="1" x="966"/>
        <item t="data" sd="1" x="386"/>
        <item t="data" sd="1" x="984"/>
        <item t="data" sd="1" x="975"/>
        <item t="data" sd="1" x="1029"/>
        <item t="data" sd="1" x="335"/>
        <item t="data" sd="1" x="978"/>
        <item t="data" sd="1" x="925"/>
        <item t="data" sd="1" x="942"/>
        <item t="data" sd="1" x="674"/>
        <item t="data" sd="1" x="907"/>
        <item t="data" sd="1" x="283"/>
        <item t="data" sd="1" x="1008"/>
        <item t="data" sd="1" x="1158"/>
        <item t="data" sd="1" m="1" x="1246"/>
        <item t="data" sd="1" x="1059"/>
        <item t="data" sd="1" x="1072"/>
        <item t="data" sd="1" x="1093"/>
        <item t="data" sd="1" x="1191"/>
        <item t="data" sd="1" x="303"/>
        <item t="data" sd="1" x="630"/>
        <item t="data" sd="1" x="941"/>
        <item t="data" sd="1" x="1143"/>
        <item t="data" sd="1" x="1185"/>
        <item t="data" sd="1" x="1198"/>
        <item t="data" sd="1" x="287"/>
        <item t="data" sd="1" x="296"/>
        <item t="data" sd="1" x="1042"/>
        <item t="data" sd="1" x="1175"/>
        <item t="data" sd="1" x="947"/>
        <item t="data" sd="1" x="225"/>
        <item t="data" sd="1" x="214"/>
        <item t="data" sd="1" x="320"/>
        <item t="data" sd="1" x="430"/>
        <item t="data" sd="1" x="508"/>
        <item t="data" sd="1" x="663"/>
        <item t="data" sd="1" x="880"/>
        <item t="data" sd="1" x="890"/>
        <item t="data" sd="1" x="1062"/>
        <item t="data" sd="1" x="1109"/>
        <item t="data" sd="1" x="1166"/>
        <item t="data" sd="1" x="1199"/>
        <item t="data" sd="1" x="1204"/>
        <item t="data" sd="1" x="792"/>
        <item t="data" sd="1" x="858"/>
        <item t="data" sd="1" x="271"/>
        <item t="data" sd="1" x="253"/>
        <item t="data" sd="1" x="250"/>
        <item t="data" sd="1" x="666"/>
        <item t="data" sd="1" x="955"/>
        <item t="data" sd="1" x="800"/>
        <item t="data" sd="1" x="1065"/>
        <item t="data" sd="1" x="277"/>
        <item t="data" sd="1" x="327"/>
        <item t="data" sd="1" x="251"/>
        <item t="data" sd="1" x="326"/>
        <item t="data" sd="1" x="312"/>
        <item t="data" sd="1" x="109"/>
        <item t="data" sd="1" x="647"/>
        <item t="data" sd="1" x="1135"/>
        <item t="data" sd="1" x="263"/>
        <item t="data" sd="1" x="475"/>
        <item t="data" sd="1" x="1089"/>
        <item t="data" sd="1" x="853"/>
        <item t="data" sd="1" x="1111"/>
        <item t="data" sd="1" x="459"/>
        <item t="data" sd="1" x="194"/>
        <item t="data" sd="1" x="196"/>
        <item t="data" sd="1" x="200"/>
        <item t="data" sd="1" x="203"/>
        <item t="data" sd="1" x="206"/>
        <item t="data" sd="1" x="207"/>
        <item t="data" sd="1" x="208"/>
        <item t="data" sd="1" x="211"/>
        <item t="data" sd="1" x="212"/>
        <item t="data" sd="1" x="213"/>
        <item t="data" sd="1" x="216"/>
        <item t="data" sd="1" x="217"/>
        <item t="data" sd="1" x="218"/>
        <item t="data" sd="1" x="219"/>
        <item t="data" sd="1" x="221"/>
        <item t="data" sd="1" x="223"/>
        <item t="data" sd="1" x="73"/>
        <item t="data" sd="1" x="226"/>
        <item t="data" sd="1" x="228"/>
        <item t="data" sd="1" x="230"/>
        <item t="data" sd="1" x="231"/>
        <item t="data" sd="1" m="1" x="1212"/>
        <item t="data" sd="1" x="237"/>
        <item t="data" sd="1" x="238"/>
        <item t="data" sd="1" x="240"/>
        <item t="data" sd="1" x="252"/>
        <item t="data" sd="1" m="1" x="1295"/>
        <item t="data" sd="1" x="244"/>
        <item t="data" sd="1" x="246"/>
        <item t="data" sd="1" x="260"/>
        <item t="data" sd="1" x="261"/>
        <item t="data" sd="1" x="262"/>
        <item t="data" sd="1" x="266"/>
        <item t="data" sd="1" x="270"/>
        <item t="data" sd="1" x="276"/>
        <item t="data" sd="1" x="278"/>
        <item t="data" sd="1" x="279"/>
        <item t="data" sd="1" x="280"/>
        <item t="data" sd="1" x="281"/>
        <item t="data" sd="1" x="282"/>
        <item t="data" sd="1" m="1" x="1324"/>
        <item t="data" sd="1" x="289"/>
        <item t="data" sd="1" x="295"/>
        <item t="data" sd="1" x="315"/>
        <item t="data" sd="1" x="319"/>
        <item t="data" sd="1" x="346"/>
        <item t="data" sd="1" x="363"/>
        <item t="data" sd="1" x="364"/>
        <item t="data" sd="1" x="397"/>
        <item t="data" sd="1" x="421"/>
        <item t="data" sd="1" x="515"/>
        <item t="data" sd="1" x="796"/>
        <item t="data" sd="1" x="848"/>
        <item t="data" sd="1" x="860"/>
        <item t="data" sd="1" x="899"/>
        <item t="data" sd="1" x="1060"/>
        <item t="data" sd="1" x="173"/>
        <item t="data" sd="1" x="174"/>
        <item t="data" sd="1" x="181"/>
        <item t="data" sd="1" x="186"/>
        <item t="data" sd="1" x="187"/>
        <item t="data" sd="1" x="192"/>
        <item t="data" sd="1" x="149"/>
        <item t="data" sd="1" x="197"/>
        <item t="data" sd="1" x="201"/>
        <item t="data" sd="1" x="215"/>
        <item t="data" sd="1" x="239"/>
        <item t="data" sd="1" x="248"/>
        <item t="data" sd="1" m="1" x="1296"/>
        <item t="data" sd="1" x="264"/>
        <item t="data" sd="1" x="284"/>
        <item t="data" sd="1" x="355"/>
        <item t="data" sd="1" x="414"/>
        <item t="data" sd="1" x="424"/>
        <item t="data" sd="1" x="429"/>
        <item t="data" sd="1" x="553"/>
        <item t="data" sd="1" m="1" x="1215"/>
        <item t="data" sd="1" x="650"/>
        <item t="data" sd="1" x="659"/>
        <item t="data" sd="1" x="714"/>
        <item t="data" sd="1" x="723"/>
        <item t="data" sd="1" x="749"/>
        <item t="data" sd="1" x="767"/>
        <item t="data" sd="1" x="184"/>
        <item t="data" sd="1" x="829"/>
        <item t="data" sd="1" x="979"/>
        <item t="data" sd="1" x="751"/>
        <item t="data" sd="1" m="1" x="1238"/>
        <item t="data" sd="1" x="354"/>
        <item t="data" sd="1" x="940"/>
        <item t="data" sd="1" x="960"/>
        <item t="data" sd="1" x="969"/>
        <item t="data" sd="1" x="991"/>
        <item t="data" sd="1" x="998"/>
        <item t="data" sd="1" m="1" x="1307"/>
        <item t="data" sd="1" x="1007"/>
        <item t="data" sd="1" x="1045"/>
        <item t="data" sd="1" x="836"/>
        <item t="data" sd="1" x="1083"/>
        <item t="data" sd="1" x="1086"/>
        <item t="data" sd="1" x="1087"/>
        <item t="data" sd="1" x="1112"/>
        <item t="data" sd="1" x="1148"/>
        <item t="data" sd="1" x="1152"/>
        <item t="data" sd="1" m="1" x="1316"/>
        <item t="data" sd="1" x="256"/>
        <item t="data" sd="1" x="526"/>
        <item t="data" sd="1" x="1206"/>
        <item t="data" sd="1" x="1205"/>
        <item t="data" sd="1" x="768"/>
        <item t="data" sd="1" m="1" x="1302"/>
        <item t="data" sd="1" m="1" x="1225"/>
        <item t="data" sd="1" x="127"/>
        <item t="data" sd="1" x="131"/>
        <item t="data" sd="1" x="130"/>
        <item t="data" sd="1" x="133"/>
        <item t="data" sd="1" x="134"/>
        <item t="data" sd="1" x="135"/>
        <item t="data" sd="1" x="3"/>
        <item t="data" sd="1" x="138"/>
        <item t="data" sd="1" x="140"/>
        <item t="data" sd="1" m="1" x="1279"/>
        <item t="data" sd="1" x="141"/>
        <item t="data" sd="1" x="142"/>
        <item t="data" sd="1" x="143"/>
        <item t="data" sd="1" x="145"/>
        <item t="data" sd="1" x="146"/>
        <item t="data" sd="1" x="147"/>
        <item t="data" sd="1" x="150"/>
        <item t="data" sd="1" m="1" x="1308"/>
        <item t="data" sd="1" x="152"/>
        <item t="data" sd="1" x="154"/>
        <item t="data" sd="1" x="156"/>
        <item t="data" sd="1" x="155"/>
        <item t="data" sd="1" x="157"/>
        <item t="data" sd="1" x="158"/>
        <item t="data" sd="1" x="160"/>
        <item t="data" sd="1" x="161"/>
        <item t="data" sd="1" x="162"/>
        <item t="data" sd="1" x="164"/>
        <item t="data" sd="1" x="165"/>
        <item t="data" sd="1" x="166"/>
        <item t="data" sd="1" x="167"/>
        <item t="data" sd="1" x="170"/>
        <item t="data" sd="1" x="176"/>
        <item t="data" sd="1" x="177"/>
        <item t="data" sd="1" x="179"/>
        <item t="data" sd="1" x="180"/>
        <item t="data" sd="1" x="183"/>
        <item t="data" sd="1" x="185"/>
        <item t="data" sd="1" x="189"/>
        <item t="data" sd="1" m="1" x="1276"/>
        <item t="data" sd="1" x="191"/>
        <item t="data" sd="1" x="171"/>
        <item t="data" sd="1" x="195"/>
        <item t="data" sd="1" x="198"/>
        <item t="data" sd="1" x="199"/>
        <item t="data" sd="1" x="202"/>
        <item t="data" sd="1" x="209"/>
        <item t="data" sd="1" x="210"/>
        <item t="data" sd="1" x="222"/>
        <item t="data" sd="1" x="227"/>
        <item t="data" sd="1" x="234"/>
        <item t="data" sd="1" x="235"/>
        <item t="data" sd="1" x="236"/>
        <item t="data" sd="1" x="242"/>
        <item t="data" sd="1" x="243"/>
        <item t="data" sd="1" m="1" x="1211"/>
        <item t="data" sd="1" x="247"/>
        <item t="data" sd="1" x="249"/>
        <item t="data" sd="1" x="258"/>
        <item t="data" sd="1" x="257"/>
        <item t="data" sd="1" x="255"/>
        <item t="data" sd="1" x="254"/>
        <item t="data" sd="1" x="259"/>
        <item t="data" sd="1" x="268"/>
        <item t="data" sd="1" m="1" x="1218"/>
        <item t="data" sd="1" x="317"/>
        <item t="data" sd="1" x="323"/>
        <item t="data" sd="1" x="325"/>
        <item t="data" sd="1" x="340"/>
        <item t="data" sd="1" x="347"/>
        <item t="data" sd="1" x="390"/>
        <item t="data" sd="1" x="538"/>
        <item t="data" sd="1" x="691"/>
        <item t="data" sd="1" x="108"/>
        <item t="data" sd="1" x="70"/>
        <item t="data" sd="1" x="110"/>
        <item t="data" sd="1" x="113"/>
        <item t="data" sd="1" x="115"/>
        <item t="data" sd="1" x="117"/>
        <item t="data" sd="1" x="105"/>
        <item t="data" sd="1" x="119"/>
        <item t="data" sd="1" x="120"/>
        <item t="data" sd="1" m="1" x="1291"/>
        <item t="data" sd="1" x="118"/>
        <item t="data" sd="1" x="122"/>
        <item t="data" sd="1" x="126"/>
        <item t="data" sd="1" x="128"/>
        <item t="data" sd="1" x="129"/>
        <item t="data" sd="1" x="132"/>
        <item t="data" sd="1" x="148"/>
        <item t="data" sd="1" x="168"/>
        <item t="data" sd="1" x="175"/>
        <item t="data" sd="1" x="178"/>
        <item t="data" sd="1" x="182"/>
        <item t="data" sd="1" x="205"/>
        <item t="data" sd="1" x="220"/>
        <item t="data" sd="1" x="224"/>
        <item t="data" sd="1" x="232"/>
        <item t="data" sd="1" x="233"/>
        <item t="data" sd="1" x="241"/>
        <item t="data" sd="1" x="288"/>
        <item t="data" sd="1" x="379"/>
        <item t="data" sd="1" x="412"/>
        <item t="data" sd="1" x="651"/>
        <item t="data" sd="1" x="765"/>
        <item t="data" sd="1" x="1194"/>
        <item t="data" sd="1" x="1197"/>
        <item t="data" sd="1" m="1" x="1210"/>
        <item t="data" sd="1" x="1208"/>
        <item t="data" sd="1" x="96"/>
        <item t="data" sd="1" x="51"/>
        <item t="data" sd="1" x="101"/>
        <item t="data" sd="1" x="102"/>
        <item t="data" sd="1" x="104"/>
        <item t="data" sd="1" x="103"/>
        <item t="data" sd="1" x="106"/>
        <item t="data" sd="1" x="107"/>
        <item t="data" sd="1" x="125"/>
        <item t="data" sd="1" x="474"/>
        <item t="data" sd="1" x="91"/>
        <item t="data" sd="1" x="114"/>
        <item t="data" sd="1" x="136"/>
        <item t="data" sd="1" x="1165"/>
        <item t="data" sd="1" x="86"/>
        <item t="data" sd="1" x="88"/>
        <item t="data" sd="1" x="59"/>
        <item t="data" sd="1" x="61"/>
        <item t="data" sd="1" x="65"/>
        <item t="data" sd="1" x="66"/>
        <item t="data" sd="1" x="29"/>
        <item t="data" sd="1" m="1" x="1233"/>
        <item t="data" sd="1" x="68"/>
        <item t="data" sd="1" x="69"/>
        <item t="data" sd="1" x="72"/>
        <item t="data" sd="1" x="74"/>
        <item t="data" sd="1" x="75"/>
        <item t="data" sd="1" x="76"/>
        <item t="data" sd="1" x="77"/>
        <item t="data" sd="1" x="78"/>
        <item t="data" sd="1" x="79"/>
        <item t="data" sd="1" x="81"/>
        <item t="data" sd="1" x="82"/>
        <item t="data" sd="1" x="83"/>
        <item t="data" sd="1" x="85"/>
        <item t="data" sd="1" x="84"/>
        <item t="data" sd="1" x="87"/>
        <item t="data" sd="1" x="89"/>
        <item t="data" sd="1" x="90"/>
        <item t="data" sd="1" x="92"/>
        <item t="data" sd="1" x="94"/>
        <item t="data" sd="1" x="95"/>
        <item t="data" sd="1" x="97"/>
        <item t="data" sd="1" x="99"/>
        <item t="data" sd="1" x="100"/>
        <item t="data" sd="1" m="1" x="1257"/>
        <item t="data" sd="1" x="124"/>
        <item t="data" sd="1" m="1" x="1260"/>
        <item t="data" sd="1" x="153"/>
        <item t="data" sd="1" x="301"/>
        <item t="data" sd="1" x="341"/>
        <item t="data" sd="1" x="342"/>
        <item t="data" sd="1" x="352"/>
        <item t="data" sd="1" x="449"/>
        <item t="data" sd="1" x="464"/>
        <item t="data" sd="1" x="468"/>
        <item t="data" sd="1" x="483"/>
        <item t="data" sd="1" x="501"/>
        <item t="data" sd="1" x="245"/>
        <item t="data" sd="1" x="536"/>
        <item t="data" sd="1" x="542"/>
        <item t="data" sd="1" x="572"/>
        <item t="data" sd="1" x="593"/>
        <item t="data" sd="1" x="696"/>
        <item t="data" sd="1" x="701"/>
        <item t="data" sd="1" x="715"/>
        <item t="data" sd="1" x="1043"/>
        <item t="data" sd="1" x="1044"/>
        <item t="data" sd="1" x="1047"/>
        <item t="data" sd="1" x="1050"/>
        <item t="data" sd="1" x="1052"/>
        <item t="data" sd="1" x="1074"/>
        <item t="data" sd="1" x="1155"/>
        <item t="data" sd="1" x="44"/>
        <item t="data" sd="1" x="47"/>
        <item t="data" sd="1" x="52"/>
        <item t="data" sd="1" x="54"/>
        <item t="data" sd="1" x="55"/>
        <item t="data" sd="1" x="56"/>
        <item t="data" sd="1" x="57"/>
        <item t="data" sd="1" x="58"/>
        <item t="data" sd="1" x="16"/>
        <item t="data" sd="1" x="18"/>
        <item t="data" sd="1" x="22"/>
        <item t="data" sd="1" x="24"/>
        <item t="data" sd="1" x="25"/>
        <item t="data" sd="1" x="27"/>
        <item t="data" sd="1" x="28"/>
        <item t="data" sd="1" m="1" x="1213"/>
        <item t="data" sd="1" m="1" x="1214"/>
        <item t="data" sd="1" x="30"/>
        <item t="data" sd="1" x="32"/>
        <item t="data" sd="1" x="34"/>
        <item t="data" sd="1" x="33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5"/>
        <item t="data" sd="1" x="46"/>
        <item t="data" sd="1" x="48"/>
        <item t="data" sd="1" x="50"/>
        <item t="data" sd="1" x="53"/>
        <item t="data" sd="1" m="1" x="1209"/>
        <item t="data" sd="1" x="62"/>
        <item t="data" sd="1" x="63"/>
        <item t="data" sd="1" x="80"/>
        <item t="data" sd="1" x="344"/>
        <item t="data" sd="1" x="529"/>
        <item t="data" sd="1" x="961"/>
        <item t="data" sd="1" x="992"/>
        <item t="data" sd="1" x="1000"/>
        <item t="data" sd="1" x="1017"/>
        <item t="data" sd="1" x="1085"/>
        <item t="data" sd="1" x="614"/>
        <item t="data" sd="1" x="865"/>
        <item t="data" sd="1" x="921"/>
        <item t="data" sd="1" x="922"/>
        <item t="data" sd="1" x="981"/>
        <item t="data" sd="1" x="983"/>
        <item t="data" sd="1" x="1066"/>
        <item t="data" sd="1" x="1181"/>
        <item t="data" sd="1" x="525"/>
        <item t="data" sd="1" x="855"/>
        <item t="data" sd="1" x="872"/>
        <item t="data" sd="1" x="885"/>
        <item t="data" sd="1" x="1078"/>
        <item t="data" sd="1" x="1075"/>
        <item t="data" sd="1" x="1172"/>
        <item t="data" sd="1" x="1"/>
        <item t="data" sd="1" x="2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4"/>
        <item t="data" sd="1" x="13"/>
        <item t="data" sd="1" x="15"/>
        <item t="data" sd="1" x="17"/>
        <item t="data" sd="1" x="19"/>
        <item t="data" sd="1" x="20"/>
        <item t="data" sd="1" x="21"/>
        <item t="data" sd="1" x="26"/>
        <item t="data" sd="1" x="31"/>
        <item t="data" sd="1" x="67"/>
        <item t="data" sd="1" x="71"/>
        <item t="data" sd="1" x="1178"/>
        <item t="data" sd="1" x="1202"/>
        <item t="default" sd="1"/>
      </items>
      <autoSortScope>
        <pivotArea type="normal" dataOnly="0" outline="0" fieldPosition="0">
          <references count="1">
            <reference field="4294967294" selected="0">
              <x v="1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0"/>
  </rowFields>
  <rowItems count="1210">
    <i t="data" r="0" i="0">
      <x v="415"/>
    </i>
    <i t="data" r="0" i="0">
      <x v="1067"/>
    </i>
    <i t="data" r="0" i="0">
      <x v="125"/>
    </i>
    <i t="data" r="0" i="0">
      <x v="965"/>
    </i>
    <i t="data" r="0" i="0">
      <x v="37"/>
    </i>
    <i t="data" r="0" i="0">
      <x v="14"/>
    </i>
    <i t="data" r="0" i="0">
      <x v="217"/>
    </i>
    <i t="data" r="0" i="0">
      <x v="131"/>
    </i>
    <i t="data" r="0" i="0">
      <x v="1068"/>
    </i>
    <i t="data" r="0" i="0">
      <x v="74"/>
    </i>
    <i t="data" r="0" i="0">
      <x v="398"/>
    </i>
    <i t="data" r="0" i="0">
      <x v="369"/>
    </i>
    <i t="data" r="0" i="0">
      <x v="20"/>
    </i>
    <i t="data" r="0" i="0">
      <x v="558"/>
    </i>
    <i t="data" r="0" i="0">
      <x v="485"/>
    </i>
    <i t="data" r="0" i="0">
      <x v="140"/>
    </i>
    <i t="data" r="0" i="0">
      <x v="1257"/>
    </i>
    <i t="data" r="0" i="0">
      <x v="623"/>
    </i>
    <i t="data" r="0" i="0">
      <x v="397"/>
    </i>
    <i t="data" r="0" i="0">
      <x v="98"/>
    </i>
    <i t="data" r="0" i="0">
      <x v="499"/>
    </i>
    <i t="data" r="0" i="0">
      <x v="509"/>
    </i>
    <i t="data" r="0" i="0">
      <x v="297"/>
    </i>
    <i t="data" r="0" i="0">
      <x v="149"/>
    </i>
    <i t="data" r="0" i="0">
      <x v="713"/>
    </i>
    <i t="data" r="0" i="0">
      <x v="802"/>
    </i>
    <i t="data" r="0" i="0">
      <x v="508"/>
    </i>
    <i t="data" r="0" i="0">
      <x v="526"/>
    </i>
    <i t="data" r="0" i="0">
      <x v="99"/>
    </i>
    <i t="data" r="0" i="0">
      <x v="329"/>
    </i>
    <i t="data" r="0" i="0">
      <x v="418"/>
    </i>
    <i t="data" r="0" i="0">
      <x v="450"/>
    </i>
    <i t="data" r="0" i="0">
      <x v="474"/>
    </i>
    <i t="data" r="0" i="0">
      <x v="311"/>
    </i>
    <i t="data" r="0" i="0">
      <x v="336"/>
    </i>
    <i t="data" r="0" i="0">
      <x v="197"/>
    </i>
    <i t="data" r="0" i="0">
      <x v="164"/>
    </i>
    <i t="data" r="0" i="0">
      <x v="209"/>
    </i>
    <i t="data" r="0" i="0">
      <x v="1140"/>
    </i>
    <i t="data" r="0" i="0">
      <x v="461"/>
    </i>
    <i t="data" r="0" i="0">
      <x v="542"/>
    </i>
    <i t="data" r="0" i="0">
      <x v="371"/>
    </i>
    <i t="data" r="0" i="0">
      <x v="290"/>
    </i>
    <i t="data" r="0" i="0">
      <x v="186"/>
    </i>
    <i t="data" r="0" i="0">
      <x v="1287"/>
    </i>
    <i t="data" r="0" i="0">
      <x v="723"/>
    </i>
    <i t="data" r="0" i="0">
      <x v="720"/>
    </i>
    <i t="data" r="0" i="0">
      <x v="940"/>
    </i>
    <i t="data" r="0" i="0">
      <x v="550"/>
    </i>
    <i t="data" r="0" i="0">
      <x v="573"/>
    </i>
    <i t="data" r="0" i="0">
      <x v="641"/>
    </i>
    <i t="data" r="0" i="0">
      <x v="482"/>
    </i>
    <i t="data" r="0" i="0">
      <x v="649"/>
    </i>
    <i t="data" r="0" i="0">
      <x v="160"/>
    </i>
    <i t="data" r="0" i="0">
      <x v="334"/>
    </i>
    <i t="data" r="0" i="0">
      <x v="287"/>
    </i>
    <i t="data" r="0" i="0">
      <x v="258"/>
    </i>
    <i t="data" r="0" i="0">
      <x v="128"/>
    </i>
    <i t="data" r="0" i="0">
      <x v="108"/>
    </i>
    <i t="data" r="0" i="0">
      <x v="136"/>
    </i>
    <i t="data" r="0" i="0">
      <x v="262"/>
    </i>
    <i t="data" r="0" i="0">
      <x v="280"/>
    </i>
    <i t="data" r="0" i="0">
      <x v="57"/>
    </i>
    <i t="data" r="0" i="0">
      <x v="189"/>
    </i>
    <i t="data" r="0" i="0">
      <x v="1190"/>
    </i>
    <i t="data" r="0" i="0">
      <x v="1008"/>
    </i>
    <i t="data" r="0" i="0">
      <x v="1204"/>
    </i>
    <i t="data" r="0" i="0">
      <x v="1228"/>
    </i>
    <i t="data" r="0" i="0">
      <x v="1135"/>
    </i>
    <i t="data" r="0" i="0">
      <x v="1171"/>
    </i>
    <i t="data" r="0" i="0">
      <x v="1285"/>
    </i>
    <i t="data" r="0" i="0">
      <x v="854"/>
    </i>
    <i t="data" r="0" i="0">
      <x v="819"/>
    </i>
    <i t="data" r="0" i="0">
      <x v="787"/>
    </i>
    <i t="data" r="0" i="0">
      <x v="797"/>
    </i>
    <i t="data" r="0" i="0">
      <x v="822"/>
    </i>
    <i t="data" r="0" i="0">
      <x v="863"/>
    </i>
    <i t="data" r="0" i="0">
      <x v="855"/>
    </i>
    <i t="data" r="0" i="0">
      <x v="913"/>
    </i>
    <i t="data" r="0" i="0">
      <x v="747"/>
    </i>
    <i t="data" r="0" i="0">
      <x v="914"/>
    </i>
    <i t="data" r="0" i="0">
      <x v="700"/>
    </i>
    <i t="data" r="0" i="0">
      <x v="816"/>
    </i>
    <i t="data" r="0" i="0">
      <x v="982"/>
    </i>
    <i t="data" r="0" i="0">
      <x v="810"/>
    </i>
    <i t="data" r="0" i="0">
      <x v="845"/>
    </i>
    <i t="data" r="0" i="0">
      <x v="388"/>
    </i>
    <i t="data" r="0" i="0">
      <x v="584"/>
    </i>
    <i t="data" r="0" i="0">
      <x v="571"/>
    </i>
    <i t="data" r="0" i="0">
      <x v="442"/>
    </i>
    <i t="data" r="0" i="0">
      <x v="604"/>
    </i>
    <i t="data" r="0" i="0">
      <x v="527"/>
    </i>
    <i t="data" r="0" i="0">
      <x v="564"/>
    </i>
    <i t="data" r="0" i="0">
      <x v="529"/>
    </i>
    <i t="data" r="0" i="0">
      <x v="372"/>
    </i>
    <i t="data" r="0" i="0">
      <x v="538"/>
    </i>
    <i t="data" r="0" i="0">
      <x v="599"/>
    </i>
    <i t="data" r="0" i="0">
      <x v="407"/>
    </i>
    <i t="data" r="0" i="0">
      <x v="468"/>
    </i>
    <i t="data" r="0" i="0">
      <x v="457"/>
    </i>
    <i t="data" r="0" i="0">
      <x v="497"/>
    </i>
    <i t="data" r="0" i="0">
      <x v="494"/>
    </i>
    <i t="data" r="0" i="0">
      <x v="676"/>
    </i>
    <i t="data" r="0" i="0">
      <x v="156"/>
    </i>
    <i t="data" r="0" i="0">
      <x v="327"/>
    </i>
    <i t="data" r="0" i="0">
      <x v="73"/>
    </i>
    <i t="data" r="0" i="0">
      <x v="201"/>
    </i>
    <i t="data" r="0" i="0">
      <x v="354"/>
    </i>
    <i t="data" r="0" i="0">
      <x v="118"/>
    </i>
    <i t="data" r="0" i="0">
      <x v="288"/>
    </i>
    <i t="data" r="0" i="0">
      <x v="210"/>
    </i>
    <i t="data" r="0" i="0">
      <x v="306"/>
    </i>
    <i t="data" r="0" i="0">
      <x v="212"/>
    </i>
    <i t="data" r="0" i="0">
      <x v="357"/>
    </i>
    <i t="data" r="0" i="0">
      <x v="146"/>
    </i>
    <i t="data" r="0" i="0">
      <x v="268"/>
    </i>
    <i t="data" r="0" i="0">
      <x v="222"/>
    </i>
    <i t="data" r="0" i="0">
      <x v="32"/>
    </i>
    <i t="data" r="0" i="0">
      <x v="228"/>
    </i>
    <i t="data" r="0" i="0">
      <x v="163"/>
    </i>
    <i t="data" r="0" i="0">
      <x v="230"/>
    </i>
    <i t="data" r="0" i="0">
      <x v="304"/>
    </i>
    <i t="data" r="0" i="0">
      <x v="234"/>
    </i>
    <i t="data" r="0" i="0">
      <x v="172"/>
    </i>
    <i t="data" r="0" i="0">
      <x v="251"/>
    </i>
    <i t="data" r="0" i="0">
      <x v="134"/>
    </i>
    <i t="data" r="0" i="0">
      <x v="87"/>
    </i>
    <i t="data" r="0" i="0">
      <x v="192"/>
    </i>
    <i t="data" r="0" i="0">
      <x v="154"/>
    </i>
    <i t="data" r="0" i="0">
      <x v="45"/>
    </i>
    <i t="data" r="0" i="0">
      <x v="265"/>
    </i>
    <i t="data" r="0" i="0">
      <x v="184"/>
    </i>
    <i t="data" r="0" i="0">
      <x v="1180"/>
    </i>
    <i t="data" r="0" i="0">
      <x v="1265"/>
    </i>
    <i t="data" r="0" i="0">
      <x v="1227"/>
    </i>
    <i t="data" r="0" i="0">
      <x v="1021"/>
    </i>
    <i t="data" r="0" i="0">
      <x v="1316"/>
    </i>
    <i t="data" r="0" i="0">
      <x v="1022"/>
    </i>
    <i t="data" r="0" i="0">
      <x v="1016"/>
    </i>
    <i t="data" r="0" i="0">
      <x v="1023"/>
    </i>
    <i t="data" r="0" i="0">
      <x v="1245"/>
    </i>
    <i t="data" r="0" i="0">
      <x v="1024"/>
    </i>
    <i t="data" r="0" i="0">
      <x v="1020"/>
    </i>
    <i t="data" r="0" i="0">
      <x v="1026"/>
    </i>
    <i t="data" r="0" i="0">
      <x v="1014"/>
    </i>
    <i t="data" r="0" i="0">
      <x v="1027"/>
    </i>
    <i t="data" r="0" i="0">
      <x v="1192"/>
    </i>
    <i t="data" r="0" i="0">
      <x v="1028"/>
    </i>
    <i t="data" r="0" i="0">
      <x v="1218"/>
    </i>
    <i t="data" r="0" i="0">
      <x v="1029"/>
    </i>
    <i t="data" r="0" i="0">
      <x v="1237"/>
    </i>
    <i t="data" r="0" i="0">
      <x v="1030"/>
    </i>
    <i t="data" r="0" i="0">
      <x v="1254"/>
    </i>
    <i t="data" r="0" i="0">
      <x v="1031"/>
    </i>
    <i t="data" r="0" i="0">
      <x v="1274"/>
    </i>
    <i t="data" r="0" i="0">
      <x v="1032"/>
    </i>
    <i t="data" r="0" i="0">
      <x v="1308"/>
    </i>
    <i t="data" r="0" i="0">
      <x v="1033"/>
    </i>
    <i t="data" r="0" i="0">
      <x v="1326"/>
    </i>
    <i t="data" r="0" i="0">
      <x v="1034"/>
    </i>
    <i t="data" r="0" i="0">
      <x v="1176"/>
    </i>
    <i t="data" r="0" i="0">
      <x v="1035"/>
    </i>
    <i t="data" r="0" i="0">
      <x v="1185"/>
    </i>
    <i t="data" r="0" i="0">
      <x v="1038"/>
    </i>
    <i t="data" r="0" i="0">
      <x v="1196"/>
    </i>
    <i t="data" r="0" i="0">
      <x v="1039"/>
    </i>
    <i t="data" r="0" i="0">
      <x v="1209"/>
    </i>
    <i t="data" r="0" i="0">
      <x v="1040"/>
    </i>
    <i t="data" r="0" i="0">
      <x v="1223"/>
    </i>
    <i t="data" r="0" i="0">
      <x v="1041"/>
    </i>
    <i t="data" r="0" i="0">
      <x v="1231"/>
    </i>
    <i t="data" r="0" i="0">
      <x v="1042"/>
    </i>
    <i t="data" r="0" i="0">
      <x v="1241"/>
    </i>
    <i t="data" r="0" i="0">
      <x v="1044"/>
    </i>
    <i t="data" r="0" i="0">
      <x v="1250"/>
    </i>
    <i t="data" r="0" i="0">
      <x v="1045"/>
    </i>
    <i t="data" r="0" i="0">
      <x v="1260"/>
    </i>
    <i t="data" r="0" i="0">
      <x v="1046"/>
    </i>
    <i t="data" r="0" i="0">
      <x v="1270"/>
    </i>
    <i t="data" r="0" i="0">
      <x v="1047"/>
    </i>
    <i t="data" r="0" i="0">
      <x v="1279"/>
    </i>
    <i t="data" r="0" i="0">
      <x v="1048"/>
    </i>
    <i t="data" r="0" i="0">
      <x v="1303"/>
    </i>
    <i t="data" r="0" i="0">
      <x v="1049"/>
    </i>
    <i t="data" r="0" i="0">
      <x v="1312"/>
    </i>
    <i t="data" r="0" i="0">
      <x v="1050"/>
    </i>
    <i t="data" r="0" i="0">
      <x v="1322"/>
    </i>
    <i t="data" r="0" i="0">
      <x v="1051"/>
    </i>
    <i t="data" r="0" i="0">
      <x v="1169"/>
    </i>
    <i t="data" r="0" i="0">
      <x v="1052"/>
    </i>
    <i t="data" r="0" i="0">
      <x v="1174"/>
    </i>
    <i t="data" r="0" i="0">
      <x v="1054"/>
    </i>
    <i t="data" r="0" i="0">
      <x v="1178"/>
    </i>
    <i t="data" r="0" i="0">
      <x v="1055"/>
    </i>
    <i t="data" r="0" i="0">
      <x v="1183"/>
    </i>
    <i t="data" r="0" i="0">
      <x v="1061"/>
    </i>
    <i t="data" r="0" i="0">
      <x v="1189"/>
    </i>
    <i t="data" r="0" i="0">
      <x v="1063"/>
    </i>
    <i t="data" r="0" i="0">
      <x v="1194"/>
    </i>
    <i t="data" r="0" i="0">
      <x v="1065"/>
    </i>
    <i t="data" r="0" i="0">
      <x v="1199"/>
    </i>
    <i t="data" r="0" i="0">
      <x v="1066"/>
    </i>
    <i t="data" r="0" i="0">
      <x v="1206"/>
    </i>
    <i t="data" r="0" i="0">
      <x v="1009"/>
    </i>
    <i t="data" r="0" i="0">
      <x v="1211"/>
    </i>
    <i t="data" r="0" i="0">
      <x v="1010"/>
    </i>
    <i t="data" r="0" i="0">
      <x v="1221"/>
    </i>
    <i t="data" r="0" i="0">
      <x v="1069"/>
    </i>
    <i t="data" r="0" i="0">
      <x v="1225"/>
    </i>
    <i t="data" r="0" i="0">
      <x v="1071"/>
    </i>
    <i t="data" r="0" i="0">
      <x v="1229"/>
    </i>
    <i t="data" r="0" i="0">
      <x v="1072"/>
    </i>
    <i t="data" r="0" i="0">
      <x v="1235"/>
    </i>
    <i t="data" r="0" i="0">
      <x v="1073"/>
    </i>
    <i t="data" r="0" i="0">
      <x v="1239"/>
    </i>
    <i t="data" r="0" i="0">
      <x v="1074"/>
    </i>
    <i t="data" r="0" i="0">
      <x v="1243"/>
    </i>
    <i t="data" r="0" i="0">
      <x v="1075"/>
    </i>
    <i t="data" r="0" i="0">
      <x v="1248"/>
    </i>
    <i t="data" r="0" i="0">
      <x v="1076"/>
    </i>
    <i t="data" r="0" i="0">
      <x v="1252"/>
    </i>
    <i t="data" r="0" i="0">
      <x v="1077"/>
    </i>
    <i t="data" r="0" i="0">
      <x v="1256"/>
    </i>
    <i t="data" r="0" i="0">
      <x v="1079"/>
    </i>
    <i t="data" r="0" i="0">
      <x v="1263"/>
    </i>
    <i t="data" r="0" i="0">
      <x v="1080"/>
    </i>
    <i t="data" r="0" i="0">
      <x v="1267"/>
    </i>
    <i t="data" r="0" i="0">
      <x v="1082"/>
    </i>
    <i t="data" r="0" i="0">
      <x v="1272"/>
    </i>
    <i t="data" r="0" i="0">
      <x v="1083"/>
    </i>
    <i t="data" r="0" i="0">
      <x v="1276"/>
    </i>
    <i t="data" r="0" i="0">
      <x v="1084"/>
    </i>
    <i t="data" r="0" i="0">
      <x v="1281"/>
    </i>
    <i t="data" r="0" i="0">
      <x v="1085"/>
    </i>
    <i t="data" r="0" i="0">
      <x v="1300"/>
    </i>
    <i t="data" r="0" i="0">
      <x v="1086"/>
    </i>
    <i t="data" r="0" i="0">
      <x v="1306"/>
    </i>
    <i t="data" r="0" i="0">
      <x v="1087"/>
    </i>
    <i t="data" r="0" i="0">
      <x v="1310"/>
    </i>
    <i t="data" r="0" i="0">
      <x v="1088"/>
    </i>
    <i t="data" r="0" i="0">
      <x v="1314"/>
    </i>
    <i t="data" r="0" i="0">
      <x v="1089"/>
    </i>
    <i t="data" r="0" i="0">
      <x v="1320"/>
    </i>
    <i t="data" r="0" i="0">
      <x v="1090"/>
    </i>
    <i t="data" r="0" i="0">
      <x v="1324"/>
    </i>
    <i t="data" r="0" i="0">
      <x v="1092"/>
    </i>
    <i t="data" r="0" i="0">
      <x v="1167"/>
    </i>
    <i t="data" r="0" i="0">
      <x v="1093"/>
    </i>
    <i t="data" r="0" i="0">
      <x v="1007"/>
    </i>
    <i t="data" r="0" i="0">
      <x v="1094"/>
    </i>
    <i t="data" r="0" i="0">
      <x v="1172"/>
    </i>
    <i t="data" r="0" i="0">
      <x v="1095"/>
    </i>
    <i t="data" r="0" i="0">
      <x v="1175"/>
    </i>
    <i t="data" r="0" i="0">
      <x v="1096"/>
    </i>
    <i t="data" r="0" i="0">
      <x v="1177"/>
    </i>
    <i t="data" r="0" i="0">
      <x v="1097"/>
    </i>
    <i t="data" r="0" i="0">
      <x v="1179"/>
    </i>
    <i t="data" r="0" i="0">
      <x v="1098"/>
    </i>
    <i t="data" r="0" i="0">
      <x v="1182"/>
    </i>
    <i t="data" r="0" i="0">
      <x v="1101"/>
    </i>
    <i t="data" r="0" i="0">
      <x v="1184"/>
    </i>
    <i t="data" r="0" i="0">
      <x v="1104"/>
    </i>
    <i t="data" r="0" i="0">
      <x v="1186"/>
    </i>
    <i t="data" r="0" i="0">
      <x v="1105"/>
    </i>
    <i t="data" r="0" i="0">
      <x v="1015"/>
    </i>
    <i t="data" r="0" i="0">
      <x v="1106"/>
    </i>
    <i t="data" r="0" i="0">
      <x v="1193"/>
    </i>
    <i t="data" r="0" i="0">
      <x v="1107"/>
    </i>
    <i t="data" r="0" i="0">
      <x v="1195"/>
    </i>
    <i t="data" r="0" i="0">
      <x v="1108"/>
    </i>
    <i t="data" r="0" i="0">
      <x v="1198"/>
    </i>
    <i t="data" r="0" i="0">
      <x v="1109"/>
    </i>
    <i t="data" r="0" i="0">
      <x v="1201"/>
    </i>
    <i t="data" r="0" i="0">
      <x v="1110"/>
    </i>
    <i t="data" r="0" i="0">
      <x v="1205"/>
    </i>
    <i t="data" r="0" i="0">
      <x v="1111"/>
    </i>
    <i t="data" r="0" i="0">
      <x v="1208"/>
    </i>
    <i t="data" r="0" i="0">
      <x v="1112"/>
    </i>
    <i t="data" r="0" i="0">
      <x v="1210"/>
    </i>
    <i t="data" r="0" i="0">
      <x v="1113"/>
    </i>
    <i t="data" r="0" i="0">
      <x v="1212"/>
    </i>
    <i t="data" r="0" i="0">
      <x v="1114"/>
    </i>
    <i t="data" r="0" i="0">
      <x v="1220"/>
    </i>
    <i t="data" r="0" i="0">
      <x v="1115"/>
    </i>
    <i t="data" r="0" i="0">
      <x v="1222"/>
    </i>
    <i t="data" r="0" i="0">
      <x v="1117"/>
    </i>
    <i t="data" r="0" i="0">
      <x v="1224"/>
    </i>
    <i t="data" r="0" i="0">
      <x v="1118"/>
    </i>
    <i t="data" r="0" i="0">
      <x v="1226"/>
    </i>
    <i t="data" r="0" i="0">
      <x v="1119"/>
    </i>
    <i t="data" r="0" i="0">
      <x v="1018"/>
    </i>
    <i t="data" r="0" i="0">
      <x v="1120"/>
    </i>
    <i t="data" r="0" i="0">
      <x v="1230"/>
    </i>
    <i t="data" r="0" i="0">
      <x v="1126"/>
    </i>
    <i t="data" r="0" i="0">
      <x v="1232"/>
    </i>
    <i t="data" r="0" i="0">
      <x v="1127"/>
    </i>
    <i t="data" r="0" i="0">
      <x v="1236"/>
    </i>
    <i t="data" r="0" i="0">
      <x v="1128"/>
    </i>
    <i t="data" r="0" i="0">
      <x v="1238"/>
    </i>
    <i t="data" r="0" i="0">
      <x v="1129"/>
    </i>
    <i t="data" r="0" i="0">
      <x v="1240"/>
    </i>
    <i t="data" r="0" i="0">
      <x v="1132"/>
    </i>
    <i t="data" r="0" i="0">
      <x v="1242"/>
    </i>
    <i t="data" r="0" i="0">
      <x v="1133"/>
    </i>
    <i t="data" r="0" i="0">
      <x v="1244"/>
    </i>
    <i t="data" r="0" i="0">
      <x v="1134"/>
    </i>
    <i t="data" r="0" i="0">
      <x v="1247"/>
    </i>
    <i t="data" r="0" i="0">
      <x v="1011"/>
    </i>
    <i t="data" r="0" i="0">
      <x v="1249"/>
    </i>
    <i t="data" r="0" i="0">
      <x v="1136"/>
    </i>
    <i t="data" r="0" i="0">
      <x v="1251"/>
    </i>
    <i t="data" r="0" i="0">
      <x v="1137"/>
    </i>
    <i t="data" r="0" i="0">
      <x v="1253"/>
    </i>
    <i t="data" r="0" i="0">
      <x v="1139"/>
    </i>
    <i t="data" r="0" i="0">
      <x v="1255"/>
    </i>
    <i t="data" r="0" i="0">
      <x v="1012"/>
    </i>
    <i t="data" r="0" i="0">
      <x v="1019"/>
    </i>
    <i t="data" r="0" i="0">
      <x v="1141"/>
    </i>
    <i t="data" r="0" i="0">
      <x v="1261"/>
    </i>
    <i t="data" r="0" i="0">
      <x v="1142"/>
    </i>
    <i t="data" r="0" i="0">
      <x v="1264"/>
    </i>
    <i t="data" r="0" i="0">
      <x v="1144"/>
    </i>
    <i t="data" r="0" i="0">
      <x v="1266"/>
    </i>
    <i t="data" r="0" i="0">
      <x v="1145"/>
    </i>
    <i t="data" r="0" i="0">
      <x v="1269"/>
    </i>
    <i t="data" r="0" i="0">
      <x v="1146"/>
    </i>
    <i t="data" r="0" i="0">
      <x v="1271"/>
    </i>
    <i t="data" r="0" i="0">
      <x v="1283"/>
    </i>
    <i t="data" r="0" i="0">
      <x v="1273"/>
    </i>
    <i t="data" r="0" i="0">
      <x v="1013"/>
    </i>
    <i t="data" r="0" i="0">
      <x v="1275"/>
    </i>
    <i t="data" r="0" i="0">
      <x v="1290"/>
    </i>
    <i t="data" r="0" i="0">
      <x v="1278"/>
    </i>
    <i t="data" r="0" i="0">
      <x v="1292"/>
    </i>
    <i t="data" r="0" i="0">
      <x v="1280"/>
    </i>
    <i t="data" r="0" i="0">
      <x v="1294"/>
    </i>
    <i t="data" r="0" i="0">
      <x v="1282"/>
    </i>
    <i t="data" r="0" i="0">
      <x v="1296"/>
    </i>
    <i t="data" r="0" i="0">
      <x v="1298"/>
    </i>
    <i t="data" r="0" i="0">
      <x v="1147"/>
    </i>
    <i t="data" r="0" i="0">
      <x v="1289"/>
    </i>
    <i t="data" r="0" i="0">
      <x v="1148"/>
    </i>
    <i t="data" r="0" i="0">
      <x v="1291"/>
    </i>
    <i t="data" r="0" i="0">
      <x v="1149"/>
    </i>
    <i t="data" r="0" i="0">
      <x v="1293"/>
    </i>
    <i t="data" r="0" i="0">
      <x v="1150"/>
    </i>
    <i t="data" r="0" i="0">
      <x v="1295"/>
    </i>
    <i t="data" r="0" i="0">
      <x v="1152"/>
    </i>
    <i t="data" r="0" i="0">
      <x v="1297"/>
    </i>
    <i t="data" r="0" i="0">
      <x v="1153"/>
    </i>
    <i t="data" r="0" i="0">
      <x v="1299"/>
    </i>
    <i t="data" r="0" i="0">
      <x v="1154"/>
    </i>
    <i t="data" r="0" i="0">
      <x v="1302"/>
    </i>
    <i t="data" r="0" i="0">
      <x v="1155"/>
    </i>
    <i t="data" r="0" i="0">
      <x v="1305"/>
    </i>
    <i t="data" r="0" i="0">
      <x v="1156"/>
    </i>
    <i t="data" r="0" i="0">
      <x v="1307"/>
    </i>
    <i t="data" r="0" i="0">
      <x v="1157"/>
    </i>
    <i t="data" r="0" i="0">
      <x v="1309"/>
    </i>
    <i t="data" r="0" i="0">
      <x v="1158"/>
    </i>
    <i t="data" r="0" i="0">
      <x v="1311"/>
    </i>
    <i t="data" r="0" i="0">
      <x v="1159"/>
    </i>
    <i t="data" r="0" i="0">
      <x v="1313"/>
    </i>
    <i t="data" r="0" i="0">
      <x v="1160"/>
    </i>
    <i t="data" r="0" i="0">
      <x v="1315"/>
    </i>
    <i t="data" r="0" i="0">
      <x v="1161"/>
    </i>
    <i t="data" r="0" i="0">
      <x v="1317"/>
    </i>
    <i t="data" r="0" i="0">
      <x v="1162"/>
    </i>
    <i t="data" r="0" i="0">
      <x v="1321"/>
    </i>
    <i t="data" r="0" i="0">
      <x v="1163"/>
    </i>
    <i t="data" r="0" i="0">
      <x v="1323"/>
    </i>
    <i t="data" r="0" i="0">
      <x v="1164"/>
    </i>
    <i t="data" r="0" i="0">
      <x v="1325"/>
    </i>
    <i t="data" r="0" i="0">
      <x v="1165"/>
    </i>
    <i t="data" r="0" i="0">
      <x v="1166"/>
    </i>
    <i t="data" r="0" i="0">
      <x v="1170"/>
    </i>
    <i t="data" r="0" i="0">
      <x v="860"/>
    </i>
    <i t="data" r="0" i="0">
      <x v="936"/>
    </i>
    <i t="data" r="0" i="0">
      <x v="900"/>
    </i>
    <i t="data" r="0" i="0">
      <x v="712"/>
    </i>
    <i t="data" r="0" i="0">
      <x v="968"/>
    </i>
    <i t="data" r="0" i="0">
      <x v="690"/>
    </i>
    <i t="data" r="0" i="0">
      <x v="883"/>
    </i>
    <i t="data" r="0" i="0">
      <x v="714"/>
    </i>
    <i t="data" r="0" i="0">
      <x v="918"/>
    </i>
    <i t="data" r="0" i="0">
      <x v="715"/>
    </i>
    <i t="data" r="0" i="0">
      <x v="952"/>
    </i>
    <i t="data" r="0" i="0">
      <x v="716"/>
    </i>
    <i t="data" r="0" i="0">
      <x v="990"/>
    </i>
    <i t="data" r="0" i="0">
      <x v="717"/>
    </i>
    <i t="data" r="0" i="0">
      <x v="870"/>
    </i>
    <i t="data" r="0" i="0">
      <x v="718"/>
    </i>
    <i t="data" r="0" i="0">
      <x v="891"/>
    </i>
    <i t="data" r="0" i="0">
      <x v="719"/>
    </i>
    <i t="data" r="0" i="0">
      <x v="909"/>
    </i>
    <i t="data" r="0" i="0">
      <x v="691"/>
    </i>
    <i t="data" r="0" i="0">
      <x v="927"/>
    </i>
    <i t="data" r="0" i="0">
      <x v="721"/>
    </i>
    <i t="data" r="0" i="0">
      <x v="944"/>
    </i>
    <i t="data" r="0" i="0">
      <x v="722"/>
    </i>
    <i t="data" r="0" i="0">
      <x v="960"/>
    </i>
    <i t="data" r="0" i="0">
      <x v="692"/>
    </i>
    <i t="data" r="0" i="0">
      <x v="979"/>
    </i>
    <i t="data" r="0" i="0">
      <x v="724"/>
    </i>
    <i t="data" r="0" i="0">
      <x v="999"/>
    </i>
    <i t="data" r="0" i="0">
      <x v="725"/>
    </i>
    <i t="data" r="0" i="0">
      <x v="866"/>
    </i>
    <i t="data" r="0" i="0">
      <x v="728"/>
    </i>
    <i t="data" r="0" i="0">
      <x v="877"/>
    </i>
    <i t="data" r="0" i="0">
      <x v="729"/>
    </i>
    <i t="data" r="0" i="0">
      <x v="887"/>
    </i>
    <i t="data" r="0" i="0">
      <x v="730"/>
    </i>
    <i t="data" r="0" i="0">
      <x v="895"/>
    </i>
    <i t="data" r="0" i="0">
      <x v="731"/>
    </i>
    <i t="data" r="0" i="0">
      <x v="904"/>
    </i>
    <i t="data" r="0" i="0">
      <x v="732"/>
    </i>
    <i t="data" r="0" i="0">
      <x v="707"/>
    </i>
    <i t="data" r="0" i="0">
      <x v="733"/>
    </i>
    <i t="data" r="0" i="0">
      <x v="922"/>
    </i>
    <i t="data" r="0" i="0">
      <x v="735"/>
    </i>
    <i t="data" r="0" i="0">
      <x v="931"/>
    </i>
    <i t="data" r="0" i="0">
      <x v="736"/>
    </i>
    <i t="data" r="0" i="0">
      <x v="708"/>
    </i>
    <i t="data" r="0" i="0">
      <x v="737"/>
    </i>
    <i t="data" r="0" i="0">
      <x v="948"/>
    </i>
    <i t="data" r="0" i="0">
      <x v="738"/>
    </i>
    <i t="data" r="0" i="0">
      <x v="956"/>
    </i>
    <i t="data" r="0" i="0">
      <x v="739"/>
    </i>
    <i t="data" r="0" i="0">
      <x v="964"/>
    </i>
    <i t="data" r="0" i="0">
      <x v="740"/>
    </i>
    <i t="data" r="0" i="0">
      <x v="974"/>
    </i>
    <i t="data" r="0" i="0">
      <x v="743"/>
    </i>
    <i t="data" r="0" i="0">
      <x v="984"/>
    </i>
    <i t="data" r="0" i="0">
      <x v="744"/>
    </i>
    <i t="data" r="0" i="0">
      <x v="995"/>
    </i>
    <i t="data" r="0" i="0">
      <x v="745"/>
    </i>
    <i t="data" r="0" i="0">
      <x v="1003"/>
    </i>
    <i t="data" r="0" i="0">
      <x v="746"/>
    </i>
    <i t="data" r="0" i="0">
      <x v="705"/>
    </i>
    <i t="data" r="0" i="0">
      <x v="693"/>
    </i>
    <i t="data" r="0" i="0">
      <x v="868"/>
    </i>
    <i t="data" r="0" i="0">
      <x v="748"/>
    </i>
    <i t="data" r="0" i="0">
      <x v="872"/>
    </i>
    <i t="data" r="0" i="0">
      <x v="749"/>
    </i>
    <i t="data" r="0" i="0">
      <x v="881"/>
    </i>
    <i t="data" r="0" i="0">
      <x v="750"/>
    </i>
    <i t="data" r="0" i="0">
      <x v="885"/>
    </i>
    <i t="data" r="0" i="0">
      <x v="751"/>
    </i>
    <i t="data" r="0" i="0">
      <x v="889"/>
    </i>
    <i t="data" r="0" i="0">
      <x v="752"/>
    </i>
    <i t="data" r="0" i="0">
      <x v="893"/>
    </i>
    <i t="data" r="0" i="0">
      <x v="753"/>
    </i>
    <i t="data" r="0" i="0">
      <x v="898"/>
    </i>
    <i t="data" r="0" i="0">
      <x v="754"/>
    </i>
    <i t="data" r="0" i="0">
      <x v="902"/>
    </i>
    <i t="data" r="0" i="0">
      <x v="755"/>
    </i>
    <i t="data" r="0" i="0">
      <x v="907"/>
    </i>
    <i t="data" r="0" i="0">
      <x v="756"/>
    </i>
    <i t="data" r="0" i="0">
      <x v="911"/>
    </i>
    <i t="data" r="0" i="0">
      <x v="758"/>
    </i>
    <i t="data" r="0" i="0">
      <x v="916"/>
    </i>
    <i t="data" r="0" i="0">
      <x v="759"/>
    </i>
    <i t="data" r="0" i="0">
      <x v="920"/>
    </i>
    <i t="data" r="0" i="0">
      <x v="760"/>
    </i>
    <i t="data" r="0" i="0">
      <x v="925"/>
    </i>
    <i t="data" r="0" i="0">
      <x v="761"/>
    </i>
    <i t="data" r="0" i="0">
      <x v="929"/>
    </i>
    <i t="data" r="0" i="0">
      <x v="762"/>
    </i>
    <i t="data" r="0" i="0">
      <x v="934"/>
    </i>
    <i t="data" r="0" i="0">
      <x v="763"/>
    </i>
    <i t="data" r="0" i="0">
      <x v="938"/>
    </i>
    <i t="data" r="0" i="0">
      <x v="764"/>
    </i>
    <i t="data" r="0" i="0">
      <x v="942"/>
    </i>
    <i t="data" r="0" i="0">
      <x v="765"/>
    </i>
    <i t="data" r="0" i="0">
      <x v="946"/>
    </i>
    <i t="data" r="0" i="0">
      <x v="766"/>
    </i>
    <i t="data" r="0" i="0">
      <x v="950"/>
    </i>
    <i t="data" r="0" i="0">
      <x v="769"/>
    </i>
    <i t="data" r="0" i="0">
      <x v="954"/>
    </i>
    <i t="data" r="0" i="0">
      <x v="770"/>
    </i>
    <i t="data" r="0" i="0">
      <x v="958"/>
    </i>
    <i t="data" r="0" i="0">
      <x v="771"/>
    </i>
    <i t="data" r="0" i="0">
      <x v="962"/>
    </i>
    <i t="data" r="0" i="0">
      <x v="772"/>
    </i>
    <i t="data" r="0" i="0">
      <x v="966"/>
    </i>
    <i t="data" r="0" i="0">
      <x v="773"/>
    </i>
    <i t="data" r="0" i="0">
      <x v="972"/>
    </i>
    <i t="data" r="0" i="0">
      <x v="774"/>
    </i>
    <i t="data" r="0" i="0">
      <x v="977"/>
    </i>
    <i t="data" r="0" i="0">
      <x v="775"/>
    </i>
    <i t="data" r="0" i="0">
      <x v="710"/>
    </i>
    <i t="data" r="0" i="0">
      <x v="776"/>
    </i>
    <i t="data" r="0" i="0">
      <x v="987"/>
    </i>
    <i t="data" r="0" i="0">
      <x v="777"/>
    </i>
    <i t="data" r="0" i="0">
      <x v="993"/>
    </i>
    <i t="data" r="0" i="0">
      <x v="778"/>
    </i>
    <i t="data" r="0" i="0">
      <x v="997"/>
    </i>
    <i t="data" r="0" i="0">
      <x v="779"/>
    </i>
    <i t="data" r="0" i="0">
      <x v="1001"/>
    </i>
    <i t="data" r="0" i="0">
      <x v="780"/>
    </i>
    <i t="data" r="0" i="0">
      <x v="711"/>
    </i>
    <i t="data" r="0" i="0">
      <x v="781"/>
    </i>
    <i t="data" r="0" i="0">
      <x v="861"/>
    </i>
    <i t="data" r="0" i="0">
      <x v="782"/>
    </i>
    <i t="data" r="0" i="0">
      <x v="865"/>
    </i>
    <i t="data" r="0" i="0">
      <x v="783"/>
    </i>
    <i t="data" r="0" i="0">
      <x v="867"/>
    </i>
    <i t="data" r="0" i="0">
      <x v="784"/>
    </i>
    <i t="data" r="0" i="0">
      <x v="869"/>
    </i>
    <i t="data" r="0" i="0">
      <x v="785"/>
    </i>
    <i t="data" r="0" i="0">
      <x v="871"/>
    </i>
    <i t="data" r="0" i="0">
      <x v="694"/>
    </i>
    <i t="data" r="0" i="0">
      <x v="875"/>
    </i>
    <i t="data" r="0" i="0">
      <x v="792"/>
    </i>
    <i t="data" r="0" i="0">
      <x v="880"/>
    </i>
    <i t="data" r="0" i="0">
      <x v="793"/>
    </i>
    <i t="data" r="0" i="0">
      <x v="882"/>
    </i>
    <i t="data" r="0" i="0">
      <x v="794"/>
    </i>
    <i t="data" r="0" i="0">
      <x v="884"/>
    </i>
    <i t="data" r="0" i="0">
      <x v="795"/>
    </i>
    <i t="data" r="0" i="0">
      <x v="886"/>
    </i>
    <i t="data" r="0" i="0">
      <x v="796"/>
    </i>
    <i t="data" r="0" i="0">
      <x v="888"/>
    </i>
    <i t="data" r="0" i="0">
      <x v="695"/>
    </i>
    <i t="data" r="0" i="0">
      <x v="890"/>
    </i>
    <i t="data" r="0" i="0">
      <x v="798"/>
    </i>
    <i t="data" r="0" i="0">
      <x v="892"/>
    </i>
    <i t="data" r="0" i="0">
      <x v="799"/>
    </i>
    <i t="data" r="0" i="0">
      <x v="894"/>
    </i>
    <i t="data" r="0" i="0">
      <x v="801"/>
    </i>
    <i t="data" r="0" i="0">
      <x v="896"/>
    </i>
    <i t="data" r="0" i="0">
      <x v="696"/>
    </i>
    <i t="data" r="0" i="0">
      <x v="899"/>
    </i>
    <i t="data" r="0" i="0">
      <x v="803"/>
    </i>
    <i t="data" r="0" i="0">
      <x v="901"/>
    </i>
    <i t="data" r="0" i="0">
      <x v="804"/>
    </i>
    <i t="data" r="0" i="0">
      <x v="903"/>
    </i>
    <i t="data" r="0" i="0">
      <x v="805"/>
    </i>
    <i t="data" r="0" i="0">
      <x v="906"/>
    </i>
    <i t="data" r="0" i="0">
      <x v="806"/>
    </i>
    <i t="data" r="0" i="0">
      <x v="908"/>
    </i>
    <i t="data" r="0" i="0">
      <x v="807"/>
    </i>
    <i t="data" r="0" i="0">
      <x v="910"/>
    </i>
    <i t="data" r="0" i="0">
      <x v="808"/>
    </i>
    <i t="data" r="0" i="0">
      <x v="706"/>
    </i>
    <i t="data" r="0" i="0">
      <x v="809"/>
    </i>
    <i t="data" r="0" i="0">
      <x v="915"/>
    </i>
    <i t="data" r="0" i="0">
      <x v="697"/>
    </i>
    <i t="data" r="0" i="0">
      <x v="917"/>
    </i>
    <i t="data" r="0" i="0">
      <x v="811"/>
    </i>
    <i t="data" r="0" i="0">
      <x v="919"/>
    </i>
    <i t="data" r="0" i="0">
      <x v="812"/>
    </i>
    <i t="data" r="0" i="0">
      <x v="921"/>
    </i>
    <i t="data" r="0" i="0">
      <x v="814"/>
    </i>
    <i t="data" r="0" i="0">
      <x v="923"/>
    </i>
    <i t="data" r="0" i="0">
      <x v="815"/>
    </i>
    <i t="data" r="0" i="0">
      <x v="926"/>
    </i>
    <i t="data" r="0" i="0">
      <x v="698"/>
    </i>
    <i t="data" r="0" i="0">
      <x v="928"/>
    </i>
    <i t="data" r="0" i="0">
      <x v="817"/>
    </i>
    <i t="data" r="0" i="0">
      <x v="930"/>
    </i>
    <i t="data" r="0" i="0">
      <x v="818"/>
    </i>
    <i t="data" r="0" i="0">
      <x v="932"/>
    </i>
    <i t="data" r="0" i="0">
      <x v="689"/>
    </i>
    <i t="data" r="0" i="0">
      <x v="935"/>
    </i>
    <i t="data" r="0" i="0">
      <x v="820"/>
    </i>
    <i t="data" r="0" i="0">
      <x v="937"/>
    </i>
    <i t="data" r="0" i="0">
      <x v="821"/>
    </i>
    <i t="data" r="0" i="0">
      <x v="939"/>
    </i>
    <i t="data" r="0" i="0">
      <x v="702"/>
    </i>
    <i t="data" r="0" i="0">
      <x v="941"/>
    </i>
    <i t="data" r="0" i="0">
      <x v="824"/>
    </i>
    <i t="data" r="0" i="0">
      <x v="943"/>
    </i>
    <i t="data" r="0" i="0">
      <x v="826"/>
    </i>
    <i t="data" r="0" i="0">
      <x v="945"/>
    </i>
    <i t="data" r="0" i="0">
      <x v="827"/>
    </i>
    <i t="data" r="0" i="0">
      <x v="947"/>
    </i>
    <i t="data" r="0" i="0">
      <x v="828"/>
    </i>
    <i t="data" r="0" i="0">
      <x v="949"/>
    </i>
    <i t="data" r="0" i="0">
      <x v="830"/>
    </i>
    <i t="data" r="0" i="0">
      <x v="951"/>
    </i>
    <i t="data" r="0" i="0">
      <x v="831"/>
    </i>
    <i t="data" r="0" i="0">
      <x v="953"/>
    </i>
    <i t="data" r="0" i="0">
      <x v="832"/>
    </i>
    <i t="data" r="0" i="0">
      <x v="955"/>
    </i>
    <i t="data" r="0" i="0">
      <x v="833"/>
    </i>
    <i t="data" r="0" i="0">
      <x v="957"/>
    </i>
    <i t="data" r="0" i="0">
      <x v="834"/>
    </i>
    <i t="data" r="0" i="0">
      <x v="959"/>
    </i>
    <i t="data" r="0" i="0">
      <x v="835"/>
    </i>
    <i t="data" r="0" i="0">
      <x v="961"/>
    </i>
    <i t="data" r="0" i="0">
      <x v="836"/>
    </i>
    <i t="data" r="0" i="0">
      <x v="963"/>
    </i>
    <i t="data" r="0" i="0">
      <x v="837"/>
    </i>
    <i t="data" r="0" i="0">
      <x v="709"/>
    </i>
    <i t="data" r="0" i="0">
      <x v="838"/>
    </i>
    <i t="data" r="0" i="0">
      <x v="967"/>
    </i>
    <i t="data" r="0" i="0">
      <x v="840"/>
    </i>
    <i t="data" r="0" i="0">
      <x v="971"/>
    </i>
    <i t="data" r="0" i="0">
      <x v="841"/>
    </i>
    <i t="data" r="0" i="0">
      <x v="973"/>
    </i>
    <i t="data" r="0" i="0">
      <x v="842"/>
    </i>
    <i t="data" r="0" i="0">
      <x v="976"/>
    </i>
    <i t="data" r="0" i="0">
      <x v="843"/>
    </i>
    <i t="data" r="0" i="0">
      <x v="978"/>
    </i>
    <i t="data" r="0" i="0">
      <x v="844"/>
    </i>
    <i t="data" r="0" i="0">
      <x v="981"/>
    </i>
    <i t="data" r="0" i="0">
      <x v="1005"/>
    </i>
    <i t="data" r="0" i="0">
      <x v="983"/>
    </i>
    <i t="data" r="0" i="0">
      <x v="1006"/>
    </i>
    <i t="data" r="0" i="0">
      <x v="986"/>
    </i>
    <i t="data" r="0" i="0">
      <x v="688"/>
    </i>
    <i t="data" r="0" i="0">
      <x v="988"/>
    </i>
    <i t="data" r="0" i="0">
      <x v="850"/>
    </i>
    <i t="data" r="0" i="0">
      <x v="992"/>
    </i>
    <i t="data" r="0" i="0">
      <x v="851"/>
    </i>
    <i t="data" r="0" i="0">
      <x v="994"/>
    </i>
    <i t="data" r="0" i="0">
      <x v="852"/>
    </i>
    <i t="data" r="0" i="0">
      <x v="996"/>
    </i>
    <i t="data" r="0" i="0">
      <x v="853"/>
    </i>
    <i t="data" r="0" i="0">
      <x v="998"/>
    </i>
    <i t="data" r="0" i="0">
      <x v="703"/>
    </i>
    <i t="data" r="0" i="0">
      <x v="1000"/>
    </i>
    <i t="data" r="0" i="0">
      <x v="704"/>
    </i>
    <i t="data" r="0" i="0">
      <x v="1002"/>
    </i>
    <i t="data" r="0" i="0">
      <x v="856"/>
    </i>
    <i t="data" r="0" i="0">
      <x v="1004"/>
    </i>
    <i t="data" r="0" i="0">
      <x v="857"/>
    </i>
    <i t="data" r="0" i="0">
      <x v="859"/>
    </i>
    <i t="data" r="0" i="0">
      <x v="847"/>
    </i>
    <i t="data" r="0" i="0">
      <x v="848"/>
    </i>
    <i t="data" r="0" i="0">
      <x v="389"/>
    </i>
    <i t="data" r="0" i="0">
      <x v="399"/>
    </i>
    <i t="data" r="0" i="0">
      <x v="588"/>
    </i>
    <i t="data" r="0" i="0">
      <x v="404"/>
    </i>
    <i t="data" r="0" i="0">
      <x v="668"/>
    </i>
    <i t="data" r="0" i="0">
      <x v="405"/>
    </i>
    <i t="data" r="0" i="0">
      <x v="569"/>
    </i>
    <i t="data" r="0" i="0">
      <x v="406"/>
    </i>
    <i t="data" r="0" i="0">
      <x v="606"/>
    </i>
    <i t="data" r="0" i="0">
      <x v="367"/>
    </i>
    <i t="data" r="0" i="0">
      <x v="643"/>
    </i>
    <i t="data" r="0" i="0">
      <x v="408"/>
    </i>
    <i t="data" r="0" i="0">
      <x v="541"/>
    </i>
    <i t="data" r="0" i="0">
      <x v="409"/>
    </i>
    <i t="data" r="0" i="0">
      <x v="559"/>
    </i>
    <i t="data" r="0" i="0">
      <x v="410"/>
    </i>
    <i t="data" r="0" i="0">
      <x v="579"/>
    </i>
    <i t="data" r="0" i="0">
      <x v="411"/>
    </i>
    <i t="data" r="0" i="0">
      <x v="598"/>
    </i>
    <i t="data" r="0" i="0">
      <x v="412"/>
    </i>
    <i t="data" r="0" i="0">
      <x v="614"/>
    </i>
    <i t="data" r="0" i="0">
      <x v="413"/>
    </i>
    <i t="data" r="0" i="0">
      <x v="634"/>
    </i>
    <i t="data" r="0" i="0">
      <x v="414"/>
    </i>
    <i t="data" r="0" i="0">
      <x v="655"/>
    </i>
    <i t="data" r="0" i="0">
      <x v="368"/>
    </i>
    <i t="data" r="0" i="0">
      <x v="537"/>
    </i>
    <i t="data" r="0" i="0">
      <x v="417"/>
    </i>
    <i t="data" r="0" i="0">
      <x v="545"/>
    </i>
    <i t="data" r="0" i="0">
      <x v="361"/>
    </i>
    <i t="data" r="0" i="0">
      <x v="555"/>
    </i>
    <i t="data" r="0" i="0">
      <x v="419"/>
    </i>
    <i t="data" r="0" i="0">
      <x v="563"/>
    </i>
    <i t="data" r="0" i="0">
      <x v="420"/>
    </i>
    <i t="data" r="0" i="0">
      <x v="574"/>
    </i>
    <i t="data" r="0" i="0">
      <x v="422"/>
    </i>
    <i t="data" r="0" i="0">
      <x v="396"/>
    </i>
    <i t="data" r="0" i="0">
      <x v="425"/>
    </i>
    <i t="data" r="0" i="0">
      <x v="592"/>
    </i>
    <i t="data" r="0" i="0">
      <x v="426"/>
    </i>
    <i t="data" r="0" i="0">
      <x v="602"/>
    </i>
    <i t="data" r="0" i="0">
      <x v="428"/>
    </i>
    <i t="data" r="0" i="0">
      <x v="610"/>
    </i>
    <i t="data" r="0" i="0">
      <x v="429"/>
    </i>
    <i t="data" r="0" i="0">
      <x v="619"/>
    </i>
    <i t="data" r="0" i="0">
      <x v="430"/>
    </i>
    <i t="data" r="0" i="0">
      <x v="629"/>
    </i>
    <i t="data" r="0" i="0">
      <x v="431"/>
    </i>
    <i t="data" r="0" i="0">
      <x v="639"/>
    </i>
    <i t="data" r="0" i="0">
      <x v="433"/>
    </i>
    <i t="data" r="0" i="0">
      <x v="647"/>
    </i>
    <i t="data" r="0" i="0">
      <x v="434"/>
    </i>
    <i t="data" r="0" i="0">
      <x v="660"/>
    </i>
    <i t="data" r="0" i="0">
      <x v="435"/>
    </i>
    <i t="data" r="0" i="0">
      <x v="674"/>
    </i>
    <i t="data" r="0" i="0">
      <x v="436"/>
    </i>
    <i t="data" r="0" i="0">
      <x v="539"/>
    </i>
    <i t="data" r="0" i="0">
      <x v="437"/>
    </i>
    <i t="data" r="0" i="0">
      <x v="543"/>
    </i>
    <i t="data" r="0" i="0">
      <x v="438"/>
    </i>
    <i t="data" r="0" i="0">
      <x v="548"/>
    </i>
    <i t="data" r="0" i="0">
      <x v="439"/>
    </i>
    <i t="data" r="0" i="0">
      <x v="552"/>
    </i>
    <i t="data" r="0" i="0">
      <x v="440"/>
    </i>
    <i t="data" r="0" i="0">
      <x v="557"/>
    </i>
    <i t="data" r="0" i="0">
      <x v="441"/>
    </i>
    <i t="data" r="0" i="0">
      <x v="561"/>
    </i>
    <i t="data" r="0" i="0">
      <x v="370"/>
    </i>
    <i t="data" r="0" i="0">
      <x v="565"/>
    </i>
    <i t="data" r="0" i="0">
      <x v="443"/>
    </i>
    <i t="data" r="0" i="0">
      <x v="572"/>
    </i>
    <i t="data" r="0" i="0">
      <x v="444"/>
    </i>
    <i t="data" r="0" i="0">
      <x v="576"/>
    </i>
    <i t="data" r="0" i="0">
      <x v="446"/>
    </i>
    <i t="data" r="0" i="0">
      <x v="581"/>
    </i>
    <i t="data" r="0" i="0">
      <x v="447"/>
    </i>
    <i t="data" r="0" i="0">
      <x v="586"/>
    </i>
    <i t="data" r="0" i="0">
      <x v="449"/>
    </i>
    <i t="data" r="0" i="0">
      <x v="590"/>
    </i>
    <i t="data" r="0" i="0">
      <x v="362"/>
    </i>
    <i t="data" r="0" i="0">
      <x v="596"/>
    </i>
    <i t="data" r="0" i="0">
      <x v="451"/>
    </i>
    <i t="data" r="0" i="0">
      <x v="600"/>
    </i>
    <i t="data" r="0" i="0">
      <x v="452"/>
    </i>
    <i t="data" r="0" i="0">
      <x v="366"/>
    </i>
    <i t="data" r="0" i="0">
      <x v="453"/>
    </i>
    <i t="data" r="0" i="0">
      <x v="608"/>
    </i>
    <i t="data" r="0" i="0">
      <x v="454"/>
    </i>
    <i t="data" r="0" i="0">
      <x v="612"/>
    </i>
    <i t="data" r="0" i="0">
      <x v="455"/>
    </i>
    <i t="data" r="0" i="0">
      <x v="616"/>
    </i>
    <i t="data" r="0" i="0">
      <x v="456"/>
    </i>
    <i t="data" r="0" i="0">
      <x v="621"/>
    </i>
    <i t="data" r="0" i="0">
      <x v="363"/>
    </i>
    <i t="data" r="0" i="0">
      <x v="626"/>
    </i>
    <i t="data" r="0" i="0">
      <x v="458"/>
    </i>
    <i t="data" r="0" i="0">
      <x v="632"/>
    </i>
    <i t="data" r="0" i="0">
      <x v="459"/>
    </i>
    <i t="data" r="0" i="0">
      <x v="637"/>
    </i>
    <i t="data" r="0" i="0">
      <x v="460"/>
    </i>
    <i t="data" r="0" i="0">
      <x v="400"/>
    </i>
    <i t="data" r="0" i="0">
      <x v="373"/>
    </i>
    <i t="data" r="0" i="0">
      <x v="645"/>
    </i>
    <i t="data" r="0" i="0">
      <x v="462"/>
    </i>
    <i t="data" r="0" i="0">
      <x v="402"/>
    </i>
    <i t="data" r="0" i="0">
      <x v="463"/>
    </i>
    <i t="data" r="0" i="0">
      <x v="658"/>
    </i>
    <i t="data" r="0" i="0">
      <x v="465"/>
    </i>
    <i t="data" r="0" i="0">
      <x v="662"/>
    </i>
    <i t="data" r="0" i="0">
      <x v="466"/>
    </i>
    <i t="data" r="0" i="0">
      <x v="670"/>
    </i>
    <i t="data" r="0" i="0">
      <x v="467"/>
    </i>
    <i t="data" r="0" i="0">
      <x v="536"/>
    </i>
    <i t="data" r="0" i="0">
      <x v="374"/>
    </i>
    <i t="data" r="0" i="0">
      <x v="387"/>
    </i>
    <i t="data" r="0" i="0">
      <x v="469"/>
    </i>
    <i t="data" r="0" i="0">
      <x v="540"/>
    </i>
    <i t="data" r="0" i="0">
      <x v="470"/>
    </i>
    <i t="data" r="0" i="0">
      <x v="364"/>
    </i>
    <i t="data" r="0" i="0">
      <x v="471"/>
    </i>
    <i t="data" r="0" i="0">
      <x v="544"/>
    </i>
    <i t="data" r="0" i="0">
      <x v="472"/>
    </i>
    <i t="data" r="0" i="0">
      <x v="547"/>
    </i>
    <i t="data" r="0" i="0">
      <x v="375"/>
    </i>
    <i t="data" r="0" i="0">
      <x v="549"/>
    </i>
    <i t="data" r="0" i="0">
      <x v="475"/>
    </i>
    <i t="data" r="0" i="0">
      <x v="551"/>
    </i>
    <i t="data" r="0" i="0">
      <x v="476"/>
    </i>
    <i t="data" r="0" i="0">
      <x v="554"/>
    </i>
    <i t="data" r="0" i="0">
      <x v="480"/>
    </i>
    <i t="data" r="0" i="0">
      <x v="556"/>
    </i>
    <i t="data" r="0" i="0">
      <x v="481"/>
    </i>
    <i t="data" r="0" i="0">
      <x v="390"/>
    </i>
    <i t="data" r="0" i="0">
      <x v="376"/>
    </i>
    <i t="data" r="0" i="0">
      <x v="560"/>
    </i>
    <i t="data" r="0" i="0">
      <x v="483"/>
    </i>
    <i t="data" r="0" i="0">
      <x v="562"/>
    </i>
    <i t="data" r="0" i="0">
      <x v="377"/>
    </i>
    <i t="data" r="0" i="0">
      <x v="391"/>
    </i>
    <i t="data" r="0" i="0">
      <x v="486"/>
    </i>
    <i t="data" r="0" i="0">
      <x v="568"/>
    </i>
    <i t="data" r="0" i="0">
      <x v="487"/>
    </i>
    <i t="data" r="0" i="0">
      <x v="394"/>
    </i>
    <i t="data" r="0" i="0">
      <x v="488"/>
    </i>
    <i t="data" r="0" i="0">
      <x v="395"/>
    </i>
    <i t="data" r="0" i="0">
      <x v="490"/>
    </i>
    <i t="data" r="0" i="0">
      <x v="575"/>
    </i>
    <i t="data" r="0" i="0">
      <x v="491"/>
    </i>
    <i t="data" r="0" i="0">
      <x v="577"/>
    </i>
    <i t="data" r="0" i="0">
      <x v="492"/>
    </i>
    <i t="data" r="0" i="0">
      <x v="580"/>
    </i>
    <i t="data" r="0" i="0">
      <x v="493"/>
    </i>
    <i t="data" r="0" i="0">
      <x v="582"/>
    </i>
    <i t="data" r="0" i="0">
      <x v="378"/>
    </i>
    <i t="data" r="0" i="0">
      <x v="585"/>
    </i>
    <i t="data" r="0" i="0">
      <x v="495"/>
    </i>
    <i t="data" r="0" i="0">
      <x v="587"/>
    </i>
    <i t="data" r="0" i="0">
      <x v="496"/>
    </i>
    <i t="data" r="0" i="0">
      <x v="589"/>
    </i>
    <i t="data" r="0" i="0">
      <x v="379"/>
    </i>
    <i t="data" r="0" i="0">
      <x v="591"/>
    </i>
    <i t="data" r="0" i="0">
      <x v="380"/>
    </i>
    <i t="data" r="0" i="0">
      <x v="593"/>
    </i>
    <i t="data" r="0" i="0">
      <x v="500"/>
    </i>
    <i t="data" r="0" i="0">
      <x v="597"/>
    </i>
    <i t="data" r="0" i="0">
      <x v="501"/>
    </i>
    <i t="data" r="0" i="0">
      <x v="365"/>
    </i>
    <i t="data" r="0" i="0">
      <x v="502"/>
    </i>
    <i t="data" r="0" i="0">
      <x v="601"/>
    </i>
    <i t="data" r="0" i="0">
      <x v="503"/>
    </i>
    <i t="data" r="0" i="0">
      <x v="603"/>
    </i>
    <i t="data" r="0" i="0">
      <x v="504"/>
    </i>
    <i t="data" r="0" i="0">
      <x v="605"/>
    </i>
    <i t="data" r="0" i="0">
      <x v="505"/>
    </i>
    <i t="data" r="0" i="0">
      <x v="607"/>
    </i>
    <i t="data" r="0" i="0">
      <x v="506"/>
    </i>
    <i t="data" r="0" i="0">
      <x v="609"/>
    </i>
    <i t="data" r="0" i="0">
      <x v="507"/>
    </i>
    <i t="data" r="0" i="0">
      <x v="611"/>
    </i>
    <i t="data" r="0" i="0">
      <x v="381"/>
    </i>
    <i t="data" r="0" i="0">
      <x v="613"/>
    </i>
    <i t="data" r="0" i="0">
      <x v="382"/>
    </i>
    <i t="data" r="0" i="0">
      <x v="615"/>
    </i>
    <i t="data" r="0" i="0">
      <x v="510"/>
    </i>
    <i t="data" r="0" i="0">
      <x v="617"/>
    </i>
    <i t="data" r="0" i="0">
      <x v="511"/>
    </i>
    <i t="data" r="0" i="0">
      <x v="620"/>
    </i>
    <i t="data" r="0" i="0">
      <x v="512"/>
    </i>
    <i t="data" r="0" i="0">
      <x v="622"/>
    </i>
    <i t="data" r="0" i="0">
      <x v="675"/>
    </i>
    <i t="data" r="0" i="0">
      <x v="625"/>
    </i>
    <i t="data" r="0" i="0">
      <x v="678"/>
    </i>
    <i t="data" r="0" i="0">
      <x v="627"/>
    </i>
    <i t="data" r="0" i="0">
      <x v="682"/>
    </i>
    <i t="data" r="0" i="0">
      <x v="631"/>
    </i>
    <i t="data" r="0" i="0">
      <x v="684"/>
    </i>
    <i t="data" r="0" i="0">
      <x v="633"/>
    </i>
    <i t="data" r="0" i="0">
      <x v="686"/>
    </i>
    <i t="data" r="0" i="0">
      <x v="635"/>
    </i>
    <i t="data" r="0" i="0">
      <x v="520"/>
    </i>
    <i t="data" r="0" i="0">
      <x v="638"/>
    </i>
    <i t="data" r="0" i="0">
      <x v="521"/>
    </i>
    <i t="data" r="0" i="0">
      <x v="640"/>
    </i>
    <i t="data" r="0" i="0">
      <x v="522"/>
    </i>
    <i t="data" r="0" i="0">
      <x v="642"/>
    </i>
    <i t="data" r="0" i="0">
      <x v="523"/>
    </i>
    <i t="data" r="0" i="0">
      <x v="644"/>
    </i>
    <i t="data" r="0" i="0">
      <x v="524"/>
    </i>
    <i t="data" r="0" i="0">
      <x v="646"/>
    </i>
    <i t="data" r="0" i="0">
      <x v="525"/>
    </i>
    <i t="data" r="0" i="0">
      <x v="648"/>
    </i>
    <i t="data" r="0" i="0">
      <x v="384"/>
    </i>
    <i t="data" r="0" i="0">
      <x v="650"/>
    </i>
    <i t="data" r="0" i="0">
      <x v="385"/>
    </i>
    <i t="data" r="0" i="0">
      <x v="656"/>
    </i>
    <i t="data" r="0" i="0">
      <x v="528"/>
    </i>
    <i t="data" r="0" i="0">
      <x v="659"/>
    </i>
    <i t="data" r="0" i="0">
      <x v="386"/>
    </i>
    <i t="data" r="0" i="0">
      <x v="661"/>
    </i>
    <i t="data" r="0" i="0">
      <x v="530"/>
    </i>
    <i t="data" r="0" i="0">
      <x v="664"/>
    </i>
    <i t="data" r="0" i="0">
      <x v="532"/>
    </i>
    <i t="data" r="0" i="0">
      <x v="669"/>
    </i>
    <i t="data" r="0" i="0">
      <x v="533"/>
    </i>
    <i t="data" r="0" i="0">
      <x v="672"/>
    </i>
    <i t="data" r="0" i="0">
      <x v="534"/>
    </i>
    <i t="data" r="0" i="0">
      <x v="403"/>
    </i>
    <i t="data" r="0" i="0">
      <x v="535"/>
    </i>
    <i t="data" r="0" i="0">
      <x v="513"/>
    </i>
    <i t="data" r="0" i="0">
      <x v="680"/>
    </i>
    <i t="data" r="0" i="0">
      <x v="515"/>
    </i>
    <i t="data" r="0" i="0">
      <x v="683"/>
    </i>
    <i t="data" r="0" i="0">
      <x v="516"/>
    </i>
    <i t="data" r="0" i="0">
      <x v="685"/>
    </i>
    <i t="data" r="0" i="0">
      <x v="517"/>
    </i>
    <i t="data" r="0" i="0">
      <x v="687"/>
    </i>
    <i t="data" r="0" i="0">
      <x v="360"/>
    </i>
    <i t="data" r="0" i="0">
      <x v="519"/>
    </i>
    <i t="data" r="0" i="0">
      <x v="232"/>
    </i>
    <i t="data" r="0" i="0">
      <x v="308"/>
    </i>
    <i t="data" r="0" i="0">
      <x v="62"/>
    </i>
    <i t="data" r="0" i="0">
      <x v="79"/>
    </i>
    <i t="data" r="0" i="0">
      <x v="347"/>
    </i>
    <i t="data" r="0" i="0">
      <x v="80"/>
    </i>
    <i t="data" r="0" i="0">
      <x v="8"/>
    </i>
    <i t="data" r="0" i="0">
      <x v="81"/>
    </i>
    <i t="data" r="0" i="0">
      <x v="65"/>
    </i>
    <i t="data" r="0" i="0">
      <x v="82"/>
    </i>
    <i t="data" r="0" i="0">
      <x v="328"/>
    </i>
    <i t="data" r="0" i="0">
      <x v="83"/>
    </i>
    <i t="data" r="0" i="0">
      <x v="223"/>
    </i>
    <i t="data" r="0" i="0">
      <x v="84"/>
    </i>
    <i t="data" r="0" i="0">
      <x v="240"/>
    </i>
    <i t="data" r="0" i="0">
      <x v="86"/>
    </i>
    <i t="data" r="0" i="0">
      <x v="260"/>
    </i>
    <i t="data" r="0" i="0">
      <x v="11"/>
    </i>
    <i t="data" r="0" i="0">
      <x v="276"/>
    </i>
    <i t="data" r="0" i="0">
      <x v="88"/>
    </i>
    <i t="data" r="0" i="0">
      <x v="299"/>
    </i>
    <i t="data" r="0" i="0">
      <x v="89"/>
    </i>
    <i t="data" r="0" i="0">
      <x v="319"/>
    </i>
    <i t="data" r="0" i="0">
      <x v="91"/>
    </i>
    <i t="data" r="0" i="0">
      <x v="337"/>
    </i>
    <i t="data" r="0" i="0">
      <x v="92"/>
    </i>
    <i t="data" r="0" i="0">
      <x v="355"/>
    </i>
    <i t="data" r="0" i="0">
      <x v="93"/>
    </i>
    <i t="data" r="0" i="0">
      <x v="54"/>
    </i>
    <i t="data" r="0" i="0">
      <x v="94"/>
    </i>
    <i t="data" r="0" i="0">
      <x v="236"/>
    </i>
    <i t="data" r="0" i="0">
      <x v="96"/>
    </i>
    <i t="data" r="0" i="0">
      <x v="247"/>
    </i>
    <i t="data" r="0" i="0">
      <x v="13"/>
    </i>
    <i t="data" r="0" i="0">
      <x v="256"/>
    </i>
    <i t="data" r="0" i="0">
      <x v="2"/>
    </i>
    <i t="data" r="0" i="0">
      <x v="264"/>
    </i>
    <i t="data" r="0" i="0">
      <x v="100"/>
    </i>
    <i t="data" r="0" i="0">
      <x v="272"/>
    </i>
    <i t="data" r="0" i="0">
      <x v="102"/>
    </i>
    <i t="data" r="0" i="0">
      <x v="282"/>
    </i>
    <i t="data" r="0" i="0">
      <x v="103"/>
    </i>
    <i t="data" r="0" i="0">
      <x v="293"/>
    </i>
    <i t="data" r="0" i="0">
      <x v="104"/>
    </i>
    <i t="data" r="0" i="0">
      <x v="303"/>
    </i>
    <i t="data" r="0" i="0">
      <x v="105"/>
    </i>
    <i t="data" r="0" i="0">
      <x v="315"/>
    </i>
    <i t="data" r="0" i="0">
      <x v="106"/>
    </i>
    <i t="data" r="0" i="0">
      <x v="324"/>
    </i>
    <i t="data" r="0" i="0">
      <x v="107"/>
    </i>
    <i t="data" r="0" i="0">
      <x v="333"/>
    </i>
    <i t="data" r="0" i="0">
      <x v="3"/>
    </i>
    <i t="data" r="0" i="0">
      <x v="342"/>
    </i>
    <i t="data" r="0" i="0">
      <x v="109"/>
    </i>
    <i t="data" r="0" i="0">
      <x v="351"/>
    </i>
    <i t="data" r="0" i="0">
      <x v="112"/>
    </i>
    <i t="data" r="0" i="0">
      <x v="221"/>
    </i>
    <i t="data" r="0" i="0">
      <x v="113"/>
    </i>
    <i t="data" r="0" i="0">
      <x v="225"/>
    </i>
    <i t="data" r="0" i="0">
      <x v="114"/>
    </i>
    <i t="data" r="0" i="0">
      <x v="55"/>
    </i>
    <i t="data" r="0" i="0">
      <x v="115"/>
    </i>
    <i t="data" r="0" i="0">
      <x v="56"/>
    </i>
    <i t="data" r="0" i="0">
      <x v="116"/>
    </i>
    <i t="data" r="0" i="0">
      <x v="238"/>
    </i>
    <i t="data" r="0" i="0">
      <x v="117"/>
    </i>
    <i t="data" r="0" i="0">
      <x v="242"/>
    </i>
    <i t="data" r="0" i="0">
      <x v="21"/>
    </i>
    <i t="data" r="0" i="0">
      <x v="249"/>
    </i>
    <i t="data" r="0" i="0">
      <x v="119"/>
    </i>
    <i t="data" r="0" i="0">
      <x v="253"/>
    </i>
    <i t="data" r="0" i="0">
      <x v="120"/>
    </i>
    <i t="data" r="0" i="0">
      <x v="59"/>
    </i>
    <i t="data" r="0" i="0">
      <x v="121"/>
    </i>
    <i t="data" r="0" i="0">
      <x v="60"/>
    </i>
    <i t="data" r="0" i="0">
      <x v="122"/>
    </i>
    <i t="data" r="0" i="0">
      <x v="266"/>
    </i>
    <i t="data" r="0" i="0">
      <x v="123"/>
    </i>
    <i t="data" r="0" i="0">
      <x v="270"/>
    </i>
    <i t="data" r="0" i="0">
      <x v="22"/>
    </i>
    <i t="data" r="0" i="0">
      <x v="274"/>
    </i>
    <i t="data" r="0" i="0">
      <x v="127"/>
    </i>
    <i t="data" r="0" i="0">
      <x v="279"/>
    </i>
    <i t="data" r="0" i="0">
      <x v="23"/>
    </i>
    <i t="data" r="0" i="0">
      <x v="285"/>
    </i>
    <i t="data" r="0" i="0">
      <x v="129"/>
    </i>
    <i t="data" r="0" i="0">
      <x v="67"/>
    </i>
    <i t="data" r="0" i="0">
      <x v="130"/>
    </i>
    <i t="data" r="0" i="0">
      <x v="295"/>
    </i>
    <i t="data" r="0" i="0">
      <x v="24"/>
    </i>
    <i t="data" r="0" i="0">
      <x v="301"/>
    </i>
    <i t="data" r="0" i="0">
      <x v="132"/>
    </i>
    <i t="data" r="0" i="0">
      <x v="70"/>
    </i>
    <i t="data" r="0" i="0">
      <x v="133"/>
    </i>
    <i t="data" r="0" i="0">
      <x v="312"/>
    </i>
    <i t="data" r="0" i="0">
      <x v="25"/>
    </i>
    <i t="data" r="0" i="0">
      <x v="317"/>
    </i>
    <i t="data" r="0" i="0">
      <x v="135"/>
    </i>
    <i t="data" r="0" i="0">
      <x v="321"/>
    </i>
    <i t="data" r="0" i="0">
      <x v="26"/>
    </i>
    <i t="data" r="0" i="0">
      <x v="326"/>
    </i>
    <i t="data" r="0" i="0">
      <x v="137"/>
    </i>
    <i t="data" r="0" i="0">
      <x v="331"/>
    </i>
    <i t="data" r="0" i="0">
      <x v="29"/>
    </i>
    <i t="data" r="0" i="0">
      <x v="335"/>
    </i>
    <i t="data" r="0" i="0">
      <x v="141"/>
    </i>
    <i t="data" r="0" i="0">
      <x v="339"/>
    </i>
    <i t="data" r="0" i="0">
      <x v="142"/>
    </i>
    <i t="data" r="0" i="0">
      <x v="344"/>
    </i>
    <i t="data" r="0" i="0">
      <x v="144"/>
    </i>
    <i t="data" r="0" i="0">
      <x v="349"/>
    </i>
    <i t="data" r="0" i="0">
      <x v="145"/>
    </i>
    <i t="data" r="0" i="0">
      <x v="353"/>
    </i>
    <i t="data" r="0" i="0">
      <x v="31"/>
    </i>
    <i t="data" r="0" i="0">
      <x v="77"/>
    </i>
    <i t="data" r="0" i="0">
      <x v="147"/>
    </i>
    <i t="data" r="0" i="0">
      <x v="53"/>
    </i>
    <i t="data" r="0" i="0">
      <x v="5"/>
    </i>
    <i t="data" r="0" i="0">
      <x v="224"/>
    </i>
    <i t="data" r="0" i="0">
      <x v="152"/>
    </i>
    <i t="data" r="0" i="0">
      <x v="227"/>
    </i>
    <i t="data" r="0" i="0">
      <x v="153"/>
    </i>
    <i t="data" r="0" i="0">
      <x v="229"/>
    </i>
    <i t="data" r="0" i="0">
      <x v="33"/>
    </i>
    <i t="data" r="0" i="0">
      <x v="231"/>
    </i>
    <i t="data" r="0" i="0">
      <x v="155"/>
    </i>
    <i t="data" r="0" i="0">
      <x v="233"/>
    </i>
    <i t="data" r="0" i="0">
      <x v="34"/>
    </i>
    <i t="data" r="0" i="0">
      <x v="235"/>
    </i>
    <i t="data" r="0" i="0">
      <x v="158"/>
    </i>
    <i t="data" r="0" i="0">
      <x v="237"/>
    </i>
    <i t="data" r="0" i="0">
      <x v="159"/>
    </i>
    <i t="data" r="0" i="0">
      <x v="239"/>
    </i>
    <i t="data" r="0" i="0">
      <x v="35"/>
    </i>
    <i t="data" r="0" i="0">
      <x v="241"/>
    </i>
    <i t="data" r="0" i="0">
      <x v="161"/>
    </i>
    <i t="data" r="0" i="0">
      <x v="246"/>
    </i>
    <i t="data" r="0" i="0">
      <x v="162"/>
    </i>
    <i t="data" r="0" i="0">
      <x v="248"/>
    </i>
    <i t="data" r="0" i="0">
      <x v="36"/>
    </i>
    <i t="data" r="0" i="0">
      <x v="250"/>
    </i>
    <i t="data" r="0" i="0">
      <x v="6"/>
    </i>
    <i t="data" r="0" i="0">
      <x v="252"/>
    </i>
    <i t="data" r="0" i="0">
      <x v="166"/>
    </i>
    <i t="data" r="0" i="0">
      <x v="255"/>
    </i>
    <i t="data" r="0" i="0">
      <x v="167"/>
    </i>
    <i t="data" r="0" i="0">
      <x v="257"/>
    </i>
    <i t="data" r="0" i="0">
      <x v="168"/>
    </i>
    <i t="data" r="0" i="0">
      <x v="259"/>
    </i>
    <i t="data" r="0" i="0">
      <x v="169"/>
    </i>
    <i t="data" r="0" i="0">
      <x v="261"/>
    </i>
    <i t="data" r="0" i="0">
      <x v="171"/>
    </i>
    <i t="data" r="0" i="0">
      <x v="263"/>
    </i>
    <i t="data" r="0" i="0">
      <x v="42"/>
    </i>
    <i t="data" r="0" i="0">
      <x v="61"/>
    </i>
    <i t="data" r="0" i="0">
      <x v="173"/>
    </i>
    <i t="data" r="0" i="0">
      <x v="267"/>
    </i>
    <i t="data" r="0" i="0">
      <x v="174"/>
    </i>
    <i t="data" r="0" i="0">
      <x v="269"/>
    </i>
    <i t="data" r="0" i="0">
      <x v="175"/>
    </i>
    <i t="data" r="0" i="0">
      <x v="271"/>
    </i>
    <i t="data" r="0" i="0">
      <x v="176"/>
    </i>
    <i t="data" r="0" i="0">
      <x v="273"/>
    </i>
    <i t="data" r="0" i="0">
      <x v="177"/>
    </i>
    <i t="data" r="0" i="0">
      <x v="275"/>
    </i>
    <i t="data" r="0" i="0">
      <x v="178"/>
    </i>
    <i t="data" r="0" i="0">
      <x v="277"/>
    </i>
    <i t="data" r="0" i="0">
      <x v="179"/>
    </i>
    <i t="data" r="0" i="0">
      <x v="63"/>
    </i>
    <i t="data" r="0" i="0">
      <x v="180"/>
    </i>
    <i t="data" r="0" i="0">
      <x v="284"/>
    </i>
    <i t="data" r="0" i="0">
      <x v="183"/>
    </i>
    <i t="data" r="0" i="0">
      <x v="64"/>
    </i>
    <i t="data" r="0" i="0">
      <x v="358"/>
    </i>
    <i t="data" r="0" i="0">
      <x v="289"/>
    </i>
    <i t="data" r="0" i="0">
      <x v="44"/>
    </i>
    <i t="data" r="0" i="0">
      <x v="292"/>
    </i>
    <i t="data" r="0" i="0">
      <x v="1"/>
    </i>
    <i t="data" r="0" i="0">
      <x v="294"/>
    </i>
    <i t="data" r="0" i="0">
      <x v="7"/>
    </i>
    <i t="data" r="0" i="0">
      <x v="68"/>
    </i>
    <i t="data" r="0" i="0">
      <x v="190"/>
    </i>
    <i t="data" r="0" i="0">
      <x v="300"/>
    </i>
    <i t="data" r="0" i="0">
      <x v="191"/>
    </i>
    <i t="data" r="0" i="0">
      <x v="302"/>
    </i>
    <i t="data" r="0" i="0">
      <x v="46"/>
    </i>
    <i t="data" r="0" i="0">
      <x v="69"/>
    </i>
    <i t="data" r="0" i="0">
      <x v="193"/>
    </i>
    <i t="data" r="0" i="0">
      <x v="307"/>
    </i>
    <i t="data" r="0" i="0">
      <x v="194"/>
    </i>
    <i t="data" r="0" i="0">
      <x v="71"/>
    </i>
    <i t="data" r="0" i="0">
      <x v="195"/>
    </i>
    <i t="data" r="0" i="0">
      <x v="313"/>
    </i>
    <i t="data" r="0" i="0">
      <x v="196"/>
    </i>
    <i t="data" r="0" i="0">
      <x v="316"/>
    </i>
    <i t="data" r="0" i="0">
      <x v="47"/>
    </i>
    <i t="data" r="0" i="0">
      <x v="318"/>
    </i>
    <i t="data" r="0" i="0">
      <x v="198"/>
    </i>
    <i t="data" r="0" i="0">
      <x v="320"/>
    </i>
    <i t="data" r="0" i="0">
      <x v="199"/>
    </i>
    <i t="data" r="0" i="0">
      <x v="323"/>
    </i>
    <i t="data" r="0" i="0">
      <x v="200"/>
    </i>
    <i t="data" r="0" i="0">
      <x v="325"/>
    </i>
    <i t="data" r="0" i="0">
      <x v="48"/>
    </i>
    <i t="data" r="0" i="0">
      <x v="72"/>
    </i>
    <i t="data" r="0" i="0">
      <x v="202"/>
    </i>
    <i t="data" r="0" i="0">
      <x v="9"/>
    </i>
    <i t="data" r="0" i="0">
      <x v="203"/>
    </i>
    <i t="data" r="0" i="0">
      <x v="332"/>
    </i>
    <i t="data" r="0" i="0">
      <x v="204"/>
    </i>
    <i t="data" r="0" i="0">
      <x v="10"/>
    </i>
    <i t="data" r="0" i="0">
      <x v="205"/>
    </i>
    <i t="data" r="0" i="0">
      <x v="75"/>
    </i>
    <i t="data" r="0" i="0">
      <x v="206"/>
    </i>
    <i t="data" r="0" i="0">
      <x v="338"/>
    </i>
    <i t="data" r="0" i="0">
      <x v="207"/>
    </i>
    <i t="data" r="0" i="0">
      <x v="341"/>
    </i>
    <i t="data" r="0" i="0">
      <x v="208"/>
    </i>
    <i t="data" r="0" i="0">
      <x v="343"/>
    </i>
    <i t="data" r="0" i="0">
      <x v="49"/>
    </i>
    <i t="data" r="0" i="0">
      <x v="345"/>
    </i>
    <i t="data" r="0" i="0">
      <x v="50"/>
    </i>
    <i t="data" r="0" i="0">
      <x v="348"/>
    </i>
    <i t="data" r="0" i="0">
      <x v="211"/>
    </i>
    <i t="data" r="0" i="0">
      <x v="350"/>
    </i>
    <i t="data" r="0" i="0">
      <x v="51"/>
    </i>
    <i t="data" r="0" i="0">
      <x v="352"/>
    </i>
    <i t="data" r="0" i="0">
      <x v="213"/>
    </i>
    <i t="data" r="0" i="0">
      <x v="76"/>
    </i>
    <i t="data" r="0" i="0">
      <x v="214"/>
    </i>
    <i t="data" r="0" i="0">
      <x v="356"/>
    </i>
    <i t="data" r="0" i="0">
      <x v="52"/>
    </i>
    <i t="data" r="0" i="0">
      <x v="78"/>
    </i>
    <i t="data" r="0" i="0">
      <x v="219"/>
    </i>
    <i t="data" r="0" i="0">
      <x v="188"/>
    </i>
    <i t="data" r="0" i="0">
      <x v="1173"/>
    </i>
    <i t="data" r="0" i="0">
      <x v="1099"/>
    </i>
    <i t="data" r="0" i="0">
      <x v="1202"/>
    </i>
    <i t="data" r="0" i="0">
      <x v="1284"/>
    </i>
    <i t="data" r="0" i="0">
      <x v="1151"/>
    </i>
    <i t="data" r="0" i="0">
      <x v="1138"/>
    </i>
    <i t="data" r="0" i="0">
      <x v="1318"/>
    </i>
    <i t="data" r="0" i="0">
      <x v="1286"/>
    </i>
    <i t="data" r="0" i="0">
      <x v="1058"/>
    </i>
    <i t="data" r="0" i="0">
      <x v="1081"/>
    </i>
    <i t="data" r="0" i="0">
      <x v="1130"/>
    </i>
    <i t="data" r="0" i="0">
      <x v="1288"/>
    </i>
    <i t="data" r="0" i="0">
      <x v="1102"/>
    </i>
    <i t="data" r="0" i="0">
      <x v="1246"/>
    </i>
    <i t="data" r="0" i="0">
      <x v="1234"/>
    </i>
    <i t="data" r="0" i="0">
      <x v="1181"/>
    </i>
    <i t="data" r="0" i="0">
      <x v="1200"/>
    </i>
    <i t="data" r="0" i="0">
      <x v="1121"/>
    </i>
    <i t="data" r="0" i="0">
      <x v="1064"/>
    </i>
    <i t="data" r="0" i="0">
      <x v="1122"/>
    </i>
    <i t="data" r="0" i="0">
      <x v="1262"/>
    </i>
    <i t="data" r="0" i="0">
      <x v="1213"/>
    </i>
    <i t="data" r="0" i="0">
      <x v="1091"/>
    </i>
    <i t="data" r="0" i="0">
      <x v="1214"/>
    </i>
    <i t="data" r="0" i="0">
      <x v="1131"/>
    </i>
    <i t="data" r="0" i="0">
      <x v="1216"/>
    </i>
    <i t="data" r="0" i="0">
      <x v="1268"/>
    </i>
    <i t="data" r="0" i="0">
      <x v="1123"/>
    </i>
    <i t="data" r="0" i="0">
      <x v="1197"/>
    </i>
    <i t="data" r="0" i="0">
      <x v="1219"/>
    </i>
    <i t="data" r="0" i="0">
      <x v="1233"/>
    </i>
    <i t="data" r="0" i="0">
      <x v="1124"/>
    </i>
    <i t="data" r="0" i="0">
      <x v="1103"/>
    </i>
    <i t="data" r="0" i="0">
      <x v="1037"/>
    </i>
    <i t="data" r="0" i="0">
      <x v="1319"/>
    </i>
    <i t="data" r="0" i="0">
      <x v="1187"/>
    </i>
    <i t="data" r="0" i="0">
      <x v="1056"/>
    </i>
    <i t="data" r="0" i="0">
      <x v="1301"/>
    </i>
    <i t="data" r="0" i="0">
      <x v="1203"/>
    </i>
    <i t="data" r="0" i="0">
      <x v="1188"/>
    </i>
    <i t="data" r="0" i="0">
      <x v="1057"/>
    </i>
    <i t="data" r="0" i="0">
      <x v="1062"/>
    </i>
    <i t="data" r="0" i="0">
      <x v="1207"/>
    </i>
    <i t="data" r="0" i="0">
      <x v="1304"/>
    </i>
    <i t="data" r="0" i="0">
      <x v="858"/>
    </i>
    <i t="data" r="0" i="0">
      <x v="701"/>
    </i>
    <i t="data" r="0" i="0">
      <x v="969"/>
    </i>
    <i t="data" r="0" i="0">
      <x v="980"/>
    </i>
    <i t="data" r="0" i="0">
      <x v="734"/>
    </i>
    <i t="data" r="0" i="0">
      <x v="767"/>
    </i>
    <i t="data" r="0" i="0">
      <x v="829"/>
    </i>
    <i t="data" r="0" i="0">
      <x v="788"/>
    </i>
    <i t="data" r="0" i="0">
      <x v="924"/>
    </i>
    <i t="data" r="0" i="0">
      <x v="933"/>
    </i>
    <i t="data" r="0" i="0">
      <x v="864"/>
    </i>
    <i t="data" r="0" i="0">
      <x v="789"/>
    </i>
    <i t="data" r="0" i="0">
      <x v="876"/>
    </i>
    <i t="data" r="0" i="0">
      <x v="985"/>
    </i>
    <i t="data" r="0" i="0">
      <x v="879"/>
    </i>
    <i t="data" r="0" i="0">
      <x v="912"/>
    </i>
    <i t="data" r="0" i="0">
      <x v="741"/>
    </i>
    <i t="data" r="0" i="0">
      <x v="800"/>
    </i>
    <i t="data" r="0" i="0">
      <x v="742"/>
    </i>
    <i t="data" r="0" i="0">
      <x v="790"/>
    </i>
    <i t="data" r="0" i="0">
      <x v="862"/>
    </i>
    <i t="data" r="0" i="0">
      <x v="813"/>
    </i>
    <i t="data" r="0" i="0">
      <x v="905"/>
    </i>
    <i t="data" r="0" i="0">
      <x v="991"/>
    </i>
    <i t="data" r="0" i="0">
      <x v="727"/>
    </i>
    <i t="data" r="0" i="0">
      <x v="874"/>
    </i>
    <i t="data" r="0" i="0">
      <x v="791"/>
    </i>
    <i t="data" r="0" i="0">
      <x v="423"/>
    </i>
    <i t="data" r="0" i="0">
      <x v="478"/>
    </i>
    <i t="data" r="0" i="0">
      <x v="681"/>
    </i>
    <i t="data" r="0" i="0">
      <x v="630"/>
    </i>
    <i t="data" r="0" i="0">
      <x v="595"/>
    </i>
    <i t="data" r="0" i="0">
      <x v="657"/>
    </i>
    <i t="data" r="0" i="0">
      <x v="401"/>
    </i>
    <i t="data" r="0" i="0">
      <x v="567"/>
    </i>
    <i t="data" r="0" i="0">
      <x v="518"/>
    </i>
    <i t="data" r="0" i="0">
      <x v="421"/>
    </i>
    <i t="data" r="0" i="0">
      <x v="654"/>
    </i>
    <i t="data" r="0" i="0">
      <x v="427"/>
    </i>
    <i t="data" r="0" i="0">
      <x v="498"/>
    </i>
    <i t="data" r="0" i="0">
      <x v="553"/>
    </i>
    <i t="data" r="0" i="0">
      <x v="424"/>
    </i>
    <i t="data" r="0" i="0">
      <x v="448"/>
    </i>
    <i t="data" r="0" i="0">
      <x v="489"/>
    </i>
    <i t="data" r="0" i="0">
      <x v="636"/>
    </i>
    <i t="data" r="0" i="0">
      <x v="477"/>
    </i>
    <i t="data" r="0" i="0">
      <x v="383"/>
    </i>
    <i t="data" r="0" i="0">
      <x v="583"/>
    </i>
    <i t="data" r="0" i="0">
      <x v="464"/>
    </i>
    <i t="data" r="0" i="0">
      <x v="479"/>
    </i>
    <i t="data" r="0" i="0">
      <x v="594"/>
    </i>
    <i t="data" r="0" i="0">
      <x v="566"/>
    </i>
    <i t="data" r="0" i="0">
      <x v="671"/>
    </i>
    <i t="data" r="0" i="0">
      <x v="90"/>
    </i>
    <i t="data" r="0" i="0">
      <x v="340"/>
    </i>
    <i t="data" r="0" i="0">
      <x v="43"/>
    </i>
    <i t="data" r="0" i="0">
      <x v="286"/>
    </i>
    <i t="data" r="0" i="0">
      <x v="283"/>
    </i>
    <i t="data" r="0" i="0">
      <x v="101"/>
    </i>
    <i t="data" r="0" i="0">
      <x v="245"/>
    </i>
    <i t="data" r="0" i="0">
      <x v="346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dataFields count="3">
    <dataField name="Sum of SOLD PRICE" fld="14" subtotal="sum" showDataAs="normal" baseField="0" baseItem="0" numFmtId="6"/>
    <dataField name="Count of SOLD PRICE2" fld="14" subtotal="count" showDataAs="normal" baseField="20" baseItem="0"/>
    <dataField name="Average of SOLD PRICE3" fld="14" subtotal="average" showDataAs="normal" baseField="20" baseItem="0" numFmtId="6"/>
  </dataFields>
  <formats count="4">
    <format action="formatting">
      <pivotArea type="normal" dataOnly="1" outline="0" collapsedLevelsAreSubtotals="1" fieldPosition="0">
        <references count="1">
          <reference field="4294967294" selected="0">
            <x v="0"/>
          </reference>
        </references>
      </pivotArea>
    </format>
    <format action="formatting">
      <pivotArea type="normal" dataOnly="0" labelOnly="1" outline="0" fieldPosition="0">
        <references count="1">
          <reference field="4294967294">
            <x v="0"/>
          </reference>
        </references>
      </pivotArea>
    </format>
    <format action="formatting">
      <pivotArea type="normal" dataOnly="1" outline="0" collapsedLevelsAreSubtotals="1" fieldPosition="0">
        <references count="1">
          <reference field="4294967294" selected="0">
            <x v="2"/>
          </reference>
        </references>
      </pivotArea>
    </format>
    <format action="formatting">
      <pivotArea type="normal" dataOnly="0" labelOnly="1" outline="0" fieldPosition="0">
        <references count="1">
          <reference field="4294967294">
            <x v="2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E1322" firstHeaderRow="0" firstDataRow="1" firstDataCol="1" rowPageCount="1" colPageCount="1"/>
  <pivotFields count="3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axis="axisPage" dataField="1" showDropDowns="1" compact="1" numFmtId="164" outline="1" subtotalTop="1" dragToRow="1" dragToCol="1" dragToPage="1" dragToData="1" dragOff="1" showAll="0" topAutoShow="1" itemPageCount="10" sortType="manual" defaultSubtotal="1">
      <items count="1469">
        <item t="data" sd="1" x="1415"/>
        <item t="data" sd="1" x="1408"/>
        <item t="data" sd="1" x="1398"/>
        <item t="data" sd="1" x="1397"/>
        <item t="data" sd="1" x="1396"/>
        <item t="data" sd="1" x="1390"/>
        <item t="data" sd="1" x="1388"/>
        <item t="data" sd="1" x="1382"/>
        <item t="data" sd="1" x="1381"/>
        <item t="data" sd="1" x="1380"/>
        <item t="data" sd="1" x="1377"/>
        <item t="data" sd="1" x="1375"/>
        <item t="data" sd="1" x="1374"/>
        <item t="data" sd="1" x="1370"/>
        <item t="data" sd="1" x="1368"/>
        <item t="data" sd="1" x="1367"/>
        <item t="data" sd="1" x="1366"/>
        <item t="data" sd="1" x="1365"/>
        <item t="data" sd="1" x="1364"/>
        <item t="data" sd="1" x="1363"/>
        <item t="data" sd="1" x="1362"/>
        <item t="data" sd="1" x="1361"/>
        <item t="data" sd="1" x="1360"/>
        <item t="data" sd="1" x="1358"/>
        <item t="data" sd="1" x="1357"/>
        <item t="data" sd="1" x="1356"/>
        <item t="data" sd="1" x="1353"/>
        <item t="data" sd="1" x="1352"/>
        <item t="data" sd="1" x="1350"/>
        <item t="data" sd="1" x="1348"/>
        <item t="data" sd="1" x="1346"/>
        <item t="data" sd="1" x="1345"/>
        <item t="data" sd="1" x="1344"/>
        <item t="data" sd="1" x="1343"/>
        <item t="data" sd="1" x="1341"/>
        <item t="data" sd="1" m="1" x="1443"/>
        <item t="data" sd="1" x="1340"/>
        <item t="data" sd="1" x="1339"/>
        <item t="data" sd="1" x="1338"/>
        <item t="data" sd="1" x="1337"/>
        <item t="data" sd="1" x="1336"/>
        <item t="data" sd="1" x="1331"/>
        <item t="data" sd="1" x="1330"/>
        <item t="data" sd="1" x="1329"/>
        <item t="data" sd="1" x="1324"/>
        <item t="data" sd="1" x="1322"/>
        <item t="data" sd="1" m="1" x="1466"/>
        <item t="data" sd="1" x="1320"/>
        <item t="data" sd="1" x="1319"/>
        <item t="data" sd="1" m="1" x="1444"/>
        <item t="data" sd="1" x="1317"/>
        <item t="data" sd="1" x="1316"/>
        <item t="data" sd="1" x="1314"/>
        <item t="data" sd="1" x="1313"/>
        <item t="data" sd="1" x="1312"/>
        <item t="data" sd="1" x="1311"/>
        <item t="data" sd="1" x="1310"/>
        <item t="data" sd="1" x="1309"/>
        <item t="data" sd="1" x="1307"/>
        <item t="data" sd="1" x="1306"/>
        <item t="data" sd="1" x="1304"/>
        <item t="data" sd="1" x="1303"/>
        <item t="data" sd="1" x="1301"/>
        <item t="data" sd="1" x="1300"/>
        <item t="data" sd="1" x="1299"/>
        <item t="data" sd="1" x="1298"/>
        <item t="data" sd="1" x="1297"/>
        <item t="data" sd="1" x="1296"/>
        <item t="data" sd="1" x="1294"/>
        <item t="data" sd="1" x="1292"/>
        <item t="data" sd="1" x="1291"/>
        <item t="data" sd="1" x="1289"/>
        <item t="data" sd="1" x="1288"/>
        <item t="data" sd="1" x="1287"/>
        <item t="data" sd="1" x="1286"/>
        <item t="data" sd="1" x="1284"/>
        <item t="data" sd="1" x="1281"/>
        <item t="data" sd="1" x="1278"/>
        <item t="data" sd="1" x="1275"/>
        <item t="data" sd="1" x="1274"/>
        <item t="data" sd="1" x="1269"/>
        <item t="data" sd="1" x="1268"/>
        <item t="data" sd="1" x="1267"/>
        <item t="data" sd="1" x="1264"/>
        <item t="data" sd="1" x="1261"/>
        <item t="data" sd="1" x="1260"/>
        <item t="data" sd="1" x="1259"/>
        <item t="data" sd="1" x="1257"/>
        <item t="data" sd="1" x="1255"/>
        <item t="data" sd="1" x="1254"/>
        <item t="data" sd="1" x="1252"/>
        <item t="data" sd="1" x="1251"/>
        <item t="data" sd="1" x="1248"/>
        <item t="data" sd="1" x="1246"/>
        <item t="data" sd="1" x="1242"/>
        <item t="data" sd="1" x="1241"/>
        <item t="data" sd="1" x="1240"/>
        <item t="data" sd="1" x="1239"/>
        <item t="data" sd="1" x="1238"/>
        <item t="data" sd="1" x="1237"/>
        <item t="data" sd="1" x="1235"/>
        <item t="data" sd="1" x="1234"/>
        <item t="data" sd="1" x="1233"/>
        <item t="data" sd="1" x="1232"/>
        <item t="data" sd="1" x="1231"/>
        <item t="data" sd="1" x="1230"/>
        <item t="data" sd="1" x="1229"/>
        <item t="data" sd="1" x="1228"/>
        <item t="data" sd="1" x="1227"/>
        <item t="data" sd="1" x="1226"/>
        <item t="data" sd="1" x="1224"/>
        <item t="data" sd="1" x="1223"/>
        <item t="data" sd="1" x="1222"/>
        <item t="data" sd="1" x="1221"/>
        <item t="data" sd="1" x="1220"/>
        <item t="data" sd="1" x="1219"/>
        <item t="data" sd="1" x="1218"/>
        <item t="data" sd="1" x="1217"/>
        <item t="data" sd="1" x="1216"/>
        <item t="data" sd="1" x="1215"/>
        <item t="data" sd="1" x="1213"/>
        <item t="data" sd="1" x="1212"/>
        <item t="data" sd="1" x="1211"/>
        <item t="data" sd="1" x="1209"/>
        <item t="data" sd="1" x="1208"/>
        <item t="data" sd="1" m="1" x="1454"/>
        <item t="data" sd="1" x="1207"/>
        <item t="data" sd="1" x="1206"/>
        <item t="data" sd="1" x="1205"/>
        <item t="data" sd="1" x="1204"/>
        <item t="data" sd="1" x="1203"/>
        <item t="data" sd="1" x="1202"/>
        <item t="data" sd="1" x="1201"/>
        <item t="data" sd="1" x="1200"/>
        <item t="data" sd="1" x="1199"/>
        <item t="data" sd="1" x="1196"/>
        <item t="data" sd="1" x="1195"/>
        <item t="data" sd="1" x="1194"/>
        <item t="data" sd="1" x="1193"/>
        <item t="data" sd="1" x="1191"/>
        <item t="data" sd="1" x="1189"/>
        <item t="data" sd="1" x="1188"/>
        <item t="data" sd="1" x="1187"/>
        <item t="data" sd="1" x="1186"/>
        <item t="data" sd="1" x="1184"/>
        <item t="data" sd="1" x="1183"/>
        <item t="data" sd="1" x="1182"/>
        <item t="data" sd="1" x="1181"/>
        <item t="data" sd="1" x="1179"/>
        <item t="data" sd="1" x="1178"/>
        <item t="data" sd="1" x="1174"/>
        <item t="data" sd="1" x="1173"/>
        <item t="data" sd="1" x="1172"/>
        <item t="data" sd="1" x="1170"/>
        <item t="data" sd="1" x="1169"/>
        <item t="data" sd="1" x="1168"/>
        <item t="data" sd="1" x="1167"/>
        <item t="data" sd="1" x="1166"/>
        <item t="data" sd="1" x="1164"/>
        <item t="data" sd="1" x="1163"/>
        <item t="data" sd="1" x="1162"/>
        <item t="data" sd="1" x="1160"/>
        <item t="data" sd="1" x="1159"/>
        <item t="data" sd="1" x="1158"/>
        <item t="data" sd="1" x="1157"/>
        <item t="data" sd="1" x="1156"/>
        <item t="data" sd="1" m="1" x="1451"/>
        <item t="data" sd="1" x="1155"/>
        <item t="data" sd="1" x="1154"/>
        <item t="data" sd="1" x="1153"/>
        <item t="data" sd="1" x="1152"/>
        <item t="data" sd="1" x="1151"/>
        <item t="data" sd="1" x="1149"/>
        <item t="data" sd="1" x="1148"/>
        <item t="data" sd="1" x="1147"/>
        <item t="data" sd="1" m="1" x="1438"/>
        <item t="data" sd="1" x="1145"/>
        <item t="data" sd="1" x="1143"/>
        <item t="data" sd="1" x="1142"/>
        <item t="data" sd="1" x="1141"/>
        <item t="data" sd="1" x="1140"/>
        <item t="data" sd="1" x="1139"/>
        <item t="data" sd="1" x="1138"/>
        <item t="data" sd="1" x="1136"/>
        <item t="data" sd="1" m="1" x="1441"/>
        <item t="data" sd="1" m="1" x="1452"/>
        <item t="data" sd="1" x="1134"/>
        <item t="data" sd="1" m="1" x="1439"/>
        <item t="data" sd="1" x="1133"/>
        <item t="data" sd="1" x="1132"/>
        <item t="data" sd="1" x="1131"/>
        <item t="data" sd="1" x="1129"/>
        <item t="data" sd="1" x="1128"/>
        <item t="data" sd="1" x="1127"/>
        <item t="data" sd="1" x="1126"/>
        <item t="data" sd="1" x="1125"/>
        <item t="data" sd="1" x="1124"/>
        <item t="data" sd="1" x="1122"/>
        <item t="data" sd="1" x="1121"/>
        <item t="data" sd="1" x="1120"/>
        <item t="data" sd="1" x="1119"/>
        <item t="data" sd="1" x="1118"/>
        <item t="data" sd="1" x="1115"/>
        <item t="data" sd="1" x="1114"/>
        <item t="data" sd="1" x="1111"/>
        <item t="data" sd="1" x="1110"/>
        <item t="data" sd="1" x="1109"/>
        <item t="data" sd="1" x="1108"/>
        <item t="data" sd="1" x="1107"/>
        <item t="data" sd="1" x="1105"/>
        <item t="data" sd="1" x="1103"/>
        <item t="data" sd="1" x="1102"/>
        <item t="data" sd="1" x="1101"/>
        <item t="data" sd="1" x="1100"/>
        <item t="data" sd="1" x="1099"/>
        <item t="data" sd="1" x="1098"/>
        <item t="data" sd="1" x="1097"/>
        <item t="data" sd="1" x="1096"/>
        <item t="data" sd="1" x="1095"/>
        <item t="data" sd="1" x="1094"/>
        <item t="data" sd="1" x="1093"/>
        <item t="data" sd="1" x="1092"/>
        <item t="data" sd="1" x="1091"/>
        <item t="data" sd="1" x="1090"/>
        <item t="data" sd="1" x="1088"/>
        <item t="data" sd="1" x="1084"/>
        <item t="data" sd="1" x="1083"/>
        <item t="data" sd="1" x="1082"/>
        <item t="data" sd="1" x="1081"/>
        <item t="data" sd="1" x="1080"/>
        <item t="data" sd="1" x="1078"/>
        <item t="data" sd="1" m="1" x="1465"/>
        <item t="data" sd="1" x="1077"/>
        <item t="data" sd="1" x="1076"/>
        <item t="data" sd="1" x="1075"/>
        <item t="data" sd="1" x="1073"/>
        <item t="data" sd="1" x="1072"/>
        <item t="data" sd="1" x="1071"/>
        <item t="data" sd="1" x="1068"/>
        <item t="data" sd="1" x="1067"/>
        <item t="data" sd="1" x="1063"/>
        <item t="data" sd="1" x="1061"/>
        <item t="data" sd="1" x="1058"/>
        <item t="data" sd="1" x="1057"/>
        <item t="data" sd="1" x="1055"/>
        <item t="data" sd="1" x="1054"/>
        <item t="data" sd="1" x="1053"/>
        <item t="data" sd="1" x="1051"/>
        <item t="data" sd="1" x="1050"/>
        <item t="data" sd="1" x="1049"/>
        <item t="data" sd="1" x="1047"/>
        <item t="data" sd="1" x="1045"/>
        <item t="data" sd="1" x="1044"/>
        <item t="data" sd="1" x="1043"/>
        <item t="data" sd="1" x="1042"/>
        <item t="data" sd="1" x="1041"/>
        <item t="data" sd="1" x="1040"/>
        <item t="data" sd="1" x="1038"/>
        <item t="data" sd="1" x="1036"/>
        <item t="data" sd="1" x="1035"/>
        <item t="data" sd="1" x="1033"/>
        <item t="data" sd="1" x="1032"/>
        <item t="data" sd="1" x="1031"/>
        <item t="data" sd="1" x="1029"/>
        <item t="data" sd="1" x="1027"/>
        <item t="data" sd="1" x="1026"/>
        <item t="data" sd="1" x="1025"/>
        <item t="data" sd="1" x="1024"/>
        <item t="data" sd="1" x="1023"/>
        <item t="data" sd="1" x="1022"/>
        <item t="data" sd="1" x="1020"/>
        <item t="data" sd="1" x="1016"/>
        <item t="data" sd="1" x="1013"/>
        <item t="data" sd="1" x="1011"/>
        <item t="data" sd="1" x="1010"/>
        <item t="data" sd="1" x="1009"/>
        <item t="data" sd="1" x="1008"/>
        <item t="data" sd="1" x="1007"/>
        <item t="data" sd="1" x="1005"/>
        <item t="data" sd="1" x="1003"/>
        <item t="data" sd="1" x="1002"/>
        <item t="data" sd="1" x="1000"/>
        <item t="data" sd="1" x="999"/>
        <item t="data" sd="1" x="998"/>
        <item t="data" sd="1" x="997"/>
        <item t="data" sd="1" x="995"/>
        <item t="data" sd="1" x="993"/>
        <item t="data" sd="1" x="991"/>
        <item t="data" sd="1" x="990"/>
        <item t="data" sd="1" x="988"/>
        <item t="data" sd="1" x="987"/>
        <item t="data" sd="1" x="986"/>
        <item t="data" sd="1" x="985"/>
        <item t="data" sd="1" x="983"/>
        <item t="data" sd="1" x="982"/>
        <item t="data" sd="1" x="981"/>
        <item t="data" sd="1" x="980"/>
        <item t="data" sd="1" x="977"/>
        <item t="data" sd="1" x="975"/>
        <item t="data" sd="1" x="974"/>
        <item t="data" sd="1" x="973"/>
        <item t="data" sd="1" x="968"/>
        <item t="data" sd="1" x="967"/>
        <item t="data" sd="1" x="965"/>
        <item t="data" sd="1" x="964"/>
        <item t="data" sd="1" x="963"/>
        <item t="data" sd="1" x="962"/>
        <item t="data" sd="1" x="961"/>
        <item t="data" sd="1" x="960"/>
        <item t="data" sd="1" x="958"/>
        <item t="data" sd="1" x="957"/>
        <item t="data" sd="1" x="954"/>
        <item t="data" sd="1" x="953"/>
        <item t="data" sd="1" x="952"/>
        <item t="data" sd="1" x="950"/>
        <item t="data" sd="1" x="948"/>
        <item t="data" sd="1" x="946"/>
        <item t="data" sd="1" x="945"/>
        <item t="data" sd="1" x="944"/>
        <item t="data" sd="1" x="943"/>
        <item t="data" sd="1" x="941"/>
        <item t="data" sd="1" x="940"/>
        <item t="data" sd="1" x="939"/>
        <item t="data" sd="1" x="938"/>
        <item t="data" sd="1" x="937"/>
        <item t="data" sd="1" x="936"/>
        <item t="data" sd="1" x="933"/>
        <item t="data" sd="1" x="932"/>
        <item t="data" sd="1" x="930"/>
        <item t="data" sd="1" x="929"/>
        <item t="data" sd="1" x="927"/>
        <item t="data" sd="1" x="926"/>
        <item t="data" sd="1" x="925"/>
        <item t="data" sd="1" x="924"/>
        <item t="data" sd="1" x="923"/>
        <item t="data" sd="1" x="922"/>
        <item t="data" sd="1" x="920"/>
        <item t="data" sd="1" x="918"/>
        <item t="data" sd="1" m="1" x="1456"/>
        <item t="data" sd="1" x="915"/>
        <item t="data" sd="1" x="914"/>
        <item t="data" sd="1" x="913"/>
        <item t="data" sd="1" x="911"/>
        <item t="data" sd="1" x="910"/>
        <item t="data" sd="1" x="909"/>
        <item t="data" sd="1" x="908"/>
        <item t="data" sd="1" x="907"/>
        <item t="data" sd="1" x="906"/>
        <item t="data" sd="1" x="905"/>
        <item t="data" sd="1" x="903"/>
        <item t="data" sd="1" x="902"/>
        <item t="data" sd="1" x="901"/>
        <item t="data" sd="1" x="900"/>
        <item t="data" sd="1" x="899"/>
        <item t="data" sd="1" x="895"/>
        <item t="data" sd="1" x="894"/>
        <item t="data" sd="1" x="893"/>
        <item t="data" sd="1" m="1" x="1462"/>
        <item t="data" sd="1" x="892"/>
        <item t="data" sd="1" x="891"/>
        <item t="data" sd="1" x="889"/>
        <item t="data" sd="1" x="888"/>
        <item t="data" sd="1" x="887"/>
        <item t="data" sd="1" x="885"/>
        <item t="data" sd="1" x="884"/>
        <item t="data" sd="1" x="883"/>
        <item t="data" sd="1" x="882"/>
        <item t="data" sd="1" x="881"/>
        <item t="data" sd="1" x="879"/>
        <item t="data" sd="1" x="878"/>
        <item t="data" sd="1" m="1" x="1446"/>
        <item t="data" sd="1" x="877"/>
        <item t="data" sd="1" x="876"/>
        <item t="data" sd="1" x="875"/>
        <item t="data" sd="1" x="874"/>
        <item t="data" sd="1" x="873"/>
        <item t="data" sd="1" x="872"/>
        <item t="data" sd="1" x="871"/>
        <item t="data" sd="1" x="869"/>
        <item t="data" sd="1" x="868"/>
        <item t="data" sd="1" x="867"/>
        <item t="data" sd="1" x="866"/>
        <item t="data" sd="1" m="1" x="1436"/>
        <item t="data" sd="1" x="864"/>
        <item t="data" sd="1" x="863"/>
        <item t="data" sd="1" x="862"/>
        <item t="data" sd="1" x="860"/>
        <item t="data" sd="1" x="859"/>
        <item t="data" sd="1" x="858"/>
        <item t="data" sd="1" x="857"/>
        <item t="data" sd="1" m="1" x="1467"/>
        <item t="data" sd="1" x="855"/>
        <item t="data" sd="1" x="854"/>
        <item t="data" sd="1" x="853"/>
        <item t="data" sd="1" x="852"/>
        <item t="data" sd="1" x="851"/>
        <item t="data" sd="1" x="850"/>
        <item t="data" sd="1" x="849"/>
        <item t="data" sd="1" x="848"/>
        <item t="data" sd="1" x="846"/>
        <item t="data" sd="1" x="844"/>
        <item t="data" sd="1" x="843"/>
        <item t="data" sd="1" x="841"/>
        <item t="data" sd="1" x="840"/>
        <item t="data" sd="1" x="839"/>
        <item t="data" sd="1" x="837"/>
        <item t="data" sd="1" x="835"/>
        <item t="data" sd="1" x="833"/>
        <item t="data" sd="1" m="1" x="1453"/>
        <item t="data" sd="1" x="832"/>
        <item t="data" sd="1" x="831"/>
        <item t="data" sd="1" x="830"/>
        <item t="data" sd="1" x="829"/>
        <item t="data" sd="1" x="826"/>
        <item t="data" sd="1" x="824"/>
        <item t="data" sd="1" x="823"/>
        <item t="data" sd="1" x="821"/>
        <item t="data" sd="1" x="820"/>
        <item t="data" sd="1" x="819"/>
        <item t="data" sd="1" x="818"/>
        <item t="data" sd="1" x="817"/>
        <item t="data" sd="1" x="816"/>
        <item t="data" sd="1" x="815"/>
        <item t="data" sd="1" x="814"/>
        <item t="data" sd="1" x="811"/>
        <item t="data" sd="1" x="810"/>
        <item t="data" sd="1" x="809"/>
        <item t="data" sd="1" x="808"/>
        <item t="data" sd="1" x="807"/>
        <item t="data" sd="1" x="806"/>
        <item t="data" sd="1" x="805"/>
        <item t="data" sd="1" x="804"/>
        <item t="data" sd="1" x="803"/>
        <item t="data" sd="1" x="801"/>
        <item t="data" sd="1" x="800"/>
        <item t="data" sd="1" x="799"/>
        <item t="data" sd="1" x="798"/>
        <item t="data" sd="1" x="797"/>
        <item t="data" sd="1" x="796"/>
        <item t="data" sd="1" x="795"/>
        <item t="data" sd="1" x="794"/>
        <item t="data" sd="1" x="793"/>
        <item t="data" sd="1" x="790"/>
        <item t="data" sd="1" x="789"/>
        <item t="data" sd="1" x="788"/>
        <item t="data" sd="1" x="787"/>
        <item t="data" sd="1" x="786"/>
        <item t="data" sd="1" x="785"/>
        <item t="data" sd="1" x="784"/>
        <item t="data" sd="1" x="783"/>
        <item t="data" sd="1" x="782"/>
        <item t="data" sd="1" x="781"/>
        <item t="data" sd="1" x="779"/>
        <item t="data" sd="1" x="778"/>
        <item t="data" sd="1" x="777"/>
        <item t="data" sd="1" x="776"/>
        <item t="data" sd="1" x="775"/>
        <item t="data" sd="1" x="774"/>
        <item t="data" sd="1" x="773"/>
        <item t="data" sd="1" x="772"/>
        <item t="data" sd="1" x="771"/>
        <item t="data" sd="1" x="770"/>
        <item t="data" sd="1" x="769"/>
        <item t="data" sd="1" x="768"/>
        <item t="data" sd="1" x="767"/>
        <item t="data" sd="1" x="766"/>
        <item t="data" sd="1" x="765"/>
        <item t="data" sd="1" x="764"/>
        <item t="data" sd="1" x="762"/>
        <item t="data" sd="1" x="761"/>
        <item t="data" sd="1" x="760"/>
        <item t="data" sd="1" x="759"/>
        <item t="data" sd="1" x="757"/>
        <item t="data" sd="1" x="756"/>
        <item t="data" sd="1" x="755"/>
        <item t="data" sd="1" x="754"/>
        <item t="data" sd="1" x="753"/>
        <item t="data" sd="1" x="752"/>
        <item t="data" sd="1" x="751"/>
        <item t="data" sd="1" x="749"/>
        <item t="data" sd="1" x="748"/>
        <item t="data" sd="1" x="747"/>
        <item t="data" sd="1" x="746"/>
        <item t="data" sd="1" x="745"/>
        <item t="data" sd="1" x="744"/>
        <item t="data" sd="1" x="743"/>
        <item t="data" sd="1" x="742"/>
        <item t="data" sd="1" x="741"/>
        <item t="data" sd="1" x="740"/>
        <item t="data" sd="1" x="739"/>
        <item t="data" sd="1" x="738"/>
        <item t="data" sd="1" x="737"/>
        <item t="data" sd="1" x="735"/>
        <item t="data" sd="1" x="734"/>
        <item t="data" sd="1" x="733"/>
        <item t="data" sd="1" x="732"/>
        <item t="data" sd="1" x="731"/>
        <item t="data" sd="1" x="730"/>
        <item t="data" sd="1" x="729"/>
        <item t="data" sd="1" x="728"/>
        <item t="data" sd="1" x="727"/>
        <item t="data" sd="1" x="726"/>
        <item t="data" sd="1" x="725"/>
        <item t="data" sd="1" x="724"/>
        <item t="data" sd="1" x="723"/>
        <item t="data" sd="1" x="720"/>
        <item t="data" sd="1" m="1" x="1458"/>
        <item t="data" sd="1" x="718"/>
        <item t="data" sd="1" x="717"/>
        <item t="data" sd="1" x="716"/>
        <item t="data" sd="1" m="1" x="1463"/>
        <item t="data" sd="1" x="715"/>
        <item t="data" sd="1" x="713"/>
        <item t="data" sd="1" x="712"/>
        <item t="data" sd="1" m="1" x="1448"/>
        <item t="data" sd="1" x="711"/>
        <item t="data" sd="1" x="709"/>
        <item t="data" sd="1" x="708"/>
        <item t="data" sd="1" x="707"/>
        <item t="data" sd="1" x="706"/>
        <item t="data" sd="1" x="705"/>
        <item t="data" sd="1" x="702"/>
        <item t="data" sd="1" x="701"/>
        <item t="data" sd="1" x="698"/>
        <item t="data" sd="1" x="697"/>
        <item t="data" sd="1" x="696"/>
        <item t="data" sd="1" x="695"/>
        <item t="data" sd="1" x="694"/>
        <item t="data" sd="1" x="693"/>
        <item t="data" sd="1" x="692"/>
        <item t="data" sd="1" x="691"/>
        <item t="data" sd="1" x="689"/>
        <item t="data" sd="1" x="688"/>
        <item t="data" sd="1" x="686"/>
        <item t="data" sd="1" m="1" x="1437"/>
        <item t="data" sd="1" x="685"/>
        <item t="data" sd="1" x="684"/>
        <item t="data" sd="1" x="683"/>
        <item t="data" sd="1" x="682"/>
        <item t="data" sd="1" x="681"/>
        <item t="data" sd="1" x="680"/>
        <item t="data" sd="1" x="679"/>
        <item t="data" sd="1" x="678"/>
        <item t="data" sd="1" x="677"/>
        <item t="data" sd="1" x="676"/>
        <item t="data" sd="1" x="674"/>
        <item t="data" sd="1" x="673"/>
        <item t="data" sd="1" x="672"/>
        <item t="data" sd="1" x="671"/>
        <item t="data" sd="1" x="670"/>
        <item t="data" sd="1" x="668"/>
        <item t="data" sd="1" x="667"/>
        <item t="data" sd="1" x="666"/>
        <item t="data" sd="1" x="665"/>
        <item t="data" sd="1" x="662"/>
        <item t="data" sd="1" x="661"/>
        <item t="data" sd="1" x="660"/>
        <item t="data" sd="1" x="659"/>
        <item t="data" sd="1" x="658"/>
        <item t="data" sd="1" x="657"/>
        <item t="data" sd="1" x="656"/>
        <item t="data" sd="1" x="655"/>
        <item t="data" sd="1" x="654"/>
        <item t="data" sd="1" x="653"/>
        <item t="data" sd="1" x="652"/>
        <item t="data" sd="1" x="650"/>
        <item t="data" sd="1" x="649"/>
        <item t="data" sd="1" x="648"/>
        <item t="data" sd="1" x="647"/>
        <item t="data" sd="1" x="646"/>
        <item t="data" sd="1" x="645"/>
        <item t="data" sd="1" x="644"/>
        <item t="data" sd="1" x="643"/>
        <item t="data" sd="1" x="642"/>
        <item t="data" sd="1" x="641"/>
        <item t="data" sd="1" x="639"/>
        <item t="data" sd="1" x="638"/>
        <item t="data" sd="1" x="635"/>
        <item t="data" sd="1" x="634"/>
        <item t="data" sd="1" x="633"/>
        <item t="data" sd="1" x="632"/>
        <item t="data" sd="1" x="631"/>
        <item t="data" sd="1" x="629"/>
        <item t="data" sd="1" x="627"/>
        <item t="data" sd="1" x="626"/>
        <item t="data" sd="1" x="625"/>
        <item t="data" sd="1" x="624"/>
        <item t="data" sd="1" x="623"/>
        <item t="data" sd="1" x="622"/>
        <item t="data" sd="1" x="621"/>
        <item t="data" sd="1" x="620"/>
        <item t="data" sd="1" x="618"/>
        <item t="data" sd="1" x="617"/>
        <item t="data" sd="1" x="615"/>
        <item t="data" sd="1" x="614"/>
        <item t="data" sd="1" x="612"/>
        <item t="data" sd="1" x="607"/>
        <item t="data" sd="1" x="606"/>
        <item t="data" sd="1" x="605"/>
        <item t="data" sd="1" x="604"/>
        <item t="data" sd="1" x="603"/>
        <item t="data" sd="1" x="602"/>
        <item t="data" sd="1" x="601"/>
        <item t="data" sd="1" x="600"/>
        <item t="data" sd="1" x="597"/>
        <item t="data" sd="1" x="596"/>
        <item t="data" sd="1" x="595"/>
        <item t="data" sd="1" x="594"/>
        <item t="data" sd="1" x="593"/>
        <item t="data" sd="1" x="592"/>
        <item t="data" sd="1" x="589"/>
        <item t="data" sd="1" x="588"/>
        <item t="data" sd="1" x="587"/>
        <item t="data" sd="1" x="586"/>
        <item t="data" sd="1" x="583"/>
        <item t="data" sd="1" m="1" x="1460"/>
        <item t="data" sd="1" x="582"/>
        <item t="data" sd="1" x="580"/>
        <item t="data" sd="1" x="579"/>
        <item t="data" sd="1" x="577"/>
        <item t="data" sd="1" x="576"/>
        <item t="data" sd="1" x="574"/>
        <item t="data" sd="1" x="572"/>
        <item t="data" sd="1" x="571"/>
        <item t="data" sd="1" x="328"/>
        <item t="data" sd="1" x="333"/>
        <item t="data" sd="1" x="335"/>
        <item t="data" sd="1" x="336"/>
        <item t="data" sd="1" x="337"/>
        <item t="data" sd="1" x="339"/>
        <item t="data" sd="1" x="341"/>
        <item t="data" sd="1" x="342"/>
        <item t="data" sd="1" x="344"/>
        <item t="data" sd="1" x="345"/>
        <item t="data" sd="1" x="346"/>
        <item t="data" sd="1" x="347"/>
        <item t="data" sd="1" x="348"/>
        <item t="data" sd="1" x="350"/>
        <item t="data" sd="1" x="351"/>
        <item t="data" sd="1" x="352"/>
        <item t="data" sd="1" x="353"/>
        <item t="data" sd="1" x="355"/>
        <item t="data" sd="1" x="356"/>
        <item t="data" sd="1" x="357"/>
        <item t="data" sd="1" x="359"/>
        <item t="data" sd="1" x="360"/>
        <item t="data" sd="1" x="362"/>
        <item t="data" sd="1" x="363"/>
        <item t="data" sd="1" x="364"/>
        <item t="data" sd="1" x="365"/>
        <item t="data" sd="1" x="366"/>
        <item t="data" sd="1" x="370"/>
        <item t="data" sd="1" x="371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5"/>
        <item t="data" sd="1" x="386"/>
        <item t="data" sd="1" x="387"/>
        <item t="data" sd="1" x="389"/>
        <item t="data" sd="1" x="390"/>
        <item t="data" sd="1" x="393"/>
        <item t="data" sd="1" x="394"/>
        <item t="data" sd="1" x="396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m="1" x="1450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m="1" x="1449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4"/>
        <item t="data" sd="1" x="445"/>
        <item t="data" sd="1" x="446"/>
        <item t="data" sd="1" x="447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2"/>
        <item t="data" sd="1" x="463"/>
        <item t="data" sd="1" x="464"/>
        <item t="data" sd="1" x="465"/>
        <item t="data" sd="1" x="466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4"/>
        <item t="data" sd="1" x="495"/>
        <item t="data" sd="1" x="496"/>
        <item t="data" sd="1" x="497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8"/>
        <item t="data" sd="1" x="509"/>
        <item t="data" sd="1" x="510"/>
        <item t="data" sd="1" x="511"/>
        <item t="data" sd="1" x="513"/>
        <item t="data" sd="1" x="514"/>
        <item t="data" sd="1" x="515"/>
        <item t="data" sd="1" x="516"/>
        <item t="data" sd="1" x="517"/>
        <item t="data" sd="1" x="518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5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3"/>
        <item t="data" sd="1" x="575"/>
        <item t="data" sd="1" x="578"/>
        <item t="data" sd="1" x="581"/>
        <item t="data" sd="1" x="584"/>
        <item t="data" sd="1" x="585"/>
        <item t="data" sd="1" x="590"/>
        <item t="data" sd="1" x="591"/>
        <item t="data" sd="1" x="599"/>
        <item t="data" sd="1" x="608"/>
        <item t="data" sd="1" m="1" x="1461"/>
        <item t="data" sd="1" x="611"/>
        <item t="data" sd="1" x="616"/>
        <item t="data" sd="1" x="628"/>
        <item t="data" sd="1" x="630"/>
        <item t="data" sd="1" m="1" x="1459"/>
        <item t="data" sd="1" x="637"/>
        <item t="data" sd="1" x="640"/>
        <item t="data" sd="1" x="651"/>
        <item t="data" sd="1" x="664"/>
        <item t="data" sd="1" x="687"/>
        <item t="data" sd="1" x="690"/>
        <item t="data" sd="1" x="700"/>
        <item t="data" sd="1" x="719"/>
        <item t="data" sd="1" x="722"/>
        <item t="data" sd="1" x="791"/>
        <item t="data" sd="1" x="792"/>
        <item t="data" sd="1" m="1" x="1442"/>
        <item t="data" sd="1" x="802"/>
        <item t="data" sd="1" x="812"/>
        <item t="data" sd="1" m="1" x="1455"/>
        <item t="data" sd="1" x="822"/>
        <item t="data" sd="1" x="825"/>
        <item t="data" sd="1" m="1" x="1440"/>
        <item t="data" sd="1" x="842"/>
        <item t="data" sd="1" x="847"/>
        <item t="data" sd="1" m="1" x="1435"/>
        <item t="data" sd="1" x="880"/>
        <item t="data" sd="1" x="896"/>
        <item t="data" sd="1" x="897"/>
        <item t="data" sd="1" x="904"/>
        <item t="data" sd="1" x="912"/>
        <item t="data" sd="1" x="917"/>
        <item t="data" sd="1" x="921"/>
        <item t="data" sd="1" x="934"/>
        <item t="data" sd="1" x="994"/>
        <item t="data" sd="1" x="1012"/>
        <item t="data" sd="1" x="1039"/>
        <item t="data" sd="1" x="1065"/>
        <item t="data" sd="1" x="1069"/>
        <item t="data" sd="1" x="1117"/>
        <item t="data" sd="1" x="1150"/>
        <item t="data" sd="1" x="1271"/>
        <item t="data" sd="1" x="1359"/>
        <item t="data" sd="1" x="1369"/>
        <item t="data" sd="1" x="1376"/>
        <item t="data" sd="1" x="1383"/>
        <item t="data" sd="1" x="1384"/>
        <item t="data" sd="1" x="1433"/>
        <item t="data" sd="1" x="1273"/>
        <item t="data" sd="1" x="813"/>
        <item t="data" sd="1" x="1403"/>
        <item t="data" sd="1" x="1262"/>
        <item t="data" sd="1" x="1411"/>
        <item t="data" sd="1" x="1318"/>
        <item t="data" sd="1" x="619"/>
        <item t="data" sd="1" x="1210"/>
        <item t="data" sd="1" x="1290"/>
        <item t="data" sd="1" x="1335"/>
        <item t="data" sd="1" x="325"/>
        <item t="data" sd="1" x="1406"/>
        <item t="data" sd="1" x="1409"/>
        <item t="data" sd="1" x="1266"/>
        <item t="data" sd="1" x="1428"/>
        <item t="data" sd="1" x="1342"/>
        <item t="data" sd="1" x="1323"/>
        <item t="data" sd="1" x="1423"/>
        <item t="data" sd="1" x="477"/>
        <item t="data" sd="1" x="610"/>
        <item t="data" sd="1" x="1263"/>
        <item t="data" sd="1" x="1332"/>
        <item t="data" sd="1" x="1417"/>
        <item t="data" sd="1" x="1161"/>
        <item t="data" sd="1" m="1" x="1445"/>
        <item t="data" sd="1" x="1326"/>
        <item t="data" sd="1" x="919"/>
        <item t="data" sd="1" x="984"/>
        <item t="data" sd="1" x="461"/>
        <item t="data" sd="1" x="1321"/>
        <item t="data" sd="1" x="1394"/>
        <item t="data" sd="1" x="349"/>
        <item t="data" sd="1" x="1104"/>
        <item t="data" sd="1" x="1277"/>
        <item t="data" sd="1" x="1060"/>
        <item t="data" sd="1" x="1354"/>
        <item t="data" sd="1" x="1112"/>
        <item t="data" sd="1" x="1295"/>
        <item t="data" sd="1" x="519"/>
        <item t="data" sd="1" x="1414"/>
        <item t="data" sd="1" x="443"/>
        <item t="data" sd="1" x="326"/>
        <item t="data" sd="1" x="327"/>
        <item t="data" sd="1" x="358"/>
        <item t="data" sd="1" x="383"/>
        <item t="data" sd="1" x="411"/>
        <item t="data" sd="1" x="609"/>
        <item t="data" sd="1" x="763"/>
        <item t="data" sd="1" x="780"/>
        <item t="data" sd="1" x="861"/>
        <item t="data" sd="1" x="865"/>
        <item t="data" sd="1" x="890"/>
        <item t="data" sd="1" x="956"/>
        <item t="data" sd="1" x="959"/>
        <item t="data" sd="1" x="969"/>
        <item t="data" sd="1" x="1014"/>
        <item t="data" sd="1" x="1018"/>
        <item t="data" sd="1" x="1019"/>
        <item t="data" sd="1" x="1028"/>
        <item t="data" sd="1" x="1030"/>
        <item t="data" sd="1" x="1052"/>
        <item t="data" sd="1" x="1064"/>
        <item t="data" sd="1" x="1066"/>
        <item t="data" sd="1" x="1079"/>
        <item t="data" sd="1" x="1086"/>
        <item t="data" sd="1" x="1087"/>
        <item t="data" sd="1" x="1106"/>
        <item t="data" sd="1" x="1171"/>
        <item t="data" sd="1" x="1175"/>
        <item t="data" sd="1" m="1" x="1457"/>
        <item t="data" sd="1" x="1225"/>
        <item t="data" sd="1" x="1244"/>
        <item t="data" sd="1" x="1245"/>
        <item t="data" sd="1" x="1247"/>
        <item t="data" sd="1" x="1272"/>
        <item t="data" sd="1" x="1279"/>
        <item t="data" sd="1" x="1280"/>
        <item t="data" sd="1" x="1282"/>
        <item t="data" sd="1" x="1302"/>
        <item t="data" sd="1" x="1305"/>
        <item t="data" sd="1" x="1333"/>
        <item t="data" sd="1" x="1349"/>
        <item t="data" sd="1" x="1351"/>
        <item t="data" sd="1" x="1372"/>
        <item t="data" sd="1" x="1391"/>
        <item t="data" sd="1" x="1393"/>
        <item t="data" sd="1" x="1399"/>
        <item t="data" sd="1" x="1400"/>
        <item t="data" sd="1" x="1402"/>
        <item t="data" sd="1" x="1405"/>
        <item t="data" sd="1" x="1420"/>
        <item t="data" sd="1" x="322"/>
        <item t="data" sd="1" x="1116"/>
        <item t="data" sd="1" x="663"/>
        <item t="data" sd="1" x="979"/>
        <item t="data" sd="1" x="1422"/>
        <item t="data" sd="1" x="703"/>
        <item t="data" sd="1" x="935"/>
        <item t="data" sd="1" x="1165"/>
        <item t="data" sd="1" x="1176"/>
        <item t="data" sd="1" x="1177"/>
        <item t="data" sd="1" x="1432"/>
        <item t="data" sd="1" x="669"/>
        <item t="data" sd="1" x="699"/>
        <item t="data" sd="1" x="1416"/>
        <item t="data" sd="1" x="1427"/>
        <item t="data" sd="1" x="324"/>
        <item t="data" sd="1" x="507"/>
        <item t="data" sd="1" x="598"/>
        <item t="data" sd="1" x="714"/>
        <item t="data" sd="1" x="736"/>
        <item t="data" sd="1" x="972"/>
        <item t="data" sd="1" x="992"/>
        <item t="data" sd="1" x="1015"/>
        <item t="data" sd="1" x="1017"/>
        <item t="data" sd="1" x="1034"/>
        <item t="data" sd="1" x="1137"/>
        <item t="data" sd="1" x="1236"/>
        <item t="data" sd="1" x="1355"/>
        <item t="data" sd="1" x="1419"/>
        <item t="data" sd="1" x="1430"/>
        <item t="data" sd="1" x="636"/>
        <item t="data" sd="1" x="758"/>
        <item t="data" sd="1" x="856"/>
        <item t="data" sd="1" x="931"/>
        <item t="data" sd="1" x="1006"/>
        <item t="data" sd="1" x="1371"/>
        <item t="data" sd="1" x="1373"/>
        <item t="data" sd="1" x="1385"/>
        <item t="data" sd="1" x="1386"/>
        <item t="data" sd="1" x="330"/>
        <item t="data" sd="1" x="332"/>
        <item t="data" sd="1" x="334"/>
        <item t="data" sd="1" x="721"/>
        <item t="data" sd="1" x="1276"/>
        <item t="data" sd="1" x="970"/>
        <item t="data" sd="1" x="898"/>
        <item t="data" sd="1" x="397"/>
        <item t="data" sd="1" x="534"/>
        <item t="data" sd="1" x="836"/>
        <item t="data" sd="1" x="845"/>
        <item t="data" sd="1" x="1243"/>
        <item t="data" sd="1" x="1404"/>
        <item t="data" sd="1" x="1048"/>
        <item t="data" sd="1" x="1192"/>
        <item t="data" sd="1" x="1197"/>
        <item t="data" sd="1" x="1198"/>
        <item t="data" sd="1" x="1089"/>
        <item t="data" sd="1" x="1190"/>
        <item t="data" sd="1" x="1085"/>
        <item t="data" sd="1" x="1180"/>
        <item t="data" sd="1" x="828"/>
        <item t="data" sd="1" x="1062"/>
        <item t="data" sd="1" x="1021"/>
        <item t="data" sd="1" x="1074"/>
        <item t="data" sd="1" x="1144"/>
        <item t="data" sd="1" x="1387"/>
        <item t="data" sd="1" x="331"/>
        <item t="data" sd="1" x="536"/>
        <item t="data" sd="1" x="916"/>
        <item t="data" sd="1" x="1249"/>
        <item t="data" sd="1" x="1265"/>
        <item t="data" sd="1" x="1293"/>
        <item t="data" sd="1" x="1418"/>
        <item t="data" sd="1" x="493"/>
        <item t="data" sd="1" x="827"/>
        <item t="data" sd="1" x="834"/>
        <item t="data" sd="1" x="838"/>
        <item t="data" sd="1" x="870"/>
        <item t="data" sd="1" x="1347"/>
        <item t="data" sd="1" x="1410"/>
        <item t="data" sd="1" x="1425"/>
        <item t="data" sd="1" x="710"/>
        <item t="data" sd="1" x="750"/>
        <item t="data" sd="1" x="971"/>
        <item t="data" sd="1" x="978"/>
        <item t="data" sd="1" x="1001"/>
        <item t="data" sd="1" x="1214"/>
        <item t="data" sd="1" x="1392"/>
        <item t="data" sd="1" x="343"/>
        <item t="data" sd="1" x="1046"/>
        <item t="data" sd="1" x="1056"/>
        <item t="data" sd="1" x="1059"/>
        <item t="data" sd="1" x="1070"/>
        <item t="data" sd="1" x="467"/>
        <item t="data" sd="1" m="1" x="1447"/>
        <item t="data" sd="1" x="613"/>
        <item t="data" sd="1" x="704"/>
        <item t="data" sd="1" x="928"/>
        <item t="data" sd="1" x="1004"/>
        <item t="data" sd="1" x="1123"/>
        <item t="data" sd="1" x="1146"/>
        <item t="data" sd="1" x="1185"/>
        <item t="data" sd="1" x="1253"/>
        <item t="data" sd="1" x="1308"/>
        <item t="data" sd="1" x="1379"/>
        <item t="data" sd="1" x="1426"/>
        <item t="data" sd="1" x="1431"/>
        <item t="data" sd="1" x="448"/>
        <item t="data" sd="1" x="955"/>
        <item t="data" sd="1" x="319"/>
        <item t="data" sd="1" x="316"/>
        <item t="data" sd="1" x="1135"/>
        <item t="data" sd="1" x="311"/>
        <item t="data" sd="1" x="886"/>
        <item t="data" sd="1" x="321"/>
        <item t="data" sd="1" x="1256"/>
        <item t="data" sd="1" x="320"/>
        <item t="data" sd="1" x="369"/>
        <item t="data" sd="1" x="338"/>
        <item t="data" sd="1" x="314"/>
        <item t="data" sd="1" x="368"/>
        <item t="data" sd="1" x="675"/>
        <item t="data" sd="1" x="1334"/>
        <item t="data" sd="1" x="312"/>
        <item t="data" sd="1" x="512"/>
        <item t="data" sd="1" x="354"/>
        <item t="data" sd="1" x="947"/>
        <item t="data" sd="1" x="258"/>
        <item t="data" sd="1" x="260"/>
        <item t="data" sd="1" x="262"/>
        <item t="data" sd="1" x="265"/>
        <item t="data" sd="1" x="266"/>
        <item t="data" sd="1" x="269"/>
        <item t="data" sd="1" x="270"/>
        <item t="data" sd="1" x="271"/>
        <item t="data" sd="1" x="272"/>
        <item t="data" sd="1" x="273"/>
        <item t="data" sd="1" x="275"/>
        <item t="data" sd="1" x="277"/>
        <item t="data" sd="1" x="278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90"/>
        <item t="data" sd="1" x="293"/>
        <item t="data" sd="1" x="295"/>
        <item t="data" sd="1" x="298"/>
        <item t="data" sd="1" x="299"/>
        <item t="data" sd="1" x="300"/>
        <item t="data" sd="1" x="301"/>
        <item t="data" sd="1" x="303"/>
        <item t="data" sd="1" x="304"/>
        <item t="data" sd="1" x="305"/>
        <item t="data" sd="1" x="306"/>
        <item t="data" sd="1" x="307"/>
        <item t="data" sd="1" x="329"/>
        <item t="data" sd="1" x="388"/>
        <item t="data" sd="1" x="942"/>
        <item t="data" sd="1" x="1250"/>
        <item t="data" sd="1" m="1" x="1464"/>
        <item t="data" sd="1" x="225"/>
        <item t="data" sd="1" x="226"/>
        <item t="data" sd="1" x="232"/>
        <item t="data" sd="1" x="233"/>
        <item t="data" sd="1" x="235"/>
        <item t="data" sd="1" x="237"/>
        <item t="data" sd="1" x="238"/>
        <item t="data" sd="1" x="239"/>
        <item t="data" sd="1" x="240"/>
        <item t="data" sd="1" x="246"/>
        <item t="data" sd="1" x="249"/>
        <item t="data" sd="1" x="252"/>
        <item t="data" sd="1" x="254"/>
        <item t="data" sd="1" x="279"/>
        <item t="data" sd="1" x="309"/>
        <item t="data" sd="1" x="313"/>
        <item t="data" sd="1" x="315"/>
        <item t="data" sd="1" x="245"/>
        <item t="data" sd="1" x="274"/>
        <item t="data" sd="1" x="251"/>
        <item t="data" sd="1" x="398"/>
        <item t="data" sd="1" x="184"/>
        <item t="data" sd="1" x="187"/>
        <item t="data" sd="1" x="188"/>
        <item t="data" sd="1" x="190"/>
        <item t="data" sd="1" x="191"/>
        <item t="data" sd="1" x="193"/>
        <item t="data" sd="1" x="194"/>
        <item t="data" sd="1" x="195"/>
        <item t="data" sd="1" x="197"/>
        <item t="data" sd="1" x="198"/>
        <item t="data" sd="1" x="199"/>
        <item t="data" sd="1" x="200"/>
        <item t="data" sd="1" x="201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1"/>
        <item t="data" sd="1" x="212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7"/>
        <item t="data" sd="1" x="228"/>
        <item t="data" sd="1" x="229"/>
        <item t="data" sd="1" x="230"/>
        <item t="data" sd="1" x="231"/>
        <item t="data" sd="1" x="242"/>
        <item t="data" sd="1" x="243"/>
        <item t="data" sd="1" x="244"/>
        <item t="data" sd="1" x="247"/>
        <item t="data" sd="1" x="255"/>
        <item t="data" sd="1" x="256"/>
        <item t="data" sd="1" x="257"/>
        <item t="data" sd="1" x="259"/>
        <item t="data" sd="1" x="261"/>
        <item t="data" sd="1" x="263"/>
        <item t="data" sd="1" x="264"/>
        <item t="data" sd="1" x="267"/>
        <item t="data" sd="1" x="268"/>
        <item t="data" sd="1" x="276"/>
        <item t="data" sd="1" x="289"/>
        <item t="data" sd="1" x="292"/>
        <item t="data" sd="1" x="296"/>
        <item t="data" sd="1" x="297"/>
        <item t="data" sd="1" x="302"/>
        <item t="data" sd="1" x="308"/>
        <item t="data" sd="1" x="310"/>
        <item t="data" sd="1" x="317"/>
        <item t="data" sd="1" x="318"/>
        <item t="data" sd="1" x="323"/>
        <item t="data" sd="1" x="340"/>
        <item t="data" sd="1" x="361"/>
        <item t="data" sd="1" x="367"/>
        <item t="data" sd="1" x="372"/>
        <item t="data" sd="1" x="384"/>
        <item t="data" sd="1" x="391"/>
        <item t="data" sd="1" x="392"/>
        <item t="data" sd="1" x="186"/>
        <item t="data" sd="1" x="153"/>
        <item t="data" sd="1" x="155"/>
        <item t="data" sd="1" x="158"/>
        <item t="data" sd="1" x="160"/>
        <item t="data" sd="1" x="161"/>
        <item t="data" sd="1" x="163"/>
        <item t="data" sd="1" x="165"/>
        <item t="data" sd="1" x="167"/>
        <item t="data" sd="1" x="169"/>
        <item t="data" sd="1" x="170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9"/>
        <item t="data" sd="1" x="192"/>
        <item t="data" sd="1" x="196"/>
        <item t="data" sd="1" x="210"/>
        <item t="data" sd="1" x="234"/>
        <item t="data" sd="1" x="236"/>
        <item t="data" sd="1" x="241"/>
        <item t="data" sd="1" x="248"/>
        <item t="data" sd="1" x="250"/>
        <item t="data" sd="1" x="294"/>
        <item t="data" sd="1" x="996"/>
        <item t="data" sd="1" x="1421"/>
        <item t="data" sd="1" x="1424"/>
        <item t="data" sd="1" x="135"/>
        <item t="data" sd="1" x="137"/>
        <item t="data" sd="1" x="140"/>
        <item t="data" sd="1" x="143"/>
        <item t="data" sd="1" x="144"/>
        <item t="data" sd="1" x="148"/>
        <item t="data" sd="1" x="149"/>
        <item t="data" sd="1" x="150"/>
        <item t="data" sd="1" x="151"/>
        <item t="data" sd="1" x="154"/>
        <item t="data" sd="1" x="156"/>
        <item t="data" sd="1" x="157"/>
        <item t="data" sd="1" x="162"/>
        <item t="data" sd="1" x="164"/>
        <item t="data" sd="1" x="166"/>
        <item t="data" sd="1" x="168"/>
        <item t="data" sd="1" x="133"/>
        <item t="data" sd="1" x="139"/>
        <item t="data" sd="1" x="146"/>
        <item t="data" sd="1" x="159"/>
        <item t="data" sd="1" x="171"/>
        <item t="data" sd="1" x="185"/>
        <item t="data" sd="1" x="1378"/>
        <item t="data" sd="1" x="114"/>
        <item t="data" sd="1" x="116"/>
        <item t="data" sd="1" x="120"/>
        <item t="data" sd="1" x="124"/>
        <item t="data" sd="1" x="125"/>
        <item t="data" sd="1" x="128"/>
        <item t="data" sd="1" x="131"/>
        <item t="data" sd="1" x="138"/>
        <item t="data" sd="1" x="79"/>
        <item t="data" sd="1" x="80"/>
        <item t="data" sd="1" x="95"/>
        <item t="data" sd="1" x="96"/>
        <item t="data" sd="1" x="97"/>
        <item t="data" sd="1" x="99"/>
        <item t="data" sd="1" x="102"/>
        <item t="data" sd="1" x="103"/>
        <item t="data" sd="1" m="1" x="1434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5"/>
        <item t="data" sd="1" x="117"/>
        <item t="data" sd="1" x="118"/>
        <item t="data" sd="1" x="119"/>
        <item t="data" sd="1" x="121"/>
        <item t="data" sd="1" x="122"/>
        <item t="data" sd="1" x="123"/>
        <item t="data" sd="1" x="126"/>
        <item t="data" sd="1" x="127"/>
        <item t="data" sd="1" x="129"/>
        <item t="data" sd="1" x="130"/>
        <item t="data" sd="1" x="132"/>
        <item t="data" sd="1" x="134"/>
        <item t="data" sd="1" x="136"/>
        <item t="data" sd="1" x="141"/>
        <item t="data" sd="1" x="145"/>
        <item t="data" sd="1" x="291"/>
        <item t="data" sd="1" x="395"/>
        <item t="data" sd="1" x="71"/>
        <item t="data" sd="1" x="75"/>
        <item t="data" sd="1" x="76"/>
        <item t="data" sd="1" x="78"/>
        <item t="data" sd="1" x="81"/>
        <item t="data" sd="1" x="82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3"/>
        <item t="data" sd="1" x="94"/>
        <item t="data" sd="1" x="98"/>
        <item t="data" sd="1" x="101"/>
        <item t="data" sd="1" x="24"/>
        <item t="data" sd="1" x="25"/>
        <item t="data" sd="1" x="30"/>
        <item t="data" sd="1" x="31"/>
        <item t="data" sd="1" x="32"/>
        <item t="data" sd="1" x="33"/>
        <item t="data" sd="1" x="34"/>
        <item t="data" sd="1" x="35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5"/>
        <item t="data" sd="1" x="66"/>
        <item t="data" sd="1" x="67"/>
        <item t="data" sd="1" x="68"/>
        <item t="data" sd="1" x="69"/>
        <item t="data" sd="1" x="70"/>
        <item t="data" sd="1" x="72"/>
        <item t="data" sd="1" x="73"/>
        <item t="data" sd="1" x="74"/>
        <item t="data" sd="1" x="77"/>
        <item t="data" sd="1" x="83"/>
        <item t="data" sd="1" x="100"/>
        <item t="data" sd="1" x="147"/>
        <item t="data" sd="1" x="498"/>
        <item t="data" sd="1" x="976"/>
        <item t="data" sd="1" x="1130"/>
        <item t="data" sd="1" x="1283"/>
        <item t="data" sd="1" x="1285"/>
        <item t="data" sd="1" x="1315"/>
        <item t="data" sd="1" x="1325"/>
        <item t="data" sd="1" x="1407"/>
        <item t="data" sd="1" x="92"/>
        <item t="data" sd="1" x="142"/>
        <item t="data" sd="1" x="152"/>
        <item t="data" sd="1" x="1037"/>
        <item t="data" sd="1" x="1113"/>
        <item t="data" sd="1" x="1258"/>
        <item t="data" sd="1" x="1401"/>
        <item t="data" sd="1" x="1413"/>
        <item t="data" sd="1" x="64"/>
        <item t="data" sd="1" x="1328"/>
        <item t="data" sd="1" x="202"/>
        <item t="data" sd="1" x="213"/>
        <item t="data" sd="1" x="253"/>
        <item t="data" sd="1" x="558"/>
        <item t="data" sd="1" x="949"/>
        <item t="data" sd="1" x="951"/>
        <item t="data" sd="1" x="966"/>
        <item t="data" sd="1" x="989"/>
        <item t="data" sd="1" x="1412"/>
        <item t="data" sd="1" x="1270"/>
        <item t="data" sd="1" x="1389"/>
        <item t="data" sd="1" x="0"/>
        <item t="data" sd="1" x="1"/>
        <item t="data" sd="1" x="2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6"/>
        <item t="data" sd="1" x="27"/>
        <item t="data" sd="1" x="28"/>
        <item t="data" sd="1" x="29"/>
        <item t="data" sd="1" x="36"/>
        <item t="data" sd="1" x="113"/>
        <item t="data" sd="1" x="1327"/>
        <item t="data" sd="1" x="1395"/>
        <item t="data" sd="1" x="1429"/>
        <item t="data" sd="1" x="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descending" defaultSubtotal="1">
      <items count="1477">
        <item t="data" sd="1" x="1090"/>
        <item t="data" sd="1" x="1104"/>
        <item t="data" sd="1" m="1" x="1456"/>
        <item t="data" sd="1" x="686"/>
        <item t="data" sd="1" x="920"/>
        <item t="data" sd="1" x="676"/>
        <item t="data" sd="1" x="1203"/>
        <item t="data" sd="1" x="809"/>
        <item t="data" sd="1" x="702"/>
        <item t="data" sd="1" x="1007"/>
        <item t="data" sd="1" x="691"/>
        <item t="data" sd="1" x="1085"/>
        <item t="data" sd="1" m="1" x="1337"/>
        <item t="data" sd="1" m="1" x="1427"/>
        <item t="data" sd="1" x="800"/>
        <item t="data" sd="1" m="1" x="1414"/>
        <item t="data" sd="1" x="1167"/>
        <item t="data" sd="1" x="960"/>
        <item t="data" sd="1" x="985"/>
        <item t="data" sd="1" x="1213"/>
        <item t="data" sd="1" x="1092"/>
        <item t="data" sd="1" m="1" x="1379"/>
        <item t="data" sd="1" x="759"/>
        <item t="data" sd="1" x="770"/>
        <item t="data" sd="1" m="1" x="1370"/>
        <item t="data" sd="1" m="1" x="1448"/>
        <item t="data" sd="1" x="855"/>
        <item t="data" sd="1" m="1" x="1351"/>
        <item t="data" sd="1" m="1" x="1469"/>
        <item t="data" sd="1" m="1" x="1363"/>
        <item t="data" sd="1" x="207"/>
        <item t="data" sd="1" x="767"/>
        <item t="data" sd="1" x="0"/>
        <item t="data" sd="1" x="802"/>
        <item t="data" sd="1" x="1142"/>
        <item t="data" sd="1" x="976"/>
        <item t="data" sd="1" x="983"/>
        <item t="data" sd="1" x="1094"/>
        <item t="data" sd="1" x="469"/>
        <item t="data" sd="1" x="754"/>
        <item t="data" sd="1" m="1" x="1373"/>
        <item t="data" sd="1" x="1205"/>
        <item t="data" sd="1" m="1" x="1358"/>
        <item t="data" sd="1" m="1" x="1402"/>
        <item t="data" sd="1" x="672"/>
        <item t="data" sd="1" m="1" x="1360"/>
        <item t="data" sd="1" m="1" x="1388"/>
        <item t="data" sd="1" x="1138"/>
        <item t="data" sd="1" x="875"/>
        <item t="data" sd="1" m="1" x="1432"/>
        <item t="data" sd="1" x="799"/>
        <item t="data" sd="1" x="909"/>
        <item t="data" sd="1" x="693"/>
        <item t="data" sd="1" x="1124"/>
        <item t="data" sd="1" x="846"/>
        <item t="data" sd="1" x="898"/>
        <item t="data" sd="1" x="1009"/>
        <item t="data" sd="1" x="816"/>
        <item t="data" sd="1" x="1084"/>
        <item t="data" sd="1" x="991"/>
        <item t="data" sd="1" x="935"/>
        <item t="data" sd="1" x="877"/>
        <item t="data" sd="1" x="1053"/>
        <item t="data" sd="1" x="793"/>
        <item t="data" sd="1" x="851"/>
        <item t="data" sd="1" x="966"/>
        <item t="data" sd="1" m="1" x="1474"/>
        <item t="data" sd="1" x="710"/>
        <item t="data" sd="1" x="988"/>
        <item t="data" sd="1" x="1190"/>
        <item t="data" sd="1" x="1268"/>
        <item t="data" sd="1" x="1038"/>
        <item t="data" sd="1" x="1161"/>
        <item t="data" sd="1" x="1014"/>
        <item t="data" sd="1" m="1" x="1452"/>
        <item t="data" sd="1" x="863"/>
        <item t="data" sd="1" x="939"/>
        <item t="data" sd="1" x="972"/>
        <item t="data" sd="1" m="1" x="1344"/>
        <item t="data" sd="1" m="1" x="1341"/>
        <item t="data" sd="1" x="1262"/>
        <item t="data" sd="1" m="1" x="1383"/>
        <item t="data" sd="1" m="1" x="1377"/>
        <item t="data" sd="1" x="131"/>
        <item t="data" sd="1" x="998"/>
        <item t="data" sd="1" x="1201"/>
        <item t="data" sd="1" x="1079"/>
        <item t="data" sd="1" x="36"/>
        <item t="data" sd="1" x="1189"/>
        <item t="data" sd="1" x="785"/>
        <item t="data" sd="1" x="524"/>
        <item t="data" sd="1" x="1001"/>
        <item t="data" sd="1" m="1" x="1382"/>
        <item t="data" sd="1" x="670"/>
        <item t="data" sd="1" x="900"/>
        <item t="data" sd="1" x="845"/>
        <item t="data" sd="1" x="1163"/>
        <item t="data" sd="1" m="1" x="1349"/>
        <item t="data" sd="1" x="811"/>
        <item t="data" sd="1" x="1056"/>
        <item t="data" sd="1" x="1250"/>
        <item t="data" sd="1" x="1179"/>
        <item t="data" sd="1" m="1" x="1411"/>
        <item t="data" sd="1" m="1" x="1420"/>
        <item t="data" sd="1" m="1" x="1440"/>
        <item t="data" sd="1" m="1" x="1385"/>
        <item t="data" sd="1" x="946"/>
        <item t="data" sd="1" x="697"/>
        <item t="data" sd="1" x="962"/>
        <item t="data" sd="1" x="784"/>
        <item t="data" sd="1" m="1" x="1447"/>
        <item t="data" sd="1" x="780"/>
        <item t="data" sd="1" x="1184"/>
        <item t="data" sd="1" x="838"/>
        <item t="data" sd="1" x="882"/>
        <item t="data" sd="1" x="975"/>
        <item t="data" sd="1" x="872"/>
        <item t="data" sd="1" x="1171"/>
        <item t="data" sd="1" x="66"/>
        <item t="data" sd="1" x="1254"/>
        <item t="data" sd="1" x="12"/>
        <item t="data" sd="1" m="1" x="1436"/>
        <item t="data" sd="1" x="1024"/>
        <item t="data" sd="1" m="1" x="1401"/>
        <item t="data" sd="1" x="724"/>
        <item t="data" sd="1" x="856"/>
        <item t="data" sd="1" x="954"/>
        <item t="data" sd="1" x="964"/>
        <item t="data" sd="1" x="1260"/>
        <item t="data" sd="1" x="818"/>
        <item t="data" sd="1" x="739"/>
        <item t="data" sd="1" x="908"/>
        <item t="data" sd="1" x="694"/>
        <item t="data" sd="1" x="844"/>
        <item t="data" sd="1" x="1062"/>
        <item t="data" sd="1" x="1229"/>
        <item t="data" sd="1" x="892"/>
        <item t="data" sd="1" x="854"/>
        <item t="data" sd="1" x="1231"/>
        <item t="data" sd="1" x="869"/>
        <item t="data" sd="1" m="1" x="1435"/>
        <item t="data" sd="1" x="789"/>
        <item t="data" sd="1" x="1245"/>
        <item t="data" sd="1" m="1" x="1418"/>
        <item t="data" sd="1" m="1" x="1471"/>
        <item t="data" sd="1" x="1265"/>
        <item t="data" sd="1" m="1" x="1421"/>
        <item t="data" sd="1" m="1" x="1475"/>
        <item t="data" sd="1" x="796"/>
        <item t="data" sd="1" x="917"/>
        <item t="data" sd="1" m="1" x="1445"/>
        <item t="data" sd="1" m="1" x="1368"/>
        <item t="data" sd="1" x="611"/>
        <item t="data" sd="1" x="834"/>
        <item t="data" sd="1" m="1" x="1416"/>
        <item t="data" sd="1" x="938"/>
        <item t="data" sd="1" x="866"/>
        <item t="data" sd="1" x="852"/>
        <item t="data" sd="1" x="668"/>
        <item t="data" sd="1" x="1162"/>
        <item t="data" sd="1" x="1057"/>
        <item t="data" sd="1" m="1" x="1424"/>
        <item t="data" sd="1" x="114"/>
        <item t="data" sd="1" x="943"/>
        <item t="data" sd="1" x="1145"/>
        <item t="data" sd="1" m="1" x="1405"/>
        <item t="data" sd="1" x="1276"/>
        <item t="data" sd="1" x="1259"/>
        <item t="data" sd="1" x="1130"/>
        <item t="data" sd="1" x="1147"/>
        <item t="data" sd="1" x="996"/>
        <item t="data" sd="1" m="1" x="1361"/>
        <item t="data" sd="1" m="1" x="1387"/>
        <item t="data" sd="1" m="1" x="1372"/>
        <item t="data" sd="1" m="1" x="1343"/>
        <item t="data" sd="1" m="1" x="1376"/>
        <item t="data" sd="1" x="1087"/>
        <item t="data" sd="1" x="1270"/>
        <item t="data" sd="1" x="428"/>
        <item t="data" sd="1" m="1" x="1413"/>
        <item t="data" sd="1" x="842"/>
        <item t="data" sd="1" x="1177"/>
        <item t="data" sd="1" x="1115"/>
        <item t="data" sd="1" x="1006"/>
        <item t="data" sd="1" x="1277"/>
        <item t="data" sd="1" x="958"/>
        <item t="data" sd="1" x="885"/>
        <item t="data" sd="1" m="1" x="1433"/>
        <item t="data" sd="1" m="1" x="1451"/>
        <item t="data" sd="1" x="714"/>
        <item t="data" sd="1" x="916"/>
        <item t="data" sd="1" x="1116"/>
        <item t="data" sd="1" x="1230"/>
        <item t="data" sd="1" x="1192"/>
        <item t="data" sd="1" x="778"/>
        <item t="data" sd="1" x="1036"/>
        <item t="data" sd="1" m="1" x="1346"/>
        <item t="data" sd="1" x="1043"/>
        <item t="data" sd="1" x="1152"/>
        <item t="data" sd="1" x="69"/>
        <item t="data" sd="1" m="1" x="1375"/>
        <item t="data" sd="1" x="1097"/>
        <item t="data" sd="1" x="1046"/>
        <item t="data" sd="1" m="1" x="1327"/>
        <item t="data" sd="1" x="703"/>
        <item t="data" sd="1" x="995"/>
        <item t="data" sd="1" x="827"/>
        <item t="data" sd="1" x="828"/>
        <item t="data" sd="1" x="858"/>
        <item t="data" sd="1" x="341"/>
        <item t="data" sd="1" m="1" x="1443"/>
        <item t="data" sd="1" x="1032"/>
        <item t="data" sd="1" x="1031"/>
        <item t="data" sd="1" x="795"/>
        <item t="data" sd="1" x="435"/>
        <item t="data" sd="1" m="1" x="1332"/>
        <item t="data" sd="1" x="717"/>
        <item t="data" sd="1" x="1182"/>
        <item t="data" sd="1" x="952"/>
        <item t="data" sd="1" x="804"/>
        <item t="data" sd="1" x="1235"/>
        <item t="data" sd="1" x="870"/>
        <item t="data" sd="1" x="725"/>
        <item t="data" sd="1" x="1253"/>
        <item t="data" sd="1" x="707"/>
        <item t="data" sd="1" x="515"/>
        <item t="data" sd="1" x="748"/>
        <item t="data" sd="1" x="1103"/>
        <item t="data" sd="1" x="746"/>
        <item t="data" sd="1" x="1266"/>
        <item t="data" sd="1" x="1206"/>
        <item t="data" sd="1" x="823"/>
        <item t="data" sd="1" x="1241"/>
        <item t="data" sd="1" x="745"/>
        <item t="data" sd="1" x="727"/>
        <item t="data" sd="1" x="899"/>
        <item t="data" sd="1" x="945"/>
        <item t="data" sd="1" x="1135"/>
        <item t="data" sd="1" x="837"/>
        <item t="data" sd="1" x="787"/>
        <item t="data" sd="1" x="850"/>
        <item t="data" sd="1" x="1239"/>
        <item t="data" sd="1" m="1" x="1354"/>
        <item t="data" sd="1" x="700"/>
        <item t="data" sd="1" x="841"/>
        <item t="data" sd="1" m="1" x="1409"/>
        <item t="data" sd="1" x="733"/>
        <item t="data" sd="1" x="698"/>
        <item t="data" sd="1" x="812"/>
        <item t="data" sd="1" m="1" x="1408"/>
        <item t="data" sd="1" x="527"/>
        <item t="data" sd="1" x="956"/>
        <item t="data" sd="1" m="1" x="1438"/>
        <item t="data" sd="1" x="1121"/>
        <item t="data" sd="1" x="762"/>
        <item t="data" sd="1" x="1209"/>
        <item t="data" sd="1" x="948"/>
        <item t="data" sd="1" x="715"/>
        <item t="data" sd="1" m="1" x="1331"/>
        <item t="data" sd="1" x="5"/>
        <item t="data" sd="1" m="1" x="1352"/>
        <item t="data" sd="1" x="928"/>
        <item t="data" sd="1" x="683"/>
        <item t="data" sd="1" x="1083"/>
        <item t="data" sd="1" m="1" x="1395"/>
        <item t="data" sd="1" m="1" x="1429"/>
        <item t="data" sd="1" m="1" x="1466"/>
        <item t="data" sd="1" x="1240"/>
        <item t="data" sd="1" m="1" x="1462"/>
        <item t="data" sd="1" m="1" x="1364"/>
        <item t="data" sd="1" x="494"/>
        <item t="data" sd="1" x="993"/>
        <item t="data" sd="1" x="1058"/>
        <item t="data" sd="1" x="723"/>
        <item t="data" sd="1" x="1141"/>
        <item t="data" sd="1" x="1048"/>
        <item t="data" sd="1" x="1181"/>
        <item t="data" sd="1" x="881"/>
        <item t="data" sd="1" x="744"/>
        <item t="data" sd="1" x="1081"/>
        <item t="data" sd="1" m="1" x="1342"/>
        <item t="data" sd="1" m="1" x="1406"/>
        <item t="data" sd="1" x="511"/>
        <item t="data" sd="1" x="687"/>
        <item t="data" sd="1" x="644"/>
        <item t="data" sd="1" x="1247"/>
        <item t="data" sd="1" x="969"/>
        <item t="data" sd="1" x="833"/>
        <item t="data" sd="1" x="1222"/>
        <item t="data" sd="1" x="1269"/>
        <item t="data" sd="1" x="1248"/>
        <item t="data" sd="1" x="701"/>
        <item t="data" sd="1" x="1114"/>
        <item t="data" sd="1" x="989"/>
        <item t="data" sd="1" m="1" x="1410"/>
        <item t="data" sd="1" x="726"/>
        <item t="data" sd="1" x="894"/>
        <item t="data" sd="1" x="1131"/>
        <item t="data" sd="1" x="992"/>
        <item t="data" sd="1" x="1261"/>
        <item t="data" sd="1" x="1208"/>
        <item t="data" sd="1" x="1098"/>
        <item t="data" sd="1" x="1195"/>
        <item t="data" sd="1" x="719"/>
        <item t="data" sd="1" x="64"/>
        <item t="data" sd="1" x="1166"/>
        <item t="data" sd="1" x="990"/>
        <item t="data" sd="1" x="936"/>
        <item t="data" sd="1" x="1013"/>
        <item t="data" sd="1" x="775"/>
        <item t="data" sd="1" x="904"/>
        <item t="data" sd="1" x="1237"/>
        <item t="data" sd="1" m="1" x="1396"/>
        <item t="data" sd="1" x="779"/>
        <item t="data" sd="1" x="1095"/>
        <item t="data" sd="1" x="884"/>
        <item t="data" sd="1" x="918"/>
        <item t="data" sd="1" m="1" x="1461"/>
        <item t="data" sd="1" x="912"/>
        <item t="data" sd="1" x="296"/>
        <item t="data" sd="1" x="1279"/>
        <item t="data" sd="1" x="1120"/>
        <item t="data" sd="1" x="167"/>
        <item t="data" sd="1" m="1" x="1446"/>
        <item t="data" sd="1" x="1047"/>
        <item t="data" sd="1" x="903"/>
        <item t="data" sd="1" x="192"/>
        <item t="data" sd="1" x="757"/>
        <item t="data" sd="1" x="1005"/>
        <item t="data" sd="1" x="814"/>
        <item t="data" sd="1" x="1280"/>
        <item t="data" sd="1" x="646"/>
        <item t="data" sd="1" x="1156"/>
        <item t="data" sd="1" x="1200"/>
        <item t="data" sd="1" x="1256"/>
        <item t="data" sd="1" x="1249"/>
        <item t="data" sd="1" x="771"/>
        <item t="data" sd="1" x="120"/>
        <item t="data" sd="1" x="1198"/>
        <item t="data" sd="1" x="825"/>
        <item t="data" sd="1" x="832"/>
        <item t="data" sd="1" x="794"/>
        <item t="data" sd="1" x="808"/>
        <item t="data" sd="1" x="699"/>
        <item t="data" sd="1" x="1223"/>
        <item t="data" sd="1" x="1050"/>
        <item t="data" sd="1" x="1060"/>
        <item t="data" sd="1" x="806"/>
        <item t="data" sd="1" x="1040"/>
        <item t="data" sd="1" x="955"/>
        <item t="data" sd="1" x="931"/>
        <item t="data" sd="1" x="692"/>
        <item t="data" sd="1" x="1099"/>
        <item t="data" sd="1" x="1055"/>
        <item t="data" sd="1" x="1225"/>
        <item t="data" sd="1" x="860"/>
        <item t="data" sd="1" x="940"/>
        <item t="data" sd="1" x="404"/>
        <item t="data" sd="1" x="915"/>
        <item t="data" sd="1" x="887"/>
        <item t="data" sd="1" x="1127"/>
        <item t="data" sd="1" x="979"/>
        <item t="data" sd="1" x="1278"/>
        <item t="data" sd="1" x="861"/>
        <item t="data" sd="1" x="932"/>
        <item t="data" sd="1" x="1228"/>
        <item t="data" sd="1" x="953"/>
        <item t="data" sd="1" x="1073"/>
        <item t="data" sd="1" x="905"/>
        <item t="data" sd="1" x="704"/>
        <item t="data" sd="1" x="970"/>
        <item t="data" sd="1" x="1282"/>
        <item t="data" sd="1" x="820"/>
        <item t="data" sd="1" x="933"/>
        <item t="data" sd="1" x="790"/>
        <item t="data" sd="1" x="1170"/>
        <item t="data" sd="1" x="157"/>
        <item t="data" sd="1" x="1243"/>
        <item t="data" sd="1" x="893"/>
        <item t="data" sd="1" x="138"/>
        <item t="data" sd="1" m="1" x="1415"/>
        <item t="data" sd="1" x="1128"/>
        <item t="data" sd="1" x="862"/>
        <item t="data" sd="1" m="1" x="1365"/>
        <item t="data" sd="1" x="1137"/>
        <item t="data" sd="1" x="716"/>
        <item t="data" sd="1" x="849"/>
        <item t="data" sd="1" x="721"/>
        <item t="data" sd="1" x="174"/>
        <item t="data" sd="1" m="1" x="1426"/>
        <item t="data" sd="1" x="853"/>
        <item t="data" sd="1" x="839"/>
        <item t="data" sd="1" x="1232"/>
        <item t="data" sd="1" x="805"/>
        <item t="data" sd="1" x="803"/>
        <item t="data" sd="1" x="351"/>
        <item t="data" sd="1" m="1" x="1437"/>
        <item t="data" sd="1" m="1" x="1391"/>
        <item t="data" sd="1" x="765"/>
        <item t="data" sd="1" m="1" x="1384"/>
        <item t="data" sd="1" x="750"/>
        <item t="data" sd="1" x="807"/>
        <item t="data" sd="1" m="1" x="1398"/>
        <item t="data" sd="1" x="1274"/>
        <item t="data" sd="1" x="1148"/>
        <item t="data" sd="1" x="688"/>
        <item t="data" sd="1" x="685"/>
        <item t="data" sd="1" x="1180"/>
        <item t="data" sd="1" x="690"/>
        <item t="data" sd="1" x="973"/>
        <item t="data" sd="1" x="1188"/>
        <item t="data" sd="1" x="732"/>
        <item t="data" sd="1" x="452"/>
        <item t="data" sd="1" x="1194"/>
        <item t="data" sd="1" x="749"/>
        <item t="data" sd="1" x="1041"/>
        <item t="data" sd="1" x="1070"/>
        <item t="data" sd="1" x="1173"/>
        <item t="data" sd="1" x="1186"/>
        <item t="data" sd="1" x="907"/>
        <item t="data" sd="1" x="1076"/>
        <item t="data" sd="1" x="764"/>
        <item t="data" sd="1" x="934"/>
        <item t="data" sd="1" x="1236"/>
        <item t="data" sd="1" x="910"/>
        <item t="data" sd="1" x="1020"/>
        <item t="data" sd="1" x="499"/>
        <item t="data" sd="1" x="679"/>
        <item t="data" sd="1" x="669"/>
        <item t="data" sd="1" x="1252"/>
        <item t="data" sd="1" m="1" x="1473"/>
        <item t="data" sd="1" x="1101"/>
        <item t="data" sd="1" x="1264"/>
        <item t="data" sd="1" m="1" x="1459"/>
        <item t="data" sd="1" x="957"/>
        <item t="data" sd="1" x="923"/>
        <item t="data" sd="1" m="1" x="1330"/>
        <item t="data" sd="1" m="1" x="1463"/>
        <item t="data" sd="1" m="1" x="1442"/>
        <item t="data" sd="1" x="987"/>
        <item t="data" sd="1" x="1234"/>
        <item t="data" sd="1" x="709"/>
        <item t="data" sd="1" x="927"/>
        <item t="data" sd="1" x="1273"/>
        <item t="data" sd="1" x="13"/>
        <item t="data" sd="1" x="412"/>
        <item t="data" sd="1" x="425"/>
        <item t="data" sd="1" x="423"/>
        <item t="data" sd="1" x="424"/>
        <item t="data" sd="1" x="426"/>
        <item t="data" sd="1" x="427"/>
        <item t="data" sd="1" x="430"/>
        <item t="data" sd="1" x="432"/>
        <item t="data" sd="1" x="434"/>
        <item t="data" sd="1" m="1" x="1400"/>
        <item t="data" sd="1" m="1" x="1366"/>
        <item t="data" sd="1" x="437"/>
        <item t="data" sd="1" x="439"/>
        <item t="data" sd="1" x="441"/>
        <item t="data" sd="1" m="1" x="1371"/>
        <item t="data" sd="1" x="442"/>
        <item t="data" sd="1" m="1" x="1340"/>
        <item t="data" sd="1" x="444"/>
        <item t="data" sd="1" x="446"/>
        <item t="data" sd="1" x="385"/>
        <item t="data" sd="1" m="1" x="1356"/>
        <item t="data" sd="1" x="450"/>
        <item t="data" sd="1" x="454"/>
        <item t="data" sd="1" x="457"/>
        <item t="data" sd="1" x="459"/>
        <item t="data" sd="1" x="464"/>
        <item t="data" sd="1" x="465"/>
        <item t="data" sd="1" x="467"/>
        <item t="data" sd="1" m="1" x="1454"/>
        <item t="data" sd="1" m="1" x="1444"/>
        <item t="data" sd="1" m="1" x="1367"/>
        <item t="data" sd="1" x="359"/>
        <item t="data" sd="1" m="1" x="1386"/>
        <item t="data" sd="1" x="297"/>
        <item t="data" sd="1" m="1" x="1393"/>
        <item t="data" sd="1" m="1" x="1380"/>
        <item t="data" sd="1" x="473"/>
        <item t="data" sd="1" x="476"/>
        <item t="data" sd="1" m="1" x="1328"/>
        <item t="data" sd="1" m="1" x="1453"/>
        <item t="data" sd="1" x="478"/>
        <item t="data" sd="1" x="481"/>
        <item t="data" sd="1" x="482"/>
        <item t="data" sd="1" m="1" x="1404"/>
        <item t="data" sd="1" x="485"/>
        <item t="data" sd="1" x="487"/>
        <item t="data" sd="1" x="488"/>
        <item t="data" sd="1" x="490"/>
        <item t="data" sd="1" x="493"/>
        <item t="data" sd="1" x="495"/>
        <item t="data" sd="1" x="496"/>
        <item t="data" sd="1" x="497"/>
        <item t="data" sd="1" x="501"/>
        <item t="data" sd="1" x="502"/>
        <item t="data" sd="1" x="503"/>
        <item t="data" sd="1" x="504"/>
        <item t="data" sd="1" x="506"/>
        <item t="data" sd="1" x="507"/>
        <item t="data" sd="1" m="1" x="1353"/>
        <item t="data" sd="1" x="510"/>
        <item t="data" sd="1" x="512"/>
        <item t="data" sd="1" m="1" x="1439"/>
        <item t="data" sd="1" x="514"/>
        <item t="data" sd="1" x="516"/>
        <item t="data" sd="1" m="1" x="1425"/>
        <item t="data" sd="1" x="517"/>
        <item t="data" sd="1" x="520"/>
        <item t="data" sd="1" x="521"/>
        <item t="data" sd="1" x="522"/>
        <item t="data" sd="1" x="222"/>
        <item t="data" sd="1" x="523"/>
        <item t="data" sd="1" x="232"/>
        <item t="data" sd="1" x="525"/>
        <item t="data" sd="1" x="526"/>
        <item t="data" sd="1" x="528"/>
        <item t="data" sd="1" x="254"/>
        <item t="data" sd="1" x="530"/>
        <item t="data" sd="1" x="531"/>
        <item t="data" sd="1" x="532"/>
        <item t="data" sd="1" x="533"/>
        <item t="data" sd="1" x="534"/>
        <item t="data" sd="1" x="312"/>
        <item t="data" sd="1" x="535"/>
        <item t="data" sd="1" x="536"/>
        <item t="data" sd="1" x="537"/>
        <item t="data" sd="1" x="540"/>
        <item t="data" sd="1" m="1" x="1347"/>
        <item t="data" sd="1" x="541"/>
        <item t="data" sd="1" m="1" x="1357"/>
        <item t="data" sd="1" x="202"/>
        <item t="data" sd="1" x="542"/>
        <item t="data" sd="1" x="543"/>
        <item t="data" sd="1" m="1" x="1378"/>
        <item t="data" sd="1" x="544"/>
        <item t="data" sd="1" x="55"/>
        <item t="data" sd="1" m="1" x="1458"/>
        <item t="data" sd="1" x="545"/>
        <item t="data" sd="1" x="546"/>
        <item t="data" sd="1" m="1" x="1460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240"/>
        <item t="data" sd="1" x="557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m="1" x="1392"/>
        <item t="data" sd="1" m="1" x="1381"/>
        <item t="data" sd="1" x="567"/>
        <item t="data" sd="1" x="568"/>
        <item t="data" sd="1" x="569"/>
        <item t="data" sd="1" x="570"/>
        <item t="data" sd="1" x="571"/>
        <item t="data" sd="1" x="572"/>
        <item t="data" sd="1" x="266"/>
        <item t="data" sd="1" x="573"/>
        <item t="data" sd="1" x="575"/>
        <item t="data" sd="1" x="577"/>
        <item t="data" sd="1" x="576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6"/>
        <item t="data" sd="1" x="597"/>
        <item t="data" sd="1" x="599"/>
        <item t="data" sd="1" x="598"/>
        <item t="data" sd="1" x="603"/>
        <item t="data" sd="1" x="604"/>
        <item t="data" sd="1" x="605"/>
        <item t="data" sd="1" x="606"/>
        <item t="data" sd="1" x="607"/>
        <item t="data" sd="1" x="610"/>
        <item t="data" sd="1" x="406"/>
        <item t="data" sd="1" x="612"/>
        <item t="data" sd="1" x="613"/>
        <item t="data" sd="1" x="614"/>
        <item t="data" sd="1" x="344"/>
        <item t="data" sd="1" m="1" x="1470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5"/>
        <item t="data" sd="1" x="626"/>
        <item t="data" sd="1" x="627"/>
        <item t="data" sd="1" x="629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9"/>
        <item t="data" sd="1" x="640"/>
        <item t="data" sd="1" x="641"/>
        <item t="data" sd="1" x="642"/>
        <item t="data" sd="1" x="643"/>
        <item t="data" sd="1" x="645"/>
        <item t="data" sd="1" x="647"/>
        <item t="data" sd="1" x="648"/>
        <item t="data" sd="1" x="649"/>
        <item t="data" sd="1" x="650"/>
        <item t="data" sd="1" x="111"/>
        <item t="data" sd="1" x="654"/>
        <item t="data" sd="1" x="655"/>
        <item t="data" sd="1" x="657"/>
        <item t="data" sd="1" x="659"/>
        <item t="data" sd="1" x="660"/>
        <item t="data" sd="1" m="1" x="1472"/>
        <item t="data" sd="1" x="661"/>
        <item t="data" sd="1" m="1" x="1362"/>
        <item t="data" sd="1" x="662"/>
        <item t="data" sd="1" x="664"/>
        <item t="data" sd="1" x="666"/>
        <item t="data" sd="1" x="667"/>
        <item t="data" sd="1" x="671"/>
        <item t="data" sd="1" x="673"/>
        <item t="data" sd="1" x="674"/>
        <item t="data" sd="1" x="675"/>
        <item t="data" sd="1" x="677"/>
        <item t="data" sd="1" x="680"/>
        <item t="data" sd="1" x="681"/>
        <item t="data" sd="1" x="682"/>
        <item t="data" sd="1" m="1" x="1422"/>
        <item t="data" sd="1" m="1" x="1407"/>
        <item t="data" sd="1" x="684"/>
        <item t="data" sd="1" m="1" x="1374"/>
        <item t="data" sd="1" x="689"/>
        <item t="data" sd="1" m="1" x="1457"/>
        <item t="data" sd="1" x="696"/>
        <item t="data" sd="1" m="1" x="1431"/>
        <item t="data" sd="1" x="705"/>
        <item t="data" sd="1" x="706"/>
        <item t="data" sd="1" x="708"/>
        <item t="data" sd="1" x="712"/>
        <item t="data" sd="1" x="713"/>
        <item t="data" sd="1" x="720"/>
        <item t="data" sd="1" x="722"/>
        <item t="data" sd="1" m="1" x="1369"/>
        <item t="data" sd="1" x="729"/>
        <item t="data" sd="1" x="730"/>
        <item t="data" sd="1" x="731"/>
        <item t="data" sd="1" x="735"/>
        <item t="data" sd="1" x="736"/>
        <item t="data" sd="1" m="1" x="1441"/>
        <item t="data" sd="1" x="741"/>
        <item t="data" sd="1" x="753"/>
        <item t="data" sd="1" x="756"/>
        <item t="data" sd="1" x="761"/>
        <item t="data" sd="1" x="766"/>
        <item t="data" sd="1" m="1" x="1430"/>
        <item t="data" sd="1" x="769"/>
        <item t="data" sd="1" m="1" x="1412"/>
        <item t="data" sd="1" x="774"/>
        <item t="data" sd="1" x="783"/>
        <item t="data" sd="1" m="1" x="1345"/>
        <item t="data" sd="1" m="1" x="1359"/>
        <item t="data" sd="1" x="791"/>
        <item t="data" sd="1" x="513"/>
        <item t="data" sd="1" x="797"/>
        <item t="data" sd="1" x="798"/>
        <item t="data" sd="1" m="1" x="1423"/>
        <item t="data" sd="1" x="824"/>
        <item t="data" sd="1" x="831"/>
        <item t="data" sd="1" x="843"/>
        <item t="data" sd="1" x="847"/>
        <item t="data" sd="1" x="848"/>
        <item t="data" sd="1" m="1" x="1334"/>
        <item t="data" sd="1" m="1" x="1464"/>
        <item t="data" sd="1" x="857"/>
        <item t="data" sd="1" x="859"/>
        <item t="data" sd="1" m="1" x="1428"/>
        <item t="data" sd="1" x="868"/>
        <item t="data" sd="1" x="768"/>
        <item t="data" sd="1" x="871"/>
        <item t="data" sd="1" x="328"/>
        <item t="data" sd="1" m="1" x="1465"/>
        <item t="data" sd="1" x="878"/>
        <item t="data" sd="1" x="880"/>
        <item t="data" sd="1" x="886"/>
        <item t="data" sd="1" m="1" x="1338"/>
        <item t="data" sd="1" x="891"/>
        <item t="data" sd="1" x="901"/>
        <item t="data" sd="1" m="1" x="1326"/>
        <item t="data" sd="1" m="1" x="1348"/>
        <item t="data" sd="1" x="914"/>
        <item t="data" sd="1" m="1" x="1355"/>
        <item t="data" sd="1" x="921"/>
        <item t="data" sd="1" m="1" x="1417"/>
        <item t="data" sd="1" x="925"/>
        <item t="data" sd="1" x="930"/>
        <item t="data" sd="1" m="1" x="1389"/>
        <item t="data" sd="1" x="937"/>
        <item t="data" sd="1" x="941"/>
        <item t="data" sd="1" x="942"/>
        <item t="data" sd="1" x="944"/>
        <item t="data" sd="1" x="951"/>
        <item t="data" sd="1" m="1" x="1390"/>
        <item t="data" sd="1" x="961"/>
        <item t="data" sd="1" x="965"/>
        <item t="data" sd="1" x="967"/>
        <item t="data" sd="1" m="1" x="1467"/>
        <item t="data" sd="1" x="971"/>
        <item t="data" sd="1" x="977"/>
        <item t="data" sd="1" x="1272"/>
        <item t="data" sd="1" x="1011"/>
        <item t="data" sd="1" x="1017"/>
        <item t="data" sd="1" x="1025"/>
        <item t="data" sd="1" x="1035"/>
        <item t="data" sd="1" x="1051"/>
        <item t="data" sd="1" x="1068"/>
        <item t="data" sd="1" x="1071"/>
        <item t="data" sd="1" x="1082"/>
        <item t="data" sd="1" x="1088"/>
        <item t="data" sd="1" x="1113"/>
        <item t="data" sd="1" x="1122"/>
        <item t="data" sd="1" x="1136"/>
        <item t="data" sd="1" x="1158"/>
        <item t="data" sd="1" x="1210"/>
        <item t="data" sd="1" x="1281"/>
        <item t="data" sd="1" x="1285"/>
        <item t="data" sd="1" x="1287"/>
        <item t="data" sd="1" x="1288"/>
        <item t="data" sd="1" x="890"/>
        <item t="data" sd="1" x="1299"/>
        <item t="data" sd="1" x="1246"/>
        <item t="data" sd="1" x="1221"/>
        <item t="data" sd="1" x="1296"/>
        <item t="data" sd="1" x="1297"/>
        <item t="data" sd="1" x="1311"/>
        <item t="data" sd="1" x="1267"/>
        <item t="data" sd="1" x="1255"/>
        <item t="data" sd="1" x="1306"/>
        <item t="data" sd="1" x="1242"/>
        <item t="data" sd="1" x="1207"/>
        <item t="data" sd="1" x="1302"/>
        <item t="data" sd="1" x="1134"/>
        <item t="data" sd="1" m="1" x="1468"/>
        <item t="data" sd="1" x="471"/>
        <item t="data" sd="1" x="1233"/>
        <item t="data" sd="1" m="1" x="1397"/>
        <item t="data" sd="1" x="1251"/>
        <item t="data" sd="1" x="1102"/>
        <item t="data" sd="1" m="1" x="1333"/>
        <item t="data" sd="1" x="1063"/>
        <item t="data" sd="1" x="1271"/>
        <item t="data" sd="1" x="1107"/>
        <item t="data" sd="1" x="1227"/>
        <item t="data" sd="1" x="1301"/>
        <item t="data" sd="1" x="509"/>
        <item t="data" sd="1" m="1" x="1434"/>
        <item t="data" sd="1" x="595"/>
        <item t="data" sd="1" x="407"/>
        <item t="data" sd="1" x="433"/>
        <item t="data" sd="1" x="447"/>
        <item t="data" sd="1" x="449"/>
        <item t="data" sd="1" x="474"/>
        <item t="data" sd="1" x="505"/>
        <item t="data" sd="1" x="574"/>
        <item t="data" sd="1" x="737"/>
        <item t="data" sd="1" m="1" x="1335"/>
        <item t="data" sd="1" x="813"/>
        <item t="data" sd="1" x="826"/>
        <item t="data" sd="1" x="829"/>
        <item t="data" sd="1" x="235"/>
        <item t="data" sd="1" x="864"/>
        <item t="data" sd="1" m="1" x="1336"/>
        <item t="data" sd="1" x="895"/>
        <item t="data" sd="1" x="922"/>
        <item t="data" sd="1" x="100"/>
        <item t="data" sd="1" x="981"/>
        <item t="data" sd="1" x="984"/>
        <item t="data" sd="1" x="389"/>
        <item t="data" sd="1" m="1" x="1350"/>
        <item t="data" sd="1" x="1029"/>
        <item t="data" sd="1" x="1030"/>
        <item t="data" sd="1" x="1039"/>
        <item t="data" sd="1" x="1052"/>
        <item t="data" sd="1" x="1059"/>
        <item t="data" sd="1" x="1067"/>
        <item t="data" sd="1" x="1069"/>
        <item t="data" sd="1" x="1074"/>
        <item t="data" sd="1" x="1077"/>
        <item t="data" sd="1" x="1144"/>
        <item t="data" sd="1" x="1149"/>
        <item t="data" sd="1" x="1196"/>
        <item t="data" sd="1" x="1214"/>
        <item t="data" sd="1" x="1290"/>
        <item t="data" sd="1" x="1295"/>
        <item t="data" sd="1" x="888"/>
        <item t="data" sd="1" x="398"/>
        <item t="data" sd="1" x="76"/>
        <item t="data" sd="1" x="1112"/>
        <item t="data" sd="1" x="740"/>
        <item t="data" sd="1" x="747"/>
        <item t="data" sd="1" x="815"/>
        <item t="data" sd="1" x="821"/>
        <item t="data" sd="1" x="913"/>
        <item t="data" sd="1" x="924"/>
        <item t="data" sd="1" x="1091"/>
        <item t="data" sd="1" x="1000"/>
        <item t="data" sd="1" x="1002"/>
        <item t="data" sd="1" x="200"/>
        <item t="data" sd="1" x="1089"/>
        <item t="data" sd="1" x="615"/>
        <item t="data" sd="1" x="777"/>
        <item t="data" sd="1" x="968"/>
        <item t="data" sd="1" x="1010"/>
        <item t="data" sd="1" x="1061"/>
        <item t="data" sd="1" x="1139"/>
        <item t="data" sd="1" x="1150"/>
        <item t="data" sd="1" x="1151"/>
        <item t="data" sd="1" x="1165"/>
        <item t="data" sd="1" x="638"/>
        <item t="data" sd="1" x="743"/>
        <item t="data" sd="1" x="752"/>
        <item t="data" sd="1" x="773"/>
        <item t="data" sd="1" x="1310"/>
        <item t="data" sd="1" x="402"/>
        <item t="data" sd="1" x="418"/>
        <item t="data" sd="1" x="486"/>
        <item t="data" sd="1" x="653"/>
        <item t="data" sd="1" x="695"/>
        <item t="data" sd="1" x="781"/>
        <item t="data" sd="1" x="786"/>
        <item t="data" sd="1" x="810"/>
        <item t="data" sd="1" x="889"/>
        <item t="data" sd="1" x="902"/>
        <item t="data" sd="1" x="1027"/>
        <item t="data" sd="1" x="1028"/>
        <item t="data" sd="1" x="1042"/>
        <item t="data" sd="1" x="1075"/>
        <item t="data" sd="1" x="1125"/>
        <item t="data" sd="1" x="1132"/>
        <item t="data" sd="1" x="1187"/>
        <item t="data" sd="1" m="1" x="1419"/>
        <item t="data" sd="1" x="1304"/>
        <item t="data" sd="1" x="1313"/>
        <item t="data" sd="1" x="728"/>
        <item t="data" sd="1" x="601"/>
        <item t="data" sd="1" x="455"/>
        <item t="data" sd="1" x="801"/>
        <item t="data" sd="1" x="822"/>
        <item t="data" sd="1" m="1" x="1329"/>
        <item t="data" sd="1" x="963"/>
        <item t="data" sd="1" x="1019"/>
        <item t="data" sd="1" x="1140"/>
        <item t="data" sd="1" x="1283"/>
        <item t="data" sd="1" x="1289"/>
        <item t="data" sd="1" x="409"/>
        <item t="data" sd="1" x="415"/>
        <item t="data" sd="1" x="417"/>
        <item t="data" sd="1" x="421"/>
        <item t="data" sd="1" x="422"/>
        <item t="data" sd="1" x="41"/>
        <item t="data" sd="1" x="472"/>
        <item t="data" sd="1" x="518"/>
        <item t="data" sd="1" x="630"/>
        <item t="data" sd="1" x="742"/>
        <item t="data" sd="1" x="751"/>
        <item t="data" sd="1" x="758"/>
        <item t="data" sd="1" x="776"/>
        <item t="data" sd="1" x="792"/>
        <item t="data" sd="1" x="819"/>
        <item t="data" sd="1" x="896"/>
        <item t="data" sd="1" x="929"/>
        <item t="data" sd="1" x="1212"/>
        <item t="data" sd="1" x="1226"/>
        <item t="data" sd="1" x="997"/>
        <item t="data" sd="1" x="926"/>
        <item t="data" sd="1" x="1037"/>
        <item t="data" sd="1" x="491"/>
        <item t="data" sd="1" x="628"/>
        <item t="data" sd="1" x="1185"/>
        <item t="data" sd="1" x="350"/>
        <item t="data" sd="1" m="1" x="1450"/>
        <item t="data" sd="1" x="1193"/>
        <item t="data" sd="1" x="911"/>
        <item t="data" sd="1" x="1159"/>
        <item t="data" sd="1" x="1160"/>
        <item t="data" sd="1" x="1164"/>
        <item t="data" sd="1" x="1168"/>
        <item t="data" sd="1" x="1169"/>
        <item t="data" sd="1" x="1110"/>
        <item t="data" sd="1" x="1100"/>
        <item t="data" sd="1" x="1157"/>
        <item t="data" sd="1" x="874"/>
        <item t="data" sd="1" x="1153"/>
        <item t="data" sd="1" x="470"/>
        <item t="data" sd="1" x="1105"/>
        <item t="data" sd="1" x="1049"/>
        <item t="data" sd="1" x="1066"/>
        <item t="data" sd="1" x="73"/>
        <item t="data" sd="1" x="897"/>
        <item t="data" sd="1" x="1033"/>
        <item t="data" sd="1" x="1034"/>
        <item t="data" sd="1" m="1" x="1394"/>
        <item t="data" sd="1" x="1078"/>
        <item t="data" sd="1" m="1" x="1455"/>
        <item t="data" sd="1" x="950"/>
        <item t="data" sd="1" m="1" x="1403"/>
        <item t="data" sd="1" x="1004"/>
        <item t="data" sd="1" x="416"/>
        <item t="data" sd="1" x="947"/>
        <item t="data" sd="1" x="1197"/>
        <item t="data" sd="1" x="1224"/>
        <item t="data" sd="1" x="1303"/>
        <item t="data" sd="1" x="440"/>
        <item t="data" sd="1" x="873"/>
        <item t="data" sd="1" x="876"/>
        <item t="data" sd="1" x="879"/>
        <item t="data" sd="1" x="906"/>
        <item t="data" sd="1" x="1065"/>
        <item t="data" sd="1" m="1" x="1449"/>
        <item t="data" sd="1" x="1298"/>
        <item t="data" sd="1" x="403"/>
        <item t="data" sd="1" x="429"/>
        <item t="data" sd="1" x="817"/>
        <item t="data" sd="1" x="830"/>
        <item t="data" sd="1" x="1015"/>
        <item t="data" sd="1" x="1174"/>
        <item t="data" sd="1" x="1291"/>
        <item t="data" sd="1" x="1072"/>
        <item t="data" sd="1" x="1096"/>
        <item t="data" sd="1" x="250"/>
        <item t="data" sd="1" x="431"/>
        <item t="data" sd="1" x="443"/>
        <item t="data" sd="1" x="456"/>
        <item t="data" sd="1" x="468"/>
        <item t="data" sd="1" x="248"/>
        <item t="data" sd="1" x="718"/>
        <item t="data" sd="1" x="738"/>
        <item t="data" sd="1" x="1003"/>
        <item t="data" sd="1" x="1012"/>
        <item t="data" sd="1" x="1111"/>
        <item t="data" sd="1" x="1118"/>
        <item t="data" sd="1" x="1154"/>
        <item t="data" sd="1" x="1191"/>
        <item t="data" sd="1" x="1199"/>
        <item t="data" sd="1" x="1238"/>
        <item t="data" sd="1" x="1309"/>
        <item t="data" sd="1" x="1314"/>
        <item t="data" sd="1" x="460"/>
        <item t="data" sd="1" x="980"/>
        <item t="data" sd="1" x="378"/>
        <item t="data" sd="1" x="336"/>
        <item t="data" sd="1" x="405"/>
        <item t="data" sd="1" x="386"/>
        <item t="data" sd="1" x="1123"/>
        <item t="data" sd="1" x="392"/>
        <item t="data" sd="1" x="381"/>
        <item t="data" sd="1" x="782"/>
        <item t="data" sd="1" x="414"/>
        <item t="data" sd="1" x="1080"/>
        <item t="data" sd="1" x="919"/>
        <item t="data" sd="1" x="396"/>
        <item t="data" sd="1" x="397"/>
        <item t="data" sd="1" x="1202"/>
        <item t="data" sd="1" x="399"/>
        <item t="data" sd="1" x="394"/>
        <item t="data" sd="1" x="463"/>
        <item t="data" sd="1" x="384"/>
        <item t="data" sd="1" x="462"/>
        <item t="data" sd="1" x="448"/>
        <item t="data" sd="1" x="755"/>
        <item t="data" sd="1" x="760"/>
        <item t="data" sd="1" x="1263"/>
        <item t="data" sd="1" x="382"/>
        <item t="data" sd="1" x="609"/>
        <item t="data" sd="1" x="445"/>
        <item t="data" sd="1" x="177"/>
        <item t="data" sd="1" x="1220"/>
        <item t="data" sd="1" x="393"/>
        <item t="data" sd="1" x="193"/>
        <item t="data" sd="1" x="322"/>
        <item t="data" sd="1" x="326"/>
        <item t="data" sd="1" x="245"/>
        <item t="data" sd="1" x="330"/>
        <item t="data" sd="1" x="332"/>
        <item t="data" sd="1" x="333"/>
        <item t="data" sd="1" x="334"/>
        <item t="data" sd="1" x="337"/>
        <item t="data" sd="1" x="340"/>
        <item t="data" sd="1" x="342"/>
        <item t="data" sd="1" x="345"/>
        <item t="data" sd="1" x="346"/>
        <item t="data" sd="1" x="349"/>
        <item t="data" sd="1" x="352"/>
        <item t="data" sd="1" x="355"/>
        <item t="data" sd="1" x="356"/>
        <item t="data" sd="1" x="358"/>
        <item t="data" sd="1" x="360"/>
        <item t="data" sd="1" x="361"/>
        <item t="data" sd="1" x="364"/>
        <item t="data" sd="1" x="367"/>
        <item t="data" sd="1" x="369"/>
        <item t="data" sd="1" x="370"/>
        <item t="data" sd="1" x="273"/>
        <item t="data" sd="1" x="371"/>
        <item t="data" sd="1" x="374"/>
        <item t="data" sd="1" x="375"/>
        <item t="data" sd="1" x="377"/>
        <item t="data" sd="1" x="411"/>
        <item t="data" sd="1" x="413"/>
        <item t="data" sd="1" x="451"/>
        <item t="data" sd="1" x="479"/>
        <item t="data" sd="1" x="500"/>
        <item t="data" sd="1" x="558"/>
        <item t="data" sd="1" x="242"/>
        <item t="data" sd="1" x="974"/>
        <item t="data" sd="1" x="982"/>
        <item t="data" sd="1" x="1026"/>
        <item t="data" sd="1" x="281"/>
        <item t="data" sd="1" x="282"/>
        <item t="data" sd="1" x="290"/>
        <item t="data" sd="1" x="293"/>
        <item t="data" sd="1" x="295"/>
        <item t="data" sd="1" x="298"/>
        <item t="data" sd="1" x="300"/>
        <item t="data" sd="1" x="301"/>
        <item t="data" sd="1" x="307"/>
        <item t="data" sd="1" x="310"/>
        <item t="data" sd="1" x="163"/>
        <item t="data" sd="1" x="317"/>
        <item t="data" sd="1" x="327"/>
        <item t="data" sd="1" x="343"/>
        <item t="data" sd="1" x="353"/>
        <item t="data" sd="1" x="379"/>
        <item t="data" sd="1" x="383"/>
        <item t="data" sd="1" x="395"/>
        <item t="data" sd="1" x="410"/>
        <item t="data" sd="1" x="420"/>
        <item t="data" sd="1" x="419"/>
        <item t="data" sd="1" x="436"/>
        <item t="data" sd="1" x="492"/>
        <item t="data" sd="1" x="498"/>
        <item t="data" sd="1" x="508"/>
        <item t="data" sd="1" x="600"/>
        <item t="data" sd="1" x="658"/>
        <item t="data" sd="1" x="306"/>
        <item t="data" sd="1" x="678"/>
        <item t="data" sd="1" m="1" x="1325"/>
        <item t="data" sd="1" x="335"/>
        <item t="data" sd="1" x="763"/>
        <item t="data" sd="1" x="772"/>
        <item t="data" sd="1" x="835"/>
        <item t="data" sd="1" x="840"/>
        <item t="data" sd="1" x="865"/>
        <item t="data" sd="1" x="949"/>
        <item t="data" sd="1" x="1106"/>
        <item t="data" sd="1" x="867"/>
        <item t="data" sd="1" x="1018"/>
        <item t="data" sd="1" x="1023"/>
        <item t="data" sd="1" x="1064"/>
        <item t="data" sd="1" x="1086"/>
        <item t="data" sd="1" x="1093"/>
        <item t="data" sd="1" x="1117"/>
        <item t="data" sd="1" x="1126"/>
        <item t="data" sd="1" x="1129"/>
        <item t="data" sd="1" x="1133"/>
        <item t="data" sd="1" x="1146"/>
        <item t="data" sd="1" x="1155"/>
        <item t="data" sd="1" x="1178"/>
        <item t="data" sd="1" x="959"/>
        <item t="data" sd="1" x="1215"/>
        <item t="data" sd="1" x="1217"/>
        <item t="data" sd="1" x="1219"/>
        <item t="data" sd="1" x="1275"/>
        <item t="data" sd="1" x="1284"/>
        <item t="data" sd="1" x="1293"/>
        <item t="data" sd="1" x="1294"/>
        <item t="data" sd="1" x="1308"/>
        <item t="data" sd="1" x="1315"/>
        <item t="data" sd="1" x="652"/>
        <item t="data" sd="1" x="466"/>
        <item t="data" sd="1" x="285"/>
        <item t="data" sd="1" x="208"/>
        <item t="data" sd="1" x="233"/>
        <item t="data" sd="1" x="237"/>
        <item t="data" sd="1" x="239"/>
        <item t="data" sd="1" x="243"/>
        <item t="data" sd="1" x="246"/>
        <item t="data" sd="1" x="251"/>
        <item t="data" sd="1" x="253"/>
        <item t="data" sd="1" x="252"/>
        <item t="data" sd="1" x="256"/>
        <item t="data" sd="1" x="255"/>
        <item t="data" sd="1" x="257"/>
        <item t="data" sd="1" x="258"/>
        <item t="data" sd="1" x="259"/>
        <item t="data" sd="1" x="260"/>
        <item t="data" sd="1" x="261"/>
        <item t="data" sd="1" x="263"/>
        <item t="data" sd="1" x="262"/>
        <item t="data" sd="1" x="264"/>
        <item t="data" sd="1" x="265"/>
        <item t="data" sd="1" x="268"/>
        <item t="data" sd="1" x="269"/>
        <item t="data" sd="1" x="270"/>
        <item t="data" sd="1" x="272"/>
        <item t="data" sd="1" x="274"/>
        <item t="data" sd="1" x="275"/>
        <item t="data" sd="1" x="277"/>
        <item t="data" sd="1" x="276"/>
        <item t="data" sd="1" x="278"/>
        <item t="data" sd="1" x="279"/>
        <item t="data" sd="1" m="1" x="1399"/>
        <item t="data" sd="1" x="280"/>
        <item t="data" sd="1" x="284"/>
        <item t="data" sd="1" x="286"/>
        <item t="data" sd="1" x="287"/>
        <item t="data" sd="1" x="289"/>
        <item t="data" sd="1" x="288"/>
        <item t="data" sd="1" x="299"/>
        <item t="data" sd="1" x="303"/>
        <item t="data" sd="1" x="304"/>
        <item t="data" sd="1" x="305"/>
        <item t="data" sd="1" x="308"/>
        <item t="data" sd="1" x="311"/>
        <item t="data" sd="1" x="315"/>
        <item t="data" sd="1" x="314"/>
        <item t="data" sd="1" x="316"/>
        <item t="data" sd="1" x="294"/>
        <item t="data" sd="1" x="319"/>
        <item t="data" sd="1" x="320"/>
        <item t="data" sd="1" x="321"/>
        <item t="data" sd="1" x="323"/>
        <item t="data" sd="1" x="324"/>
        <item t="data" sd="1" x="325"/>
        <item t="data" sd="1" x="329"/>
        <item t="data" sd="1" x="338"/>
        <item t="data" sd="1" x="339"/>
        <item t="data" sd="1" x="357"/>
        <item t="data" sd="1" x="365"/>
        <item t="data" sd="1" x="366"/>
        <item t="data" sd="1" x="373"/>
        <item t="data" sd="1" x="376"/>
        <item t="data" sd="1" x="380"/>
        <item t="data" sd="1" x="391"/>
        <item t="data" sd="1" x="390"/>
        <item t="data" sd="1" x="388"/>
        <item t="data" sd="1" x="387"/>
        <item t="data" sd="1" x="401"/>
        <item t="data" sd="1" x="400"/>
        <item t="data" sd="1" x="453"/>
        <item t="data" sd="1" x="458"/>
        <item t="data" sd="1" x="461"/>
        <item t="data" sd="1" x="475"/>
        <item t="data" sd="1" x="480"/>
        <item t="data" sd="1" x="483"/>
        <item t="data" sd="1" x="484"/>
        <item t="data" sd="1" x="529"/>
        <item t="data" sd="1" x="665"/>
        <item t="data" sd="1" x="179"/>
        <item t="data" sd="1" x="182"/>
        <item t="data" sd="1" x="183"/>
        <item t="data" sd="1" x="188"/>
        <item t="data" sd="1" x="187"/>
        <item t="data" sd="1" x="191"/>
        <item t="data" sd="1" x="194"/>
        <item t="data" sd="1" x="195"/>
        <item t="data" sd="1" x="198"/>
        <item t="data" sd="1" x="201"/>
        <item t="data" sd="1" x="206"/>
        <item t="data" sd="1" x="205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8"/>
        <item t="data" sd="1" x="221"/>
        <item t="data" sd="1" x="220"/>
        <item t="data" sd="1" x="219"/>
        <item t="data" sd="1" x="224"/>
        <item t="data" sd="1" x="223"/>
        <item t="data" sd="1" x="225"/>
        <item t="data" sd="1" x="226"/>
        <item t="data" sd="1" x="231"/>
        <item t="data" sd="1" x="236"/>
        <item t="data" sd="1" x="234"/>
        <item t="data" sd="1" x="238"/>
        <item t="data" sd="1" x="132"/>
        <item t="data" sd="1" x="249"/>
        <item t="data" sd="1" x="291"/>
        <item t="data" sd="1" x="292"/>
        <item t="data" sd="1" x="302"/>
        <item t="data" sd="1" x="139"/>
        <item t="data" sd="1" x="309"/>
        <item t="data" sd="1" x="318"/>
        <item t="data" sd="1" x="331"/>
        <item t="data" sd="1" x="348"/>
        <item t="data" sd="1" x="354"/>
        <item t="data" sd="1" x="362"/>
        <item t="data" sd="1" x="363"/>
        <item t="data" sd="1" x="372"/>
        <item t="data" sd="1" x="519"/>
        <item t="data" sd="1" x="883"/>
        <item t="data" sd="1" x="1054"/>
        <item t="data" sd="1" x="1305"/>
        <item t="data" sd="1" x="1307"/>
        <item t="data" sd="1" x="155"/>
        <item t="data" sd="1" x="161"/>
        <item t="data" sd="1" x="166"/>
        <item t="data" sd="1" x="172"/>
        <item t="data" sd="1" x="171"/>
        <item t="data" sd="1" x="176"/>
        <item t="data" sd="1" x="181"/>
        <item t="data" sd="1" x="184"/>
        <item t="data" sd="1" x="185"/>
        <item t="data" sd="1" m="1" x="1324"/>
        <item t="data" sd="1" x="197"/>
        <item t="data" sd="1" x="199"/>
        <item t="data" sd="1" x="203"/>
        <item t="data" sd="1" x="608"/>
        <item t="data" sd="1" x="152"/>
        <item t="data" sd="1" x="169"/>
        <item t="data" sd="1" x="180"/>
        <item t="data" sd="1" x="186"/>
        <item t="data" sd="1" x="196"/>
        <item t="data" sd="1" x="204"/>
        <item t="data" sd="1" x="228"/>
        <item t="data" sd="1" x="247"/>
        <item t="data" sd="1" x="1286"/>
        <item t="data" sd="1" x="127"/>
        <item t="data" sd="1" x="130"/>
        <item t="data" sd="1" x="135"/>
        <item t="data" sd="1" m="1" x="1339"/>
        <item t="data" sd="1" x="140"/>
        <item t="data" sd="1" x="146"/>
        <item t="data" sd="1" x="150"/>
        <item t="data" sd="1" x="148"/>
        <item t="data" sd="1" x="153"/>
        <item t="data" sd="1" x="159"/>
        <item t="data" sd="1" x="158"/>
        <item t="data" sd="1" x="160"/>
        <item t="data" sd="1" x="85"/>
        <item t="data" sd="1" x="86"/>
        <item t="data" sd="1" x="101"/>
        <item t="data" sd="1" x="102"/>
        <item t="data" sd="1" x="103"/>
        <item t="data" sd="1" x="106"/>
        <item t="data" sd="1" x="110"/>
        <item t="data" sd="1" m="1" x="1322"/>
        <item t="data" sd="1" x="112"/>
        <item t="data" sd="1" x="113"/>
        <item t="data" sd="1" x="115"/>
        <item t="data" sd="1" x="116"/>
        <item t="data" sd="1" x="117"/>
        <item t="data" sd="1" x="118"/>
        <item t="data" sd="1" x="121"/>
        <item t="data" sd="1" x="119"/>
        <item t="data" sd="1" m="1" x="1323"/>
        <item t="data" sd="1" x="124"/>
        <item t="data" sd="1" x="125"/>
        <item t="data" sd="1" x="126"/>
        <item t="data" sd="1" x="128"/>
        <item t="data" sd="1" x="129"/>
        <item t="data" sd="1" x="133"/>
        <item t="data" sd="1" x="134"/>
        <item t="data" sd="1" x="136"/>
        <item t="data" sd="1" x="141"/>
        <item t="data" sd="1" x="143"/>
        <item t="data" sd="1" x="142"/>
        <item t="data" sd="1" x="145"/>
        <item t="data" sd="1" x="144"/>
        <item t="data" sd="1" x="147"/>
        <item t="data" sd="1" x="149"/>
        <item t="data" sd="1" x="151"/>
        <item t="data" sd="1" x="154"/>
        <item t="data" sd="1" x="156"/>
        <item t="data" sd="1" x="164"/>
        <item t="data" sd="1" x="168"/>
        <item t="data" sd="1" x="173"/>
        <item t="data" sd="1" x="189"/>
        <item t="data" sd="1" x="241"/>
        <item t="data" sd="1" x="267"/>
        <item t="data" sd="1" x="438"/>
        <item t="data" sd="1" x="489"/>
        <item t="data" sd="1" x="538"/>
        <item t="data" sd="1" x="602"/>
        <item t="data" sd="1" x="663"/>
        <item t="data" sd="1" x="711"/>
        <item t="data" sd="1" x="788"/>
        <item t="data" sd="1" x="836"/>
        <item t="data" sd="1" x="1016"/>
        <item t="data" sd="1" x="1172"/>
        <item t="data" sd="1" x="1175"/>
        <item t="data" sd="1" x="1176"/>
        <item t="data" sd="1" x="1183"/>
        <item t="data" sd="1" x="1316"/>
        <item t="data" sd="1" x="75"/>
        <item t="data" sd="1" x="79"/>
        <item t="data" sd="1" x="81"/>
        <item t="data" sd="1" x="84"/>
        <item t="data" sd="1" x="87"/>
        <item t="data" sd="1" x="88"/>
        <item t="data" sd="1" x="89"/>
        <item t="data" sd="1" x="91"/>
        <item t="data" sd="1" x="90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104"/>
        <item t="data" sd="1" x="105"/>
        <item t="data" sd="1" x="109"/>
        <item t="data" sd="1" x="26"/>
        <item t="data" sd="1" x="28"/>
        <item t="data" sd="1" x="33"/>
        <item t="data" sd="1" x="34"/>
        <item t="data" sd="1" x="35"/>
        <item t="data" sd="1" x="37"/>
        <item t="data" sd="1" x="46"/>
        <item t="data" sd="1" x="38"/>
        <item t="data" sd="1" x="39"/>
        <item t="data" sd="1" x="42"/>
        <item t="data" sd="1" x="43"/>
        <item t="data" sd="1" x="44"/>
        <item t="data" sd="1" x="45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6"/>
        <item t="data" sd="1" x="58"/>
        <item t="data" sd="1" x="61"/>
        <item t="data" sd="1" x="60"/>
        <item t="data" sd="1" x="62"/>
        <item t="data" sd="1" x="63"/>
        <item t="data" sd="1" x="65"/>
        <item t="data" sd="1" m="1" x="1321"/>
        <item t="data" sd="1" x="67"/>
        <item t="data" sd="1" x="68"/>
        <item t="data" sd="1" x="70"/>
        <item t="data" sd="1" x="71"/>
        <item t="data" sd="1" x="72"/>
        <item t="data" sd="1" x="74"/>
        <item t="data" sd="1" x="77"/>
        <item t="data" sd="1" x="78"/>
        <item t="data" sd="1" x="80"/>
        <item t="data" sd="1" x="82"/>
        <item t="data" sd="1" x="83"/>
        <item t="data" sd="1" x="14"/>
        <item t="data" sd="1" x="99"/>
        <item t="data" sd="1" x="107"/>
        <item t="data" sd="1" x="108"/>
        <item t="data" sd="1" x="170"/>
        <item t="data" sd="1" x="175"/>
        <item t="data" sd="1" x="190"/>
        <item t="data" sd="1" x="227"/>
        <item t="data" sd="1" x="229"/>
        <item t="data" sd="1" x="477"/>
        <item t="data" sd="1" x="624"/>
        <item t="data" sd="1" x="656"/>
        <item t="data" sd="1" x="999"/>
        <item t="data" sd="1" x="1021"/>
        <item t="data" sd="1" x="1119"/>
        <item t="data" sd="1" x="1143"/>
        <item t="data" sd="1" x="1216"/>
        <item t="data" sd="1" x="1218"/>
        <item t="data" sd="1" x="1244"/>
        <item t="data" sd="1" x="1257"/>
        <item t="data" sd="1" x="1317"/>
        <item t="data" sd="1" x="123"/>
        <item t="data" sd="1" x="137"/>
        <item t="data" sd="1" x="162"/>
        <item t="data" sd="1" x="165"/>
        <item t="data" sd="1" x="178"/>
        <item t="data" sd="1" x="217"/>
        <item t="data" sd="1" x="230"/>
        <item t="data" sd="1" x="244"/>
        <item t="data" sd="1" x="734"/>
        <item t="data" sd="1" x="986"/>
        <item t="data" sd="1" x="1022"/>
        <item t="data" sd="1" x="1044"/>
        <item t="data" sd="1" x="1045"/>
        <item t="data" sd="1" x="1108"/>
        <item t="data" sd="1" x="1109"/>
        <item t="data" sd="1" x="1204"/>
        <item t="data" sd="1" x="1300"/>
        <item t="data" sd="1" x="59"/>
        <item t="data" sd="1" x="539"/>
        <item t="data" sd="1" x="122"/>
        <item t="data" sd="1" x="271"/>
        <item t="data" sd="1" x="283"/>
        <item t="data" sd="1" x="313"/>
        <item t="data" sd="1" x="651"/>
        <item t="data" sd="1" x="978"/>
        <item t="data" sd="1" x="994"/>
        <item t="data" sd="1" x="1008"/>
        <item t="data" sd="1" x="1211"/>
        <item t="data" sd="1" x="347"/>
        <item t="data" sd="1" x="368"/>
        <item t="data" sd="1" x="1"/>
        <item t="data" sd="1" x="2"/>
        <item t="data" sd="1" m="1" x="1318"/>
        <item t="data" sd="1" m="1" x="1319"/>
        <item t="data" sd="1" m="1" x="1320"/>
        <item t="data" sd="1" x="4"/>
        <item t="data" sd="1" x="6"/>
        <item t="data" sd="1" x="7"/>
        <item t="data" sd="1" x="8"/>
        <item t="data" sd="1" x="9"/>
        <item t="data" sd="1" x="11"/>
        <item t="data" sd="1" x="10"/>
        <item t="data" sd="1" x="15"/>
        <item t="data" sd="1" x="16"/>
        <item t="data" sd="1" x="17"/>
        <item t="data" sd="1" x="18"/>
        <item t="data" sd="1" x="19"/>
        <item t="data" sd="1" x="20"/>
        <item t="data" sd="1" x="22"/>
        <item t="data" sd="1" x="23"/>
        <item t="data" sd="1" x="21"/>
        <item t="data" sd="1" x="24"/>
        <item t="data" sd="1" x="25"/>
        <item t="data" sd="1" x="27"/>
        <item t="data" sd="1" x="29"/>
        <item t="data" sd="1" x="30"/>
        <item t="data" sd="1" x="31"/>
        <item t="data" sd="1" x="32"/>
        <item t="data" sd="1" x="40"/>
        <item t="data" sd="1" x="57"/>
        <item t="data" sd="1" x="408"/>
        <item t="data" sd="1" x="1258"/>
        <item t="data" sd="1" x="1292"/>
        <item t="data" sd="1" x="1312"/>
        <item t="data" sd="1" x="3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8"/>
  </rowFields>
  <rowItems count="1319">
    <i t="data" r="0" i="0">
      <x v="444"/>
    </i>
    <i t="data" r="0" i="0">
      <x v="118"/>
    </i>
    <i t="data" r="0" i="0">
      <x v="929"/>
    </i>
    <i t="data" r="0" i="0">
      <x v="395"/>
    </i>
    <i t="data" r="0" i="0">
      <x v="270"/>
    </i>
    <i t="data" r="0" i="0">
      <x v="326"/>
    </i>
    <i t="data" r="0" i="0">
      <x v="259"/>
    </i>
    <i t="data" r="0" i="0">
      <x v="319"/>
    </i>
    <i t="data" r="0" i="0">
      <x v="87"/>
    </i>
    <i t="data" r="0" i="0">
      <x v="538"/>
    </i>
    <i t="data" r="0" i="0">
      <x v="511"/>
    </i>
    <i t="data" r="0" i="0">
      <x v="199"/>
    </i>
    <i t="data" r="0" i="0">
      <x v="966"/>
    </i>
    <i t="data" r="0" i="0">
      <x v="322"/>
    </i>
    <i t="data" r="0" i="0">
      <x v="282"/>
    </i>
    <i t="data" r="0" i="0">
      <x v="379"/>
    </i>
    <i t="data" r="0" i="0">
      <x v="539"/>
    </i>
    <i t="data" r="0" i="0">
      <x v="178"/>
    </i>
    <i t="data" r="0" i="0">
      <x v="1475"/>
    </i>
    <i t="data" r="0" i="0">
      <x v="162"/>
    </i>
    <i t="data" r="0" i="0">
      <x v="1245"/>
    </i>
    <i t="data" r="0" i="0">
      <x v="1205"/>
    </i>
    <i t="data" r="0" i="0">
      <x v="1120"/>
    </i>
    <i t="data" r="0" i="0">
      <x v="516"/>
    </i>
    <i t="data" r="0" i="0">
      <x v="760"/>
    </i>
    <i t="data" r="0" i="0">
      <x v="255"/>
    </i>
    <i t="data" r="0" i="0">
      <x v="939"/>
    </i>
    <i t="data" r="0" i="0">
      <x v="413"/>
    </i>
    <i t="data" r="0" i="0">
      <x v="376"/>
    </i>
    <i t="data" r="0" i="0">
      <x v="426"/>
    </i>
    <i t="data" r="0" i="0">
      <x v="520"/>
    </i>
    <i t="data" r="0" i="0">
      <x v="93"/>
    </i>
    <i t="data" r="0" i="0">
      <x v="22"/>
    </i>
    <i t="data" r="0" i="0">
      <x v="36"/>
    </i>
    <i t="data" r="0" i="0">
      <x v="1196"/>
    </i>
    <i t="data" r="0" i="0">
      <x v="357"/>
    </i>
    <i t="data" r="0" i="0">
      <x v="576"/>
    </i>
    <i t="data" r="0" i="0">
      <x v="563"/>
    </i>
    <i t="data" r="0" i="0">
      <x v="526"/>
    </i>
    <i t="data" r="0" i="0">
      <x v="608"/>
    </i>
    <i t="data" r="0" i="0">
      <x v="407"/>
    </i>
    <i t="data" r="0" i="0">
      <x v="26"/>
    </i>
    <i t="data" r="0" i="0">
      <x v="204"/>
    </i>
    <i t="data" r="0" i="0">
      <x v="809"/>
    </i>
    <i t="data" r="0" i="0">
      <x v="923"/>
    </i>
    <i t="data" r="0" i="0">
      <x v="871"/>
    </i>
    <i t="data" r="0" i="0">
      <x v="710"/>
    </i>
    <i t="data" r="0" i="0">
      <x v="549"/>
    </i>
    <i t="data" r="0" i="0">
      <x v="542"/>
    </i>
    <i t="data" r="0" i="0">
      <x v="500"/>
    </i>
    <i t="data" r="0" i="0">
      <x v="98"/>
    </i>
    <i t="data" r="0" i="0">
      <x v="83"/>
    </i>
    <i t="data" r="0" i="0">
      <x v="14"/>
    </i>
    <i t="data" r="0" i="0">
      <x v="152"/>
    </i>
    <i t="data" r="0" i="0">
      <x v="214"/>
    </i>
    <i t="data" r="0" i="0">
      <x v="1227"/>
    </i>
    <i t="data" r="0" i="0">
      <x v="1257"/>
    </i>
    <i t="data" r="0" i="0">
      <x v="1007"/>
    </i>
    <i t="data" r="0" i="0">
      <x v="982"/>
    </i>
    <i t="data" r="0" i="0">
      <x v="961"/>
    </i>
    <i t="data" r="0" i="0">
      <x v="1059"/>
    </i>
    <i t="data" r="0" i="0">
      <x v="712"/>
    </i>
    <i t="data" r="0" i="0">
      <x v="917"/>
    </i>
    <i t="data" r="0" i="0">
      <x v="695"/>
    </i>
    <i t="data" r="0" i="0">
      <x v="857"/>
    </i>
    <i t="data" r="0" i="0">
      <x v="733"/>
    </i>
    <i t="data" r="0" i="0">
      <x v="891"/>
    </i>
    <i t="data" r="0" i="0">
      <x v="718"/>
    </i>
    <i t="data" r="0" i="0">
      <x v="883"/>
    </i>
    <i t="data" r="0" i="0">
      <x v="885"/>
    </i>
    <i t="data" r="0" i="0">
      <x v="764"/>
    </i>
    <i t="data" r="0" i="0">
      <x v="897"/>
    </i>
    <i t="data" r="0" i="0">
      <x v="770"/>
    </i>
    <i t="data" r="0" i="0">
      <x v="801"/>
    </i>
    <i t="data" r="0" i="0">
      <x v="562"/>
    </i>
    <i t="data" r="0" i="0">
      <x v="600"/>
    </i>
    <i t="data" r="0" i="0">
      <x v="388"/>
    </i>
    <i t="data" r="0" i="0">
      <x v="354"/>
    </i>
    <i t="data" r="0" i="0">
      <x v="613"/>
    </i>
    <i t="data" r="0" i="0">
      <x v="440"/>
    </i>
    <i t="data" r="0" i="0">
      <x v="501"/>
    </i>
    <i t="data" r="0" i="0">
      <x v="337"/>
    </i>
    <i t="data" r="0" i="0">
      <x v="593"/>
    </i>
    <i t="data" r="0" i="0">
      <x v="446"/>
    </i>
    <i t="data" r="0" i="0">
      <x v="514"/>
    </i>
    <i t="data" r="0" i="0">
      <x v="494"/>
    </i>
    <i t="data" r="0" i="0">
      <x v="424"/>
    </i>
    <i t="data" r="0" i="0">
      <x v="621"/>
    </i>
    <i t="data" r="0" i="0">
      <x v="487"/>
    </i>
    <i t="data" r="0" i="0">
      <x v="304"/>
    </i>
    <i t="data" r="0" i="0">
      <x v="283"/>
    </i>
    <i t="data" r="0" i="0">
      <x v="108"/>
    </i>
    <i t="data" r="0" i="0">
      <x v="209"/>
    </i>
    <i t="data" r="0" i="0">
      <x v="295"/>
    </i>
    <i t="data" r="0" i="0">
      <x v="54"/>
    </i>
    <i t="data" r="0" i="0">
      <x v="311"/>
    </i>
    <i t="data" r="0" i="0">
      <x v="62"/>
    </i>
    <i t="data" r="0" i="0">
      <x v="251"/>
    </i>
    <i t="data" r="0" i="0">
      <x v="124"/>
    </i>
    <i t="data" r="0" i="0">
      <x v="228"/>
    </i>
    <i t="data" r="0" i="0">
      <x v="177"/>
    </i>
    <i t="data" r="0" i="0">
      <x v="1347"/>
    </i>
    <i t="data" r="0" i="0">
      <x v="1376"/>
    </i>
    <i t="data" r="0" i="0">
      <x v="1354"/>
    </i>
    <i t="data" r="0" i="0">
      <x v="1390"/>
    </i>
    <i t="data" r="0" i="0">
      <x v="1377"/>
    </i>
    <i t="data" r="0" i="0">
      <x v="1222"/>
    </i>
    <i t="data" r="0" i="0">
      <x v="1403"/>
    </i>
    <i t="data" r="0" i="0">
      <x v="1304"/>
    </i>
    <i t="data" r="0" i="0">
      <x v="1427"/>
    </i>
    <i t="data" r="0" i="0">
      <x v="1142"/>
    </i>
    <i t="data" r="0" i="0">
      <x v="1075"/>
    </i>
    <i t="data" r="0" i="0">
      <x v="1045"/>
    </i>
    <i t="data" r="0" i="0">
      <x v="956"/>
    </i>
    <i t="data" r="0" i="0">
      <x v="1129"/>
    </i>
    <i t="data" r="0" i="0">
      <x v="946"/>
    </i>
    <i t="data" r="0" i="0">
      <x v="1034"/>
    </i>
    <i t="data" r="0" i="0">
      <x v="1010"/>
    </i>
    <i t="data" r="0" i="0">
      <x v="1050"/>
    </i>
    <i t="data" r="0" i="0">
      <x v="1012"/>
    </i>
    <i t="data" r="0" i="0">
      <x v="1113"/>
    </i>
    <i t="data" r="0" i="0">
      <x v="1013"/>
    </i>
    <i t="data" r="0" i="0">
      <x v="1134"/>
    </i>
    <i t="data" r="0" i="0">
      <x v="1017"/>
    </i>
    <i t="data" r="0" i="0">
      <x v="1159"/>
    </i>
    <i t="data" r="0" i="0">
      <x v="1024"/>
    </i>
    <i t="data" r="0" i="0">
      <x v="1161"/>
    </i>
    <i t="data" r="0" i="0">
      <x v="674"/>
    </i>
    <i t="data" r="0" i="0">
      <x v="651"/>
    </i>
    <i t="data" r="0" i="0">
      <x v="919"/>
    </i>
    <i t="data" r="0" i="0">
      <x v="744"/>
    </i>
    <i t="data" r="0" i="0">
      <x v="666"/>
    </i>
    <i t="data" r="0" i="0">
      <x v="814"/>
    </i>
    <i t="data" r="0" i="0">
      <x v="737"/>
    </i>
    <i t="data" r="0" i="0">
      <x v="824"/>
    </i>
    <i t="data" r="0" i="0">
      <x v="639"/>
    </i>
    <i t="data" r="0" i="0">
      <x v="828"/>
    </i>
    <i t="data" r="0" i="0">
      <x v="877"/>
    </i>
    <i t="data" r="0" i="0">
      <x v="830"/>
    </i>
    <i t="data" r="0" i="0">
      <x v="884"/>
    </i>
    <i t="data" r="0" i="0">
      <x v="839"/>
    </i>
    <i t="data" r="0" i="0">
      <x v="676"/>
    </i>
    <i t="data" r="0" i="0">
      <x v="845"/>
    </i>
    <i t="data" r="0" i="0">
      <x v="911"/>
    </i>
    <i t="data" r="0" i="0">
      <x v="851"/>
    </i>
    <i t="data" r="0" i="0">
      <x v="856"/>
    </i>
    <i t="data" r="0" i="0">
      <x v="806"/>
    </i>
    <i t="data" r="0" i="0">
      <x v="924"/>
    </i>
    <i t="data" r="0" i="0">
      <x v="579"/>
    </i>
    <i t="data" r="0" i="0">
      <x v="623"/>
    </i>
    <i t="data" r="0" i="0">
      <x v="612"/>
    </i>
    <i t="data" r="0" i="0">
      <x v="372"/>
    </i>
    <i t="data" r="0" i="0">
      <x v="571"/>
    </i>
    <i t="data" r="0" i="0">
      <x v="385"/>
    </i>
    <i t="data" r="0" i="0">
      <x v="594"/>
    </i>
    <i t="data" r="0" i="0">
      <x v="406"/>
    </i>
    <i t="data" r="0" i="0">
      <x v="620"/>
    </i>
    <i t="data" r="0" i="0">
      <x v="412"/>
    </i>
    <i t="data" r="0" i="0">
      <x v="554"/>
    </i>
    <i t="data" r="0" i="0">
      <x v="434"/>
    </i>
    <i t="data" r="0" i="0">
      <x v="577"/>
    </i>
    <i t="data" r="0" i="0">
      <x v="442"/>
    </i>
    <i t="data" r="0" i="0">
      <x v="585"/>
    </i>
    <i t="data" r="0" i="0">
      <x v="453"/>
    </i>
    <i t="data" r="0" i="0">
      <x v="597"/>
    </i>
    <i t="data" r="0" i="0">
      <x v="464"/>
    </i>
    <i t="data" r="0" i="0">
      <x v="617"/>
    </i>
    <i t="data" r="0" i="0">
      <x v="476"/>
    </i>
    <i t="data" r="0" i="0">
      <x v="369"/>
    </i>
    <i t="data" r="0" i="0">
      <x v="513"/>
    </i>
    <i t="data" r="0" i="0">
      <x v="534"/>
    </i>
    <i t="data" r="0" i="0">
      <x v="508"/>
    </i>
    <i t="data" r="0" i="0">
      <x v="278"/>
    </i>
    <i t="data" r="0" i="0">
      <x v="211"/>
    </i>
    <i t="data" r="0" i="0">
      <x v="186"/>
    </i>
    <i t="data" r="0" i="0">
      <x v="69"/>
    </i>
    <i t="data" r="0" i="0">
      <x v="225"/>
    </i>
    <i t="data" r="0" i="0">
      <x v="90"/>
    </i>
    <i t="data" r="0" i="0">
      <x v="38"/>
    </i>
    <i t="data" r="0" i="0">
      <x v="119"/>
    </i>
    <i t="data" r="0" i="0">
      <x v="202"/>
    </i>
    <i t="data" r="0" i="0">
      <x v="120"/>
    </i>
    <i t="data" r="0" i="0">
      <x v="218"/>
    </i>
    <i t="data" r="0" i="0">
      <x v="138"/>
    </i>
    <i t="data" r="0" i="0">
      <x v="250"/>
    </i>
    <i t="data" r="0" i="0">
      <x v="142"/>
    </i>
    <i t="data" r="0" i="0">
      <x v="288"/>
    </i>
    <i t="data" r="0" i="0">
      <x v="155"/>
    </i>
    <i t="data" r="0" i="0">
      <x v="301"/>
    </i>
    <i t="data" r="0" i="0">
      <x v="157"/>
    </i>
    <i t="data" r="0" i="0">
      <x v="331"/>
    </i>
    <i t="data" r="0" i="0">
      <x v="1351"/>
    </i>
    <i t="data" r="0" i="0">
      <x v="1417"/>
    </i>
    <i t="data" r="0" i="0">
      <x v="1384"/>
    </i>
    <i t="data" r="0" i="0">
      <x v="1220"/>
    </i>
    <i t="data" r="0" i="0">
      <x v="1465"/>
    </i>
    <i t="data" r="0" i="0">
      <x v="1221"/>
    </i>
    <i t="data" r="0" i="0">
      <x v="1367"/>
    </i>
    <i t="data" r="0" i="0">
      <x v="1207"/>
    </i>
    <i t="data" r="0" i="0">
      <x v="1400"/>
    </i>
    <i t="data" r="0" i="0">
      <x v="1223"/>
    </i>
    <i t="data" r="0" i="0">
      <x v="1449"/>
    </i>
    <i t="data" r="0" i="0">
      <x v="1224"/>
    </i>
    <i t="data" r="0" i="0">
      <x v="1343"/>
    </i>
    <i t="data" r="0" i="0">
      <x v="1225"/>
    </i>
    <i t="data" r="0" i="0">
      <x v="1359"/>
    </i>
    <i t="data" r="0" i="0">
      <x v="1226"/>
    </i>
    <i t="data" r="0" i="0">
      <x v="1375"/>
    </i>
    <i t="data" r="0" i="0">
      <x v="1208"/>
    </i>
    <i t="data" r="0" i="0">
      <x v="1392"/>
    </i>
    <i t="data" r="0" i="0">
      <x v="1228"/>
    </i>
    <i t="data" r="0" i="0">
      <x v="1408"/>
    </i>
    <i t="data" r="0" i="0">
      <x v="1229"/>
    </i>
    <i t="data" r="0" i="0">
      <x v="1425"/>
    </i>
    <i t="data" r="0" i="0">
      <x v="1230"/>
    </i>
    <i t="data" r="0" i="0">
      <x v="1457"/>
    </i>
    <i t="data" r="0" i="0">
      <x v="1231"/>
    </i>
    <i t="data" r="0" i="0">
      <x v="1473"/>
    </i>
    <i t="data" r="0" i="0">
      <x v="1232"/>
    </i>
    <i t="data" r="0" i="0">
      <x v="1213"/>
    </i>
    <i t="data" r="0" i="0">
      <x v="1233"/>
    </i>
    <i t="data" r="0" i="0">
      <x v="1355"/>
    </i>
    <i t="data" r="0" i="0">
      <x v="1234"/>
    </i>
    <i t="data" r="0" i="0">
      <x v="1363"/>
    </i>
    <i t="data" r="0" i="0">
      <x v="1235"/>
    </i>
    <i t="data" r="0" i="0">
      <x v="1371"/>
    </i>
    <i t="data" r="0" i="0">
      <x v="1236"/>
    </i>
    <i t="data" r="0" i="0">
      <x v="1380"/>
    </i>
    <i t="data" r="0" i="0">
      <x v="1237"/>
    </i>
    <i t="data" r="0" i="0">
      <x v="1388"/>
    </i>
    <i t="data" r="0" i="0">
      <x v="1238"/>
    </i>
    <i t="data" r="0" i="0">
      <x v="1396"/>
    </i>
    <i t="data" r="0" i="0">
      <x v="1239"/>
    </i>
    <i t="data" r="0" i="0">
      <x v="1404"/>
    </i>
    <i t="data" r="0" i="0">
      <x v="1240"/>
    </i>
    <i t="data" r="0" i="0">
      <x v="1413"/>
    </i>
    <i t="data" r="0" i="0">
      <x v="1241"/>
    </i>
    <i t="data" r="0" i="0">
      <x v="1421"/>
    </i>
    <i t="data" r="0" i="0">
      <x v="1242"/>
    </i>
    <i t="data" r="0" i="0">
      <x v="1442"/>
    </i>
    <i t="data" r="0" i="0">
      <x v="1243"/>
    </i>
    <i t="data" r="0" i="0">
      <x v="1453"/>
    </i>
    <i t="data" r="0" i="0">
      <x v="1244"/>
    </i>
    <i t="data" r="0" i="0">
      <x v="1461"/>
    </i>
    <i t="data" r="0" i="0">
      <x v="1209"/>
    </i>
    <i t="data" r="0" i="0">
      <x v="1469"/>
    </i>
    <i t="data" r="0" i="0">
      <x v="1246"/>
    </i>
    <i t="data" r="0" i="0">
      <x v="1341"/>
    </i>
    <i t="data" r="0" i="0">
      <x v="1247"/>
    </i>
    <i t="data" r="0" i="0">
      <x v="1345"/>
    </i>
    <i t="data" r="0" i="0">
      <x v="1248"/>
    </i>
    <i t="data" r="0" i="0">
      <x v="1349"/>
    </i>
    <i t="data" r="0" i="0">
      <x v="1249"/>
    </i>
    <i t="data" r="0" i="0">
      <x v="1353"/>
    </i>
    <i t="data" r="0" i="0">
      <x v="1251"/>
    </i>
    <i t="data" r="0" i="0">
      <x v="1357"/>
    </i>
    <i t="data" r="0" i="0">
      <x v="1252"/>
    </i>
    <i t="data" r="0" i="0">
      <x v="1361"/>
    </i>
    <i t="data" r="0" i="0">
      <x v="1253"/>
    </i>
    <i t="data" r="0" i="0">
      <x v="1365"/>
    </i>
    <i t="data" r="0" i="0">
      <x v="1254"/>
    </i>
    <i t="data" r="0" i="0">
      <x v="1369"/>
    </i>
    <i t="data" r="0" i="0">
      <x v="1255"/>
    </i>
    <i t="data" r="0" i="0">
      <x v="1373"/>
    </i>
    <i t="data" r="0" i="0">
      <x v="1256"/>
    </i>
    <i t="data" r="0" i="0">
      <x v="1216"/>
    </i>
    <i t="data" r="0" i="0">
      <x v="1210"/>
    </i>
    <i t="data" r="0" i="0">
      <x v="1382"/>
    </i>
    <i t="data" r="0" i="0">
      <x v="1258"/>
    </i>
    <i t="data" r="0" i="0">
      <x v="1386"/>
    </i>
    <i t="data" r="0" i="0">
      <x v="1259"/>
    </i>
    <i t="data" r="0" i="0">
      <x v="1217"/>
    </i>
    <i t="data" r="0" i="0">
      <x v="1260"/>
    </i>
    <i t="data" r="0" i="0">
      <x v="1394"/>
    </i>
    <i t="data" r="0" i="0">
      <x v="1261"/>
    </i>
    <i t="data" r="0" i="0">
      <x v="1398"/>
    </i>
    <i t="data" r="0" i="0">
      <x v="1262"/>
    </i>
    <i t="data" r="0" i="0">
      <x v="1402"/>
    </i>
    <i t="data" r="0" i="0">
      <x v="1263"/>
    </i>
    <i t="data" r="0" i="0">
      <x v="1406"/>
    </i>
    <i t="data" r="0" i="0">
      <x v="1264"/>
    </i>
    <i t="data" r="0" i="0">
      <x v="1411"/>
    </i>
    <i t="data" r="0" i="0">
      <x v="1265"/>
    </i>
    <i t="data" r="0" i="0">
      <x v="1415"/>
    </i>
    <i t="data" r="0" i="0">
      <x v="1266"/>
    </i>
    <i t="data" r="0" i="0">
      <x v="1419"/>
    </i>
    <i t="data" r="0" i="0">
      <x v="1268"/>
    </i>
    <i t="data" r="0" i="0">
      <x v="1423"/>
    </i>
    <i t="data" r="0" i="0">
      <x v="1269"/>
    </i>
    <i t="data" r="0" i="0">
      <x v="1440"/>
    </i>
    <i t="data" r="0" i="0">
      <x v="1270"/>
    </i>
    <i t="data" r="0" i="0">
      <x v="1447"/>
    </i>
    <i t="data" r="0" i="0">
      <x v="1271"/>
    </i>
    <i t="data" r="0" i="0">
      <x v="1451"/>
    </i>
    <i t="data" r="0" i="0">
      <x v="1272"/>
    </i>
    <i t="data" r="0" i="0">
      <x v="1455"/>
    </i>
    <i t="data" r="0" i="0">
      <x v="1273"/>
    </i>
    <i t="data" r="0" i="0">
      <x v="1459"/>
    </i>
    <i t="data" r="0" i="0">
      <x v="1274"/>
    </i>
    <i t="data" r="0" i="0">
      <x v="1463"/>
    </i>
    <i t="data" r="0" i="0">
      <x v="1275"/>
    </i>
    <i t="data" r="0" i="0">
      <x v="1467"/>
    </i>
    <i t="data" r="0" i="0">
      <x v="1276"/>
    </i>
    <i t="data" r="0" i="0">
      <x v="1471"/>
    </i>
    <i t="data" r="0" i="0">
      <x v="1277"/>
    </i>
    <i t="data" r="0" i="0">
      <x v="1212"/>
    </i>
    <i t="data" r="0" i="0">
      <x v="1278"/>
    </i>
    <i t="data" r="0" i="0">
      <x v="1342"/>
    </i>
    <i t="data" r="0" i="0">
      <x v="1279"/>
    </i>
    <i t="data" r="0" i="0">
      <x v="1344"/>
    </i>
    <i t="data" r="0" i="0">
      <x v="1280"/>
    </i>
    <i t="data" r="0" i="0">
      <x v="1346"/>
    </i>
    <i t="data" r="0" i="0">
      <x v="1281"/>
    </i>
    <i t="data" r="0" i="0">
      <x v="1348"/>
    </i>
    <i t="data" r="0" i="0">
      <x v="1282"/>
    </i>
    <i t="data" r="0" i="0">
      <x v="1350"/>
    </i>
    <i t="data" r="0" i="0">
      <x v="1284"/>
    </i>
    <i t="data" r="0" i="0">
      <x v="1352"/>
    </i>
    <i t="data" r="0" i="0">
      <x v="1285"/>
    </i>
    <i t="data" r="0" i="0">
      <x v="1214"/>
    </i>
    <i t="data" r="0" i="0">
      <x v="1286"/>
    </i>
    <i t="data" r="0" i="0">
      <x v="1356"/>
    </i>
    <i t="data" r="0" i="0">
      <x v="1287"/>
    </i>
    <i t="data" r="0" i="0">
      <x v="1358"/>
    </i>
    <i t="data" r="0" i="0">
      <x v="1288"/>
    </i>
    <i t="data" r="0" i="0">
      <x v="1360"/>
    </i>
    <i t="data" r="0" i="0">
      <x v="1289"/>
    </i>
    <i t="data" r="0" i="0">
      <x v="1362"/>
    </i>
    <i t="data" r="0" i="0">
      <x v="1290"/>
    </i>
    <i t="data" r="0" i="0">
      <x v="1364"/>
    </i>
    <i t="data" r="0" i="0">
      <x v="1291"/>
    </i>
    <i t="data" r="0" i="0">
      <x v="1366"/>
    </i>
    <i t="data" r="0" i="0">
      <x v="1293"/>
    </i>
    <i t="data" r="0" i="0">
      <x v="1368"/>
    </i>
    <i t="data" r="0" i="0">
      <x v="1294"/>
    </i>
    <i t="data" r="0" i="0">
      <x v="1370"/>
    </i>
    <i t="data" r="0" i="0">
      <x v="1295"/>
    </i>
    <i t="data" r="0" i="0">
      <x v="1372"/>
    </i>
    <i t="data" r="0" i="0">
      <x v="1296"/>
    </i>
    <i t="data" r="0" i="0">
      <x v="1374"/>
    </i>
    <i t="data" r="0" i="0">
      <x v="1297"/>
    </i>
    <i t="data" r="0" i="0">
      <x v="1215"/>
    </i>
    <i t="data" r="0" i="0">
      <x v="1298"/>
    </i>
    <i t="data" r="0" i="0">
      <x v="1379"/>
    </i>
    <i t="data" r="0" i="0">
      <x v="1299"/>
    </i>
    <i t="data" r="0" i="0">
      <x v="1381"/>
    </i>
    <i t="data" r="0" i="0">
      <x v="1300"/>
    </i>
    <i t="data" r="0" i="0">
      <x v="1383"/>
    </i>
    <i t="data" r="0" i="0">
      <x v="1301"/>
    </i>
    <i t="data" r="0" i="0">
      <x v="1385"/>
    </i>
    <i t="data" r="0" i="0">
      <x v="1302"/>
    </i>
    <i t="data" r="0" i="0">
      <x v="1387"/>
    </i>
    <i t="data" r="0" i="0">
      <x v="1303"/>
    </i>
    <i t="data" r="0" i="0">
      <x v="1389"/>
    </i>
    <i t="data" r="0" i="0">
      <x v="1211"/>
    </i>
    <i t="data" r="0" i="0">
      <x v="1391"/>
    </i>
    <i t="data" r="0" i="0">
      <x v="1305"/>
    </i>
    <i t="data" r="0" i="0">
      <x v="1393"/>
    </i>
    <i t="data" r="0" i="0">
      <x v="1306"/>
    </i>
    <i t="data" r="0" i="0">
      <x v="1395"/>
    </i>
    <i t="data" r="0" i="0">
      <x v="1307"/>
    </i>
    <i t="data" r="0" i="0">
      <x v="1397"/>
    </i>
    <i t="data" r="0" i="0">
      <x v="1308"/>
    </i>
    <i t="data" r="0" i="0">
      <x v="1399"/>
    </i>
    <i t="data" r="0" i="0">
      <x v="1309"/>
    </i>
    <i t="data" r="0" i="0">
      <x v="1401"/>
    </i>
    <i t="data" r="0" i="0">
      <x v="1310"/>
    </i>
    <i t="data" r="0" i="0">
      <x v="1218"/>
    </i>
    <i t="data" r="0" i="0">
      <x v="1311"/>
    </i>
    <i t="data" r="0" i="0">
      <x v="1405"/>
    </i>
    <i t="data" r="0" i="0">
      <x v="1312"/>
    </i>
    <i t="data" r="0" i="0">
      <x v="1407"/>
    </i>
    <i t="data" r="0" i="0">
      <x v="1313"/>
    </i>
    <i t="data" r="0" i="0">
      <x v="1409"/>
    </i>
    <i t="data" r="0" i="0">
      <x v="1314"/>
    </i>
    <i t="data" r="0" i="0">
      <x v="1412"/>
    </i>
    <i t="data" r="0" i="0">
      <x v="1315"/>
    </i>
    <i t="data" r="0" i="0">
      <x v="1414"/>
    </i>
    <i t="data" r="0" i="0">
      <x v="1426"/>
    </i>
    <i t="data" r="0" i="0">
      <x v="1416"/>
    </i>
    <i t="data" r="0" i="0">
      <x v="1428"/>
    </i>
    <i t="data" r="0" i="0">
      <x v="1418"/>
    </i>
    <i t="data" r="0" i="0">
      <x v="1430"/>
    </i>
    <i t="data" r="0" i="0">
      <x v="1420"/>
    </i>
    <i t="data" r="0" i="0">
      <x v="1432"/>
    </i>
    <i t="data" r="0" i="0">
      <x v="1422"/>
    </i>
    <i t="data" r="0" i="0">
      <x v="1434"/>
    </i>
    <i t="data" r="0" i="0">
      <x v="1424"/>
    </i>
    <i t="data" r="0" i="0">
      <x v="1436"/>
    </i>
    <i t="data" r="0" i="0">
      <x v="1219"/>
    </i>
    <i t="data" r="0" i="0">
      <x v="1438"/>
    </i>
    <i t="data" r="0" i="0">
      <x v="1316"/>
    </i>
    <i t="data" r="0" i="0">
      <x v="1429"/>
    </i>
    <i t="data" r="0" i="0">
      <x v="1317"/>
    </i>
    <i t="data" r="0" i="0">
      <x v="1431"/>
    </i>
    <i t="data" r="0" i="0">
      <x v="1318"/>
    </i>
    <i t="data" r="0" i="0">
      <x v="1433"/>
    </i>
    <i t="data" r="0" i="0">
      <x v="1319"/>
    </i>
    <i t="data" r="0" i="0">
      <x v="1435"/>
    </i>
    <i t="data" r="0" i="0">
      <x v="1320"/>
    </i>
    <i t="data" r="0" i="0">
      <x v="1437"/>
    </i>
    <i t="data" r="0" i="0">
      <x v="1321"/>
    </i>
    <i t="data" r="0" i="0">
      <x v="1439"/>
    </i>
    <i t="data" r="0" i="0">
      <x v="1322"/>
    </i>
    <i t="data" r="0" i="0">
      <x v="1441"/>
    </i>
    <i t="data" r="0" i="0">
      <x v="1323"/>
    </i>
    <i t="data" r="0" i="0">
      <x v="1446"/>
    </i>
    <i t="data" r="0" i="0">
      <x v="1324"/>
    </i>
    <i t="data" r="0" i="0">
      <x v="1448"/>
    </i>
    <i t="data" r="0" i="0">
      <x v="1325"/>
    </i>
    <i t="data" r="0" i="0">
      <x v="1450"/>
    </i>
    <i t="data" r="0" i="0">
      <x v="1326"/>
    </i>
    <i t="data" r="0" i="0">
      <x v="1452"/>
    </i>
    <i t="data" r="0" i="0">
      <x v="1327"/>
    </i>
    <i t="data" r="0" i="0">
      <x v="1454"/>
    </i>
    <i t="data" r="0" i="0">
      <x v="1328"/>
    </i>
    <i t="data" r="0" i="0">
      <x v="1456"/>
    </i>
    <i t="data" r="0" i="0">
      <x v="1329"/>
    </i>
    <i t="data" r="0" i="0">
      <x v="1458"/>
    </i>
    <i t="data" r="0" i="0">
      <x v="1331"/>
    </i>
    <i t="data" r="0" i="0">
      <x v="1460"/>
    </i>
    <i t="data" r="0" i="0">
      <x v="1332"/>
    </i>
    <i t="data" r="0" i="0">
      <x v="1462"/>
    </i>
    <i t="data" r="0" i="0">
      <x v="1333"/>
    </i>
    <i t="data" r="0" i="0">
      <x v="1464"/>
    </i>
    <i t="data" r="0" i="0">
      <x v="1334"/>
    </i>
    <i t="data" r="0" i="0">
      <x v="1466"/>
    </i>
    <i t="data" r="0" i="0">
      <x v="1335"/>
    </i>
    <i t="data" r="0" i="0">
      <x v="1468"/>
    </i>
    <i t="data" r="0" i="0">
      <x v="1336"/>
    </i>
    <i t="data" r="0" i="0">
      <x v="1470"/>
    </i>
    <i t="data" r="0" i="0">
      <x v="1337"/>
    </i>
    <i t="data" r="0" i="0">
      <x v="1472"/>
    </i>
    <i t="data" r="0" i="0">
      <x v="1338"/>
    </i>
    <i t="data" r="0" i="0">
      <x v="1474"/>
    </i>
    <i t="data" r="0" i="0">
      <x v="1339"/>
    </i>
    <i t="data" r="0" i="0">
      <x v="1206"/>
    </i>
    <i t="data" r="0" i="0">
      <x v="1340"/>
    </i>
    <i t="data" r="0" i="0">
      <x v="1094"/>
    </i>
    <i t="data" r="0" i="0">
      <x v="965"/>
    </i>
    <i t="data" r="0" i="0">
      <x v="1126"/>
    </i>
    <i t="data" r="0" i="0">
      <x v="967"/>
    </i>
    <i t="data" r="0" i="0">
      <x v="1077"/>
    </i>
    <i t="data" r="0" i="0">
      <x v="968"/>
    </i>
    <i t="data" r="0" i="0">
      <x v="1110"/>
    </i>
    <i t="data" r="0" i="0">
      <x v="969"/>
    </i>
    <i t="data" r="0" i="0">
      <x v="964"/>
    </i>
    <i t="data" r="0" i="0">
      <x v="970"/>
    </i>
    <i t="data" r="0" i="0">
      <x v="1197"/>
    </i>
    <i t="data" r="0" i="0">
      <x v="971"/>
    </i>
    <i t="data" r="0" i="0">
      <x v="1086"/>
    </i>
    <i t="data" r="0" i="0">
      <x v="972"/>
    </i>
    <i t="data" r="0" i="0">
      <x v="1102"/>
    </i>
    <i t="data" r="0" i="0">
      <x v="973"/>
    </i>
    <i t="data" r="0" i="0">
      <x v="1118"/>
    </i>
    <i t="data" r="0" i="0">
      <x v="974"/>
    </i>
    <i t="data" r="0" i="0">
      <x v="963"/>
    </i>
    <i t="data" r="0" i="0">
      <x v="975"/>
    </i>
    <i t="data" r="0" i="0">
      <x v="1151"/>
    </i>
    <i t="data" r="0" i="0">
      <x v="976"/>
    </i>
    <i t="data" r="0" i="0">
      <x v="1188"/>
    </i>
    <i t="data" r="0" i="0">
      <x v="977"/>
    </i>
    <i t="data" r="0" i="0">
      <x v="943"/>
    </i>
    <i t="data" r="0" i="0">
      <x v="978"/>
    </i>
    <i t="data" r="0" i="0">
      <x v="1082"/>
    </i>
    <i t="data" r="0" i="0">
      <x v="979"/>
    </i>
    <i t="data" r="0" i="0">
      <x v="1090"/>
    </i>
    <i t="data" r="0" i="0">
      <x v="980"/>
    </i>
    <i t="data" r="0" i="0">
      <x v="1098"/>
    </i>
    <i t="data" r="0" i="0">
      <x v="981"/>
    </i>
    <i t="data" r="0" i="0">
      <x v="1106"/>
    </i>
    <i t="data" r="0" i="0">
      <x v="951"/>
    </i>
    <i t="data" r="0" i="0">
      <x v="1114"/>
    </i>
    <i t="data" r="0" i="0">
      <x v="983"/>
    </i>
    <i t="data" r="0" i="0">
      <x v="1122"/>
    </i>
    <i t="data" r="0" i="0">
      <x v="984"/>
    </i>
    <i t="data" r="0" i="0">
      <x v="1130"/>
    </i>
    <i t="data" r="0" i="0">
      <x v="985"/>
    </i>
    <i t="data" r="0" i="0">
      <x v="1138"/>
    </i>
    <i t="data" r="0" i="0">
      <x v="986"/>
    </i>
    <i t="data" r="0" i="0">
      <x v="1147"/>
    </i>
    <i t="data" r="0" i="0">
      <x v="987"/>
    </i>
    <i t="data" r="0" i="0">
      <x v="1155"/>
    </i>
    <i t="data" r="0" i="0">
      <x v="988"/>
    </i>
    <i t="data" r="0" i="0">
      <x v="1184"/>
    </i>
    <i t="data" r="0" i="0">
      <x v="989"/>
    </i>
    <i t="data" r="0" i="0">
      <x v="1192"/>
    </i>
    <i t="data" r="0" i="0">
      <x v="990"/>
    </i>
    <i t="data" r="0" i="0">
      <x v="1201"/>
    </i>
    <i t="data" r="0" i="0">
      <x v="991"/>
    </i>
    <i t="data" r="0" i="0">
      <x v="960"/>
    </i>
    <i t="data" r="0" i="0">
      <x v="992"/>
    </i>
    <i t="data" r="0" i="0">
      <x v="1080"/>
    </i>
    <i t="data" r="0" i="0">
      <x v="993"/>
    </i>
    <i t="data" r="0" i="0">
      <x v="1084"/>
    </i>
    <i t="data" r="0" i="0">
      <x v="994"/>
    </i>
    <i t="data" r="0" i="0">
      <x v="1088"/>
    </i>
    <i t="data" r="0" i="0">
      <x v="995"/>
    </i>
    <i t="data" r="0" i="0">
      <x v="1092"/>
    </i>
    <i t="data" r="0" i="0">
      <x v="996"/>
    </i>
    <i t="data" r="0" i="0">
      <x v="1096"/>
    </i>
    <i t="data" r="0" i="0">
      <x v="997"/>
    </i>
    <i t="data" r="0" i="0">
      <x v="1100"/>
    </i>
    <i t="data" r="0" i="0">
      <x v="998"/>
    </i>
    <i t="data" r="0" i="0">
      <x v="1104"/>
    </i>
    <i t="data" r="0" i="0">
      <x v="999"/>
    </i>
    <i t="data" r="0" i="0">
      <x v="1108"/>
    </i>
    <i t="data" r="0" i="0">
      <x v="1000"/>
    </i>
    <i t="data" r="0" i="0">
      <x v="1112"/>
    </i>
    <i t="data" r="0" i="0">
      <x v="1001"/>
    </i>
    <i t="data" r="0" i="0">
      <x v="1116"/>
    </i>
    <i t="data" r="0" i="0">
      <x v="1002"/>
    </i>
    <i t="data" r="0" i="0">
      <x v="942"/>
    </i>
    <i t="data" r="0" i="0">
      <x v="1003"/>
    </i>
    <i t="data" r="0" i="0">
      <x v="1124"/>
    </i>
    <i t="data" r="0" i="0">
      <x v="1004"/>
    </i>
    <i t="data" r="0" i="0">
      <x v="1128"/>
    </i>
    <i t="data" r="0" i="0">
      <x v="1005"/>
    </i>
    <i t="data" r="0" i="0">
      <x v="1132"/>
    </i>
    <i t="data" r="0" i="0">
      <x v="1006"/>
    </i>
    <i t="data" r="0" i="0">
      <x v="1136"/>
    </i>
    <i t="data" r="0" i="0">
      <x v="947"/>
    </i>
    <i t="data" r="0" i="0">
      <x v="1140"/>
    </i>
    <i t="data" r="0" i="0">
      <x v="1008"/>
    </i>
    <i t="data" r="0" i="0">
      <x v="1145"/>
    </i>
    <i t="data" r="0" i="0">
      <x v="1009"/>
    </i>
    <i t="data" r="0" i="0">
      <x v="1149"/>
    </i>
    <i t="data" r="0" i="0">
      <x v="952"/>
    </i>
    <i t="data" r="0" i="0">
      <x v="1153"/>
    </i>
    <i t="data" r="0" i="0">
      <x v="1011"/>
    </i>
    <i t="data" r="0" i="0">
      <x v="1157"/>
    </i>
    <i t="data" r="0" i="0">
      <x v="953"/>
    </i>
    <i t="data" r="0" i="0">
      <x v="1182"/>
    </i>
    <i t="data" r="0" i="0">
      <x v="954"/>
    </i>
    <i t="data" r="0" i="0">
      <x v="1186"/>
    </i>
    <i t="data" r="0" i="0">
      <x v="1014"/>
    </i>
    <i t="data" r="0" i="0">
      <x v="1190"/>
    </i>
    <i t="data" r="0" i="0">
      <x v="1015"/>
    </i>
    <i t="data" r="0" i="0">
      <x v="1194"/>
    </i>
    <i t="data" r="0" i="0">
      <x v="1016"/>
    </i>
    <i t="data" r="0" i="0">
      <x v="1199"/>
    </i>
    <i t="data" r="0" i="0">
      <x v="955"/>
    </i>
    <i t="data" r="0" i="0">
      <x v="1203"/>
    </i>
    <i t="data" r="0" i="0">
      <x v="1018"/>
    </i>
    <i t="data" r="0" i="0">
      <x v="1074"/>
    </i>
    <i t="data" r="0" i="0">
      <x v="1019"/>
    </i>
    <i t="data" r="0" i="0">
      <x v="1076"/>
    </i>
    <i t="data" r="0" i="0">
      <x v="1020"/>
    </i>
    <i t="data" r="0" i="0">
      <x v="1079"/>
    </i>
    <i t="data" r="0" i="0">
      <x v="1021"/>
    </i>
    <i t="data" r="0" i="0">
      <x v="1081"/>
    </i>
    <i t="data" r="0" i="0">
      <x v="1022"/>
    </i>
    <i t="data" r="0" i="0">
      <x v="1083"/>
    </i>
    <i t="data" r="0" i="0">
      <x v="1023"/>
    </i>
    <i t="data" r="0" i="0">
      <x v="1085"/>
    </i>
    <i t="data" r="0" i="0">
      <x v="949"/>
    </i>
    <i t="data" r="0" i="0">
      <x v="1087"/>
    </i>
    <i t="data" r="0" i="0">
      <x v="1025"/>
    </i>
    <i t="data" r="0" i="0">
      <x v="1089"/>
    </i>
    <i t="data" r="0" i="0">
      <x v="1026"/>
    </i>
    <i t="data" r="0" i="0">
      <x v="1091"/>
    </i>
    <i t="data" r="0" i="0">
      <x v="1027"/>
    </i>
    <i t="data" r="0" i="0">
      <x v="1093"/>
    </i>
    <i t="data" r="0" i="0">
      <x v="1028"/>
    </i>
    <i t="data" r="0" i="0">
      <x v="1095"/>
    </i>
    <i t="data" r="0" i="0">
      <x v="1029"/>
    </i>
    <i t="data" r="0" i="0">
      <x v="1097"/>
    </i>
    <i t="data" r="0" i="0">
      <x v="1030"/>
    </i>
    <i t="data" r="0" i="0">
      <x v="1099"/>
    </i>
    <i t="data" r="0" i="0">
      <x v="1031"/>
    </i>
    <i t="data" r="0" i="0">
      <x v="1101"/>
    </i>
    <i t="data" r="0" i="0">
      <x v="1032"/>
    </i>
    <i t="data" r="0" i="0">
      <x v="1103"/>
    </i>
    <i t="data" r="0" i="0">
      <x v="1033"/>
    </i>
    <i t="data" r="0" i="0">
      <x v="1105"/>
    </i>
    <i t="data" r="0" i="0">
      <x v="957"/>
    </i>
    <i t="data" r="0" i="0">
      <x v="1107"/>
    </i>
    <i t="data" r="0" i="0">
      <x v="1035"/>
    </i>
    <i t="data" r="0" i="0">
      <x v="1109"/>
    </i>
    <i t="data" r="0" i="0">
      <x v="1036"/>
    </i>
    <i t="data" r="0" i="0">
      <x v="1111"/>
    </i>
    <i t="data" r="0" i="0">
      <x v="1037"/>
    </i>
    <i t="data" r="0" i="0">
      <x v="945"/>
    </i>
    <i t="data" r="0" i="0">
      <x v="1038"/>
    </i>
    <i t="data" r="0" i="0">
      <x v="1115"/>
    </i>
    <i t="data" r="0" i="0">
      <x v="1039"/>
    </i>
    <i t="data" r="0" i="0">
      <x v="1117"/>
    </i>
    <i t="data" r="0" i="0">
      <x v="1040"/>
    </i>
    <i t="data" r="0" i="0">
      <x v="1119"/>
    </i>
    <i t="data" r="0" i="0">
      <x v="1041"/>
    </i>
    <i t="data" r="0" i="0">
      <x v="1121"/>
    </i>
    <i t="data" r="0" i="0">
      <x v="1042"/>
    </i>
    <i t="data" r="0" i="0">
      <x v="1123"/>
    </i>
    <i t="data" r="0" i="0">
      <x v="1043"/>
    </i>
    <i t="data" r="0" i="0">
      <x v="1125"/>
    </i>
    <i t="data" r="0" i="0">
      <x v="1044"/>
    </i>
    <i t="data" r="0" i="0">
      <x v="1127"/>
    </i>
    <i t="data" r="0" i="0">
      <x v="958"/>
    </i>
    <i t="data" r="0" i="0">
      <x v="962"/>
    </i>
    <i t="data" r="0" i="0">
      <x v="1046"/>
    </i>
    <i t="data" r="0" i="0">
      <x v="1131"/>
    </i>
    <i t="data" r="0" i="0">
      <x v="1047"/>
    </i>
    <i t="data" r="0" i="0">
      <x v="1133"/>
    </i>
    <i t="data" r="0" i="0">
      <x v="1048"/>
    </i>
    <i t="data" r="0" i="0">
      <x v="1135"/>
    </i>
    <i t="data" r="0" i="0">
      <x v="1049"/>
    </i>
    <i t="data" r="0" i="0">
      <x v="1137"/>
    </i>
    <i t="data" r="0" i="0">
      <x v="959"/>
    </i>
    <i t="data" r="0" i="0">
      <x v="1139"/>
    </i>
    <i t="data" r="0" i="0">
      <x v="1051"/>
    </i>
    <i t="data" r="0" i="0">
      <x v="1141"/>
    </i>
    <i t="data" r="0" i="0">
      <x v="1052"/>
    </i>
    <i t="data" r="0" i="0">
      <x v="1144"/>
    </i>
    <i t="data" r="0" i="0">
      <x v="1160"/>
    </i>
    <i t="data" r="0" i="0">
      <x v="1146"/>
    </i>
    <i t="data" r="0" i="0">
      <x v="1162"/>
    </i>
    <i t="data" r="0" i="0">
      <x v="1148"/>
    </i>
    <i t="data" r="0" i="0">
      <x v="1164"/>
    </i>
    <i t="data" r="0" i="0">
      <x v="1150"/>
    </i>
    <i t="data" r="0" i="0">
      <x v="1166"/>
    </i>
    <i t="data" r="0" i="0">
      <x v="1152"/>
    </i>
    <i t="data" r="0" i="0">
      <x v="1168"/>
    </i>
    <i t="data" r="0" i="0">
      <x v="1154"/>
    </i>
    <i t="data" r="0" i="0">
      <x v="1170"/>
    </i>
    <i t="data" r="0" i="0">
      <x v="1156"/>
    </i>
    <i t="data" r="0" i="0">
      <x v="1172"/>
    </i>
    <i t="data" r="0" i="0">
      <x v="1158"/>
    </i>
    <i t="data" r="0" i="0">
      <x v="1174"/>
    </i>
    <i t="data" r="0" i="0">
      <x v="940"/>
    </i>
    <i t="data" r="0" i="0">
      <x v="1176"/>
    </i>
    <i t="data" r="0" i="0">
      <x v="1053"/>
    </i>
    <i t="data" r="0" i="0">
      <x v="1163"/>
    </i>
    <i t="data" r="0" i="0">
      <x v="1054"/>
    </i>
    <i t="data" r="0" i="0">
      <x v="1165"/>
    </i>
    <i t="data" r="0" i="0">
      <x v="1055"/>
    </i>
    <i t="data" r="0" i="0">
      <x v="1167"/>
    </i>
    <i t="data" r="0" i="0">
      <x v="1056"/>
    </i>
    <i t="data" r="0" i="0">
      <x v="1169"/>
    </i>
    <i t="data" r="0" i="0">
      <x v="1057"/>
    </i>
    <i t="data" r="0" i="0">
      <x v="1171"/>
    </i>
    <i t="data" r="0" i="0">
      <x v="1058"/>
    </i>
    <i t="data" r="0" i="0">
      <x v="1173"/>
    </i>
    <i t="data" r="0" i="0">
      <x v="1177"/>
    </i>
    <i t="data" r="0" i="0">
      <x v="1175"/>
    </i>
    <i t="data" r="0" i="0">
      <x v="1178"/>
    </i>
    <i t="data" r="0" i="0">
      <x v="948"/>
    </i>
    <i t="data" r="0" i="0">
      <x v="1180"/>
    </i>
    <i t="data" r="0" i="0">
      <x v="1179"/>
    </i>
    <i t="data" r="0" i="0">
      <x v="1060"/>
    </i>
    <i t="data" r="0" i="0">
      <x v="1181"/>
    </i>
    <i t="data" r="0" i="0">
      <x v="1061"/>
    </i>
    <i t="data" r="0" i="0">
      <x v="1183"/>
    </i>
    <i t="data" r="0" i="0">
      <x v="1062"/>
    </i>
    <i t="data" r="0" i="0">
      <x v="1185"/>
    </i>
    <i t="data" r="0" i="0">
      <x v="1063"/>
    </i>
    <i t="data" r="0" i="0">
      <x v="1187"/>
    </i>
    <i t="data" r="0" i="0">
      <x v="1064"/>
    </i>
    <i t="data" r="0" i="0">
      <x v="1189"/>
    </i>
    <i t="data" r="0" i="0">
      <x v="1065"/>
    </i>
    <i t="data" r="0" i="0">
      <x v="1191"/>
    </i>
    <i t="data" r="0" i="0">
      <x v="1066"/>
    </i>
    <i t="data" r="0" i="0">
      <x v="1193"/>
    </i>
    <i t="data" r="0" i="0">
      <x v="1067"/>
    </i>
    <i t="data" r="0" i="0">
      <x v="944"/>
    </i>
    <i t="data" r="0" i="0">
      <x v="1195"/>
    </i>
    <i t="data" r="0" i="0">
      <x v="1068"/>
    </i>
    <i t="data" r="0" i="0">
      <x v="1198"/>
    </i>
    <i t="data" r="0" i="0">
      <x v="1069"/>
    </i>
    <i t="data" r="0" i="0">
      <x v="1200"/>
    </i>
    <i t="data" r="0" i="0">
      <x v="1070"/>
    </i>
    <i t="data" r="0" i="0">
      <x v="1202"/>
    </i>
    <i t="data" r="0" i="0">
      <x v="941"/>
    </i>
    <i t="data" r="0" i="0">
      <x v="1204"/>
    </i>
    <i t="data" r="0" i="0">
      <x v="1072"/>
    </i>
    <i t="data" r="0" i="0">
      <x v="1073"/>
    </i>
    <i t="data" r="0" i="0">
      <x v="1071"/>
    </i>
    <i t="data" r="0" i="0">
      <x v="836"/>
    </i>
    <i t="data" r="0" i="0">
      <x v="902"/>
    </i>
    <i t="data" r="0" i="0">
      <x v="868"/>
    </i>
    <i t="data" r="0" i="0">
      <x v="686"/>
    </i>
    <i t="data" r="0" i="0">
      <x v="820"/>
    </i>
    <i t="data" r="0" i="0">
      <x v="688"/>
    </i>
    <i t="data" r="0" i="0">
      <x v="852"/>
    </i>
    <i t="data" r="0" i="0">
      <x v="690"/>
    </i>
    <i t="data" r="0" i="0">
      <x v="886"/>
    </i>
    <i t="data" r="0" i="0">
      <x v="691"/>
    </i>
    <i t="data" r="0" i="0">
      <x v="684"/>
    </i>
    <i t="data" r="0" i="0">
      <x v="694"/>
    </i>
    <i t="data" r="0" i="0">
      <x v="664"/>
    </i>
    <i t="data" r="0" i="0">
      <x v="642"/>
    </i>
    <i t="data" r="0" i="0">
      <x v="844"/>
    </i>
    <i t="data" r="0" i="0">
      <x v="696"/>
    </i>
    <i t="data" r="0" i="0">
      <x v="860"/>
    </i>
    <i t="data" r="0" i="0">
      <x v="697"/>
    </i>
    <i t="data" r="0" i="0">
      <x v="640"/>
    </i>
    <i t="data" r="0" i="0">
      <x v="699"/>
    </i>
    <i t="data" r="0" i="0">
      <x v="894"/>
    </i>
    <i t="data" r="0" i="0">
      <x v="700"/>
    </i>
    <i t="data" r="0" i="0">
      <x v="910"/>
    </i>
    <i t="data" r="0" i="0">
      <x v="701"/>
    </i>
    <i t="data" r="0" i="0">
      <x v="816"/>
    </i>
    <i t="data" r="0" i="0">
      <x v="702"/>
    </i>
    <i t="data" r="0" i="0">
      <x v="662"/>
    </i>
    <i t="data" r="0" i="0">
      <x v="703"/>
    </i>
    <i t="data" r="0" i="0">
      <x v="832"/>
    </i>
    <i t="data" r="0" i="0">
      <x v="706"/>
    </i>
    <i t="data" r="0" i="0">
      <x v="840"/>
    </i>
    <i t="data" r="0" i="0">
      <x v="707"/>
    </i>
    <i t="data" r="0" i="0">
      <x v="848"/>
    </i>
    <i t="data" r="0" i="0">
      <x v="709"/>
    </i>
    <i t="data" r="0" i="0">
      <x v="671"/>
    </i>
    <i t="data" r="0" i="0">
      <x v="643"/>
    </i>
    <i t="data" r="0" i="0">
      <x v="864"/>
    </i>
    <i t="data" r="0" i="0">
      <x v="711"/>
    </i>
    <i t="data" r="0" i="0">
      <x v="873"/>
    </i>
    <i t="data" r="0" i="0">
      <x v="644"/>
    </i>
    <i t="data" r="0" i="0">
      <x v="882"/>
    </i>
    <i t="data" r="0" i="0">
      <x v="714"/>
    </i>
    <i t="data" r="0" i="0">
      <x v="890"/>
    </i>
    <i t="data" r="0" i="0">
      <x v="715"/>
    </i>
    <i t="data" r="0" i="0">
      <x v="898"/>
    </i>
    <i t="data" r="0" i="0">
      <x v="716"/>
    </i>
    <i t="data" r="0" i="0">
      <x v="906"/>
    </i>
    <i t="data" r="0" i="0">
      <x v="646"/>
    </i>
    <i t="data" r="0" i="0">
      <x v="915"/>
    </i>
    <i t="data" r="0" i="0">
      <x v="719"/>
    </i>
    <i t="data" r="0" i="0">
      <x v="685"/>
    </i>
    <i t="data" r="0" i="0">
      <x v="722"/>
    </i>
    <i t="data" r="0" i="0">
      <x v="818"/>
    </i>
    <i t="data" r="0" i="0">
      <x v="724"/>
    </i>
    <i t="data" r="0" i="0">
      <x v="822"/>
    </i>
    <i t="data" r="0" i="0">
      <x v="726"/>
    </i>
    <i t="data" r="0" i="0">
      <x v="826"/>
    </i>
    <i t="data" r="0" i="0">
      <x v="727"/>
    </i>
    <i t="data" r="0" i="0">
      <x v="637"/>
    </i>
    <i t="data" r="0" i="0">
      <x v="729"/>
    </i>
    <i t="data" r="0" i="0">
      <x v="834"/>
    </i>
    <i t="data" r="0" i="0">
      <x v="730"/>
    </i>
    <i t="data" r="0" i="0">
      <x v="838"/>
    </i>
    <i t="data" r="0" i="0">
      <x v="731"/>
    </i>
    <i t="data" r="0" i="0">
      <x v="842"/>
    </i>
    <i t="data" r="0" i="0">
      <x v="732"/>
    </i>
    <i t="data" r="0" i="0">
      <x v="846"/>
    </i>
    <i t="data" r="0" i="0">
      <x v="648"/>
    </i>
    <i t="data" r="0" i="0">
      <x v="850"/>
    </i>
    <i t="data" r="0" i="0">
      <x v="735"/>
    </i>
    <i t="data" r="0" i="0">
      <x v="854"/>
    </i>
    <i t="data" r="0" i="0">
      <x v="736"/>
    </i>
    <i t="data" r="0" i="0">
      <x v="858"/>
    </i>
    <i t="data" r="0" i="0">
      <x v="649"/>
    </i>
    <i t="data" r="0" i="0">
      <x v="862"/>
    </i>
    <i t="data" r="0" i="0">
      <x v="739"/>
    </i>
    <i t="data" r="0" i="0">
      <x v="866"/>
    </i>
    <i t="data" r="0" i="0">
      <x v="740"/>
    </i>
    <i t="data" r="0" i="0">
      <x v="870"/>
    </i>
    <i t="data" r="0" i="0">
      <x v="741"/>
    </i>
    <i t="data" r="0" i="0">
      <x v="875"/>
    </i>
    <i t="data" r="0" i="0">
      <x v="742"/>
    </i>
    <i t="data" r="0" i="0">
      <x v="879"/>
    </i>
    <i t="data" r="0" i="0">
      <x v="743"/>
    </i>
    <i t="data" r="0" i="0">
      <x v="677"/>
    </i>
    <i t="data" r="0" i="0">
      <x v="650"/>
    </i>
    <i t="data" r="0" i="0">
      <x v="888"/>
    </i>
    <i t="data" r="0" i="0">
      <x v="745"/>
    </i>
    <i t="data" r="0" i="0">
      <x v="892"/>
    </i>
    <i t="data" r="0" i="0">
      <x v="746"/>
    </i>
    <i t="data" r="0" i="0">
      <x v="896"/>
    </i>
    <i t="data" r="0" i="0">
      <x v="747"/>
    </i>
    <i t="data" r="0" i="0">
      <x v="900"/>
    </i>
    <i t="data" r="0" i="0">
      <x v="748"/>
    </i>
    <i t="data" r="0" i="0">
      <x v="904"/>
    </i>
    <i t="data" r="0" i="0">
      <x v="749"/>
    </i>
    <i t="data" r="0" i="0">
      <x v="908"/>
    </i>
    <i t="data" r="0" i="0">
      <x v="750"/>
    </i>
    <i t="data" r="0" i="0">
      <x v="913"/>
    </i>
    <i t="data" r="0" i="0">
      <x v="751"/>
    </i>
    <i t="data" r="0" i="0">
      <x v="683"/>
    </i>
    <i t="data" r="0" i="0">
      <x v="752"/>
    </i>
    <i t="data" r="0" i="0">
      <x v="921"/>
    </i>
    <i t="data" r="0" i="0">
      <x v="753"/>
    </i>
    <i t="data" r="0" i="0">
      <x v="815"/>
    </i>
    <i t="data" r="0" i="0">
      <x v="754"/>
    </i>
    <i t="data" r="0" i="0">
      <x v="817"/>
    </i>
    <i t="data" r="0" i="0">
      <x v="755"/>
    </i>
    <i t="data" r="0" i="0">
      <x v="819"/>
    </i>
    <i t="data" r="0" i="0">
      <x v="756"/>
    </i>
    <i t="data" r="0" i="0">
      <x v="821"/>
    </i>
    <i t="data" r="0" i="0">
      <x v="757"/>
    </i>
    <i t="data" r="0" i="0">
      <x v="823"/>
    </i>
    <i t="data" r="0" i="0">
      <x v="758"/>
    </i>
    <i t="data" r="0" i="0">
      <x v="825"/>
    </i>
    <i t="data" r="0" i="0">
      <x v="759"/>
    </i>
    <i t="data" r="0" i="0">
      <x v="827"/>
    </i>
    <i t="data" r="0" i="0">
      <x v="638"/>
    </i>
    <i t="data" r="0" i="0">
      <x v="829"/>
    </i>
    <i t="data" r="0" i="0">
      <x v="761"/>
    </i>
    <i t="data" r="0" i="0">
      <x v="831"/>
    </i>
    <i t="data" r="0" i="0">
      <x v="762"/>
    </i>
    <i t="data" r="0" i="0">
      <x v="833"/>
    </i>
    <i t="data" r="0" i="0">
      <x v="763"/>
    </i>
    <i t="data" r="0" i="0">
      <x v="835"/>
    </i>
    <i t="data" r="0" i="0">
      <x v="652"/>
    </i>
    <i t="data" r="0" i="0">
      <x v="837"/>
    </i>
    <i t="data" r="0" i="0">
      <x v="765"/>
    </i>
    <i t="data" r="0" i="0">
      <x v="668"/>
    </i>
    <i t="data" r="0" i="0">
      <x v="766"/>
    </i>
    <i t="data" r="0" i="0">
      <x v="841"/>
    </i>
    <i t="data" r="0" i="0">
      <x v="767"/>
    </i>
    <i t="data" r="0" i="0">
      <x v="843"/>
    </i>
    <i t="data" r="0" i="0">
      <x v="768"/>
    </i>
    <i t="data" r="0" i="0">
      <x v="669"/>
    </i>
    <i t="data" r="0" i="0">
      <x v="769"/>
    </i>
    <i t="data" r="0" i="0">
      <x v="847"/>
    </i>
    <i t="data" r="0" i="0">
      <x v="653"/>
    </i>
    <i t="data" r="0" i="0">
      <x v="849"/>
    </i>
    <i t="data" r="0" i="0">
      <x v="771"/>
    </i>
    <i t="data" r="0" i="0">
      <x v="670"/>
    </i>
    <i t="data" r="0" i="0">
      <x v="772"/>
    </i>
    <i t="data" r="0" i="0">
      <x v="853"/>
    </i>
    <i t="data" r="0" i="0">
      <x v="773"/>
    </i>
    <i t="data" r="0" i="0">
      <x v="855"/>
    </i>
    <i t="data" r="0" i="0">
      <x v="775"/>
    </i>
    <i t="data" r="0" i="0">
      <x v="672"/>
    </i>
    <i t="data" r="0" i="0">
      <x v="776"/>
    </i>
    <i t="data" r="0" i="0">
      <x v="859"/>
    </i>
    <i t="data" r="0" i="0">
      <x v="778"/>
    </i>
    <i t="data" r="0" i="0">
      <x v="861"/>
    </i>
    <i t="data" r="0" i="0">
      <x v="779"/>
    </i>
    <i t="data" r="0" i="0">
      <x v="863"/>
    </i>
    <i t="data" r="0" i="0">
      <x v="781"/>
    </i>
    <i t="data" r="0" i="0">
      <x v="865"/>
    </i>
    <i t="data" r="0" i="0">
      <x v="782"/>
    </i>
    <i t="data" r="0" i="0">
      <x v="867"/>
    </i>
    <i t="data" r="0" i="0">
      <x v="783"/>
    </i>
    <i t="data" r="0" i="0">
      <x v="869"/>
    </i>
    <i t="data" r="0" i="0">
      <x v="784"/>
    </i>
    <i t="data" r="0" i="0">
      <x v="673"/>
    </i>
    <i t="data" r="0" i="0">
      <x v="785"/>
    </i>
    <i t="data" r="0" i="0">
      <x v="874"/>
    </i>
    <i t="data" r="0" i="0">
      <x v="786"/>
    </i>
    <i t="data" r="0" i="0">
      <x v="876"/>
    </i>
    <i t="data" r="0" i="0">
      <x v="788"/>
    </i>
    <i t="data" r="0" i="0">
      <x v="878"/>
    </i>
    <i t="data" r="0" i="0">
      <x v="789"/>
    </i>
    <i t="data" r="0" i="0">
      <x v="881"/>
    </i>
    <i t="data" r="0" i="0">
      <x v="790"/>
    </i>
    <i t="data" r="0" i="0">
      <x v="641"/>
    </i>
    <i t="data" r="0" i="0">
      <x v="654"/>
    </i>
    <i t="data" r="0" i="0">
      <x v="678"/>
    </i>
    <i t="data" r="0" i="0">
      <x v="925"/>
    </i>
    <i t="data" r="0" i="0">
      <x v="887"/>
    </i>
    <i t="data" r="0" i="0">
      <x v="927"/>
    </i>
    <i t="data" r="0" i="0">
      <x v="889"/>
    </i>
    <i t="data" r="0" i="0">
      <x v="655"/>
    </i>
    <i t="data" r="0" i="0">
      <x v="679"/>
    </i>
    <i t="data" r="0" i="0">
      <x v="931"/>
    </i>
    <i t="data" r="0" i="0">
      <x v="893"/>
    </i>
    <i t="data" r="0" i="0">
      <x v="934"/>
    </i>
    <i t="data" r="0" i="0">
      <x v="895"/>
    </i>
    <i t="data" r="0" i="0">
      <x v="938"/>
    </i>
    <i t="data" r="0" i="0">
      <x v="680"/>
    </i>
    <i t="data" r="0" i="0">
      <x v="799"/>
    </i>
    <i t="data" r="0" i="0">
      <x v="899"/>
    </i>
    <i t="data" r="0" i="0">
      <x v="800"/>
    </i>
    <i t="data" r="0" i="0">
      <x v="901"/>
    </i>
    <i t="data" r="0" i="0">
      <x v="656"/>
    </i>
    <i t="data" r="0" i="0">
      <x v="903"/>
    </i>
    <i t="data" r="0" i="0">
      <x v="802"/>
    </i>
    <i t="data" r="0" i="0">
      <x v="905"/>
    </i>
    <i t="data" r="0" i="0">
      <x v="804"/>
    </i>
    <i t="data" r="0" i="0">
      <x v="907"/>
    </i>
    <i t="data" r="0" i="0">
      <x v="805"/>
    </i>
    <i t="data" r="0" i="0">
      <x v="909"/>
    </i>
    <i t="data" r="0" i="0">
      <x v="657"/>
    </i>
    <i t="data" r="0" i="0">
      <x v="682"/>
    </i>
    <i t="data" r="0" i="0">
      <x v="807"/>
    </i>
    <i t="data" r="0" i="0">
      <x v="914"/>
    </i>
    <i t="data" r="0" i="0">
      <x v="808"/>
    </i>
    <i t="data" r="0" i="0">
      <x v="916"/>
    </i>
    <i t="data" r="0" i="0">
      <x v="658"/>
    </i>
    <i t="data" r="0" i="0">
      <x v="918"/>
    </i>
    <i t="data" r="0" i="0">
      <x v="811"/>
    </i>
    <i t="data" r="0" i="0">
      <x v="920"/>
    </i>
    <i t="data" r="0" i="0">
      <x v="812"/>
    </i>
    <i t="data" r="0" i="0">
      <x v="922"/>
    </i>
    <i t="data" r="0" i="0">
      <x v="813"/>
    </i>
    <i t="data" r="0" i="0">
      <x v="659"/>
    </i>
    <i t="data" r="0" i="0">
      <x v="791"/>
    </i>
    <i t="data" r="0" i="0">
      <x v="926"/>
    </i>
    <i t="data" r="0" i="0">
      <x v="792"/>
    </i>
    <i t="data" r="0" i="0">
      <x v="928"/>
    </i>
    <i t="data" r="0" i="0">
      <x v="793"/>
    </i>
    <i t="data" r="0" i="0">
      <x v="930"/>
    </i>
    <i t="data" r="0" i="0">
      <x v="794"/>
    </i>
    <i t="data" r="0" i="0">
      <x v="932"/>
    </i>
    <i t="data" r="0" i="0">
      <x v="795"/>
    </i>
    <i t="data" r="0" i="0">
      <x v="936"/>
    </i>
    <i t="data" r="0" i="0">
      <x v="796"/>
    </i>
    <i t="data" r="0" i="0">
      <x v="636"/>
    </i>
    <i t="data" r="0" i="0">
      <x v="798"/>
    </i>
    <i t="data" r="0" i="0">
      <x v="555"/>
    </i>
    <i t="data" r="0" i="0">
      <x v="622"/>
    </i>
    <i t="data" r="0" i="0">
      <x v="589"/>
    </i>
    <i t="data" r="0" i="0">
      <x v="401"/>
    </i>
    <i t="data" r="0" i="0">
      <x v="536"/>
    </i>
    <i t="data" r="0" i="0">
      <x v="403"/>
    </i>
    <i t="data" r="0" i="0">
      <x v="573"/>
    </i>
    <i t="data" r="0" i="0">
      <x v="404"/>
    </i>
    <i t="data" r="0" i="0">
      <x v="605"/>
    </i>
    <i t="data" r="0" i="0">
      <x v="405"/>
    </i>
    <i t="data" r="0" i="0">
      <x v="338"/>
    </i>
    <i t="data" r="0" i="0">
      <x v="373"/>
    </i>
    <i t="data" r="0" i="0">
      <x v="547"/>
    </i>
    <i t="data" r="0" i="0">
      <x v="343"/>
    </i>
    <i t="data" r="0" i="0">
      <x v="363"/>
    </i>
    <i t="data" r="0" i="0">
      <x v="408"/>
    </i>
    <i t="data" r="0" i="0">
      <x v="581"/>
    </i>
    <i t="data" r="0" i="0">
      <x v="409"/>
    </i>
    <i t="data" r="0" i="0">
      <x v="391"/>
    </i>
    <i t="data" r="0" i="0">
      <x v="410"/>
    </i>
    <i t="data" r="0" i="0">
      <x v="614"/>
    </i>
    <i t="data" r="0" i="0">
      <x v="411"/>
    </i>
    <i t="data" r="0" i="0">
      <x v="522"/>
    </i>
    <i t="data" r="0" i="0">
      <x v="374"/>
    </i>
    <i t="data" r="0" i="0">
      <x v="530"/>
    </i>
    <i t="data" r="0" i="0">
      <x v="344"/>
    </i>
    <i t="data" r="0" i="0">
      <x v="360"/>
    </i>
    <i t="data" r="0" i="0">
      <x v="414"/>
    </i>
    <i t="data" r="0" i="0">
      <x v="551"/>
    </i>
    <i t="data" r="0" i="0">
      <x v="415"/>
    </i>
    <i t="data" r="0" i="0">
      <x v="559"/>
    </i>
    <i t="data" r="0" i="0">
      <x v="416"/>
    </i>
    <i t="data" r="0" i="0">
      <x v="569"/>
    </i>
    <i t="data" r="0" i="0">
      <x v="417"/>
    </i>
    <i t="data" r="0" i="0">
      <x v="386"/>
    </i>
    <i t="data" r="0" i="0">
      <x v="418"/>
    </i>
    <i t="data" r="0" i="0">
      <x v="341"/>
    </i>
    <i t="data" r="0" i="0">
      <x v="419"/>
    </i>
    <i t="data" r="0" i="0">
      <x v="365"/>
    </i>
    <i t="data" r="0" i="0">
      <x v="420"/>
    </i>
    <i t="data" r="0" i="0">
      <x v="601"/>
    </i>
    <i t="data" r="0" i="0">
      <x v="421"/>
    </i>
    <i t="data" r="0" i="0">
      <x v="610"/>
    </i>
    <i t="data" r="0" i="0">
      <x v="422"/>
    </i>
    <i t="data" r="0" i="0">
      <x v="618"/>
    </i>
    <i t="data" r="0" i="0">
      <x v="423"/>
    </i>
    <i t="data" r="0" i="0">
      <x v="626"/>
    </i>
    <i t="data" r="0" i="0">
      <x v="345"/>
    </i>
    <i t="data" r="0" i="0">
      <x v="524"/>
    </i>
    <i t="data" r="0" i="0">
      <x v="425"/>
    </i>
    <i t="data" r="0" i="0">
      <x v="528"/>
    </i>
    <i t="data" r="0" i="0">
      <x v="346"/>
    </i>
    <i t="data" r="0" i="0">
      <x v="382"/>
    </i>
    <i t="data" r="0" i="0">
      <x v="427"/>
    </i>
    <i t="data" r="0" i="0">
      <x v="359"/>
    </i>
    <i t="data" r="0" i="0">
      <x v="428"/>
    </i>
    <i t="data" r="0" i="0">
      <x v="545"/>
    </i>
    <i t="data" r="0" i="0">
      <x v="429"/>
    </i>
    <i t="data" r="0" i="0">
      <x v="361"/>
    </i>
    <i t="data" r="0" i="0">
      <x v="431"/>
    </i>
    <i t="data" r="0" i="0">
      <x v="553"/>
    </i>
    <i t="data" r="0" i="0">
      <x v="432"/>
    </i>
    <i t="data" r="0" i="0">
      <x v="557"/>
    </i>
    <i t="data" r="0" i="0">
      <x v="375"/>
    </i>
    <i t="data" r="0" i="0">
      <x v="561"/>
    </i>
    <i t="data" r="0" i="0">
      <x v="435"/>
    </i>
    <i t="data" r="0" i="0">
      <x v="567"/>
    </i>
    <i t="data" r="0" i="0">
      <x v="439"/>
    </i>
    <i t="data" r="0" i="0">
      <x v="371"/>
    </i>
    <i t="data" r="0" i="0">
      <x v="347"/>
    </i>
    <i t="data" r="0" i="0">
      <x v="575"/>
    </i>
    <i t="data" r="0" i="0">
      <x v="441"/>
    </i>
    <i t="data" r="0" i="0">
      <x v="387"/>
    </i>
    <i t="data" r="0" i="0">
      <x v="339"/>
    </i>
    <i t="data" r="0" i="0">
      <x v="583"/>
    </i>
    <i t="data" r="0" i="0">
      <x v="443"/>
    </i>
    <i t="data" r="0" i="0">
      <x v="587"/>
    </i>
    <i t="data" r="0" i="0">
      <x v="348"/>
    </i>
    <i t="data" r="0" i="0">
      <x v="591"/>
    </i>
    <i t="data" r="0" i="0">
      <x v="445"/>
    </i>
    <i t="data" r="0" i="0">
      <x v="595"/>
    </i>
    <i t="data" r="0" i="0">
      <x v="349"/>
    </i>
    <i t="data" r="0" i="0">
      <x v="599"/>
    </i>
    <i t="data" r="0" i="0">
      <x v="447"/>
    </i>
    <i t="data" r="0" i="0">
      <x v="603"/>
    </i>
    <i t="data" r="0" i="0">
      <x v="448"/>
    </i>
    <i t="data" r="0" i="0">
      <x v="607"/>
    </i>
    <i t="data" r="0" i="0">
      <x v="449"/>
    </i>
    <i t="data" r="0" i="0">
      <x v="392"/>
    </i>
    <i t="data" r="0" i="0">
      <x v="450"/>
    </i>
    <i t="data" r="0" i="0">
      <x v="616"/>
    </i>
    <i t="data" r="0" i="0">
      <x v="451"/>
    </i>
    <i t="data" r="0" i="0">
      <x v="394"/>
    </i>
    <i t="data" r="0" i="0">
      <x v="452"/>
    </i>
    <i t="data" r="0" i="0">
      <x v="624"/>
    </i>
    <i t="data" r="0" i="0">
      <x v="377"/>
    </i>
    <i t="data" r="0" i="0">
      <x v="400"/>
    </i>
    <i t="data" r="0" i="0">
      <x v="456"/>
    </i>
    <i t="data" r="0" i="0">
      <x v="523"/>
    </i>
    <i t="data" r="0" i="0">
      <x v="457"/>
    </i>
    <i t="data" r="0" i="0">
      <x v="525"/>
    </i>
    <i t="data" r="0" i="0">
      <x v="458"/>
    </i>
    <i t="data" r="0" i="0">
      <x v="527"/>
    </i>
    <i t="data" r="0" i="0">
      <x v="460"/>
    </i>
    <i t="data" r="0" i="0">
      <x v="529"/>
    </i>
    <i t="data" r="0" i="0">
      <x v="462"/>
    </i>
    <i t="data" r="0" i="0">
      <x v="532"/>
    </i>
    <i t="data" r="0" i="0">
      <x v="463"/>
    </i>
    <i t="data" r="0" i="0">
      <x v="535"/>
    </i>
    <i t="data" r="0" i="0">
      <x v="378"/>
    </i>
    <i t="data" r="0" i="0">
      <x v="358"/>
    </i>
    <i t="data" r="0" i="0">
      <x v="466"/>
    </i>
    <i t="data" r="0" i="0">
      <x v="541"/>
    </i>
    <i t="data" r="0" i="0">
      <x v="467"/>
    </i>
    <i t="data" r="0" i="0">
      <x v="544"/>
    </i>
    <i t="data" r="0" i="0">
      <x v="468"/>
    </i>
    <i t="data" r="0" i="0">
      <x v="546"/>
    </i>
    <i t="data" r="0" i="0">
      <x v="469"/>
    </i>
    <i t="data" r="0" i="0">
      <x v="548"/>
    </i>
    <i t="data" r="0" i="0">
      <x v="470"/>
    </i>
    <i t="data" r="0" i="0">
      <x v="550"/>
    </i>
    <i t="data" r="0" i="0">
      <x v="471"/>
    </i>
    <i t="data" r="0" i="0">
      <x v="552"/>
    </i>
    <i t="data" r="0" i="0">
      <x v="472"/>
    </i>
    <i t="data" r="0" i="0">
      <x v="384"/>
    </i>
    <i t="data" r="0" i="0">
      <x v="340"/>
    </i>
    <i t="data" r="0" i="0">
      <x v="556"/>
    </i>
    <i t="data" r="0" i="0">
      <x v="478"/>
    </i>
    <i t="data" r="0" i="0">
      <x v="558"/>
    </i>
    <i t="data" r="0" i="0">
      <x v="481"/>
    </i>
    <i t="data" r="0" i="0">
      <x v="560"/>
    </i>
    <i t="data" r="0" i="0">
      <x v="482"/>
    </i>
    <i t="data" r="0" i="0">
      <x v="362"/>
    </i>
    <i t="data" r="0" i="0">
      <x v="485"/>
    </i>
    <i t="data" r="0" i="0">
      <x v="566"/>
    </i>
    <i t="data" r="0" i="0">
      <x v="486"/>
    </i>
    <i t="data" r="0" i="0">
      <x v="568"/>
    </i>
    <i t="data" r="0" i="0">
      <x v="628"/>
    </i>
    <i t="data" r="0" i="0">
      <x v="570"/>
    </i>
    <i t="data" r="0" i="0">
      <x v="629"/>
    </i>
    <i t="data" r="0" i="0">
      <x v="572"/>
    </i>
    <i t="data" r="0" i="0">
      <x v="631"/>
    </i>
    <i t="data" r="0" i="0">
      <x v="574"/>
    </i>
    <i t="data" r="0" i="0">
      <x v="633"/>
    </i>
    <i t="data" r="0" i="0">
      <x v="364"/>
    </i>
    <i t="data" r="0" i="0">
      <x v="635"/>
    </i>
    <i t="data" r="0" i="0">
      <x v="578"/>
    </i>
    <i t="data" r="0" i="0">
      <x v="493"/>
    </i>
    <i t="data" r="0" i="0">
      <x v="580"/>
    </i>
    <i t="data" r="0" i="0">
      <x v="350"/>
    </i>
    <i t="data" r="0" i="0">
      <x v="582"/>
    </i>
    <i t="data" r="0" i="0">
      <x v="495"/>
    </i>
    <i t="data" r="0" i="0">
      <x v="584"/>
    </i>
    <i t="data" r="0" i="0">
      <x v="496"/>
    </i>
    <i t="data" r="0" i="0">
      <x v="586"/>
    </i>
    <i t="data" r="0" i="0">
      <x v="497"/>
    </i>
    <i t="data" r="0" i="0">
      <x v="588"/>
    </i>
    <i t="data" r="0" i="0">
      <x v="498"/>
    </i>
    <i t="data" r="0" i="0">
      <x v="590"/>
    </i>
    <i t="data" r="0" i="0">
      <x v="499"/>
    </i>
    <i t="data" r="0" i="0">
      <x v="592"/>
    </i>
    <i t="data" r="0" i="0">
      <x v="351"/>
    </i>
    <i t="data" r="0" i="0">
      <x v="390"/>
    </i>
    <i t="data" r="0" i="0">
      <x v="352"/>
    </i>
    <i t="data" r="0" i="0">
      <x v="596"/>
    </i>
    <i t="data" r="0" i="0">
      <x v="502"/>
    </i>
    <i t="data" r="0" i="0">
      <x v="598"/>
    </i>
    <i t="data" r="0" i="0">
      <x v="504"/>
    </i>
    <i t="data" r="0" i="0">
      <x v="366"/>
    </i>
    <i t="data" r="0" i="0">
      <x v="505"/>
    </i>
    <i t="data" r="0" i="0">
      <x v="602"/>
    </i>
    <i t="data" r="0" i="0">
      <x v="507"/>
    </i>
    <i t="data" r="0" i="0">
      <x v="604"/>
    </i>
    <i t="data" r="0" i="0">
      <x v="370"/>
    </i>
    <i t="data" r="0" i="0">
      <x v="606"/>
    </i>
    <i t="data" r="0" i="0">
      <x v="510"/>
    </i>
    <i t="data" r="0" i="0">
      <x v="367"/>
    </i>
    <i t="data" r="0" i="0">
      <x v="353"/>
    </i>
    <i t="data" r="0" i="0">
      <x v="611"/>
    </i>
    <i t="data" r="0" i="0">
      <x v="512"/>
    </i>
    <i t="data" r="0" i="0">
      <x v="368"/>
    </i>
    <i t="data" r="0" i="0">
      <x v="381"/>
    </i>
    <i t="data" r="0" i="0">
      <x v="615"/>
    </i>
    <i t="data" r="0" i="0">
      <x v="336"/>
    </i>
    <i t="data" r="0" i="0">
      <x v="393"/>
    </i>
    <i t="data" r="0" i="0">
      <x v="515"/>
    </i>
    <i t="data" r="0" i="0">
      <x v="619"/>
    </i>
    <i t="data" r="0" i="0">
      <x v="355"/>
    </i>
    <i t="data" r="0" i="0">
      <x v="342"/>
    </i>
    <i t="data" r="0" i="0">
      <x v="517"/>
    </i>
    <i t="data" r="0" i="0">
      <x v="398"/>
    </i>
    <i t="data" r="0" i="0">
      <x v="518"/>
    </i>
    <i t="data" r="0" i="0">
      <x v="625"/>
    </i>
    <i t="data" r="0" i="0">
      <x v="519"/>
    </i>
    <i t="data" r="0" i="0">
      <x v="627"/>
    </i>
    <i t="data" r="0" i="0">
      <x v="356"/>
    </i>
    <i t="data" r="0" i="0">
      <x v="521"/>
    </i>
    <i t="data" r="0" i="0">
      <x v="630"/>
    </i>
    <i t="data" r="0" i="0">
      <x v="489"/>
    </i>
    <i t="data" r="0" i="0">
      <x v="632"/>
    </i>
    <i t="data" r="0" i="0">
      <x v="490"/>
    </i>
    <i t="data" r="0" i="0">
      <x v="634"/>
    </i>
    <i t="data" r="0" i="0">
      <x v="491"/>
    </i>
    <i t="data" r="0" i="0">
      <x v="335"/>
    </i>
    <i t="data" r="0" i="0">
      <x v="492"/>
    </i>
    <i t="data" r="0" i="0">
      <x v="234"/>
    </i>
    <i t="data" r="0" i="0">
      <x v="313"/>
    </i>
    <i t="data" r="0" i="0">
      <x v="277"/>
    </i>
    <i t="data" r="0" i="0">
      <x v="71"/>
    </i>
    <i t="data" r="0" i="0">
      <x v="7"/>
    </i>
    <i t="data" r="0" i="0">
      <x v="72"/>
    </i>
    <i t="data" r="0" i="0">
      <x v="254"/>
    </i>
    <i t="data" r="0" i="0">
      <x v="73"/>
    </i>
    <i t="data" r="0" i="0">
      <x v="296"/>
    </i>
    <i t="data" r="0" i="0">
      <x v="75"/>
    </i>
    <i t="data" r="0" i="0">
      <x v="208"/>
    </i>
    <i t="data" r="0" i="0">
      <x v="76"/>
    </i>
    <i t="data" r="0" i="0">
      <x v="226"/>
    </i>
    <i t="data" r="0" i="0">
      <x v="77"/>
    </i>
    <i t="data" r="0" i="0">
      <x v="243"/>
    </i>
    <i t="data" r="0" i="0">
      <x v="80"/>
    </i>
    <i t="data" r="0" i="0">
      <x v="267"/>
    </i>
    <i t="data" r="0" i="0">
      <x v="8"/>
    </i>
    <i t="data" r="0" i="0">
      <x v="287"/>
    </i>
    <i t="data" r="0" i="0">
      <x v="84"/>
    </i>
    <i t="data" r="0" i="0">
      <x v="39"/>
    </i>
    <i t="data" r="0" i="0">
      <x v="85"/>
    </i>
    <i t="data" r="0" i="0">
      <x v="47"/>
    </i>
    <i t="data" r="0" i="0">
      <x v="86"/>
    </i>
    <i t="data" r="0" i="0">
      <x v="213"/>
    </i>
    <i t="data" r="0" i="0">
      <x v="9"/>
    </i>
    <i t="data" r="0" i="0">
      <x v="222"/>
    </i>
    <i t="data" r="0" i="0">
      <x v="88"/>
    </i>
    <i t="data" r="0" i="0">
      <x v="230"/>
    </i>
    <i t="data" r="0" i="0">
      <x v="89"/>
    </i>
    <i t="data" r="0" i="0">
      <x v="238"/>
    </i>
    <i t="data" r="0" i="0">
      <x v="52"/>
    </i>
    <i t="data" r="0" i="0">
      <x v="248"/>
    </i>
    <i t="data" r="0" i="0">
      <x v="91"/>
    </i>
    <i t="data" r="0" i="0">
      <x v="34"/>
    </i>
    <i t="data" r="0" i="0">
      <x v="10"/>
    </i>
    <i t="data" r="0" i="0">
      <x v="273"/>
    </i>
    <i t="data" r="0" i="0">
      <x v="94"/>
    </i>
    <i t="data" r="0" i="0">
      <x v="37"/>
    </i>
    <i t="data" r="0" i="0">
      <x v="95"/>
    </i>
    <i t="data" r="0" i="0">
      <x v="291"/>
    </i>
    <i t="data" r="0" i="0">
      <x v="96"/>
    </i>
    <i t="data" r="0" i="0">
      <x v="300"/>
    </i>
    <i t="data" r="0" i="0">
      <x v="11"/>
    </i>
    <i t="data" r="0" i="0">
      <x v="308"/>
    </i>
    <i t="data" r="0" i="0">
      <x v="99"/>
    </i>
    <i t="data" r="0" i="0">
      <x v="318"/>
    </i>
    <i t="data" r="0" i="0">
      <x v="100"/>
    </i>
    <i t="data" r="0" i="0">
      <x v="327"/>
    </i>
    <i t="data" r="0" i="0">
      <x v="101"/>
    </i>
    <i t="data" r="0" i="0">
      <x v="61"/>
    </i>
    <i t="data" r="0" i="0">
      <x v="106"/>
    </i>
    <i t="data" r="0" i="0">
      <x v="216"/>
    </i>
    <i t="data" r="0" i="0">
      <x v="107"/>
    </i>
    <i t="data" r="0" i="0">
      <x v="220"/>
    </i>
    <i t="data" r="0" i="0">
      <x v="1"/>
    </i>
    <i t="data" r="0" i="0">
      <x v="224"/>
    </i>
    <i t="data" r="0" i="0">
      <x v="109"/>
    </i>
    <i t="data" r="0" i="0">
      <x v="31"/>
    </i>
    <i t="data" r="0" i="0">
      <x v="111"/>
    </i>
    <i t="data" r="0" i="0">
      <x v="232"/>
    </i>
    <i t="data" r="0" i="0">
      <x v="112"/>
    </i>
    <i t="data" r="0" i="0">
      <x v="236"/>
    </i>
    <i t="data" r="0" i="0">
      <x v="113"/>
    </i>
    <i t="data" r="0" i="0">
      <x v="240"/>
    </i>
    <i t="data" r="0" i="0">
      <x v="114"/>
    </i>
    <i t="data" r="0" i="0">
      <x v="246"/>
    </i>
    <i t="data" r="0" i="0">
      <x v="115"/>
    </i>
    <i t="data" r="0" i="0">
      <x v="32"/>
    </i>
    <i t="data" r="0" i="0">
      <x v="116"/>
    </i>
    <i t="data" r="0" i="0">
      <x v="256"/>
    </i>
    <i t="data" r="0" i="0">
      <x v="117"/>
    </i>
    <i t="data" r="0" i="0">
      <x v="262"/>
    </i>
    <i t="data" r="0" i="0">
      <x v="16"/>
    </i>
    <i t="data" r="0" i="0">
      <x v="271"/>
    </i>
    <i t="data" r="0" i="0">
      <x v="53"/>
    </i>
    <i t="data" r="0" i="0">
      <x v="275"/>
    </i>
    <i t="data" r="0" i="0">
      <x v="6"/>
    </i>
    <i t="data" r="0" i="0">
      <x v="279"/>
    </i>
    <i t="data" r="0" i="0">
      <x v="122"/>
    </i>
    <i t="data" r="0" i="0">
      <x v="285"/>
    </i>
    <i t="data" r="0" i="0">
      <x v="17"/>
    </i>
    <i t="data" r="0" i="0">
      <x v="289"/>
    </i>
    <i t="data" r="0" i="0">
      <x v="125"/>
    </i>
    <i t="data" r="0" i="0">
      <x v="293"/>
    </i>
    <i t="data" r="0" i="0">
      <x v="126"/>
    </i>
    <i t="data" r="0" i="0">
      <x v="298"/>
    </i>
    <i t="data" r="0" i="0">
      <x v="127"/>
    </i>
    <i t="data" r="0" i="0">
      <x v="302"/>
    </i>
    <i t="data" r="0" i="0">
      <x v="128"/>
    </i>
    <i t="data" r="0" i="0">
      <x v="306"/>
    </i>
    <i t="data" r="0" i="0">
      <x v="129"/>
    </i>
    <i t="data" r="0" i="0">
      <x v="310"/>
    </i>
    <i t="data" r="0" i="0">
      <x v="130"/>
    </i>
    <i t="data" r="0" i="0">
      <x v="315"/>
    </i>
    <i t="data" r="0" i="0">
      <x v="131"/>
    </i>
    <i t="data" r="0" i="0">
      <x v="320"/>
    </i>
    <i t="data" r="0" i="0">
      <x v="132"/>
    </i>
    <i t="data" r="0" i="0">
      <x v="325"/>
    </i>
    <i t="data" r="0" i="0">
      <x v="133"/>
    </i>
    <i t="data" r="0" i="0">
      <x v="329"/>
    </i>
    <i t="data" r="0" i="0">
      <x v="134"/>
    </i>
    <i t="data" r="0" i="0">
      <x v="4"/>
    </i>
    <i t="data" r="0" i="0">
      <x v="135"/>
    </i>
    <i t="data" r="0" i="0">
      <x v="212"/>
    </i>
    <i t="data" r="0" i="0">
      <x v="136"/>
    </i>
    <i t="data" r="0" i="0">
      <x v="30"/>
    </i>
    <i t="data" r="0" i="0">
      <x v="137"/>
    </i>
    <i t="data" r="0" i="0">
      <x v="217"/>
    </i>
    <i t="data" r="0" i="0">
      <x v="55"/>
    </i>
    <i t="data" r="0" i="0">
      <x v="219"/>
    </i>
    <i t="data" r="0" i="0">
      <x v="139"/>
    </i>
    <i t="data" r="0" i="0">
      <x v="221"/>
    </i>
    <i t="data" r="0" i="0">
      <x v="141"/>
    </i>
    <i t="data" r="0" i="0">
      <x v="223"/>
    </i>
    <i t="data" r="0" i="0">
      <x v="56"/>
    </i>
    <i t="data" r="0" i="0">
      <x v="63"/>
    </i>
    <i t="data" r="0" i="0">
      <x v="145"/>
    </i>
    <i t="data" r="0" i="0">
      <x v="227"/>
    </i>
    <i t="data" r="0" i="0">
      <x v="148"/>
    </i>
    <i t="data" r="0" i="0">
      <x v="229"/>
    </i>
    <i t="data" r="0" i="0">
      <x v="149"/>
    </i>
    <i t="data" r="0" i="0">
      <x v="231"/>
    </i>
    <i t="data" r="0" i="0">
      <x v="18"/>
    </i>
    <i t="data" r="0" i="0">
      <x v="233"/>
    </i>
    <i t="data" r="0" i="0">
      <x v="153"/>
    </i>
    <i t="data" r="0" i="0">
      <x v="235"/>
    </i>
    <i t="data" r="0" i="0">
      <x v="57"/>
    </i>
    <i t="data" r="0" i="0">
      <x v="237"/>
    </i>
    <i t="data" r="0" i="0">
      <x v="156"/>
    </i>
    <i t="data" r="0" i="0">
      <x v="239"/>
    </i>
    <i t="data" r="0" i="0">
      <x v="58"/>
    </i>
    <i t="data" r="0" i="0">
      <x v="241"/>
    </i>
    <i t="data" r="0" i="0">
      <x v="158"/>
    </i>
    <i t="data" r="0" i="0">
      <x v="244"/>
    </i>
    <i t="data" r="0" i="0">
      <x v="159"/>
    </i>
    <i t="data" r="0" i="0">
      <x v="247"/>
    </i>
    <i t="data" r="0" i="0">
      <x v="160"/>
    </i>
    <i t="data" r="0" i="0">
      <x v="64"/>
    </i>
    <i t="data" r="0" i="0">
      <x v="19"/>
    </i>
    <i t="data" r="0" i="0">
      <x v="253"/>
    </i>
    <i t="data" r="0" i="0">
      <x v="163"/>
    </i>
    <i t="data" r="0" i="0">
      <x v="33"/>
    </i>
    <i t="data" r="0" i="0">
      <x v="164"/>
    </i>
    <i t="data" r="0" i="0">
      <x v="257"/>
    </i>
    <i t="data" r="0" i="0">
      <x v="166"/>
    </i>
    <i t="data" r="0" i="0">
      <x v="261"/>
    </i>
    <i t="data" r="0" i="0">
      <x v="167"/>
    </i>
    <i t="data" r="0" i="0">
      <x v="263"/>
    </i>
    <i t="data" r="0" i="0">
      <x v="168"/>
    </i>
    <i t="data" r="0" i="0">
      <x v="35"/>
    </i>
    <i t="data" r="0" i="0">
      <x v="169"/>
    </i>
    <i t="data" r="0" i="0">
      <x v="272"/>
    </i>
    <i t="data" r="0" i="0">
      <x v="170"/>
    </i>
    <i t="data" r="0" i="0">
      <x v="274"/>
    </i>
    <i t="data" r="0" i="0">
      <x v="176"/>
    </i>
    <i t="data" r="0" i="0">
      <x v="276"/>
    </i>
    <i t="data" r="0" i="0">
      <x v="0"/>
    </i>
    <i t="data" r="0" i="0">
      <x v="65"/>
    </i>
    <i t="data" r="0" i="0">
      <x v="20"/>
    </i>
    <i t="data" r="0" i="0">
      <x v="5"/>
    </i>
    <i t="data" r="0" i="0">
      <x v="180"/>
    </i>
    <i t="data" r="0" i="0">
      <x v="284"/>
    </i>
    <i t="data" r="0" i="0">
      <x v="181"/>
    </i>
    <i t="data" r="0" i="0">
      <x v="286"/>
    </i>
    <i t="data" r="0" i="0">
      <x v="182"/>
    </i>
    <i t="data" r="0" i="0">
      <x v="67"/>
    </i>
    <i t="data" r="0" i="0">
      <x v="183"/>
    </i>
    <i t="data" r="0" i="0">
      <x v="290"/>
    </i>
    <i t="data" r="0" i="0">
      <x v="184"/>
    </i>
    <i t="data" r="0" i="0">
      <x v="292"/>
    </i>
    <i t="data" r="0" i="0">
      <x v="185"/>
    </i>
    <i t="data" r="0" i="0">
      <x v="68"/>
    </i>
    <i t="data" r="0" i="0">
      <x v="59"/>
    </i>
    <i t="data" r="0" i="0">
      <x v="297"/>
    </i>
    <i t="data" r="0" i="0">
      <x v="189"/>
    </i>
    <i t="data" r="0" i="0">
      <x v="299"/>
    </i>
    <i t="data" r="0" i="0">
      <x v="190"/>
    </i>
    <i t="data" r="0" i="0">
      <x v="51"/>
    </i>
    <i t="data" r="0" i="0">
      <x v="191"/>
    </i>
    <i t="data" r="0" i="0">
      <x v="303"/>
    </i>
    <i t="data" r="0" i="0">
      <x v="192"/>
    </i>
    <i t="data" r="0" i="0">
      <x v="305"/>
    </i>
    <i t="data" r="0" i="0">
      <x v="193"/>
    </i>
    <i t="data" r="0" i="0">
      <x v="307"/>
    </i>
    <i t="data" r="0" i="0">
      <x v="194"/>
    </i>
    <i t="data" r="0" i="0">
      <x v="309"/>
    </i>
    <i t="data" r="0" i="0">
      <x v="330"/>
    </i>
    <i t="data" r="0" i="0">
      <x v="41"/>
    </i>
    <i t="data" r="0" i="0">
      <x v="332"/>
    </i>
    <i t="data" r="0" i="0">
      <x v="314"/>
    </i>
    <i t="data" r="0" i="0">
      <x v="334"/>
    </i>
    <i t="data" r="0" i="0">
      <x v="316"/>
    </i>
    <i t="data" r="0" i="0">
      <x v="3"/>
    </i>
    <i t="data" r="0" i="0">
      <x v="44"/>
    </i>
    <i t="data" r="0" i="0">
      <x v="201"/>
    </i>
    <i t="data" r="0" i="0">
      <x v="321"/>
    </i>
    <i t="data" r="0" i="0">
      <x v="60"/>
    </i>
    <i t="data" r="0" i="0">
      <x v="324"/>
    </i>
    <i t="data" r="0" i="0">
      <x v="23"/>
    </i>
    <i t="data" r="0" i="0">
      <x v="48"/>
    </i>
    <i t="data" r="0" i="0">
      <x v="205"/>
    </i>
    <i t="data" r="0" i="0">
      <x v="328"/>
    </i>
    <i t="data" r="0" i="0">
      <x v="206"/>
    </i>
    <i t="data" r="0" i="0">
      <x v="70"/>
    </i>
    <i t="data" r="0" i="0">
      <x v="207"/>
    </i>
    <i t="data" r="0" i="0">
      <x v="195"/>
    </i>
    <i t="data" r="0" i="0">
      <x v="333"/>
    </i>
    <i t="data" r="0" i="0">
      <x v="197"/>
    </i>
    <i t="data" r="0" i="0">
      <x v="50"/>
    </i>
    <i t="data" r="0" i="0">
      <x v="198"/>
    </i>
    <i t="data" r="0" i="0">
      <x v="1410"/>
    </i>
    <i t="data" r="0" i="0">
      <x v="1330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pageFields count="1">
    <pageField fld="17" hier="-1"/>
  </pageFields>
  <dataFields count="4">
    <dataField name="Count of DATE" fld="17" subtotal="count" showDataAs="normal" baseField="0" baseItem="0"/>
    <dataField name="Sum of SOLD PRICE" fld="14" subtotal="sum" showDataAs="normal" baseField="18" baseItem="0" numFmtId="6"/>
    <dataField name="Average of SOLD PRICE2" fld="14" subtotal="average" showDataAs="normal" baseField="18" baseItem="0" numFmtId="6"/>
    <dataField name="Average of SOLD CAP" fld="16" subtotal="average" showDataAs="normal" baseField="18" baseItem="0"/>
  </dataFields>
  <formats count="2">
    <format action="formatting">
      <pivotArea type="normal" dataOnly="1" outline="0" collapsedLevelsAreSubtotals="1" fieldPosition="0">
        <references count="1">
          <reference field="4294967294" selected="0">
            <x v="1"/>
            <x v="2"/>
          </reference>
        </references>
      </pivotArea>
    </format>
    <format action="formatting">
      <pivotArea type="normal" dataOnly="1" outline="1" collapsedLevelsAreSubtotals="1" fieldPosition="0">
        <references count="2">
          <reference field="4294967294" selected="0">
            <x v="3"/>
          </reference>
          <reference field="18">
            <x v="0"/>
            <x v="1"/>
            <x v="2"/>
            <x v="3"/>
            <x v="4"/>
            <x v="6"/>
            <x v="7"/>
            <x v="8"/>
            <x v="9"/>
            <x v="10"/>
            <x v="11"/>
            <x v="14"/>
            <x v="16"/>
            <x v="17"/>
            <x v="18"/>
            <x v="19"/>
            <x v="20"/>
            <x v="22"/>
            <x v="23"/>
            <x v="24"/>
            <x v="26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5"/>
            <x v="76"/>
            <x v="77"/>
            <x v="78"/>
            <x v="80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5"/>
            <x v="146"/>
            <x v="147"/>
            <x v="148"/>
            <x v="149"/>
            <x v="150"/>
            <x v="152"/>
            <x v="153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7"/>
            <x v="178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1"/>
            <x v="202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3"/>
            <x v="244"/>
            <x v="246"/>
            <x v="247"/>
            <x v="248"/>
            <x v="249"/>
            <x v="250"/>
            <x v="251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7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8"/>
            <x v="300"/>
            <x v="301"/>
            <x v="302"/>
            <x v="304"/>
            <x v="306"/>
            <x v="308"/>
            <x v="310"/>
            <x v="311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9"/>
            <x v="480"/>
            <x v="481"/>
            <x v="482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2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2"/>
            <x v="663"/>
            <x v="664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3"/>
            <x v="694"/>
            <x v="695"/>
            <x v="696"/>
            <x v="697"/>
            <x v="699"/>
            <x v="700"/>
            <x v="701"/>
            <x v="702"/>
            <x v="703"/>
            <x v="704"/>
            <x v="706"/>
            <x v="707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2"/>
            <x v="723"/>
            <x v="724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8"/>
            <x v="799"/>
            <x v="800"/>
            <x v="801"/>
            <x v="802"/>
            <x v="803"/>
            <x v="804"/>
            <x v="805"/>
            <x v="806"/>
            <x v="807"/>
            <x v="808"/>
            <x v="809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Comps" displayName="Comps" ref="B3:AI2562" headerRowCount="1" totalsRowCount="1" headerRowDxfId="238" dataDxfId="237" totalsRowDxfId="236">
  <autoFilter ref="B3:AI2561">
    <filterColumn colId="16" hiddenButton="0" showButton="1">
      <filters>
        <filter val="5.34%"/>
        <filter val="5.96%"/>
        <filter val="6.00%"/>
        <filter val="6.01%"/>
        <filter val="6.10%"/>
        <filter val="6.15%"/>
        <filter val="6.18%"/>
        <filter val="6.19%"/>
        <filter val="6.28%"/>
      </filters>
    </filterColumn>
    <filterColumn colId="17" hiddenButton="0" showButton="1">
      <filters>
        <dateGroupItem year="2025" dateTimeGrouping="year"/>
        <dateGroupItem year="2024" dateTimeGrouping="year"/>
      </filters>
    </filterColumn>
    <filterColumn colId="18" hiddenButton="0" showButton="1">
      <filters blank="1">
        <filter val="11707 Whittier, LLC"/>
        <filter val="1213 Main-Milton-Freeman Ltd"/>
        <filter val="200 Pier Associates"/>
        <filter val="255 Warm Springs Holdings LLC"/>
        <filter val="820 Thompson Development Co"/>
        <filter val="927 Minnesota Property"/>
        <filter val="Aaron Shoaf"/>
        <filter val="AEI Captial Corp"/>
        <filter val="AFE, LLC"/>
        <filter val="Airport Center"/>
        <filter val="AKC LLC"/>
        <filter val="Akshar Development &amp; Investments LLC; Vishna Patel"/>
        <filter val="AL Saad &amp; Co."/>
        <filter val="Alan Zeiss"/>
        <filter val="Alderson Commercial"/>
        <filter val="Allen Gooding"/>
        <filter val="Alliance Consolidated Group of Companies"/>
        <filter val="Alliance Consolidated Group of Companies LLC"/>
        <filter val="AMA Investments of Florida, LLC"/>
        <filter val="Andre Gros-Balthazard"/>
        <filter val="Andrew Radoszewski"/>
        <filter val="Anila Doshi"/>
        <filter val="Anthony Holschbach"/>
        <filter val="Applegate-Hansen Building Partners"/>
        <filter val="ARC Construction Management LLC"/>
        <filter val="Aresh Family Trust"/>
        <filter val="Art Alger Heights, LLC"/>
        <filter val="ASP Development"/>
        <filter val="Aspen Asset Group"/>
        <filter val="Atlantic Collision"/>
        <filter val="Atlas Stark"/>
        <filter val="Atwood &amp; Atwood Investments"/>
        <filter val="Avalon Properties, LLC"/>
        <filter val="Baird Properties"/>
        <filter val="Baker and Baker"/>
        <filter val="Barry Shulman"/>
        <filter val="Barshay Real Estate"/>
        <filter val="Bashar Mourad"/>
        <filter val="Bay Development"/>
        <filter val="Behringer"/>
        <filter val="Belpointe"/>
        <filter val="Blair Companies Real Estate"/>
        <filter val="BLT LLC"/>
        <filter val="BlueRoad Ventures"/>
        <filter val="Bob Dutton"/>
        <filter val="Bob Vescovo"/>
        <filter val="Bowmar LLC"/>
        <filter val="Brad Franklin"/>
        <filter val="Brahin-Depg Dev Group"/>
        <filter val="Brands Properties"/>
        <filter val="Brauvin Real Estate"/>
        <filter val="Brian Buchert"/>
        <filter val="Brian J O'Dea"/>
        <filter val="BridgeJoin, LLC"/>
        <filter val="Bridgeville Professional Center, LLC"/>
        <filter val="Brock, LLC"/>
        <filter val="Brunswick Development"/>
        <filter val="Bttl LLC"/>
        <filter val="C &amp; C Real Estate Ventures, LLC"/>
        <filter val="C Patrick Cox"/>
        <filter val="Cadence Capital"/>
        <filter val="Calamar"/>
        <filter val="Cameron Management LLC"/>
        <filter val="Capital Square 1031"/>
        <filter val="Capital West Development"/>
        <filter val="CapTec Net Lease Realty"/>
        <filter val="Carion Clinic"/>
        <filter val="Carriage House"/>
        <filter val="Carrol Castille"/>
        <filter val="Cascadia Development Partners"/>
        <filter val="Catalyst HRE"/>
        <filter val="Catherine Joyner Trust"/>
        <filter val="CCFT Investments, LC"/>
        <filter val="Centres, Inc"/>
        <filter val="Chad Middendorf"/>
        <filter val="Chapman Ventures"/>
        <filter val="Choice One"/>
        <filter val="Choice One Development"/>
        <filter val="Choice One Property LLC"/>
        <filter val="Christopher O'Brien; Brock Transportation"/>
        <filter val="Chuck Johnston"/>
        <filter val="Clark Street Real Estate"/>
        <filter val="Clendenin Place"/>
        <filter val="Clermont Hancock Road, LLC"/>
        <filter val="Coaction Companies"/>
        <filter val="Cobra Investments"/>
        <filter val="Columbia Nephrology Associates"/>
        <filter val="COP Sandhill"/>
        <filter val="Copper Road Properties, LLC"/>
        <filter val="Coral Development Company"/>
        <filter val="Courtney Hobbs"/>
        <filter val="Cove Capital Investments LLC"/>
        <filter val="Craig Burrows"/>
        <filter val="Crescent Property"/>
        <filter val="Crevo Capital"/>
        <filter val="Cross Development"/>
        <filter val="Curis Development"/>
        <filter val="Cypress West Realty"/>
        <filter val="Dallas Dialysis Real Estate, LLC"/>
        <filter val="Dan C, Inc."/>
        <filter val="Dan Stein"/>
        <filter val="David Cunningham"/>
        <filter val="David Dollinger Trust"/>
        <filter val="David Lord"/>
        <filter val="David Rose"/>
        <filter val="David Shenton"/>
        <filter val="David Waller | Jack and Denise Stephens"/>
        <filter val="DaVita Dialysis Center"/>
        <filter val="DAVITA LLW AMIGO FRED VA LLC"/>
        <filter val="Dayan Gandhi"/>
        <filter val="Dayton Street Partners"/>
        <filter val="DBI Group"/>
        <filter val="DDC Portfolio"/>
        <filter val="DDYS Investments"/>
        <filter val="Depietro Trust"/>
        <filter val="Dewayne &amp; Kristie Carter"/>
        <filter val="Dialysis Owners LLC"/>
        <filter val="Dialysis Properties II, LLC"/>
        <filter val="Dialysis Venture Partners"/>
        <filter val="Dialysis Venture Partners of Greenville, LLC"/>
        <filter val="Dionysus Investments LLC"/>
        <filter val="Dirk Binnema"/>
        <filter val="DMC Properties, Inc"/>
        <filter val="Doctor Properties LLC"/>
        <filter val="Domenico Lombardi"/>
        <filter val="Dominick Veliko-Shapko"/>
        <filter val="Don Devine"/>
        <filter val="Dr. Hemant Dhingra"/>
        <filter val="Dr. Kamlesh Patel"/>
        <filter val="Dr. Michael Casey"/>
        <filter val="Dr. Ray Halker"/>
        <filter val="DRK FUND 1 LLC"/>
        <filter val="DSCO Real Estate"/>
        <filter val="DV Wyoming, LLC"/>
        <filter val="DVP of Boiling Springs LLC"/>
        <filter val="Earl Rittenberg"/>
        <filter val="East Hollywood Building Co LLC"/>
        <filter val="Eastern Medical Properties LLC"/>
        <filter val="Eastview Dialysis"/>
        <filter val="EDG-DV - East Wenatchee, LLC"/>
        <filter val="Edward Applefield"/>
        <filter val="EFPAR Development"/>
        <filter val="Elcan &amp; Associates"/>
        <filter val="Elliott Bay Capital"/>
        <filter val="Embree"/>
        <filter val="Embree Asset Group"/>
        <filter val="Embree Asset Group, Inc"/>
        <filter val="Emerald Property Group"/>
        <filter val="Empire Building, LLC"/>
        <filter val="Eric Young"/>
        <filter val="ExchangeRight"/>
        <filter val="Eyoung Investment/Eric Young"/>
        <filter val="F&amp;M Enterprises LLC"/>
        <filter val="Fairlawn Enterprises LLC"/>
        <filter val="Falcon Bishop Medical Building"/>
        <filter val="Feliciana Building"/>
        <filter val="First Development Group"/>
        <filter val="Florida Kidney"/>
        <filter val="Floyd Brown Living Trust 11/3/98"/>
        <filter val="FMC Centerville LLC"/>
        <filter val="Folger Partners"/>
        <filter val="Foresight DEV LLC"/>
        <filter val="Four Springs Capital"/>
        <filter val="Fox Developments, LLC"/>
        <filter val="Franklin Wade"/>
        <filter val="FRE Sikeston LLC"/>
        <filter val="Frederick Creech"/>
        <filter val="Fresenius Medical Care"/>
        <filter val="G3 Development"/>
        <filter val="Gary Nuckols"/>
        <filter val="Genesis Kc DEV, LLC"/>
        <filter val="Gerald Bloeser Trust"/>
        <filter val="Gerald Nielsen"/>
        <filter val="GH 9 LLC"/>
        <filter val="Ginder Development"/>
        <filter val="Gladys Apcar"/>
        <filter val="Grea Realty"/>
        <filter val="Greenwing"/>
        <filter val="Greg Margetich"/>
        <filter val="Greg Mikos"/>
        <filter val="Greystone Brokerage &amp; Development"/>
        <filter val="Grissom Family Land &amp; Cattle"/>
        <filter val="GW Properties"/>
        <filter val="Hamm Investments"/>
        <filter val="Harford Baltimore"/>
        <filter val="Haritha Properties LLC"/>
        <filter val="Harlem Life LLC"/>
        <filter val="Harmon Investment Properties"/>
        <filter val="Harvey Hanna"/>
        <filter val="Hathaway Dinwiddie"/>
        <filter val="Heidar Jonsson"/>
        <filter val="Hensen Property Company"/>
        <filter val="Hill Gray Seven, LLC"/>
        <filter val="Hirschi Associates"/>
        <filter val="Holiday Properties"/>
        <filter val="Holler Developers"/>
        <filter val="Howard Weintraub 1990 Trust"/>
        <filter val="Huffman Development"/>
        <filter val="Huntsville Renal Clinic"/>
        <filter val="Hurd Real Estate"/>
        <filter val="HW Holdings, LLC"/>
        <filter val="Illinois Renal Services"/>
        <filter val="INBRI Investment"/>
        <filter val="Inco, Inc."/>
        <filter val="IRA Capital"/>
        <filter val="James Bangert"/>
        <filter val="James K Stokes"/>
        <filter val="JB Realty Partners"/>
        <filter val="Jerome Glick Realty"/>
        <filter val="Jerry Huffman"/>
        <filter val="Jim Mauze"/>
        <filter val="Joel Brunt"/>
        <filter val="John Chambers"/>
        <filter val="John D'Amico"/>
        <filter val="John Dunnett"/>
        <filter val="Jon Wagnild"/>
        <filter val="Jormungandr LLC"/>
        <filter val="Josepho Group"/>
        <filter val="JRH Sherman, LLC"/>
        <filter val="Judd Properties"/>
        <filter val="Kaiju LLC"/>
        <filter val="Kairos Real Estate Partners"/>
        <filter val="KCR FMC"/>
        <filter val="Kendall Swenson"/>
        <filter val="Kendrew Development Company"/>
        <filter val="Kent Whiteaker"/>
        <filter val="Kessinger Hunter &amp; Company"/>
        <filter val="Kevork Belikian"/>
        <filter val="Kingsbarn Realty"/>
        <filter val="Kingsbarn Realty Capital"/>
        <filter val="Krishna Thavarajah"/>
        <filter val="Kupsch Trust"/>
        <filter val="Kwabena Adjei"/>
        <filter val="Kwon Family"/>
        <filter val="Lada, LP"/>
        <filter val="Lake Mead MLK LLC"/>
        <filter val="Larry Wilson"/>
        <filter val="Lat Purser &amp; Associates"/>
        <filter val="Lemone Family Limted"/>
        <filter val="LemRX"/>
        <filter val="Leon Capital"/>
        <filter val="Leonard Vaccariello"/>
        <filter val="Lincoln Way Properties"/>
        <filter val="Lloyd Berhoff"/>
        <filter val="LPT Enterprises"/>
        <filter val="Luther Properties"/>
        <filter val="Lynne Crowell Trust"/>
        <filter val="M. Fishman &amp; co."/>
        <filter val="Mainland Companies"/>
        <filter val="Mandeep Singh"/>
        <filter val="Marbur Development"/>
        <filter val="Maria Villareal Starnes"/>
        <filter val="MARKDEV-DV Shelton LLC"/>
        <filter val="Market Street Development"/>
        <filter val="Marketstreet Development"/>
        <filter val="Martin Teitelbaum"/>
        <filter val="Matt Kaufman"/>
        <filter val="Matthew Moschetti"/>
        <filter val="MDG Development"/>
        <filter val="MDG Development Group, LLC"/>
        <filter val="Meadows Zim"/>
        <filter val="Medco Development SC, LLC"/>
        <filter val="Medical Investments of Jonesboro, LLC"/>
        <filter val="Mehland Developers"/>
        <filter val="Melvin Hoeffilger"/>
        <filter val="Menlo Capital Group"/>
        <filter val="Meridian Property Company"/>
        <filter val="Merit Acquisition, LLC"/>
        <filter val="Metrolina Nephrology Associates"/>
        <filter val="Michael Cramer"/>
        <filter val="Michael Milone"/>
        <filter val="Mid-Ohio Screen Print"/>
        <filter val="Mitchell Asset Group"/>
        <filter val="Mona Strong"/>
        <filter val="Monroe RE LLC"/>
        <filter val="Montevallo AW, LP"/>
        <filter val="Moody Rambin"/>
        <filter val="Morris Inc."/>
        <filter val="Mosaic Properties &amp; Development"/>
        <filter val="MVP Investments"/>
        <filter val="Nathan Benderson Trust"/>
        <filter val="National Realty Exchange, Inc."/>
        <filter val="NCWY Partnership"/>
        <filter val="Nephrology Ventures"/>
        <filter val="Nephron Properties, LLC"/>
        <filter val="Net Lease Alliance"/>
        <filter val="Net Lease Alliance, LLC"/>
        <filter val="Net3 Real Estate"/>
        <filter val="New Highway Realty LLC"/>
        <filter val="Newport Capital Partners"/>
        <filter val="NewQuest Properties"/>
        <filter val="Nixon-Almkuist Properties"/>
        <filter val="NNA of Alabama"/>
        <filter val="NNA Prop of TN"/>
        <filter val="Noble Properties"/>
        <filter val="Northwest Nephrology Associates"/>
        <filter val="Nuveen"/>
        <filter val="NWI Medical Realty"/>
        <filter val="NWRC Ventures"/>
        <filter val="Ocala Kidney Group, Inc"/>
        <filter val="Ocean Block Capital"/>
        <filter val="Okada Bros. Inc"/>
        <filter val="Okmok Development"/>
        <filter val="Oman-Gibson Assocs"/>
        <filter val="Padova Trust"/>
        <filter val="Paige Baigis"/>
        <filter val="Palestra"/>
        <filter val="Palestra Properties"/>
        <filter val="Palestra Real Estate"/>
        <filter val="Palmetto Pines Golf Couse"/>
        <filter val="Patient Fusion"/>
        <filter val="Paul Bedhora"/>
        <filter val="Paul Williams"/>
        <filter val="PCI | HealthDev"/>
        <filter val="Pennmark Management Company"/>
        <filter val="Phoenix Realty Management"/>
        <filter val="Phyllis Gutman"/>
        <filter val="Physican's Capital Investments"/>
        <filter val="Piyush Kothary"/>
        <filter val="Port Salerno Properties, LLC"/>
        <filter val="Portneuf RE"/>
        <filter val="Practice Real Estate Group"/>
        <filter val="Preferred Medical Group"/>
        <filter val="PRES Companies"/>
        <filter val="Pro Health Properties II LP"/>
        <filter val="Proscenium Development"/>
        <filter val="Punta Rassa Capital LLC"/>
        <filter val="Purity Real Estate LLC"/>
        <filter val="R&amp;T Tash"/>
        <filter val="Raas Realty, LLC"/>
        <filter val="Rajendra Baliga"/>
        <filter val="Rajiv Poduval"/>
        <filter val="RAM Investments LLC"/>
        <filter val="Ramalay LLC"/>
        <filter val="Raven Resources LLC"/>
        <filter val="Ravi Ainpudy"/>
        <filter val="RE Holding, LLC"/>
        <filter val="RECO Medical Development Group"/>
        <filter val="Red Mountain Retail Group"/>
        <filter val="Redondo Industrial Development"/>
        <filter val="Renal Development, LLC"/>
        <filter val="Renal Enterprise LLC"/>
        <filter val="RHGC Investments, LLC"/>
        <filter val="Richard Portillo"/>
        <filter val="Rick Bus Co"/>
        <filter val="Ridgeline Capital Partners"/>
        <filter val="Ring Road Elizabethtown"/>
        <filter val="Ritchie Development"/>
        <filter val="RK Hoover"/>
        <filter val="RMALC, Inc."/>
        <filter val="Robert Brown Associates"/>
        <filter val="Robert Mendez"/>
        <filter val="Robert Wagner"/>
        <filter val="Rochester Group"/>
        <filter val="Rochkind LLC"/>
        <filter val="Rockland Capital"/>
        <filter val="Rockwell Debt Free Properties"/>
        <filter val="Rocky Stevens/Wellington Development"/>
        <filter val="Roebling"/>
        <filter val="Rood Investments LLC"/>
        <filter val="Roy Messick"/>
        <filter val="RPM Realty, LLC"/>
        <filter val="RS Lanza"/>
        <filter val="RSC Development Group"/>
        <filter val="RSR Realtors"/>
        <filter val="Ryan Transportation Services"/>
        <filter val="Saca Developent"/>
        <filter val="Sage Design Build"/>
        <filter val="Saginaw Real Estate LLC"/>
        <filter val="SAKDC"/>
        <filter val="SAMBAV, LLC"/>
        <filter val="Samet Properties"/>
        <filter val="Samuel Colson"/>
        <filter val="San Ysisdro SW, Ltd."/>
        <filter val="Satellite Healthcare, Inc."/>
        <filter val="SB Pacific Group"/>
        <filter val="SBS PAC Property, LLC"/>
        <filter val="Schlesinger Companies"/>
        <filter val="Schuford Development"/>
        <filter val="SDF Investment Properties"/>
        <filter val="Seakay Construction"/>
        <filter val="Shaun Joshi"/>
        <filter val="Shuford Development"/>
        <filter val="Silver Star Properties"/>
        <filter val="Solid Equities"/>
        <filter val="Solutions Healthcare Management"/>
        <filter val="Sonora Dialysis, LLC"/>
        <filter val="South Texas Renal Care"/>
        <filter val="Southeast Medical McCalla LLC"/>
        <filter val="Sovereign Investment Co"/>
        <filter val="Stablewood Properties"/>
        <filter val="Stenstrom Companies"/>
        <filter val="Stephen Harper"/>
        <filter val="Stephenson General Constractors"/>
        <filter val="Steve McLure"/>
        <filter val="Stone Oak Dialysis"/>
        <filter val="Stonelake Capital Partners"/>
        <filter val="Strategic Realty Trust, Inc."/>
        <filter val="Sturgis Renal Properties Llc"/>
        <filter val="Sukwon Lee"/>
        <filter val="Summit Land Development"/>
        <filter val="Sundance Capital"/>
        <filter val="Sundance Capital Partners"/>
        <filter val="Suntrust"/>
        <filter val="Susanne and William Black"/>
        <filter val="Sylvia S Belikian"/>
        <filter val="Tatum Real Estate"/>
        <filter val="The Holton Company"/>
        <filter val="The Lundy Group"/>
        <filter val="The Mainland Companies"/>
        <filter val="The Ribeiro Company"/>
        <filter val="The Sanders Trust"/>
        <filter val="The Subotnick Family Limited Partnership"/>
        <filter val="The Waterfall"/>
        <filter val="The Weitzman Group"/>
        <filter val="THN REAL ESTATE LLC"/>
        <filter val="Thomas &amp; Mac"/>
        <filter val="Thomas Burkart"/>
        <filter val="Thomas Taylor"/>
        <filter val="Thomas Woodridge"/>
        <filter val="Tidewater Physicians Multispecialty Group"/>
        <filter val="Timothy Bush"/>
        <filter val="Todd Avant"/>
        <filter val="Toneman Development Co"/>
        <filter val="Torrey Financial"/>
        <filter val="Trent Gustafson"/>
        <filter val="Triangle Capital Group"/>
        <filter val="Triple H Investments LLC"/>
        <filter val="Tri-South Contractors, Inc."/>
        <filter val="TRK Construction"/>
        <filter val="Troutman Dams"/>
        <filter val="Truist Financial"/>
        <filter val="Truist Securities, Inc (SunTrust / BB&amp;T)"/>
        <filter val="Trust 12558607"/>
        <filter val="Trust 90776"/>
        <filter val="Two Beans Properties"/>
        <filter val="Uchida Greenhouses"/>
        <filter val="UCR Development | Streetwise Retail Advisors"/>
        <filter val="Uma Kumar"/>
        <filter val="UP Enterprises, LLC"/>
        <filter val="Urfan Dar"/>
        <filter val="US Federal Properties"/>
        <filter val="US Renal Care"/>
        <filter val="UV Galleria Holdings LLC"/>
        <filter val="Vansciver Willingboro LLC"/>
        <filter val="Vault Equity Partners"/>
        <filter val="Vegas Summerlin, LLC"/>
        <filter val="Venkata Parsa"/>
        <filter val="Ventas Inc"/>
        <filter val="Vequity, LLC"/>
        <filter val="Vesey Street Capital Partners"/>
        <filter val="Vicks Investments LLC"/>
        <filter val="Victor Irelan"/>
        <filter val="Villamar, INC"/>
        <filter val="Vino Patel"/>
        <filter val="Virgata Property Company"/>
        <filter val="Vishnu Patel"/>
        <filter val="Vision Development"/>
        <filter val="W&amp;L Associates"/>
        <filter val="Weitzman Realty"/>
        <filter val="Wellington Development"/>
        <filter val="Wesley Calhoun"/>
        <filter val="West Salt Lake Real Estate Ventures, LLC"/>
        <filter val="West Texas Nephrology Associates"/>
        <filter val="Western Nephrology"/>
        <filter val="Westview 1116 LLC"/>
        <filter val="WFMC Investments, LLC"/>
        <filter val="William Cleveland"/>
        <filter val="William Dietz"/>
        <filter val="William Sanders Trust"/>
        <filter val="William Shackelford, Jr."/>
        <filter val="Wilmington, LLC"/>
        <filter val="Winchester Properties"/>
        <filter val="Windsor Development"/>
        <filter val="WT Dubois Construction, Inc."/>
        <filter val="WXR &amp; Associates"/>
        <filter val="Yellowhammer"/>
        <filter val="YJ Lee Realty Inc"/>
        <filter val="ZC Venures"/>
        <filter val="Zen-Prop LLC"/>
      </filters>
    </filterColumn>
  </autoFilter>
  <sortState ref="B4:AI2561">
    <sortCondition descending="1" ref="S3:S2561"/>
  </sortState>
  <tableColumns count="34">
    <tableColumn id="1" name="TENANT" totalsRowLabel="Total" dataDxfId="235" totalsRowDxfId="234"/>
    <tableColumn id="2" name="ADDRESS" dataDxfId="233" totalsRowDxfId="232"/>
    <tableColumn id="3" name="CITY" dataDxfId="231" totalsRowDxfId="230"/>
    <tableColumn id="4" name="STATE" dataDxfId="229" totalsRowDxfId="228"/>
    <tableColumn id="5" name="LAND" totalsRowFunction="average" dataDxfId="227" totalsRowDxfId="226"/>
    <tableColumn id="6" name="BUILT" totalsRowFunction="average" dataDxfId="225" totalsRowDxfId="224"/>
    <tableColumn id="7" name="RBA" totalsRowFunction="average" dataDxfId="223" totalsRowDxfId="222"/>
    <tableColumn id="8" name="RENT" dataDxfId="221" totalsRowDxfId="220"/>
    <tableColumn id="9" name="RENT/SF" totalsRowFunction="average" dataDxfId="219" totalsRowDxfId="218">
      <calculatedColumnFormula>IF(I4&gt;0,I4/H4," ")</calculatedColumnFormula>
    </tableColumn>
    <tableColumn id="10" name="EXP" dataDxfId="217" totalsRowDxfId="216"/>
    <tableColumn id="11" name="TERM" totalsRowFunction="average" dataDxfId="215" totalsRowDxfId="214">
      <calculatedColumnFormula>IF(K4&gt;0,(K4-Comps[[#This Row],[DATE]])/365," ")</calculatedColumnFormula>
    </tableColumn>
    <tableColumn id="12" name="EXPENSES" dataDxfId="213" totalsRowDxfId="212"/>
    <tableColumn id="13" name="BUMPS" dataDxfId="211" totalsRowDxfId="210"/>
    <tableColumn id="14" name="RENEWAL OPTIONS" dataDxfId="209" totalsRowDxfId="208"/>
    <tableColumn id="15" name="SOLD PRICE" totalsRowFunction="average" dataDxfId="207" totalsRowDxfId="206"/>
    <tableColumn id="16" name="SOLD/SF" totalsRowFunction="average" dataDxfId="205" totalsRowDxfId="204">
      <calculatedColumnFormula>IF(P4&gt;0,IF(H4&gt;0,P4/H4," ")," ")</calculatedColumnFormula>
    </tableColumn>
    <tableColumn id="17" name="SOLD CAP" totalsRowFunction="average" dataDxfId="203" totalsRowDxfId="202">
      <calculatedColumnFormula>IF(P4&gt;0,IF(I4&gt;0,I4/P4," ")," ")</calculatedColumnFormula>
    </tableColumn>
    <tableColumn id="18" name="DATE" totalsRowFunction="count" dataDxfId="201" totalsRowDxfId="200"/>
    <tableColumn id="31" name="SELLER" dataDxfId="199" totalsRowDxfId="198"/>
    <tableColumn id="30" name="L. BROKER" dataDxfId="197" totalsRowDxfId="196"/>
    <tableColumn id="29" name="BUYER" dataDxfId="195" totalsRowDxfId="194"/>
    <tableColumn id="32" name="Type" dataDxfId="193" totalsRowDxfId="192"/>
    <tableColumn id="34" name="Lender" dataDxfId="191" totalsRowDxfId="190"/>
    <tableColumn id="28" name="P. BROKER" dataDxfId="189" totalsRowDxfId="188"/>
    <tableColumn id="27" name="DEVELOPER" dataDxfId="187" totalsRowDxfId="186"/>
    <tableColumn id="19" name="INITIAL PRICE" dataDxfId="185" totalsRowDxfId="184"/>
    <tableColumn id="20" name="INITIAL CAP" totalsRowFunction="average" dataDxfId="183" totalsRowDxfId="182">
      <calculatedColumnFormula>IF(AA4&gt;0,IF(I4&gt;0,I4/AA4," ")," ")</calculatedColumnFormula>
    </tableColumn>
    <tableColumn id="21" name="% of Int Ach" totalsRowFunction="average" dataDxfId="181" totalsRowDxfId="180">
      <calculatedColumnFormula>IF(AA4&gt;0,IF(P4&gt;0,P4/AA4," ")," ")</calculatedColumnFormula>
    </tableColumn>
    <tableColumn id="22" name="LAST PRICE" dataDxfId="179" totalsRowDxfId="178"/>
    <tableColumn id="23" name="LAST CAP" totalsRowFunction="average" dataDxfId="177" totalsRowDxfId="176">
      <calculatedColumnFormula>IF(AD4&gt;0,IF(I4&gt;0,I4/AD4," ")," ")</calculatedColumnFormula>
    </tableColumn>
    <tableColumn id="33" name="BID-ASK SPREAD" dataDxfId="175" totalsRowDxfId="174">
      <calculatedColumnFormula>IF(ISNUMBER(Comps[[#This Row],[SOLD CAP]]),IF(ISNUMBER(Comps[[#This Row],[LAST CAP]]),Comps[[#This Row],[SOLD CAP]]-Comps[[#This Row],[LAST CAP]]," ")," ")</calculatedColumnFormula>
    </tableColumn>
    <tableColumn id="24" name="PRICE CHG" totalsRowFunction="custom" dataDxfId="173" totalsRowDxfId="172">
      <calculatedColumnFormula>IF(AD4&gt;0,IF(AA4&gt;0,IF(AD4=AA4,"No","Yes")," ")," ")</calculatedColumnFormula>
      <totalsRowFormula>COUNTIF(Comps[PRICE CHG],"Yes")</totalsRowFormula>
    </tableColumn>
    <tableColumn id="25" name="ON MARKET" totalsRowFunction="count" dataDxfId="171" totalsRowDxfId="170"/>
    <tableColumn id="26" name="DOM" totalsRowFunction="average" dataDxfId="169" totalsRowDxfId="168">
      <calculatedColumnFormula>IF(AH4&gt;0,S4-AH4," ")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2" name="Available" displayName="Available" ref="B3:AD153" headerRowCount="1" totalsRowCount="1" headerRowDxfId="167" dataDxfId="166" totalsRowDxfId="165">
  <autoFilter ref="B3:AD152">
    <filterColumn colId="3" hiddenButton="0" showButton="1">
      <filters>
        <filter val="CA"/>
      </filters>
    </filterColumn>
    <filterColumn colId="28" hiddenButton="0" showButton="1">
      <filters>
        <filter val="Available"/>
        <filter val="Under Contract"/>
      </filters>
    </filterColumn>
  </autoFilter>
  <sortState ref="B4:AD152">
    <sortCondition descending="1" ref="Z3:Z152"/>
  </sortState>
  <tableColumns count="29">
    <tableColumn id="1" name="TENANT" totalsRowLabel="Total" dataDxfId="164" totalsRowDxfId="163"/>
    <tableColumn id="2" name="ADDRESS" dataDxfId="162" totalsRowDxfId="161"/>
    <tableColumn id="3" name="CITY" dataDxfId="160" totalsRowDxfId="159"/>
    <tableColumn id="4" name="STATE" dataDxfId="158" totalsRowDxfId="157"/>
    <tableColumn id="5" name="LAND" totalsRowFunction="average" dataDxfId="156" totalsRowDxfId="155"/>
    <tableColumn id="6" name="BUILT" totalsRowFunction="average" dataDxfId="154" totalsRowDxfId="153"/>
    <tableColumn id="7" name="RBA" totalsRowFunction="average" dataDxfId="152" totalsRowDxfId="151"/>
    <tableColumn id="8" name="RENT" totalsRowFunction="average" dataDxfId="150" totalsRowDxfId="149"/>
    <tableColumn id="9" name="RENT/SF" totalsRowFunction="average" dataDxfId="148" totalsRowDxfId="147">
      <calculatedColumnFormula>IF(I4&gt;0,I4/H4," ")</calculatedColumnFormula>
    </tableColumn>
    <tableColumn id="10" name="EXP" dataDxfId="146" totalsRowDxfId="145"/>
    <tableColumn id="11" name="TERM" totalsRowFunction="average" dataDxfId="144" totalsRowDxfId="143">
      <calculatedColumnFormula>IF(K4&gt;0,(K4-NOW())/365," ")</calculatedColumnFormula>
    </tableColumn>
    <tableColumn id="12" name="EXPENSES" dataDxfId="142" totalsRowDxfId="141"/>
    <tableColumn id="13" name="BUMPS" dataDxfId="140" totalsRowDxfId="139"/>
    <tableColumn id="14" name="RENEWAL OPTIONS" dataDxfId="138" totalsRowDxfId="137"/>
    <tableColumn id="16" name="OM Link" dataDxfId="136" totalsRowDxfId="135"/>
    <tableColumn id="19" name="SELLER" dataDxfId="134" totalsRowDxfId="133"/>
    <tableColumn id="20" name="L. BROKER" dataDxfId="132" totalsRowDxfId="131"/>
    <tableColumn id="23" name="DEVELOPER" dataDxfId="130" totalsRowDxfId="129"/>
    <tableColumn id="15" name="Client Coverage" totalsRowFunction="count" dataDxfId="128" totalsRowDxfId="127"/>
    <tableColumn id="24" name="INITIAL PRICE" totalsRowFunction="average" dataDxfId="126" totalsRowDxfId="125"/>
    <tableColumn id="25" name="INITIAL CAP" totalsRowFunction="average" dataDxfId="124" totalsRowDxfId="123">
      <calculatedColumnFormula>IF(U4&gt;0,IF(I4&gt;0,I4/U4," ")," ")</calculatedColumnFormula>
    </tableColumn>
    <tableColumn id="27" name="LAST PRICE" totalsRowFunction="average" dataDxfId="122" totalsRowDxfId="121"/>
    <tableColumn id="28" name="LAST CAP" totalsRowFunction="average" dataDxfId="120" totalsRowDxfId="119">
      <calculatedColumnFormula>IF(W4&gt;0,IF(I4&gt;0,I4/W4," ")," ")</calculatedColumnFormula>
    </tableColumn>
    <tableColumn id="21" name="Core Rank" dataDxfId="118" totalsRowDxfId="117">
      <calculatedColumnFormula>IF(Available[[#This Row],[TERM]]&gt;10,RANK(Available[[#This Row],[LAST CAP]],Available[LAST CAP]),"")</calculatedColumnFormula>
    </tableColumn>
    <tableColumn id="17" name="Rank" dataDxfId="116" totalsRowDxfId="115">
      <calculatedColumnFormula>RANK(Available[[#This Row],[LAST CAP]],Available[LAST CAP])</calculatedColumnFormula>
    </tableColumn>
    <tableColumn id="29" name="PRICE CHG" totalsRowFunction="custom" dataDxfId="114" totalsRowDxfId="113">
      <calculatedColumnFormula>IF(W4&gt;0,IF(U4&gt;0,IF(W4=U4,"No","Yes")," ")," ")</calculatedColumnFormula>
      <totalsRowFormula>COUNTIF(Available[PRICE CHG],"YES")</totalsRowFormula>
    </tableColumn>
    <tableColumn id="30" name="ON MARKET" totalsRowFunction="count" dataDxfId="112" totalsRowDxfId="111"/>
    <tableColumn id="31" name="DOM" totalsRowFunction="average" dataDxfId="110" totalsRowDxfId="109">
      <calculatedColumnFormula>IF(AB4&gt;0,NOW()-AB4," ")</calculatedColumnFormula>
    </tableColumn>
    <tableColumn id="18" name="STATUS" dataDxfId="108" totalsRowDxfId="10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ffMarket" displayName="OffMarket" ref="B2:AA279" headerRowCount="1" totalsRowShown="0">
  <autoFilter ref="B2:AA279"/>
  <sortState ref="B3:AA279">
    <sortCondition descending="1" ref="X2:X279"/>
  </sortState>
  <tableColumns count="26">
    <tableColumn id="1" name="TENANT"/>
    <tableColumn id="2" name="ADDRESS"/>
    <tableColumn id="3" name="CITY"/>
    <tableColumn id="4" name="STATE"/>
    <tableColumn id="5" name="LAND"/>
    <tableColumn id="6" name="BUILT"/>
    <tableColumn id="7" name="RBA"/>
    <tableColumn id="8" name="RENT"/>
    <tableColumn id="9" name="RENT/SF"/>
    <tableColumn id="10" name="EXP"/>
    <tableColumn id="11" name="TERM"/>
    <tableColumn id="12" name="EXPENSES"/>
    <tableColumn id="13" name="BUMPS"/>
    <tableColumn id="14" name="RENEWAL OPTIONS"/>
    <tableColumn id="15" name="SELLER"/>
    <tableColumn id="16" name="L. BROKER"/>
    <tableColumn id="17" name="DEVELOPER"/>
    <tableColumn id="18" name="INITIAL PRICE"/>
    <tableColumn id="19" name="INITIAL CAP"/>
    <tableColumn id="20" name="LAST PRICE"/>
    <tableColumn id="21" name="LAST CAP"/>
    <tableColumn id="22" name="PRICE CHG"/>
    <tableColumn id="23" name="ON MARKET"/>
    <tableColumn id="24" name="DOM">
      <calculatedColumnFormula>IF(X3&gt;0,NOW()-X3," ")</calculatedColumnFormula>
    </tableColumn>
    <tableColumn id="25" name="Notes"/>
    <tableColumn id="26" name="Column1">
      <calculatedColumnFormula>IF(Z3&gt;0,NOW()-Z3," 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10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2"/>
  <sheetViews>
    <sheetView tabSelected="1" topLeftCell="B1" zoomScale="80" zoomScaleNormal="80" workbookViewId="0">
      <selection activeCell="AG2567" sqref="AG2567"/>
    </sheetView>
  </sheetViews>
  <sheetFormatPr baseColWidth="8" defaultColWidth="9.140625" defaultRowHeight="13.5"/>
  <cols>
    <col width="9.140625" bestFit="1" customWidth="1" style="3" min="1" max="1"/>
    <col width="47.140625" bestFit="1" customWidth="1" style="3" min="2" max="2"/>
    <col width="44" bestFit="1" customWidth="1" style="3" min="3" max="3"/>
    <col width="30.5703125" bestFit="1" customWidth="1" style="3" min="4" max="4"/>
    <col width="12.7109375" bestFit="1" customWidth="1" style="6" min="5" max="5"/>
    <col width="14.5703125" bestFit="1" customWidth="1" style="6" min="6" max="6"/>
    <col width="12.140625" bestFit="1" customWidth="1" style="6" min="7" max="7"/>
    <col width="13.140625" customWidth="1" style="6" min="8" max="8"/>
    <col width="14.42578125" customWidth="1" style="3" min="9" max="9"/>
    <col width="17.85546875" customWidth="1" style="3" min="10" max="10"/>
    <col width="13" customWidth="1" style="3" min="11" max="11"/>
    <col width="14.5703125" customWidth="1" style="3" min="12" max="12"/>
    <col width="27.7109375" customWidth="1" style="6" min="13" max="13"/>
    <col width="55.28515625" customWidth="1" style="6" min="14" max="14"/>
    <col width="30.140625" customWidth="1" style="6" min="15" max="15"/>
    <col width="22.5703125" customWidth="1" style="3" min="16" max="16"/>
    <col width="18.7109375" customWidth="1" style="3" min="17" max="17"/>
    <col width="20.5703125" bestFit="1" customWidth="1" style="3" min="18" max="18"/>
    <col width="14.42578125" customWidth="1" style="3" min="19" max="19"/>
    <col hidden="1" width="51.42578125" customWidth="1" style="3" min="20" max="20"/>
    <col hidden="1" width="46.42578125" customWidth="1" style="3" min="21" max="21"/>
    <col hidden="1" width="48.42578125" customWidth="1" style="3" min="22" max="22"/>
    <col hidden="1" width="14.28515625" customWidth="1" style="3" min="23" max="24"/>
    <col hidden="1" width="41" customWidth="1" style="3" min="25" max="25"/>
    <col hidden="1" width="31.140625" customWidth="1" style="3" min="26" max="26"/>
    <col width="24" customWidth="1" style="3" min="27" max="27"/>
    <col width="22" customWidth="1" style="16" min="28" max="28"/>
    <col width="22" customWidth="1" style="3" min="29" max="29"/>
    <col width="22.140625" customWidth="1" style="3" min="30" max="30"/>
    <col width="20" customWidth="1" style="3" min="31" max="31"/>
    <col width="29.140625" customWidth="1" style="3" min="32" max="32"/>
    <col width="21.140625" customWidth="1" style="6" min="33" max="33"/>
    <col width="22.140625" customWidth="1" style="3" min="34" max="34"/>
    <col width="13.5703125" customWidth="1" style="3" min="35" max="35"/>
    <col width="9.140625" customWidth="1" style="3" min="36" max="16384"/>
  </cols>
  <sheetData>
    <row r="2">
      <c r="B2" s="3" t="inlineStr">
        <is>
          <t>RECENT SALES</t>
        </is>
      </c>
    </row>
    <row r="3" ht="22.5" customHeight="1"/>
    <row r="4" hidden="1" ht="18.75" customHeight="1"/>
    <row r="5" hidden="1" ht="18.75" customHeight="1"/>
    <row r="6" hidden="1" ht="18.75" customHeight="1"/>
    <row r="7" hidden="1" ht="18.75" customHeight="1"/>
    <row r="8" hidden="1" ht="18.75" customHeight="1"/>
    <row r="9" hidden="1" ht="18.75" customHeight="1"/>
    <row r="10" hidden="1" ht="18.75" customHeight="1"/>
    <row r="11" hidden="1" ht="18.75" customHeight="1"/>
    <row r="12" hidden="1" ht="18.75" customHeight="1"/>
    <row r="13" hidden="1" ht="18.75" customHeight="1"/>
    <row r="14" hidden="1" ht="18.75" customHeight="1"/>
    <row r="15" hidden="1" ht="18.75" customHeight="1"/>
    <row r="16" hidden="1" ht="18.75" customHeight="1"/>
    <row r="17" hidden="1" ht="18.75" customHeight="1"/>
    <row r="18" hidden="1" ht="18.75" customHeight="1"/>
    <row r="19" hidden="1" ht="18.75" customHeight="1"/>
    <row r="20" hidden="1" ht="18.75" customHeight="1"/>
    <row r="21" hidden="1" ht="18.75" customHeight="1"/>
    <row r="22" hidden="1" ht="18.75" customHeight="1"/>
    <row r="23" hidden="1" ht="18.75" customHeight="1"/>
    <row r="24" hidden="1" ht="18.75" customHeight="1"/>
    <row r="25" hidden="1" ht="18.75" customHeight="1"/>
    <row r="26" hidden="1" ht="18.75" customHeight="1"/>
    <row r="27" hidden="1" ht="18.75" customHeight="1"/>
    <row r="28" ht="18.75" customHeight="1"/>
    <row r="29" hidden="1" ht="18.75" customHeight="1"/>
    <row r="30" hidden="1" ht="18.75" customHeight="1"/>
    <row r="31" hidden="1" ht="18.75" customHeight="1"/>
    <row r="32" hidden="1" ht="18.75" customHeight="1"/>
    <row r="33" hidden="1" ht="18.75" customHeight="1"/>
    <row r="34" hidden="1" ht="18.75" customHeight="1"/>
    <row r="35" hidden="1" ht="18.75" customHeight="1"/>
    <row r="36" hidden="1" ht="18.75" customHeight="1"/>
    <row r="37" hidden="1" ht="18.75" customHeight="1"/>
    <row r="38" hidden="1" ht="18.75" customHeight="1"/>
    <row r="39" hidden="1" ht="18.75" customHeight="1"/>
    <row r="40" hidden="1" ht="18.75" customHeight="1"/>
    <row r="41" hidden="1" ht="18.75" customHeight="1"/>
    <row r="42" hidden="1" ht="18.75" customHeight="1"/>
    <row r="43" hidden="1" ht="18.75" customHeight="1"/>
    <row r="44" hidden="1" ht="18.75" customHeight="1"/>
    <row r="45" hidden="1" ht="18.75" customHeight="1"/>
    <row r="46" hidden="1" ht="18.75" customHeight="1"/>
    <row r="47" hidden="1" ht="18.75" customHeight="1"/>
    <row r="48" hidden="1" ht="18.75" customHeight="1"/>
    <row r="49" hidden="1" ht="18.75" customHeight="1"/>
    <row r="50" hidden="1" ht="18.75" customHeight="1"/>
    <row r="51" hidden="1" ht="18.75" customHeight="1"/>
    <row r="52" hidden="1" ht="18.75" customHeight="1"/>
    <row r="53" hidden="1" ht="18.75" customHeight="1"/>
    <row r="54" hidden="1" ht="18.75" customHeight="1"/>
    <row r="55" hidden="1" ht="18.75" customHeight="1"/>
    <row r="56" hidden="1" ht="18.75" customHeight="1"/>
    <row r="57" hidden="1" ht="18.75" customHeight="1"/>
    <row r="58" hidden="1" ht="18.75" customHeight="1"/>
    <row r="59" hidden="1" ht="18.75" customHeight="1"/>
    <row r="60" hidden="1" ht="18.75" customHeight="1"/>
    <row r="61" hidden="1" ht="18.75" customHeight="1"/>
    <row r="62" hidden="1" ht="18.75" customHeight="1"/>
    <row r="63" hidden="1" ht="18.75" customHeight="1"/>
    <row r="64" hidden="1" ht="18.75" customHeight="1"/>
    <row r="65" hidden="1" ht="18.75" customHeight="1"/>
    <row r="66" hidden="1" ht="18.75" customHeight="1"/>
    <row r="67" hidden="1" ht="18.75" customHeight="1"/>
    <row r="68" hidden="1" ht="18.75" customHeight="1"/>
    <row r="69" hidden="1" ht="18.75" customHeight="1"/>
    <row r="70" hidden="1" ht="18.75" customHeight="1"/>
    <row r="71" hidden="1" ht="18.75" customHeight="1"/>
    <row r="72" hidden="1" ht="18.75" customHeight="1"/>
    <row r="73" hidden="1" ht="18.75" customHeight="1"/>
    <row r="74" hidden="1" ht="18.75" customHeight="1"/>
    <row r="75" hidden="1" ht="18.75" customHeight="1"/>
    <row r="76" hidden="1" ht="18.75" customHeight="1"/>
    <row r="77" hidden="1" ht="18.75" customHeight="1"/>
    <row r="78" hidden="1" ht="18.75" customHeight="1"/>
    <row r="79" hidden="1" ht="18.75" customHeight="1"/>
    <row r="80" hidden="1" ht="18.75" customHeight="1"/>
    <row r="81" hidden="1" ht="18.75" customHeight="1"/>
    <row r="82" hidden="1" ht="18.75" customHeight="1"/>
    <row r="83" hidden="1" ht="18.75" customHeight="1"/>
    <row r="84" hidden="1" ht="18.75" customHeight="1"/>
    <row r="85" hidden="1" ht="18.75" customHeight="1"/>
    <row r="86" ht="18.75" customHeight="1"/>
    <row r="87" hidden="1" ht="18.75" customHeight="1"/>
    <row r="88" hidden="1" ht="18.75" customHeight="1"/>
    <row r="89" hidden="1" ht="18.75" customHeight="1"/>
    <row r="90" hidden="1" ht="18.75" customHeight="1"/>
    <row r="91" hidden="1" ht="18.75" customHeight="1"/>
    <row r="92" hidden="1" ht="18.75" customHeight="1"/>
    <row r="93" hidden="1" ht="18.75" customHeight="1"/>
    <row r="94" hidden="1" ht="18.75" customHeight="1"/>
    <row r="95" hidden="1" ht="18.75" customHeight="1"/>
    <row r="96" hidden="1" ht="18.75" customHeight="1"/>
    <row r="97" ht="18.75" customHeight="1"/>
    <row r="98" hidden="1" ht="18.75" customHeight="1"/>
    <row r="99" hidden="1" ht="18.75" customHeight="1"/>
    <row r="100" hidden="1" ht="18.75" customHeight="1"/>
    <row r="101" hidden="1" ht="18.75" customHeight="1"/>
    <row r="102" hidden="1" ht="18.75" customHeight="1"/>
    <row r="103" ht="18.75" customHeight="1"/>
    <row r="104" hidden="1" ht="18.75" customHeight="1"/>
    <row r="105" hidden="1" ht="18.75" customHeight="1"/>
    <row r="106" hidden="1" ht="18.75" customHeight="1"/>
    <row r="107" hidden="1" ht="18.75" customHeight="1"/>
    <row r="108" hidden="1" ht="18.75" customHeight="1"/>
    <row r="109" hidden="1" ht="18.75" customHeight="1"/>
    <row r="110" hidden="1" ht="18.75" customHeight="1"/>
    <row r="111" hidden="1" ht="18.75" customHeight="1"/>
    <row r="112" hidden="1" ht="18.75" customHeight="1"/>
    <row r="113" hidden="1" ht="18.75" customHeight="1"/>
    <row r="114" hidden="1" ht="18.75" customHeight="1"/>
    <row r="115" hidden="1" ht="18.75" customHeight="1"/>
    <row r="116" hidden="1" ht="18.75" customHeight="1"/>
    <row r="117" hidden="1" ht="18.75" customHeight="1"/>
    <row r="118" hidden="1" ht="18.75" customHeight="1"/>
    <row r="119" hidden="1" ht="18.75" customHeight="1"/>
    <row r="120" hidden="1" ht="18.75" customHeight="1"/>
    <row r="121" hidden="1" ht="18.75" customHeight="1"/>
    <row r="122" hidden="1" ht="18.75" customHeight="1"/>
    <row r="123" hidden="1" ht="18.75" customHeight="1"/>
    <row r="124" hidden="1" ht="18.75" customHeight="1"/>
    <row r="125" hidden="1" ht="18.75" customHeight="1"/>
    <row r="126" hidden="1" ht="18.75" customHeight="1"/>
    <row r="127" hidden="1" ht="18.75" customHeight="1"/>
    <row r="128" hidden="1" ht="18.75" customHeight="1"/>
    <row r="129" hidden="1" ht="18.75" customHeight="1"/>
    <row r="130" hidden="1" ht="18.75" customHeight="1"/>
    <row r="131" hidden="1" ht="18.75" customHeight="1"/>
    <row r="132" hidden="1" ht="18.75" customHeight="1"/>
    <row r="133" hidden="1" ht="18.75" customHeight="1"/>
    <row r="134" hidden="1" ht="18.75" customHeight="1"/>
    <row r="135" hidden="1" ht="18.75" customHeight="1"/>
    <row r="136" hidden="1" ht="18.75" customHeight="1"/>
    <row r="137" hidden="1" ht="18.75" customHeight="1"/>
    <row r="138" hidden="1" ht="18.75" customHeight="1"/>
    <row r="139" hidden="1" ht="18.75" customHeight="1"/>
    <row r="140" hidden="1" ht="18.75" customHeight="1"/>
    <row r="141" hidden="1" ht="18.75" customHeight="1"/>
    <row r="142" hidden="1" ht="18.75" customHeight="1"/>
    <row r="143" hidden="1" ht="18.75" customHeight="1"/>
    <row r="144" hidden="1" ht="18.75" customHeight="1"/>
    <row r="145" hidden="1" ht="18.75" customHeight="1"/>
    <row r="146" hidden="1" ht="18.75" customHeight="1"/>
    <row r="147" hidden="1" ht="18.75" customHeight="1"/>
    <row r="148" hidden="1" ht="18.75" customHeight="1"/>
    <row r="149" hidden="1" ht="18.75" customHeight="1"/>
    <row r="150" hidden="1" ht="18.75" customHeight="1"/>
    <row r="151" hidden="1" ht="18.75" customHeight="1"/>
    <row r="152" hidden="1" ht="18.75" customHeight="1"/>
    <row r="153" hidden="1" ht="18.75" customHeight="1"/>
    <row r="154" hidden="1" ht="18.75" customHeight="1"/>
    <row r="155" hidden="1" ht="18.75" customHeight="1"/>
    <row r="156" hidden="1" ht="18.75" customHeight="1"/>
    <row r="157" hidden="1" ht="18.75" customHeight="1"/>
    <row r="158" hidden="1" ht="18.75" customHeight="1"/>
    <row r="159" hidden="1" ht="18.75" customHeight="1"/>
    <row r="160" hidden="1" ht="18.75" customHeight="1"/>
    <row r="161" ht="18.75" customHeight="1"/>
    <row r="162" hidden="1" ht="18.75" customHeight="1"/>
    <row r="163" hidden="1" ht="18.75" customHeight="1"/>
    <row r="164" hidden="1" ht="18.75" customHeight="1"/>
    <row r="165" hidden="1" ht="18.75" customHeight="1"/>
    <row r="166" hidden="1" ht="18.75" customHeight="1"/>
    <row r="167" hidden="1" ht="18.75" customHeight="1"/>
    <row r="168" hidden="1" ht="18.75" customHeight="1"/>
    <row r="169" hidden="1" ht="18.75" customHeight="1"/>
    <row r="170" hidden="1" ht="18.75" customHeight="1"/>
    <row r="171" hidden="1" ht="18.75" customHeight="1"/>
    <row r="172" hidden="1" ht="18.75" customHeight="1"/>
    <row r="173" hidden="1" ht="18.75" customHeight="1"/>
    <row r="174" hidden="1" ht="18.75" customHeight="1"/>
    <row r="175" hidden="1" ht="18.75" customHeight="1"/>
    <row r="176" hidden="1" ht="18.75" customHeight="1"/>
    <row r="177" hidden="1" ht="18.75" customHeight="1"/>
    <row r="178" hidden="1" ht="18.75" customHeight="1"/>
    <row r="179" hidden="1" ht="18.75" customHeight="1"/>
    <row r="180" hidden="1" ht="18.75" customHeight="1"/>
    <row r="181" hidden="1" ht="18.75" customHeight="1"/>
    <row r="182" hidden="1" ht="18.75" customHeight="1"/>
    <row r="183" hidden="1" ht="18.75" customHeight="1"/>
    <row r="184" hidden="1" ht="18.75" customHeight="1"/>
    <row r="185" hidden="1" ht="18.75" customHeight="1"/>
    <row r="186" hidden="1" ht="18.75" customHeight="1"/>
    <row r="187" hidden="1" ht="18.75" customHeight="1"/>
    <row r="188" hidden="1" ht="18.75" customHeight="1"/>
    <row r="189" hidden="1" ht="18.75" customHeight="1"/>
    <row r="190" hidden="1" ht="18.75" customHeight="1"/>
    <row r="191" hidden="1" ht="18.75" customHeight="1"/>
    <row r="192" hidden="1" ht="18.75" customHeight="1"/>
    <row r="193" hidden="1" ht="18.75" customHeight="1"/>
    <row r="194" hidden="1" ht="18.75" customHeight="1"/>
    <row r="195" hidden="1" ht="18.75" customHeight="1"/>
    <row r="196" hidden="1" ht="18.75" customHeight="1"/>
    <row r="197" hidden="1" ht="18.75" customHeight="1"/>
    <row r="198" hidden="1" ht="18.75" customHeight="1"/>
    <row r="199" hidden="1" ht="18.75" customHeight="1"/>
    <row r="200" hidden="1" ht="18.75" customHeight="1"/>
    <row r="201" hidden="1" ht="18.75" customHeight="1"/>
    <row r="202" hidden="1" ht="18.75" customHeight="1"/>
    <row r="203" hidden="1" ht="18.75" customHeight="1"/>
    <row r="204" hidden="1" ht="18.75" customHeight="1"/>
    <row r="205" hidden="1" ht="18.75" customHeight="1"/>
    <row r="206" hidden="1" ht="18.75" customHeight="1"/>
    <row r="207" hidden="1" ht="18.75" customHeight="1"/>
    <row r="208" hidden="1" ht="18.75" customHeight="1"/>
    <row r="209" hidden="1" ht="18.75" customHeight="1"/>
    <row r="210" hidden="1" ht="18.75" customHeight="1"/>
    <row r="211" hidden="1" ht="18.75" customHeight="1"/>
    <row r="212" hidden="1" ht="18.75" customHeight="1"/>
    <row r="213" hidden="1" ht="18.75" customHeight="1"/>
    <row r="214" hidden="1" ht="18.75" customHeight="1"/>
    <row r="215" ht="18.75" customHeight="1"/>
    <row r="216" hidden="1" ht="18.75" customHeight="1"/>
    <row r="217" hidden="1" ht="18.75" customHeight="1"/>
    <row r="218" hidden="1" ht="18.75" customHeight="1"/>
    <row r="219" hidden="1" ht="18.75" customHeight="1"/>
    <row r="220" hidden="1" ht="18.75" customHeight="1"/>
    <row r="221" hidden="1" ht="18.75" customHeight="1"/>
    <row r="222" ht="18.75" customHeight="1"/>
    <row r="223" hidden="1" ht="18.75" customHeight="1"/>
    <row r="224" hidden="1" ht="18.75" customHeight="1"/>
    <row r="225" hidden="1" ht="18.75" customHeight="1"/>
    <row r="226" hidden="1" ht="18.75" customHeight="1"/>
    <row r="227" hidden="1" ht="18.75" customHeight="1"/>
    <row r="228" hidden="1" ht="18.75" customHeight="1"/>
    <row r="229" ht="18.75" customHeight="1"/>
    <row r="230" hidden="1" ht="18.75" customHeight="1"/>
    <row r="231" hidden="1" ht="18.75" customHeight="1"/>
    <row r="232" hidden="1" ht="18.75" customHeight="1"/>
    <row r="233" hidden="1" ht="18.75" customHeight="1"/>
    <row r="234" hidden="1" ht="18.75" customHeight="1"/>
    <row r="235" hidden="1" ht="18.75" customHeight="1"/>
    <row r="236" hidden="1" ht="18.75" customHeight="1"/>
    <row r="237" hidden="1" ht="18.75" customHeight="1"/>
    <row r="238" hidden="1" ht="18.75" customHeight="1"/>
    <row r="239" hidden="1" ht="18.75" customHeight="1"/>
    <row r="240" hidden="1" ht="18.75" customHeight="1"/>
    <row r="241" hidden="1" ht="18.75" customHeight="1"/>
    <row r="242" hidden="1" ht="18.75" customHeight="1"/>
    <row r="243" hidden="1" ht="18.75" customHeight="1"/>
    <row r="244" hidden="1" ht="18.75" customHeight="1"/>
    <row r="245" hidden="1" ht="18.75" customHeight="1"/>
    <row r="246" hidden="1" ht="18.75" customHeight="1"/>
    <row r="247" hidden="1" ht="18.75" customHeight="1"/>
    <row r="248" ht="18.75" customHeight="1"/>
    <row r="249" hidden="1" ht="18.75" customHeight="1"/>
    <row r="250" ht="18.75" customHeight="1"/>
    <row r="251" hidden="1" ht="18.75" customHeight="1"/>
    <row r="252" hidden="1" ht="18.75" customHeight="1"/>
    <row r="253" hidden="1" ht="18.75" customHeight="1"/>
    <row r="254" hidden="1" ht="18.75" customHeight="1"/>
    <row r="255" hidden="1" ht="18.75" customHeight="1"/>
    <row r="256" hidden="1" ht="18.75" customHeight="1"/>
    <row r="257" ht="18.75" customHeight="1"/>
    <row r="258" hidden="1" ht="18.75" customHeight="1"/>
    <row r="259" hidden="1" ht="18.75" customHeight="1"/>
    <row r="260" hidden="1" ht="18.75" customHeight="1"/>
    <row r="261" hidden="1" ht="18.75" customHeight="1"/>
    <row r="262" hidden="1" ht="18.75" customHeight="1"/>
    <row r="263" hidden="1" ht="18.75" customHeight="1"/>
    <row r="264" hidden="1" ht="18.75" customHeight="1"/>
    <row r="265" hidden="1" ht="18.75" customHeight="1"/>
    <row r="266" hidden="1" ht="18.75" customHeight="1"/>
    <row r="267" hidden="1" ht="18.75" customHeight="1"/>
    <row r="268" hidden="1" ht="18.75" customHeight="1"/>
    <row r="269" hidden="1" ht="18.75" customHeight="1"/>
    <row r="270" hidden="1" ht="18.75" customHeight="1"/>
    <row r="271" hidden="1" ht="18.75" customHeight="1"/>
    <row r="272" hidden="1" ht="18.75" customHeight="1"/>
    <row r="273" hidden="1" ht="18.75" customHeight="1"/>
    <row r="274" hidden="1" ht="18.75" customHeight="1"/>
    <row r="275" hidden="1" ht="18.75" customHeight="1"/>
    <row r="276" hidden="1" ht="18.75" customHeight="1"/>
    <row r="277" hidden="1" ht="18.75" customHeight="1"/>
    <row r="278" hidden="1" ht="18.75" customHeight="1"/>
    <row r="279" hidden="1" ht="18.75" customHeight="1"/>
    <row r="280" hidden="1" ht="18.75" customHeight="1"/>
    <row r="281" hidden="1" ht="18.75" customHeight="1"/>
    <row r="282" hidden="1" ht="18.75" customHeight="1"/>
    <row r="283" hidden="1" ht="18.75" customHeight="1"/>
    <row r="284" hidden="1" ht="18.75" customHeight="1"/>
    <row r="285" hidden="1" ht="18.75" customHeight="1"/>
    <row r="286" hidden="1" ht="18.75" customHeight="1"/>
    <row r="287" hidden="1" ht="18.75" customHeight="1"/>
    <row r="288" hidden="1" ht="18.75" customHeight="1"/>
    <row r="289" hidden="1" ht="18.75" customHeight="1"/>
    <row r="290" hidden="1" ht="18.75" customHeight="1"/>
    <row r="291" hidden="1" ht="18.75" customHeight="1"/>
    <row r="292" hidden="1" ht="18.75" customHeight="1"/>
    <row r="293" hidden="1" ht="18.75" customHeight="1"/>
    <row r="294" hidden="1" ht="18.75" customHeight="1"/>
    <row r="295" hidden="1" ht="18.75" customHeight="1"/>
    <row r="296" hidden="1" ht="18.75" customHeight="1"/>
    <row r="297" hidden="1" ht="18.75" customHeight="1"/>
    <row r="298" hidden="1" ht="18.75" customHeight="1"/>
    <row r="299" hidden="1" ht="18.75" customHeight="1"/>
    <row r="300" hidden="1" ht="18.75" customHeight="1"/>
    <row r="301" hidden="1" ht="18.75" customHeight="1"/>
    <row r="302" hidden="1" ht="18.75" customHeight="1"/>
    <row r="303" hidden="1" ht="18.75" customHeight="1"/>
    <row r="304" hidden="1" ht="18.75" customHeight="1"/>
    <row r="305" hidden="1" ht="18.75" customHeight="1"/>
    <row r="306" hidden="1" ht="18.75" customHeight="1"/>
    <row r="307" hidden="1" ht="18.75" customHeight="1"/>
    <row r="308" hidden="1" ht="18.75" customHeight="1"/>
    <row r="309" hidden="1" ht="18.75" customHeight="1"/>
    <row r="310" hidden="1" ht="18.75" customHeight="1"/>
    <row r="311" hidden="1" ht="18.75" customHeight="1"/>
    <row r="312" hidden="1" ht="18.75" customHeight="1"/>
    <row r="313" hidden="1" ht="18.75" customHeight="1"/>
    <row r="314" hidden="1" ht="18.75" customHeight="1"/>
    <row r="315" hidden="1" ht="18.75" customHeight="1"/>
    <row r="316" hidden="1" ht="18.75" customHeight="1"/>
    <row r="317" hidden="1" ht="18.75" customHeight="1"/>
    <row r="318" hidden="1" ht="18.75" customHeight="1"/>
    <row r="319" hidden="1" ht="18.75" customHeight="1"/>
    <row r="320" hidden="1" ht="18.75" customHeight="1"/>
    <row r="321" hidden="1" ht="18.75" customHeight="1"/>
    <row r="322" hidden="1" ht="18.75" customHeight="1"/>
    <row r="323" hidden="1" ht="18.75" customHeight="1"/>
    <row r="324" hidden="1" ht="18.75" customHeight="1"/>
    <row r="325" hidden="1" ht="18.75" customHeight="1"/>
    <row r="326" hidden="1" ht="18.75" customHeight="1"/>
    <row r="327" hidden="1" ht="18.75" customHeight="1"/>
    <row r="328" hidden="1" ht="18.75" customHeight="1"/>
    <row r="329" hidden="1" ht="18.75" customHeight="1"/>
    <row r="330" hidden="1" ht="18.75" customHeight="1"/>
    <row r="331" hidden="1" ht="18.75" customHeight="1"/>
    <row r="332" hidden="1" ht="18.75" customHeight="1"/>
    <row r="333" hidden="1" ht="18.75" customHeight="1"/>
    <row r="334" hidden="1" ht="18.75" customHeight="1"/>
    <row r="335" hidden="1" ht="18.75" customHeight="1"/>
    <row r="336" hidden="1" ht="18.75" customHeight="1"/>
    <row r="337" hidden="1" ht="18.75" customHeight="1"/>
    <row r="338" hidden="1" ht="18.75" customHeight="1"/>
    <row r="339" hidden="1" ht="18.75" customHeight="1"/>
    <row r="340" hidden="1" ht="18.75" customHeight="1"/>
    <row r="341" hidden="1" ht="18.75" customHeight="1"/>
    <row r="342" hidden="1" ht="18.75" customHeight="1"/>
    <row r="343" hidden="1" ht="18.75" customHeight="1"/>
    <row r="344" hidden="1" ht="18.75" customHeight="1"/>
    <row r="345" hidden="1" ht="18.75" customHeight="1"/>
    <row r="346" hidden="1" ht="18.75" customHeight="1"/>
    <row r="347" hidden="1" ht="18.75" customHeight="1"/>
    <row r="348" hidden="1" ht="18.75" customHeight="1"/>
    <row r="349" hidden="1" ht="18.75" customHeight="1"/>
    <row r="350" hidden="1" ht="18.75" customHeight="1"/>
    <row r="351" hidden="1" ht="18.75" customHeight="1"/>
    <row r="352" hidden="1" ht="18.75" customHeight="1"/>
    <row r="353" hidden="1" ht="18.75" customHeight="1"/>
    <row r="354" hidden="1" ht="18.75" customHeight="1"/>
    <row r="355" hidden="1" ht="18.75" customHeight="1"/>
    <row r="356" hidden="1" ht="18.75" customHeight="1"/>
    <row r="357" hidden="1" ht="18.75" customHeight="1"/>
    <row r="358" hidden="1" ht="18.75" customHeight="1"/>
    <row r="359" hidden="1" ht="18.75" customHeight="1"/>
    <row r="360" hidden="1" ht="18.75" customHeight="1"/>
    <row r="361" hidden="1" ht="18.75" customHeight="1"/>
    <row r="362" hidden="1" ht="18.75" customHeight="1"/>
    <row r="363" hidden="1" ht="18.75" customHeight="1"/>
    <row r="364" hidden="1" ht="18.75" customHeight="1"/>
    <row r="365" hidden="1" ht="18.75" customHeight="1"/>
    <row r="366" hidden="1" ht="18.75" customHeight="1"/>
    <row r="367" hidden="1" ht="18.75" customHeight="1"/>
    <row r="368" hidden="1" ht="18.75" customHeight="1"/>
    <row r="369" hidden="1" ht="18.75" customHeight="1"/>
    <row r="370" hidden="1" ht="18.75" customHeight="1"/>
    <row r="371" hidden="1" ht="18.75" customHeight="1"/>
    <row r="372" hidden="1" ht="18.75" customHeight="1"/>
    <row r="373" hidden="1" ht="18.75" customHeight="1"/>
    <row r="374" hidden="1" ht="18.75" customHeight="1"/>
    <row r="375" hidden="1" ht="18.75" customHeight="1"/>
    <row r="376" hidden="1" ht="18.75" customHeight="1"/>
    <row r="377" hidden="1" ht="18.75" customHeight="1"/>
    <row r="378" hidden="1" ht="18.75" customHeight="1"/>
    <row r="379" hidden="1" ht="18.75" customHeight="1"/>
    <row r="380" hidden="1" ht="18.75" customHeight="1"/>
    <row r="381" hidden="1" ht="18.75" customHeight="1"/>
    <row r="382" hidden="1" ht="18.75" customHeight="1"/>
    <row r="383" hidden="1" ht="18.75" customHeight="1"/>
    <row r="384" hidden="1" ht="18.75" customHeight="1"/>
    <row r="385" hidden="1" ht="18.75" customHeight="1"/>
    <row r="386" hidden="1" ht="18.75" customHeight="1"/>
    <row r="387" hidden="1" ht="18.75" customHeight="1"/>
    <row r="388" hidden="1" ht="18.75" customHeight="1"/>
    <row r="389" hidden="1" ht="18.75" customHeight="1"/>
    <row r="390" hidden="1" ht="18.75" customHeight="1"/>
    <row r="391" hidden="1" ht="18.75" customHeight="1"/>
    <row r="392" hidden="1" ht="18.75" customHeight="1"/>
    <row r="393" hidden="1" ht="18.75" customHeight="1"/>
    <row r="394" hidden="1" ht="18.75" customHeight="1"/>
    <row r="395" hidden="1" ht="18.75" customHeight="1"/>
    <row r="396" hidden="1" ht="18.75" customHeight="1"/>
    <row r="397" hidden="1" ht="18.75" customHeight="1"/>
    <row r="398" hidden="1" ht="18.75" customHeight="1"/>
    <row r="399" hidden="1" ht="18.75" customHeight="1"/>
    <row r="400" hidden="1" ht="18.75" customHeight="1"/>
    <row r="401" hidden="1" ht="18.75" customHeight="1"/>
    <row r="402" hidden="1" ht="18.75" customHeight="1"/>
    <row r="403" hidden="1" ht="18.75" customHeight="1"/>
    <row r="404" hidden="1" ht="18.75" customHeight="1"/>
    <row r="405" hidden="1" ht="18.75" customHeight="1"/>
    <row r="406" hidden="1" ht="18.75" customHeight="1"/>
    <row r="407" hidden="1" ht="18.75" customHeight="1"/>
    <row r="408" hidden="1" ht="18.75" customHeight="1"/>
    <row r="409" hidden="1" ht="18.75" customHeight="1"/>
    <row r="410" hidden="1" ht="18.75" customHeight="1"/>
    <row r="411" hidden="1" ht="18.75" customHeight="1"/>
    <row r="412" hidden="1" ht="18.75" customHeight="1"/>
    <row r="413" hidden="1" ht="18.75" customHeight="1"/>
    <row r="414" hidden="1" ht="18.75" customHeight="1"/>
    <row r="415" hidden="1" ht="18.75" customHeight="1"/>
    <row r="416" hidden="1" ht="18.75" customHeight="1"/>
    <row r="417" hidden="1" ht="18.75" customHeight="1"/>
    <row r="418" hidden="1" ht="18.75" customHeight="1"/>
    <row r="419" hidden="1" ht="18.75" customHeight="1"/>
    <row r="420" hidden="1" ht="18.75" customHeight="1"/>
    <row r="421" hidden="1" ht="18.75" customHeight="1"/>
    <row r="422" hidden="1" ht="18.75" customHeight="1"/>
    <row r="423" hidden="1" ht="18.75" customHeight="1"/>
    <row r="424" hidden="1" ht="18.75" customHeight="1"/>
    <row r="425" hidden="1" ht="18.75" customHeight="1"/>
    <row r="426" hidden="1" ht="18.75" customHeight="1"/>
    <row r="427" hidden="1" ht="18.75" customHeight="1"/>
    <row r="428" hidden="1" ht="18.75" customHeight="1"/>
    <row r="429" hidden="1" ht="18.75" customHeight="1"/>
    <row r="430" hidden="1" ht="18.75" customHeight="1"/>
    <row r="431" hidden="1" ht="18.75" customHeight="1"/>
    <row r="432" hidden="1" ht="18.75" customHeight="1"/>
    <row r="433" hidden="1" ht="18.75" customHeight="1"/>
    <row r="434" hidden="1" ht="18.75" customHeight="1"/>
    <row r="435" hidden="1" ht="18.75" customHeight="1"/>
    <row r="436" hidden="1" ht="18.75" customHeight="1"/>
    <row r="437" hidden="1" ht="18.75" customHeight="1"/>
    <row r="438" hidden="1" ht="18.75" customHeight="1"/>
    <row r="439" hidden="1" ht="18.75" customHeight="1"/>
    <row r="440" hidden="1" ht="18.75" customHeight="1"/>
    <row r="441" hidden="1" ht="18.75" customHeight="1"/>
    <row r="442" hidden="1" ht="18.75" customHeight="1"/>
    <row r="443" hidden="1" ht="18.75" customHeight="1"/>
    <row r="444" hidden="1" ht="18.75" customHeight="1"/>
    <row r="445" hidden="1" ht="18.75" customHeight="1"/>
    <row r="446" hidden="1" ht="18.75" customHeight="1"/>
    <row r="447" hidden="1" ht="18.75" customHeight="1"/>
    <row r="448" hidden="1" ht="18.75" customHeight="1"/>
    <row r="449" hidden="1" ht="18.75" customHeight="1"/>
    <row r="450" hidden="1" ht="18.75" customHeight="1"/>
    <row r="451" hidden="1" ht="18.75" customHeight="1"/>
    <row r="452" hidden="1" ht="18.75" customHeight="1"/>
    <row r="453" hidden="1" ht="18.75" customHeight="1"/>
    <row r="454" hidden="1" ht="18.75" customHeight="1"/>
    <row r="455" hidden="1" ht="18.75" customHeight="1"/>
    <row r="456" hidden="1" ht="18.75" customHeight="1"/>
    <row r="457" hidden="1" ht="18.75" customHeight="1"/>
    <row r="458" hidden="1" ht="18.75" customHeight="1"/>
    <row r="459" hidden="1" ht="18.75" customHeight="1"/>
    <row r="460" hidden="1" ht="18.75" customHeight="1"/>
    <row r="461" hidden="1" ht="18.75" customHeight="1"/>
    <row r="462" hidden="1" ht="18.75" customHeight="1"/>
    <row r="463" hidden="1" ht="18.75" customHeight="1"/>
    <row r="464" hidden="1" ht="18.75" customHeight="1"/>
    <row r="465" hidden="1" ht="18.75" customHeight="1"/>
    <row r="466" hidden="1" ht="18.75" customHeight="1"/>
    <row r="467" hidden="1" ht="18.75" customHeight="1"/>
    <row r="468" hidden="1" ht="18.75" customHeight="1"/>
    <row r="469" hidden="1" ht="18.75" customHeight="1"/>
    <row r="470" hidden="1" ht="18.75" customHeight="1"/>
    <row r="471" hidden="1" ht="18.75" customHeight="1"/>
    <row r="472" hidden="1" ht="18.75" customHeight="1"/>
    <row r="473" hidden="1" ht="18.75" customHeight="1"/>
    <row r="474" hidden="1" ht="18.75" customHeight="1"/>
    <row r="475" hidden="1" ht="18.75" customHeight="1"/>
    <row r="476" hidden="1" ht="18.75" customHeight="1"/>
    <row r="477" hidden="1" ht="18.75" customHeight="1"/>
    <row r="478" hidden="1" ht="18.75" customHeight="1"/>
    <row r="479" hidden="1" ht="18.75" customHeight="1"/>
    <row r="480" hidden="1" ht="18.75" customHeight="1"/>
    <row r="481" hidden="1" ht="18.75" customHeight="1"/>
    <row r="482" hidden="1" ht="18.75" customHeight="1"/>
    <row r="483" hidden="1" ht="18.75" customHeight="1"/>
    <row r="484" hidden="1" ht="18.75" customHeight="1"/>
    <row r="485" hidden="1" ht="18.75" customHeight="1"/>
    <row r="486" hidden="1" ht="18.75" customHeight="1"/>
    <row r="487" hidden="1" ht="18.75" customHeight="1"/>
    <row r="488" hidden="1" ht="18.75" customHeight="1"/>
    <row r="489" hidden="1" ht="18.75" customHeight="1"/>
    <row r="490" hidden="1" ht="18.75" customHeight="1"/>
    <row r="491" hidden="1" ht="18.75" customHeight="1"/>
    <row r="492" hidden="1" ht="18.75" customHeight="1"/>
    <row r="493" hidden="1" ht="18.75" customHeight="1"/>
    <row r="494" hidden="1" ht="18.75" customHeight="1"/>
    <row r="495" hidden="1" ht="18.75" customHeight="1"/>
    <row r="496" hidden="1" ht="18.75" customHeight="1"/>
    <row r="497" hidden="1" ht="18.75" customHeight="1"/>
    <row r="498" hidden="1" ht="18.75" customHeight="1"/>
    <row r="499" hidden="1" ht="18.75" customHeight="1"/>
    <row r="500" hidden="1" ht="18.75" customHeight="1"/>
    <row r="501" hidden="1" ht="18.75" customHeight="1"/>
    <row r="502" hidden="1" ht="18.75" customHeight="1"/>
    <row r="503" hidden="1" ht="18.75" customHeight="1"/>
    <row r="504" hidden="1" ht="18.75" customHeight="1"/>
    <row r="505" hidden="1" ht="18.75" customHeight="1"/>
    <row r="506" hidden="1" ht="18.75" customHeight="1"/>
    <row r="507" hidden="1" ht="18.75" customHeight="1"/>
    <row r="508" hidden="1" ht="18.75" customHeight="1"/>
    <row r="509" hidden="1" ht="18.75" customHeight="1"/>
    <row r="510" hidden="1" ht="18.75" customHeight="1"/>
    <row r="511" hidden="1" ht="18.75" customHeight="1"/>
    <row r="512" hidden="1" ht="18.75" customHeight="1"/>
    <row r="513" hidden="1" ht="18.75" customHeight="1"/>
    <row r="514" hidden="1" ht="18.75" customHeight="1"/>
    <row r="515" hidden="1" ht="18.75" customHeight="1"/>
    <row r="516" hidden="1" ht="18.75" customHeight="1"/>
    <row r="517" hidden="1" ht="18.75" customHeight="1"/>
    <row r="518" hidden="1" ht="18.75" customHeight="1"/>
    <row r="519" hidden="1" ht="18.75" customHeight="1"/>
    <row r="520" hidden="1" ht="18.75" customHeight="1"/>
    <row r="521" hidden="1" ht="18.75" customHeight="1"/>
    <row r="522" hidden="1" ht="18.75" customHeight="1"/>
    <row r="523" hidden="1" ht="18.75" customHeight="1"/>
    <row r="524" hidden="1" ht="18.75" customHeight="1"/>
    <row r="525" hidden="1" ht="18.75" customHeight="1"/>
    <row r="526" hidden="1" ht="18.75" customHeight="1"/>
    <row r="527" hidden="1" ht="18.75" customHeight="1"/>
    <row r="528" hidden="1" ht="18.75" customHeight="1"/>
    <row r="529" hidden="1" ht="18.75" customHeight="1"/>
    <row r="530" hidden="1" ht="18.75" customHeight="1"/>
    <row r="531" hidden="1" ht="18.75" customHeight="1"/>
    <row r="532" hidden="1" ht="18.75" customHeight="1"/>
    <row r="533" hidden="1" ht="18.75" customHeight="1"/>
    <row r="534" hidden="1" ht="18.75" customHeight="1"/>
    <row r="535" hidden="1" ht="18.75" customHeight="1"/>
    <row r="536" hidden="1" ht="18.75" customHeight="1"/>
    <row r="537" hidden="1" ht="18.75" customHeight="1"/>
    <row r="538" hidden="1" ht="18.75" customHeight="1"/>
    <row r="539" hidden="1" ht="18.75" customHeight="1"/>
    <row r="540" hidden="1" ht="18.75" customHeight="1"/>
    <row r="541" hidden="1" ht="18.75" customHeight="1"/>
    <row r="542" hidden="1" ht="18.75" customHeight="1"/>
    <row r="543" hidden="1" ht="18.75" customHeight="1"/>
    <row r="544" hidden="1" ht="18.75" customHeight="1"/>
    <row r="545" hidden="1" ht="18.75" customHeight="1"/>
    <row r="546" hidden="1" ht="18.75" customHeight="1"/>
    <row r="547" hidden="1" ht="18.75" customHeight="1"/>
    <row r="548" hidden="1" ht="18.75" customHeight="1"/>
    <row r="549" hidden="1" ht="18.75" customHeight="1"/>
    <row r="550" hidden="1" ht="18.75" customHeight="1"/>
    <row r="551" hidden="1" ht="18.75" customHeight="1"/>
    <row r="552" hidden="1" ht="18.75" customHeight="1"/>
    <row r="553" hidden="1" ht="18.75" customHeight="1"/>
    <row r="554" hidden="1" ht="18.75" customHeight="1"/>
    <row r="555" hidden="1" ht="18.75" customHeight="1"/>
    <row r="556" hidden="1" ht="18.75" customHeight="1"/>
    <row r="557" hidden="1" ht="18.75" customHeight="1"/>
    <row r="558" hidden="1" ht="18.75" customHeight="1"/>
    <row r="559" hidden="1" ht="18.75" customHeight="1"/>
    <row r="560" hidden="1" ht="18.75" customHeight="1"/>
    <row r="561" hidden="1" ht="18.75" customHeight="1"/>
    <row r="562" hidden="1" ht="18.75" customHeight="1"/>
    <row r="563" hidden="1" ht="18.75" customHeight="1"/>
    <row r="564" hidden="1" ht="18.75" customHeight="1"/>
    <row r="565" hidden="1" ht="18.75" customHeight="1"/>
    <row r="566" hidden="1" ht="18.75" customHeight="1"/>
    <row r="567" hidden="1" ht="18.75" customHeight="1"/>
    <row r="568" hidden="1" ht="18.75" customHeight="1"/>
    <row r="569" hidden="1" ht="18.75" customHeight="1"/>
    <row r="570" hidden="1" ht="18.75" customHeight="1"/>
    <row r="571" hidden="1" ht="18.75" customHeight="1"/>
    <row r="572" hidden="1" ht="18.75" customHeight="1"/>
    <row r="573" hidden="1" ht="18.75" customHeight="1"/>
    <row r="574" hidden="1" ht="18.75" customHeight="1"/>
    <row r="575" hidden="1" ht="18.75" customHeight="1"/>
    <row r="576" hidden="1" ht="18.75" customHeight="1"/>
    <row r="577" hidden="1" ht="18.75" customHeight="1"/>
    <row r="578" hidden="1" ht="18.75" customHeight="1"/>
    <row r="579" hidden="1" ht="18.75" customHeight="1"/>
    <row r="580" hidden="1" ht="18.75" customHeight="1"/>
    <row r="581" hidden="1" ht="18.75" customHeight="1"/>
    <row r="582" hidden="1" ht="18.75" customHeight="1"/>
    <row r="583" hidden="1" ht="18.75" customHeight="1"/>
    <row r="584" hidden="1" ht="18.75" customHeight="1"/>
    <row r="585" hidden="1" ht="18.75" customHeight="1"/>
    <row r="586" hidden="1" ht="18.75" customHeight="1"/>
    <row r="587" hidden="1" ht="18.75" customHeight="1"/>
    <row r="588" hidden="1" ht="18.75" customHeight="1"/>
    <row r="589" hidden="1" ht="18.75" customHeight="1"/>
    <row r="590" hidden="1" ht="18.75" customHeight="1"/>
    <row r="591" hidden="1" ht="18.75" customHeight="1"/>
    <row r="592" hidden="1" ht="18.75" customHeight="1"/>
    <row r="593" hidden="1" ht="18.75" customHeight="1"/>
    <row r="594" hidden="1" ht="18.75" customHeight="1"/>
    <row r="595" hidden="1" ht="18.75" customHeight="1"/>
    <row r="596" hidden="1" ht="18.75" customHeight="1"/>
    <row r="597" hidden="1" ht="18.75" customHeight="1"/>
    <row r="598" hidden="1" ht="18.75" customHeight="1"/>
    <row r="599" hidden="1" ht="18.75" customHeight="1"/>
    <row r="600" hidden="1" ht="18.75" customHeight="1"/>
    <row r="601" hidden="1" ht="18.75" customHeight="1"/>
    <row r="602" hidden="1" ht="18.75" customHeight="1"/>
    <row r="603" hidden="1" ht="18.75" customHeight="1"/>
    <row r="604" hidden="1" ht="18.75" customHeight="1"/>
    <row r="605" hidden="1" ht="18.75" customHeight="1"/>
    <row r="606" hidden="1" ht="18.75" customHeight="1"/>
    <row r="607" hidden="1" ht="18.75" customHeight="1"/>
    <row r="608" hidden="1" ht="18.75" customHeight="1"/>
    <row r="609" hidden="1" ht="18.75" customHeight="1"/>
    <row r="610" hidden="1" ht="18.75" customHeight="1"/>
    <row r="611" hidden="1" ht="18.75" customHeight="1"/>
    <row r="612" hidden="1" ht="18.75" customHeight="1"/>
    <row r="613" hidden="1" ht="18.75" customHeight="1"/>
    <row r="614" hidden="1" ht="18.75" customHeight="1"/>
    <row r="615" hidden="1" ht="18.75" customHeight="1"/>
    <row r="616" hidden="1" ht="18.75" customHeight="1"/>
    <row r="617" hidden="1" ht="18.75" customHeight="1"/>
    <row r="618" hidden="1" ht="18.75" customHeight="1"/>
    <row r="619" hidden="1" ht="18.75" customHeight="1"/>
    <row r="620" hidden="1" ht="18.75" customHeight="1"/>
    <row r="621" hidden="1" ht="18.75" customHeight="1"/>
    <row r="622" hidden="1" ht="18.75" customHeight="1"/>
    <row r="623" hidden="1" ht="18.75" customHeight="1"/>
    <row r="624" hidden="1" ht="18.75" customHeight="1"/>
    <row r="625" hidden="1" ht="18.75" customHeight="1"/>
    <row r="626" hidden="1" ht="18.75" customHeight="1"/>
    <row r="627" hidden="1" ht="18.75" customHeight="1"/>
    <row r="628" hidden="1" ht="18.75" customHeight="1"/>
    <row r="629" hidden="1" ht="18.75" customHeight="1"/>
    <row r="630" hidden="1" ht="18.75" customHeight="1"/>
    <row r="631" hidden="1" ht="18.75" customHeight="1"/>
    <row r="632" hidden="1" ht="18.75" customHeight="1"/>
    <row r="633" hidden="1" ht="18.75" customHeight="1"/>
    <row r="634" hidden="1" ht="18.75" customHeight="1"/>
    <row r="635" hidden="1" ht="18.75" customHeight="1"/>
    <row r="636" hidden="1" ht="18.75" customHeight="1"/>
    <row r="637" hidden="1" ht="18.75" customHeight="1"/>
    <row r="638" hidden="1" ht="18.75" customHeight="1"/>
    <row r="639" hidden="1" ht="18.75" customHeight="1"/>
    <row r="640" hidden="1" ht="18.75" customHeight="1"/>
    <row r="641" hidden="1" ht="18.75" customHeight="1"/>
    <row r="642" hidden="1" ht="18.75" customHeight="1"/>
    <row r="643" hidden="1" ht="18.75" customHeight="1"/>
    <row r="644" hidden="1" ht="18.75" customHeight="1"/>
    <row r="645" hidden="1" ht="18.75" customHeight="1"/>
    <row r="646" hidden="1" ht="18.75" customHeight="1"/>
    <row r="647" hidden="1" ht="18.75" customHeight="1"/>
    <row r="648" hidden="1" ht="18.75" customHeight="1"/>
    <row r="649" hidden="1" ht="18.75" customHeight="1"/>
    <row r="650" hidden="1" ht="18.75" customHeight="1"/>
    <row r="651" hidden="1" ht="18.75" customHeight="1"/>
    <row r="652" hidden="1" ht="18.75" customHeight="1"/>
    <row r="653" hidden="1" ht="18.75" customHeight="1"/>
    <row r="654" hidden="1" ht="18.75" customHeight="1"/>
    <row r="655" hidden="1" ht="18.75" customHeight="1"/>
    <row r="656" hidden="1" ht="18.75" customHeight="1"/>
    <row r="657" hidden="1" ht="18.75" customHeight="1"/>
    <row r="658" hidden="1" ht="18.75" customHeight="1"/>
    <row r="659" hidden="1" ht="18.75" customHeight="1"/>
    <row r="660" hidden="1" ht="18.75" customHeight="1"/>
    <row r="661" hidden="1" ht="18.75" customHeight="1"/>
    <row r="662" hidden="1" ht="18.75" customHeight="1"/>
    <row r="663" hidden="1" ht="18.75" customHeight="1"/>
    <row r="664" hidden="1" ht="18.75" customHeight="1"/>
    <row r="665" hidden="1" ht="18.75" customHeight="1"/>
    <row r="666" hidden="1" ht="18.75" customHeight="1"/>
    <row r="667" hidden="1" ht="18.75" customHeight="1"/>
    <row r="668" hidden="1" ht="18.75" customHeight="1"/>
    <row r="669" hidden="1" ht="18.75" customHeight="1"/>
    <row r="670" hidden="1" ht="18.75" customHeight="1"/>
    <row r="671" hidden="1" ht="18.75" customHeight="1"/>
    <row r="672" hidden="1" ht="18.75" customHeight="1"/>
    <row r="673" hidden="1" ht="18.75" customHeight="1"/>
    <row r="674" hidden="1" ht="18.75" customHeight="1"/>
    <row r="675" hidden="1" ht="18.75" customHeight="1"/>
    <row r="676" hidden="1" ht="18.75" customHeight="1"/>
    <row r="677" hidden="1" ht="18.75" customHeight="1"/>
    <row r="678" hidden="1" ht="18.75" customHeight="1"/>
    <row r="679" hidden="1" ht="18.75" customHeight="1"/>
    <row r="680" hidden="1" ht="18.75" customHeight="1"/>
    <row r="681" hidden="1" ht="18.75" customHeight="1"/>
    <row r="682" hidden="1" ht="18.75" customHeight="1"/>
    <row r="683" hidden="1" ht="18.75" customHeight="1"/>
    <row r="684" hidden="1" ht="18.75" customHeight="1"/>
    <row r="685" hidden="1" ht="18.75" customHeight="1"/>
    <row r="686" hidden="1" ht="18.75" customHeight="1"/>
    <row r="687" hidden="1" ht="18.75" customHeight="1"/>
    <row r="688" hidden="1" ht="18.75" customHeight="1"/>
    <row r="689" hidden="1" ht="18.75" customHeight="1"/>
    <row r="690" hidden="1" ht="18.75" customHeight="1"/>
    <row r="691" hidden="1" ht="18.75" customHeight="1"/>
    <row r="692" hidden="1" ht="18.75" customHeight="1"/>
    <row r="693" hidden="1" ht="18.75" customHeight="1"/>
    <row r="694" hidden="1" ht="18.75" customHeight="1"/>
    <row r="695" hidden="1" ht="18.75" customHeight="1"/>
    <row r="696" hidden="1" ht="18.75" customHeight="1"/>
    <row r="697" hidden="1" ht="18.75" customHeight="1"/>
    <row r="698" hidden="1" ht="18.75" customHeight="1"/>
    <row r="699" hidden="1" ht="18.75" customHeight="1"/>
    <row r="700" hidden="1" ht="18.75" customHeight="1"/>
    <row r="701" hidden="1" ht="18.75" customHeight="1"/>
    <row r="702" hidden="1" ht="18.75" customHeight="1"/>
    <row r="703" hidden="1" ht="18.75" customHeight="1"/>
    <row r="704" hidden="1" ht="18.75" customHeight="1"/>
    <row r="705" hidden="1" ht="18.75" customHeight="1"/>
    <row r="706" hidden="1" ht="18.75" customHeight="1"/>
    <row r="707" hidden="1" ht="18.75" customHeight="1"/>
    <row r="708" hidden="1" ht="18.75" customHeight="1"/>
    <row r="709" hidden="1" ht="18.75" customHeight="1"/>
    <row r="710" hidden="1" ht="18.75" customHeight="1"/>
    <row r="711" hidden="1" ht="18.75" customHeight="1"/>
    <row r="712" hidden="1" ht="18.75" customHeight="1"/>
    <row r="713" hidden="1" ht="18.75" customHeight="1"/>
    <row r="714" hidden="1" ht="18.75" customHeight="1"/>
    <row r="715" hidden="1" ht="18.75" customHeight="1"/>
    <row r="716" hidden="1" ht="18.75" customHeight="1"/>
    <row r="717" hidden="1" ht="18.75" customHeight="1"/>
    <row r="718" hidden="1" ht="18.75" customHeight="1"/>
    <row r="719" hidden="1" ht="18.75" customHeight="1"/>
    <row r="720" hidden="1" ht="18.75" customHeight="1"/>
    <row r="721" hidden="1" ht="18.75" customHeight="1"/>
    <row r="722" hidden="1" ht="18.75" customHeight="1"/>
    <row r="723" hidden="1" ht="18.75" customHeight="1"/>
    <row r="724" hidden="1" ht="18.75" customHeight="1"/>
    <row r="725" hidden="1" ht="18.75" customHeight="1"/>
    <row r="726" hidden="1" ht="18.75" customHeight="1"/>
    <row r="727" hidden="1" ht="18.75" customHeight="1"/>
    <row r="728" hidden="1" ht="18.75" customHeight="1"/>
    <row r="729" hidden="1" ht="18.75" customHeight="1"/>
    <row r="730" hidden="1" ht="18.75" customHeight="1"/>
    <row r="731" hidden="1" ht="18.75" customHeight="1"/>
    <row r="732" hidden="1" ht="18.75" customHeight="1"/>
    <row r="733" hidden="1" ht="18.75" customHeight="1"/>
    <row r="734" hidden="1" ht="18.75" customHeight="1"/>
    <row r="735" hidden="1" ht="18.75" customHeight="1"/>
    <row r="736" hidden="1" ht="18.75" customHeight="1"/>
    <row r="737" hidden="1" ht="18.75" customHeight="1"/>
    <row r="738" hidden="1" ht="18.75" customHeight="1"/>
    <row r="739" hidden="1" ht="18.75" customHeight="1"/>
    <row r="740" hidden="1" ht="18.75" customHeight="1"/>
    <row r="741" hidden="1" ht="18.75" customHeight="1"/>
    <row r="742" hidden="1" ht="18.75" customHeight="1"/>
    <row r="743" hidden="1" ht="18.75" customHeight="1"/>
    <row r="744" hidden="1" ht="18.75" customHeight="1"/>
    <row r="745" hidden="1" ht="18.75" customHeight="1"/>
    <row r="746" hidden="1" ht="18.75" customHeight="1"/>
    <row r="747" hidden="1" ht="18.75" customHeight="1"/>
    <row r="748" hidden="1" ht="18.75" customHeight="1"/>
    <row r="749" hidden="1" ht="18.75" customHeight="1"/>
    <row r="750" hidden="1" ht="18.75" customHeight="1"/>
    <row r="751" hidden="1" ht="18.75" customHeight="1"/>
    <row r="752" hidden="1" ht="18.75" customHeight="1"/>
    <row r="753" hidden="1" ht="18.75" customHeight="1"/>
    <row r="754" hidden="1" ht="18.75" customHeight="1"/>
    <row r="755" hidden="1" ht="18.75" customHeight="1"/>
    <row r="756" hidden="1" ht="18.75" customHeight="1"/>
    <row r="757" hidden="1" ht="18.75" customHeight="1"/>
    <row r="758" hidden="1" ht="18.75" customHeight="1"/>
    <row r="759" hidden="1" ht="18.75" customHeight="1"/>
    <row r="760" hidden="1" ht="18.75" customHeight="1"/>
    <row r="761" hidden="1" ht="18.75" customHeight="1"/>
    <row r="762" hidden="1" ht="18.75" customHeight="1"/>
    <row r="763" hidden="1" ht="18.75" customHeight="1"/>
    <row r="764" hidden="1" ht="18.75" customHeight="1"/>
    <row r="765" hidden="1" ht="18.75" customHeight="1"/>
    <row r="766" hidden="1" ht="18.75" customHeight="1"/>
    <row r="767" hidden="1" ht="18.75" customHeight="1"/>
    <row r="768" hidden="1" ht="18.75" customHeight="1"/>
    <row r="769" hidden="1" ht="18.75" customHeight="1"/>
    <row r="770" hidden="1" ht="18.75" customHeight="1"/>
    <row r="771" hidden="1" ht="18.75" customHeight="1"/>
    <row r="772" hidden="1" ht="18.75" customHeight="1"/>
    <row r="773" hidden="1" ht="18.75" customHeight="1"/>
    <row r="774" hidden="1" ht="18.75" customHeight="1"/>
    <row r="775" hidden="1" ht="18.75" customHeight="1"/>
    <row r="776" hidden="1" ht="18.75" customHeight="1"/>
    <row r="777" hidden="1" ht="18.75" customHeight="1"/>
    <row r="778" hidden="1" ht="18.75" customHeight="1"/>
    <row r="779" hidden="1" ht="18.75" customHeight="1"/>
    <row r="780" hidden="1" ht="18.75" customHeight="1"/>
    <row r="781" hidden="1" ht="18.75" customHeight="1"/>
    <row r="782" hidden="1" ht="18.75" customHeight="1"/>
    <row r="783" hidden="1" ht="18.75" customHeight="1"/>
    <row r="784" hidden="1" ht="18.75" customHeight="1"/>
    <row r="785" hidden="1" ht="18.75" customHeight="1"/>
    <row r="786" hidden="1" ht="18.75" customHeight="1"/>
    <row r="787" hidden="1" ht="18.75" customHeight="1"/>
    <row r="788" hidden="1" ht="18.75" customHeight="1"/>
    <row r="789" hidden="1" ht="18.75" customHeight="1"/>
    <row r="790" hidden="1" ht="18.75" customHeight="1"/>
    <row r="791" hidden="1" ht="18.75" customHeight="1"/>
    <row r="792" hidden="1" ht="18.75" customHeight="1"/>
    <row r="793" hidden="1" ht="18.75" customHeight="1"/>
    <row r="794" hidden="1" ht="18.75" customHeight="1"/>
    <row r="795" hidden="1" ht="18.75" customHeight="1"/>
    <row r="796" hidden="1" ht="18.75" customHeight="1"/>
    <row r="797" hidden="1" ht="18.75" customHeight="1"/>
    <row r="798" hidden="1" ht="18.75" customHeight="1"/>
    <row r="799" hidden="1" ht="18.75" customHeight="1"/>
    <row r="800" hidden="1" ht="18.75" customHeight="1"/>
    <row r="801" hidden="1" ht="18.75" customHeight="1"/>
    <row r="802" hidden="1" ht="18.75" customHeight="1"/>
    <row r="803" hidden="1" ht="18.75" customHeight="1"/>
    <row r="804" hidden="1" ht="18.75" customHeight="1"/>
    <row r="805" hidden="1" ht="18.75" customHeight="1"/>
    <row r="806" hidden="1" ht="18.75" customHeight="1"/>
    <row r="807" hidden="1" ht="18.75" customHeight="1"/>
    <row r="808" hidden="1" ht="18.75" customHeight="1"/>
    <row r="809" hidden="1" ht="18.75" customHeight="1"/>
    <row r="810" hidden="1" ht="18.75" customHeight="1"/>
    <row r="811" hidden="1" ht="18.75" customHeight="1"/>
    <row r="812" hidden="1" ht="18.75" customHeight="1"/>
    <row r="813" hidden="1" ht="18.75" customHeight="1"/>
    <row r="814" hidden="1" ht="18.75" customHeight="1"/>
    <row r="815" hidden="1" ht="18.75" customHeight="1"/>
    <row r="816" hidden="1" ht="18.75" customHeight="1"/>
    <row r="817" hidden="1" ht="18.75" customHeight="1"/>
    <row r="818" hidden="1" ht="18.75" customHeight="1"/>
    <row r="819" hidden="1" ht="18.75" customHeight="1"/>
    <row r="820" hidden="1" ht="18.75" customHeight="1"/>
    <row r="821" hidden="1" ht="18.75" customHeight="1"/>
    <row r="822" hidden="1" ht="18.75" customHeight="1"/>
    <row r="823" hidden="1" ht="18.75" customHeight="1"/>
    <row r="824" hidden="1" ht="18.75" customHeight="1"/>
    <row r="825" hidden="1" ht="18.75" customHeight="1"/>
    <row r="826" hidden="1" ht="18.75" customHeight="1"/>
    <row r="827" hidden="1" ht="18.75" customHeight="1"/>
    <row r="828" hidden="1" ht="18.75" customHeight="1"/>
    <row r="829" hidden="1" ht="18.75" customHeight="1"/>
    <row r="830" hidden="1" ht="18.75" customHeight="1"/>
    <row r="831" hidden="1" ht="18.75" customHeight="1"/>
    <row r="832" hidden="1" ht="18.75" customHeight="1"/>
    <row r="833" hidden="1" ht="18.75" customHeight="1"/>
    <row r="834" hidden="1" ht="18.75" customHeight="1"/>
    <row r="835" hidden="1" ht="18.75" customHeight="1"/>
    <row r="836" hidden="1" ht="18.75" customHeight="1"/>
    <row r="837" hidden="1" ht="18.75" customHeight="1"/>
    <row r="838" hidden="1" ht="18.75" customHeight="1"/>
    <row r="839" hidden="1" ht="18.75" customHeight="1"/>
    <row r="840" hidden="1" ht="18.75" customHeight="1"/>
    <row r="841" hidden="1" ht="18.75" customHeight="1"/>
    <row r="842" hidden="1" ht="18.75" customHeight="1"/>
    <row r="843" hidden="1" ht="18.75" customHeight="1"/>
    <row r="844" hidden="1" ht="18.75" customHeight="1"/>
    <row r="845" hidden="1" ht="18.75" customHeight="1"/>
    <row r="846" hidden="1" ht="18.75" customHeight="1"/>
    <row r="847" hidden="1" ht="18.75" customHeight="1"/>
    <row r="848" hidden="1" ht="18.75" customHeight="1"/>
    <row r="849" hidden="1" ht="18.75" customHeight="1"/>
    <row r="850" hidden="1" ht="18.75" customHeight="1"/>
    <row r="851" hidden="1" ht="18.75" customHeight="1"/>
    <row r="852" hidden="1" ht="18.75" customHeight="1"/>
    <row r="853" hidden="1" ht="18.75" customHeight="1"/>
    <row r="854" hidden="1" ht="18.75" customHeight="1"/>
    <row r="855" hidden="1" ht="18.75" customHeight="1"/>
    <row r="856" hidden="1" ht="18.75" customHeight="1"/>
    <row r="857" hidden="1" ht="18.75" customHeight="1"/>
    <row r="858" hidden="1" ht="18.75" customHeight="1"/>
    <row r="859" hidden="1" ht="18.75" customHeight="1"/>
    <row r="860" hidden="1" ht="18.75" customHeight="1"/>
    <row r="861" hidden="1" ht="18.75" customHeight="1"/>
    <row r="862" hidden="1" ht="18.75" customHeight="1"/>
    <row r="863" hidden="1" ht="18.75" customHeight="1"/>
    <row r="864" hidden="1" ht="18.75" customHeight="1"/>
    <row r="865" hidden="1" ht="18.75" customHeight="1"/>
    <row r="866" hidden="1" ht="18.75" customHeight="1"/>
    <row r="867" hidden="1" ht="18.75" customHeight="1"/>
    <row r="868" hidden="1" ht="18.75" customHeight="1"/>
    <row r="869" hidden="1" ht="18.75" customHeight="1"/>
    <row r="870" hidden="1" ht="18.75" customHeight="1"/>
    <row r="871" hidden="1" ht="18.75" customHeight="1"/>
    <row r="872" hidden="1" ht="18.75" customHeight="1"/>
    <row r="873" hidden="1" ht="18.75" customHeight="1"/>
    <row r="874" hidden="1" ht="18.75" customHeight="1"/>
    <row r="875" hidden="1" ht="18.75" customHeight="1"/>
    <row r="876" hidden="1" ht="18.75" customHeight="1"/>
    <row r="877" hidden="1" ht="18.75" customHeight="1"/>
    <row r="878" hidden="1" ht="18.75" customHeight="1"/>
    <row r="879" hidden="1" ht="18.75" customHeight="1"/>
    <row r="880" hidden="1" ht="18.75" customHeight="1"/>
    <row r="881" hidden="1" ht="18.75" customHeight="1"/>
    <row r="882" hidden="1" ht="18.75" customHeight="1"/>
    <row r="883" hidden="1" ht="18.75" customHeight="1"/>
    <row r="884" hidden="1" ht="18.75" customHeight="1"/>
    <row r="885" hidden="1" ht="18.75" customHeight="1"/>
    <row r="886" hidden="1" ht="18.75" customHeight="1"/>
    <row r="887" hidden="1" ht="18.75" customHeight="1"/>
    <row r="888" hidden="1" ht="18.75" customHeight="1"/>
    <row r="889" hidden="1" ht="18.75" customHeight="1"/>
    <row r="890" hidden="1" ht="18.75" customHeight="1"/>
    <row r="891" hidden="1" ht="18.75" customHeight="1"/>
    <row r="892" hidden="1" ht="18.75" customHeight="1"/>
    <row r="893" hidden="1" ht="18.75" customHeight="1"/>
    <row r="894" hidden="1" ht="18.75" customHeight="1"/>
    <row r="895" hidden="1" ht="18.75" customHeight="1"/>
    <row r="896" hidden="1" ht="18.75" customHeight="1"/>
    <row r="897" hidden="1" ht="18.75" customHeight="1"/>
    <row r="898" hidden="1" ht="18.75" customHeight="1"/>
    <row r="899" hidden="1" ht="18.75" customHeight="1"/>
    <row r="900" hidden="1" ht="18.75" customHeight="1"/>
    <row r="901" hidden="1" ht="18.75" customHeight="1"/>
    <row r="902" hidden="1" ht="18.75" customHeight="1"/>
    <row r="903" hidden="1" ht="18.75" customHeight="1"/>
    <row r="904" hidden="1" ht="18.75" customHeight="1"/>
    <row r="905" hidden="1" ht="18.75" customHeight="1"/>
    <row r="906" hidden="1" ht="18.75" customHeight="1"/>
    <row r="907" hidden="1" ht="18.75" customHeight="1"/>
    <row r="908" hidden="1" ht="18.75" customHeight="1"/>
    <row r="909" hidden="1" ht="18.75" customHeight="1"/>
    <row r="910" hidden="1" ht="18.75" customHeight="1"/>
    <row r="911" hidden="1" ht="18.75" customHeight="1"/>
    <row r="912" hidden="1" ht="18.75" customHeight="1"/>
    <row r="913" hidden="1" ht="18.75" customHeight="1"/>
    <row r="914" hidden="1" ht="18.75" customHeight="1"/>
    <row r="915" hidden="1" ht="18.75" customHeight="1"/>
    <row r="916" hidden="1" ht="18.75" customHeight="1"/>
    <row r="917" hidden="1" ht="18.75" customHeight="1"/>
    <row r="918" hidden="1" ht="18.75" customHeight="1"/>
    <row r="919" hidden="1" ht="18.75" customHeight="1"/>
    <row r="920" hidden="1" ht="18.75" customHeight="1"/>
    <row r="921" hidden="1" ht="18.75" customHeight="1"/>
    <row r="922" hidden="1" ht="18.75" customHeight="1"/>
    <row r="923" hidden="1" ht="18.75" customHeight="1"/>
    <row r="924" hidden="1" ht="18.75" customHeight="1"/>
    <row r="925" hidden="1" ht="18.75" customHeight="1"/>
    <row r="926" hidden="1" ht="18.75" customHeight="1"/>
    <row r="927" hidden="1" ht="18.75" customHeight="1"/>
    <row r="928" hidden="1" ht="18.75" customHeight="1"/>
    <row r="929" hidden="1" ht="18.75" customHeight="1"/>
    <row r="930" hidden="1" ht="18.75" customHeight="1"/>
    <row r="931" hidden="1" ht="18.75" customHeight="1"/>
    <row r="932" hidden="1" ht="18.75" customHeight="1"/>
    <row r="933" hidden="1" ht="18.75" customHeight="1"/>
    <row r="934" hidden="1" ht="18.75" customHeight="1"/>
    <row r="935" hidden="1" ht="18.75" customHeight="1"/>
    <row r="936" hidden="1" ht="18.75" customHeight="1"/>
    <row r="937" hidden="1" ht="18.75" customHeight="1"/>
    <row r="938" hidden="1" ht="18.75" customHeight="1"/>
    <row r="939" hidden="1" ht="18.75" customHeight="1"/>
    <row r="940" hidden="1" ht="18.75" customHeight="1"/>
    <row r="941" hidden="1" ht="18.75" customHeight="1"/>
    <row r="942" hidden="1" ht="18.75" customHeight="1"/>
    <row r="943" hidden="1" ht="18.75" customHeight="1"/>
    <row r="944" hidden="1" ht="18.75" customHeight="1"/>
    <row r="945" hidden="1" ht="18.75" customHeight="1"/>
    <row r="946" hidden="1" ht="18.75" customHeight="1"/>
    <row r="947" hidden="1" ht="18.75" customHeight="1"/>
    <row r="948" hidden="1" ht="18.75" customHeight="1"/>
    <row r="949" hidden="1" ht="18.75" customHeight="1"/>
    <row r="950" hidden="1" ht="18.75" customHeight="1"/>
    <row r="951" hidden="1" ht="18.75" customHeight="1"/>
    <row r="952" hidden="1" ht="18.75" customHeight="1"/>
    <row r="953" hidden="1" ht="18.75" customHeight="1"/>
    <row r="954" hidden="1" ht="18.75" customHeight="1"/>
    <row r="955" hidden="1" ht="18.75" customHeight="1"/>
    <row r="956" hidden="1" ht="18.75" customHeight="1"/>
    <row r="957" hidden="1" ht="18.75" customHeight="1"/>
    <row r="958" hidden="1" ht="18.75" customHeight="1"/>
    <row r="959" hidden="1" ht="18.75" customHeight="1"/>
    <row r="960" hidden="1" ht="18.75" customHeight="1"/>
    <row r="961" hidden="1" ht="18.75" customHeight="1"/>
    <row r="962" hidden="1" ht="18.75" customHeight="1"/>
    <row r="963" hidden="1" ht="18.75" customHeight="1"/>
    <row r="964" hidden="1" ht="18.75" customHeight="1"/>
    <row r="965" hidden="1" ht="18.75" customHeight="1"/>
    <row r="966" hidden="1" ht="18.75" customHeight="1"/>
    <row r="967" hidden="1" ht="18.75" customHeight="1"/>
    <row r="968" hidden="1" ht="18.75" customHeight="1"/>
    <row r="969" hidden="1" ht="18.75" customHeight="1"/>
    <row r="970" hidden="1" ht="18.75" customHeight="1"/>
    <row r="971" hidden="1" ht="18.75" customHeight="1"/>
    <row r="972" hidden="1" ht="18.75" customHeight="1"/>
    <row r="973" hidden="1" ht="18.75" customHeight="1"/>
    <row r="974" hidden="1" ht="18.75" customHeight="1"/>
    <row r="975" hidden="1" ht="18.75" customHeight="1"/>
    <row r="976" hidden="1" ht="18.75" customHeight="1"/>
    <row r="977" hidden="1" ht="18.75" customHeight="1"/>
    <row r="978" hidden="1" ht="18.75" customHeight="1"/>
    <row r="979" hidden="1" ht="18.75" customHeight="1"/>
    <row r="980" hidden="1" ht="18.75" customHeight="1"/>
    <row r="981" hidden="1" ht="18.75" customHeight="1"/>
    <row r="982" hidden="1" ht="18.75" customHeight="1"/>
    <row r="983" hidden="1" ht="18.75" customHeight="1"/>
    <row r="984" hidden="1" ht="18.75" customHeight="1"/>
    <row r="985" hidden="1" ht="18.75" customHeight="1"/>
    <row r="986" hidden="1" ht="18.75" customHeight="1"/>
    <row r="987" hidden="1" ht="18.75" customHeight="1"/>
    <row r="988" hidden="1" ht="18.75" customHeight="1"/>
    <row r="989" hidden="1" ht="18.75" customHeight="1"/>
    <row r="990" hidden="1" ht="18.75" customHeight="1"/>
    <row r="991" hidden="1" ht="18.75" customHeight="1"/>
    <row r="992" hidden="1" ht="18.75" customHeight="1"/>
    <row r="993" hidden="1" ht="18.75" customHeight="1"/>
    <row r="994" hidden="1" ht="18.75" customHeight="1"/>
    <row r="995" hidden="1" ht="18.75" customHeight="1"/>
    <row r="996" hidden="1" ht="18.75" customHeight="1"/>
    <row r="997" hidden="1" ht="18.75" customHeight="1"/>
    <row r="998" hidden="1" ht="18.75" customHeight="1"/>
    <row r="999" hidden="1" ht="18.75" customHeight="1"/>
    <row r="1000" hidden="1" ht="18.75" customHeight="1"/>
    <row r="1001" hidden="1" ht="18.75" customHeight="1"/>
    <row r="1002" hidden="1" ht="18.75" customHeight="1"/>
    <row r="1003" hidden="1" ht="18.75" customHeight="1"/>
    <row r="1004" hidden="1" ht="18.75" customHeight="1"/>
    <row r="1005" hidden="1" ht="18.75" customHeight="1"/>
    <row r="1006" hidden="1" ht="18.75" customHeight="1"/>
    <row r="1007" hidden="1" ht="18.75" customHeight="1"/>
    <row r="1008" hidden="1" ht="18.75" customHeight="1"/>
    <row r="1009" hidden="1" ht="18.75" customHeight="1"/>
    <row r="1010" hidden="1" ht="18.75" customHeight="1"/>
    <row r="1011" hidden="1" ht="18.75" customHeight="1"/>
    <row r="1012" hidden="1" ht="18.75" customHeight="1"/>
    <row r="1013" hidden="1" ht="18.75" customHeight="1"/>
    <row r="1014" hidden="1" ht="18.75" customHeight="1"/>
    <row r="1015" hidden="1" ht="18.75" customHeight="1"/>
    <row r="1016" hidden="1" ht="18.75" customHeight="1"/>
    <row r="1017" hidden="1" ht="18.75" customHeight="1"/>
    <row r="1018" hidden="1" ht="18.75" customHeight="1"/>
    <row r="1019" hidden="1" ht="18.75" customHeight="1"/>
    <row r="1020" hidden="1" ht="18.75" customHeight="1"/>
    <row r="1021" hidden="1" ht="18.75" customHeight="1"/>
    <row r="1022" hidden="1" ht="18.75" customHeight="1"/>
    <row r="1023" hidden="1" ht="18.75" customHeight="1"/>
    <row r="1024" hidden="1" ht="18.75" customHeight="1"/>
    <row r="1025" hidden="1" ht="18.75" customHeight="1"/>
    <row r="1026" hidden="1" ht="18.75" customHeight="1"/>
    <row r="1027" hidden="1" ht="18.75" customHeight="1"/>
    <row r="1028" hidden="1" ht="18.75" customHeight="1"/>
    <row r="1029" hidden="1" ht="18.75" customHeight="1"/>
    <row r="1030" hidden="1" ht="18.75" customHeight="1"/>
    <row r="1031" hidden="1" ht="18.75" customHeight="1"/>
    <row r="1032" hidden="1" ht="18.75" customHeight="1"/>
    <row r="1033" hidden="1" ht="18.75" customHeight="1"/>
    <row r="1034" hidden="1" ht="18.75" customHeight="1"/>
    <row r="1035" hidden="1" ht="18.75" customHeight="1"/>
    <row r="1036" hidden="1" ht="18.75" customHeight="1"/>
    <row r="1037" hidden="1" ht="18.75" customHeight="1"/>
    <row r="1038" hidden="1" ht="18.75" customHeight="1"/>
    <row r="1039" hidden="1" ht="18.75" customHeight="1"/>
    <row r="1040" hidden="1" ht="18.75" customHeight="1"/>
    <row r="1041" hidden="1" ht="18.75" customHeight="1"/>
    <row r="1042" hidden="1" ht="18.75" customHeight="1"/>
    <row r="1043" hidden="1" ht="18.75" customHeight="1"/>
    <row r="1044" hidden="1" ht="18.75" customHeight="1"/>
    <row r="1045" hidden="1" ht="18.75" customHeight="1"/>
    <row r="1046" hidden="1" ht="18.75" customHeight="1"/>
    <row r="1047" hidden="1" ht="18.75" customHeight="1"/>
    <row r="1048" hidden="1" ht="18.75" customHeight="1"/>
    <row r="1049" hidden="1" ht="18.75" customHeight="1"/>
    <row r="1050" hidden="1" ht="18.75" customHeight="1"/>
    <row r="1051" hidden="1" ht="18.75" customHeight="1"/>
    <row r="1052" hidden="1" ht="18.75" customHeight="1"/>
    <row r="1053" hidden="1" ht="18.75" customHeight="1"/>
    <row r="1054" hidden="1" ht="18.75" customHeight="1"/>
    <row r="1055" hidden="1" ht="18.75" customHeight="1"/>
    <row r="1056" hidden="1" ht="18.75" customHeight="1"/>
    <row r="1057" hidden="1" ht="18.75" customHeight="1"/>
    <row r="1058" hidden="1" ht="18.75" customHeight="1"/>
    <row r="1059" hidden="1" ht="18.75" customHeight="1"/>
    <row r="1060" hidden="1" ht="18.75" customHeight="1"/>
    <row r="1061" hidden="1" ht="18.75" customHeight="1"/>
    <row r="1062" hidden="1" ht="18.75" customHeight="1"/>
    <row r="1063" hidden="1" ht="18.75" customHeight="1"/>
    <row r="1064" hidden="1" ht="18.75" customHeight="1"/>
    <row r="1065" hidden="1" ht="18.75" customHeight="1"/>
    <row r="1066" hidden="1" ht="18.75" customHeight="1"/>
    <row r="1067" hidden="1" ht="18.75" customHeight="1"/>
    <row r="1068" hidden="1" ht="18.75" customHeight="1"/>
    <row r="1069" hidden="1" ht="18.75" customHeight="1"/>
    <row r="1070" hidden="1" ht="18.75" customHeight="1"/>
    <row r="1071" hidden="1" ht="18.75" customHeight="1"/>
    <row r="1072" hidden="1" ht="18.75" customHeight="1"/>
    <row r="1073" hidden="1" ht="18.75" customHeight="1"/>
    <row r="1074" hidden="1" ht="18.75" customHeight="1"/>
    <row r="1075" hidden="1" ht="18.75" customHeight="1"/>
    <row r="1076" hidden="1" ht="18.75" customHeight="1"/>
    <row r="1077" hidden="1" ht="18.75" customHeight="1"/>
    <row r="1078" hidden="1" ht="18.75" customHeight="1"/>
    <row r="1079" hidden="1" ht="18.75" customHeight="1"/>
    <row r="1080" hidden="1" ht="18.75" customHeight="1"/>
    <row r="1081" hidden="1" ht="18.75" customHeight="1"/>
    <row r="1082" hidden="1" ht="18.75" customHeight="1"/>
    <row r="1083" hidden="1" ht="18.75" customHeight="1"/>
    <row r="1084" hidden="1" ht="18.75" customHeight="1"/>
    <row r="1085" hidden="1" ht="18.75" customHeight="1"/>
    <row r="1086" hidden="1" ht="18.75" customHeight="1"/>
    <row r="1087" hidden="1" ht="18.75" customHeight="1"/>
    <row r="1088" hidden="1" ht="18.75" customHeight="1"/>
    <row r="1089" hidden="1" ht="18.75" customHeight="1"/>
    <row r="1090" hidden="1" ht="18.75" customHeight="1"/>
    <row r="1091" hidden="1" ht="18.75" customHeight="1"/>
    <row r="1092" hidden="1" ht="18.75" customHeight="1"/>
    <row r="1093" hidden="1" ht="18.75" customHeight="1"/>
    <row r="1094" hidden="1" ht="18.75" customHeight="1"/>
    <row r="1095" hidden="1" ht="18.75" customHeight="1"/>
    <row r="1096" hidden="1" ht="18.75" customHeight="1"/>
    <row r="1097" hidden="1" ht="18.75" customHeight="1"/>
    <row r="1098" hidden="1" ht="18.75" customHeight="1"/>
    <row r="1099" hidden="1" ht="18.75" customHeight="1"/>
    <row r="1100" hidden="1" ht="18.75" customHeight="1"/>
    <row r="1101" hidden="1" ht="18.75" customHeight="1"/>
    <row r="1102" hidden="1" ht="18.75" customHeight="1"/>
    <row r="1103" hidden="1" ht="18.75" customHeight="1"/>
    <row r="1104" hidden="1" ht="18.75" customHeight="1"/>
    <row r="1105" hidden="1" ht="18.75" customHeight="1"/>
    <row r="1106" hidden="1" ht="18.75" customHeight="1"/>
    <row r="1107" hidden="1" ht="18.75" customHeight="1"/>
    <row r="1108" hidden="1" ht="18.75" customHeight="1"/>
    <row r="1109" hidden="1" ht="18.75" customHeight="1"/>
    <row r="1110" hidden="1" ht="18.75" customHeight="1"/>
    <row r="1111" hidden="1" ht="18.75" customHeight="1"/>
    <row r="1112" hidden="1" ht="18.75" customHeight="1"/>
    <row r="1113" hidden="1" ht="18.75" customHeight="1"/>
    <row r="1114" hidden="1" ht="18.75" customHeight="1"/>
    <row r="1115" hidden="1" ht="18.75" customHeight="1"/>
    <row r="1116" hidden="1" ht="18.75" customHeight="1"/>
    <row r="1117" hidden="1" ht="18.75" customHeight="1"/>
    <row r="1118" hidden="1" ht="18.75" customHeight="1"/>
    <row r="1119" hidden="1" ht="18.75" customHeight="1"/>
    <row r="1120" hidden="1" ht="18.75" customHeight="1"/>
    <row r="1121" hidden="1" ht="18.75" customHeight="1"/>
    <row r="1122" hidden="1" ht="18.75" customHeight="1"/>
    <row r="1123" hidden="1" ht="18.75" customHeight="1"/>
    <row r="1124" hidden="1" ht="18.75" customHeight="1"/>
    <row r="1125" hidden="1" ht="18.75" customHeight="1"/>
    <row r="1126" hidden="1" ht="18.75" customHeight="1"/>
    <row r="1127" hidden="1" ht="18.75" customHeight="1"/>
    <row r="1128" hidden="1" ht="18.75" customHeight="1"/>
    <row r="1129" hidden="1" ht="18.75" customHeight="1"/>
    <row r="1130" hidden="1" ht="18.75" customHeight="1"/>
    <row r="1131" hidden="1" ht="18.75" customHeight="1"/>
    <row r="1132" hidden="1" ht="18.75" customHeight="1"/>
    <row r="1133" hidden="1" ht="18.75" customHeight="1"/>
    <row r="1134" hidden="1" ht="18.75" customHeight="1"/>
    <row r="1135" hidden="1" ht="18.75" customHeight="1"/>
    <row r="1136" hidden="1" ht="18.75" customHeight="1"/>
    <row r="1137" hidden="1" ht="18.75" customHeight="1"/>
    <row r="1138" hidden="1" ht="18.75" customHeight="1"/>
    <row r="1139" hidden="1" ht="18.75" customHeight="1"/>
    <row r="1140" hidden="1" ht="18.75" customHeight="1"/>
    <row r="1141" hidden="1" ht="18.75" customHeight="1"/>
    <row r="1142" hidden="1" ht="18.75" customHeight="1"/>
    <row r="1143" hidden="1" ht="18.75" customHeight="1"/>
    <row r="1144" hidden="1" ht="18.75" customHeight="1"/>
    <row r="1145" hidden="1" ht="18.75" customHeight="1"/>
    <row r="1146" hidden="1" ht="18.75" customHeight="1"/>
    <row r="1147" hidden="1" ht="18.75" customHeight="1"/>
    <row r="1148" hidden="1" ht="18.75" customHeight="1"/>
    <row r="1149" hidden="1" ht="18.75" customHeight="1"/>
    <row r="1150" hidden="1" ht="18.75" customHeight="1"/>
    <row r="1151" hidden="1" ht="18.75" customHeight="1"/>
    <row r="1152" hidden="1" ht="18.75" customHeight="1"/>
    <row r="1153" hidden="1" ht="18.75" customHeight="1"/>
    <row r="1154" hidden="1" ht="18.75" customHeight="1"/>
    <row r="1155" hidden="1" ht="18.75" customHeight="1"/>
    <row r="1156" hidden="1" ht="18.75" customHeight="1"/>
    <row r="1157" hidden="1" ht="18.75" customHeight="1"/>
    <row r="1158" hidden="1" ht="18.75" customHeight="1"/>
    <row r="1159" hidden="1" ht="18.75" customHeight="1"/>
    <row r="1160" hidden="1" ht="18.75" customHeight="1"/>
    <row r="1161" hidden="1" ht="18.75" customHeight="1"/>
    <row r="1162" hidden="1" ht="18.75" customHeight="1"/>
    <row r="1163" hidden="1" ht="18.75" customHeight="1"/>
    <row r="1164" hidden="1" ht="18.75" customHeight="1"/>
    <row r="1165" hidden="1" ht="18.75" customHeight="1"/>
    <row r="1166" hidden="1" ht="18.75" customHeight="1"/>
    <row r="1167" hidden="1" ht="18.75" customHeight="1"/>
    <row r="1168" hidden="1" ht="18.75" customHeight="1"/>
    <row r="1169" hidden="1" ht="18.75" customHeight="1"/>
    <row r="1170" hidden="1" ht="18.75" customHeight="1"/>
    <row r="1171" hidden="1" ht="18.75" customHeight="1"/>
    <row r="1172" hidden="1" ht="18.75" customHeight="1"/>
    <row r="1173" hidden="1" ht="18.75" customHeight="1"/>
    <row r="1174" hidden="1" ht="18.75" customHeight="1"/>
    <row r="1175" hidden="1" ht="18.75" customHeight="1"/>
    <row r="1176" hidden="1" ht="18.75" customHeight="1"/>
    <row r="1177" hidden="1" ht="18.75" customHeight="1"/>
    <row r="1178" hidden="1" ht="18.75" customHeight="1"/>
    <row r="1179" hidden="1" ht="18.75" customHeight="1"/>
    <row r="1180" hidden="1" ht="18.75" customHeight="1"/>
    <row r="1181" hidden="1" ht="18.75" customHeight="1"/>
    <row r="1182" hidden="1" ht="18.75" customHeight="1"/>
    <row r="1183" hidden="1" ht="18.75" customHeight="1"/>
    <row r="1184" hidden="1" ht="18.75" customHeight="1"/>
    <row r="1185" hidden="1" ht="18.75" customHeight="1"/>
    <row r="1186" hidden="1" ht="18.75" customHeight="1"/>
    <row r="1187" hidden="1" ht="18.75" customHeight="1"/>
    <row r="1188" hidden="1" ht="18.75" customHeight="1"/>
    <row r="1189" hidden="1" ht="18.75" customHeight="1"/>
    <row r="1190" hidden="1" ht="18.75" customHeight="1"/>
    <row r="1191" hidden="1" ht="18.75" customHeight="1"/>
    <row r="1192" hidden="1" ht="18.75" customHeight="1"/>
    <row r="1193" hidden="1" ht="18.75" customHeight="1"/>
    <row r="1194" hidden="1" ht="18.75" customHeight="1"/>
    <row r="1195" hidden="1" ht="18.75" customHeight="1"/>
    <row r="1196" hidden="1" ht="18.75" customHeight="1"/>
    <row r="1197" hidden="1" ht="18.75" customHeight="1"/>
    <row r="1198" hidden="1" ht="18.75" customHeight="1"/>
    <row r="1199" hidden="1" ht="18.75" customHeight="1"/>
    <row r="1200" hidden="1" ht="18.75" customHeight="1"/>
    <row r="1201" hidden="1" ht="18.75" customHeight="1"/>
    <row r="1202" hidden="1" ht="18.75" customHeight="1"/>
    <row r="1203" hidden="1" ht="18.75" customHeight="1"/>
    <row r="1204" hidden="1" ht="18.75" customHeight="1"/>
    <row r="1205" hidden="1" ht="18.75" customHeight="1"/>
    <row r="1206" hidden="1" ht="18.75" customHeight="1"/>
    <row r="1207" hidden="1" ht="18.75" customHeight="1"/>
    <row r="1208" hidden="1" ht="18.75" customHeight="1"/>
    <row r="1209" hidden="1" ht="18.75" customHeight="1"/>
    <row r="1210" hidden="1" ht="18.75" customHeight="1"/>
    <row r="1211" hidden="1" ht="18.75" customHeight="1"/>
    <row r="1212" hidden="1" ht="18.75" customHeight="1"/>
    <row r="1213" hidden="1" ht="18.75" customHeight="1"/>
    <row r="1214" hidden="1" ht="18.75" customHeight="1"/>
    <row r="1215" hidden="1" ht="18.75" customHeight="1"/>
    <row r="1216" hidden="1" ht="18.75" customHeight="1"/>
    <row r="1217" hidden="1" ht="18.75" customHeight="1"/>
    <row r="1218" hidden="1" ht="18.75" customHeight="1"/>
    <row r="1219" hidden="1" ht="18.75" customHeight="1"/>
    <row r="1220" hidden="1" ht="18.75" customHeight="1"/>
    <row r="1221" hidden="1" ht="18.75" customHeight="1"/>
    <row r="1222" hidden="1" ht="18.75" customHeight="1"/>
    <row r="1223" hidden="1" ht="18.75" customHeight="1"/>
    <row r="1224" hidden="1" ht="18.75" customHeight="1"/>
    <row r="1225" hidden="1" ht="18.75" customHeight="1"/>
    <row r="1226" hidden="1" ht="18.75" customHeight="1"/>
    <row r="1227" hidden="1" ht="18.75" customHeight="1"/>
    <row r="1228" hidden="1" ht="18.75" customHeight="1"/>
    <row r="1229" hidden="1" ht="18.75" customHeight="1"/>
    <row r="1230" hidden="1" ht="18.75" customHeight="1"/>
    <row r="1231" hidden="1" ht="18.75" customHeight="1"/>
    <row r="1232" hidden="1" ht="18.75" customHeight="1"/>
    <row r="1233" hidden="1" ht="18.75" customHeight="1"/>
    <row r="1234" hidden="1" ht="18.75" customHeight="1"/>
    <row r="1235" hidden="1" ht="18.75" customHeight="1"/>
    <row r="1236" hidden="1" ht="18.75" customHeight="1"/>
    <row r="1237" hidden="1" ht="18.75" customHeight="1"/>
    <row r="1238" hidden="1" ht="18.75" customHeight="1"/>
    <row r="1239" hidden="1" ht="18.75" customHeight="1"/>
    <row r="1240" hidden="1" ht="18.75" customHeight="1"/>
    <row r="1241" hidden="1" ht="18.75" customHeight="1"/>
    <row r="1242" hidden="1" ht="18.75" customHeight="1"/>
    <row r="1243" hidden="1" ht="18.75" customHeight="1"/>
    <row r="1244" hidden="1" ht="18.75" customHeight="1"/>
    <row r="1245" hidden="1" ht="18.75" customHeight="1"/>
    <row r="1246" hidden="1" ht="18.75" customHeight="1"/>
    <row r="1247" hidden="1" ht="18.75" customHeight="1"/>
    <row r="1248" hidden="1" ht="18.75" customHeight="1"/>
    <row r="1249" hidden="1" ht="18.75" customHeight="1"/>
    <row r="1250" hidden="1" ht="18.75" customHeight="1"/>
    <row r="1251" hidden="1" ht="18.75" customHeight="1"/>
    <row r="1252" hidden="1" ht="18.75" customHeight="1"/>
    <row r="1253" hidden="1" ht="18.75" customHeight="1"/>
    <row r="1254" hidden="1" ht="18.75" customHeight="1"/>
    <row r="1255" hidden="1" ht="18.75" customHeight="1"/>
    <row r="1256" hidden="1" ht="18.75" customHeight="1"/>
    <row r="1257" hidden="1" ht="18.75" customHeight="1"/>
    <row r="1258" hidden="1" ht="18.75" customHeight="1"/>
    <row r="1259" hidden="1" ht="18.75" customHeight="1"/>
    <row r="1260" hidden="1" ht="18.75" customHeight="1"/>
    <row r="1261" hidden="1" ht="18.75" customHeight="1"/>
    <row r="1262" hidden="1" ht="18.75" customHeight="1"/>
    <row r="1263" hidden="1" ht="18.75" customHeight="1"/>
    <row r="1264" hidden="1" ht="18.75" customHeight="1"/>
    <row r="1265" hidden="1" ht="18.75" customHeight="1"/>
    <row r="1266" hidden="1" ht="18.75" customHeight="1"/>
    <row r="1267" hidden="1" ht="18.75" customHeight="1"/>
    <row r="1268" hidden="1" ht="18.75" customHeight="1"/>
    <row r="1269" hidden="1" ht="18.75" customHeight="1"/>
    <row r="1270" hidden="1" ht="18.75" customHeight="1"/>
    <row r="1271" hidden="1" ht="18.75" customHeight="1"/>
    <row r="1272" hidden="1" ht="18.75" customHeight="1"/>
    <row r="1273" hidden="1" ht="18.75" customHeight="1"/>
    <row r="1274" hidden="1" ht="18.75" customHeight="1"/>
    <row r="1275" hidden="1" ht="18.75" customHeight="1"/>
    <row r="1276" hidden="1" ht="18.75" customHeight="1"/>
    <row r="1277" hidden="1" ht="18.75" customHeight="1"/>
    <row r="1278" hidden="1" ht="18.75" customHeight="1"/>
    <row r="1279" hidden="1" ht="18.75" customHeight="1"/>
    <row r="1280" hidden="1" ht="18.75" customHeight="1"/>
    <row r="1281" hidden="1" ht="18.75" customHeight="1"/>
    <row r="1282" hidden="1" ht="18.75" customHeight="1"/>
    <row r="1283" hidden="1" ht="18.75" customHeight="1"/>
    <row r="1284" hidden="1" ht="18.75" customHeight="1"/>
    <row r="1285" hidden="1" ht="18.75" customHeight="1"/>
    <row r="1286" hidden="1" ht="18.75" customHeight="1"/>
    <row r="1287" hidden="1" ht="18.75" customHeight="1"/>
    <row r="1288" hidden="1" ht="18.75" customHeight="1"/>
    <row r="1289" hidden="1" ht="18.75" customHeight="1"/>
    <row r="1290" hidden="1" ht="18.75" customHeight="1"/>
    <row r="1291" hidden="1" ht="18.75" customHeight="1"/>
    <row r="1292" hidden="1" ht="18.75" customHeight="1"/>
    <row r="1293" hidden="1" ht="18.75" customHeight="1"/>
    <row r="1294" hidden="1" ht="18.75" customHeight="1"/>
    <row r="1295" hidden="1" ht="18.75" customHeight="1"/>
    <row r="1296" hidden="1" ht="18.75" customHeight="1"/>
    <row r="1297" hidden="1" ht="18.75" customHeight="1"/>
    <row r="1298" hidden="1" ht="18.75" customHeight="1"/>
    <row r="1299" hidden="1" ht="18.75" customHeight="1"/>
    <row r="1300" hidden="1" ht="18.75" customHeight="1"/>
    <row r="1301" hidden="1" ht="18.75" customHeight="1"/>
    <row r="1302" hidden="1" ht="18.75" customHeight="1"/>
    <row r="1303" hidden="1" ht="18.75" customHeight="1"/>
    <row r="1304" hidden="1" ht="18.75" customHeight="1"/>
    <row r="1305" hidden="1" ht="18.75" customHeight="1"/>
    <row r="1306" hidden="1" ht="18.75" customHeight="1"/>
    <row r="1307" hidden="1" ht="18.75" customHeight="1"/>
    <row r="1308" hidden="1" ht="18.75" customHeight="1"/>
    <row r="1309" hidden="1" ht="18.75" customHeight="1"/>
    <row r="1310" hidden="1" ht="18.75" customHeight="1"/>
    <row r="1311" hidden="1" ht="18.75" customHeight="1"/>
    <row r="1312" hidden="1" ht="18.75" customHeight="1"/>
    <row r="1313" hidden="1" ht="18.75" customHeight="1"/>
    <row r="1314" hidden="1" ht="18.75" customHeight="1"/>
    <row r="1315" hidden="1" ht="18.75" customHeight="1"/>
    <row r="1316" hidden="1" ht="18.75" customHeight="1"/>
    <row r="1317" hidden="1" ht="18.75" customHeight="1"/>
    <row r="1318" hidden="1" ht="18.75" customHeight="1"/>
    <row r="1319" hidden="1" ht="18.75" customHeight="1"/>
    <row r="1320" hidden="1" ht="18.75" customHeight="1"/>
    <row r="1321" hidden="1" ht="18.75" customHeight="1"/>
    <row r="1322" hidden="1" ht="18.75" customHeight="1"/>
    <row r="1323" hidden="1" ht="18.75" customHeight="1"/>
    <row r="1324" hidden="1" ht="18.75" customHeight="1"/>
    <row r="1325" hidden="1" ht="18.75" customHeight="1"/>
    <row r="1326" hidden="1" ht="18.75" customHeight="1"/>
    <row r="1327" hidden="1" ht="18.75" customHeight="1"/>
    <row r="1328" hidden="1" ht="18.75" customHeight="1"/>
    <row r="1329" hidden="1" ht="18.75" customHeight="1"/>
    <row r="1330" hidden="1" ht="18.75" customHeight="1"/>
    <row r="1331" hidden="1" ht="18.75" customHeight="1"/>
    <row r="1332" hidden="1" ht="18.75" customHeight="1"/>
    <row r="1333" hidden="1" ht="18.75" customHeight="1"/>
    <row r="1334" hidden="1" ht="18.75" customHeight="1"/>
    <row r="1335" hidden="1" ht="18.75" customHeight="1"/>
    <row r="1336" hidden="1" ht="18.75" customHeight="1"/>
    <row r="1337" hidden="1" ht="18.75" customHeight="1"/>
    <row r="1338" hidden="1" ht="18.75" customHeight="1"/>
    <row r="1339" hidden="1" ht="18.75" customHeight="1"/>
    <row r="1340" hidden="1" ht="18.75" customHeight="1"/>
    <row r="1341" hidden="1" ht="18.75" customHeight="1"/>
    <row r="1342" hidden="1" ht="18.75" customHeight="1"/>
    <row r="1343" hidden="1" ht="18.75" customHeight="1"/>
    <row r="1344" hidden="1" ht="18.75" customHeight="1"/>
    <row r="1345" hidden="1" ht="18.75" customHeight="1"/>
    <row r="1346" hidden="1" ht="18.75" customHeight="1"/>
    <row r="1347" hidden="1" ht="18.75" customHeight="1"/>
    <row r="1348" hidden="1" ht="18.75" customHeight="1"/>
    <row r="1349" hidden="1" ht="18.75" customHeight="1"/>
    <row r="1350" hidden="1" ht="18.75" customHeight="1"/>
    <row r="1351" hidden="1" ht="18.75" customHeight="1"/>
    <row r="1352" hidden="1" ht="18.75" customHeight="1"/>
    <row r="1353" hidden="1" ht="18.75" customHeight="1"/>
    <row r="1354" hidden="1" ht="18.75" customHeight="1"/>
    <row r="1355" hidden="1" ht="18.75" customHeight="1"/>
    <row r="1356" hidden="1" ht="18.75" customHeight="1"/>
    <row r="1357" hidden="1" ht="18.75" customHeight="1"/>
    <row r="1358" hidden="1" ht="18.75" customHeight="1"/>
    <row r="1359" hidden="1" ht="18.75" customHeight="1"/>
    <row r="1360" hidden="1" ht="18.75" customHeight="1"/>
    <row r="1361" hidden="1" ht="18.75" customHeight="1"/>
    <row r="1362" hidden="1" ht="18.75" customHeight="1"/>
    <row r="1363" hidden="1" ht="18.75" customHeight="1"/>
    <row r="1364" hidden="1" ht="18.75" customHeight="1"/>
    <row r="1365" hidden="1" ht="18.75" customHeight="1"/>
    <row r="1366" hidden="1" ht="18.75" customHeight="1"/>
    <row r="1367" hidden="1" ht="18.75" customHeight="1"/>
    <row r="1368" hidden="1" ht="18.75" customHeight="1"/>
    <row r="1369" hidden="1" ht="18.75" customHeight="1"/>
    <row r="1370" hidden="1" ht="18.75" customHeight="1"/>
    <row r="1371" hidden="1" ht="18.75" customHeight="1"/>
    <row r="1372" hidden="1" ht="18.75" customHeight="1"/>
    <row r="1373" hidden="1" ht="18.75" customHeight="1"/>
    <row r="1374" hidden="1" ht="18.75" customHeight="1"/>
    <row r="1375" hidden="1" ht="18.75" customHeight="1"/>
    <row r="1376" hidden="1" ht="18.75" customHeight="1"/>
    <row r="1377" hidden="1" ht="18.75" customHeight="1"/>
    <row r="1378" hidden="1" ht="18.75" customHeight="1"/>
    <row r="1379" hidden="1" ht="18.75" customHeight="1"/>
    <row r="1380" hidden="1" ht="18.75" customHeight="1"/>
    <row r="1381" hidden="1" ht="18.75" customHeight="1"/>
    <row r="1382" hidden="1" ht="18.75" customHeight="1"/>
    <row r="1383" hidden="1" ht="18.75" customHeight="1"/>
    <row r="1384" hidden="1" ht="18.75" customHeight="1"/>
    <row r="1385" hidden="1" ht="18.75" customHeight="1"/>
    <row r="1386" hidden="1" ht="18.75" customHeight="1"/>
    <row r="1387" hidden="1" ht="18.75" customHeight="1"/>
    <row r="1388" hidden="1" ht="18.75" customHeight="1"/>
    <row r="1389" hidden="1" ht="18.75" customHeight="1"/>
    <row r="1390" hidden="1" ht="18.75" customHeight="1"/>
    <row r="1391" hidden="1" ht="18.75" customHeight="1"/>
    <row r="1392" hidden="1" ht="18.75" customHeight="1"/>
    <row r="1393" hidden="1" ht="18.75" customHeight="1"/>
    <row r="1394" hidden="1" ht="18.75" customHeight="1"/>
    <row r="1395" hidden="1" ht="18.75" customHeight="1"/>
    <row r="1396" hidden="1" ht="18.75" customHeight="1"/>
    <row r="1397" hidden="1" ht="18.75" customHeight="1"/>
    <row r="1398" hidden="1" ht="18.75" customHeight="1"/>
    <row r="1399" hidden="1" ht="18.75" customHeight="1"/>
    <row r="1400" hidden="1" ht="18.75" customHeight="1"/>
    <row r="1401" hidden="1" ht="18.75" customHeight="1"/>
    <row r="1402" hidden="1" ht="18.75" customHeight="1"/>
    <row r="1403" hidden="1" ht="18.75" customHeight="1"/>
    <row r="1404" hidden="1" ht="18.75" customHeight="1"/>
    <row r="1405" hidden="1" ht="18.75" customHeight="1"/>
    <row r="1406" hidden="1" ht="18.75" customHeight="1"/>
    <row r="1407" hidden="1" ht="18.75" customHeight="1"/>
    <row r="1408" hidden="1" ht="18.75" customHeight="1"/>
    <row r="1409" hidden="1" ht="18.75" customHeight="1"/>
    <row r="1410" hidden="1" ht="18.75" customHeight="1"/>
    <row r="1411" hidden="1" ht="18.75" customHeight="1"/>
    <row r="1412" hidden="1" ht="18.75" customHeight="1"/>
    <row r="1413" hidden="1" ht="18.75" customHeight="1"/>
    <row r="1414" hidden="1" ht="18.75" customHeight="1"/>
    <row r="1415" hidden="1" ht="18.75" customHeight="1"/>
    <row r="1416" hidden="1" ht="18.75" customHeight="1"/>
    <row r="1417" hidden="1" ht="18.75" customHeight="1"/>
    <row r="1418" hidden="1" ht="18.75" customHeight="1"/>
    <row r="1419" hidden="1" ht="18.75" customHeight="1"/>
    <row r="1420" hidden="1" ht="18.75" customHeight="1"/>
    <row r="1421" hidden="1" ht="18.75" customHeight="1"/>
    <row r="1422" hidden="1" ht="18.75" customHeight="1"/>
    <row r="1423" hidden="1" ht="18.75" customHeight="1"/>
    <row r="1424" hidden="1" ht="18.75" customHeight="1"/>
    <row r="1425" hidden="1" ht="18.75" customHeight="1"/>
    <row r="1426" hidden="1" ht="18.75" customHeight="1"/>
    <row r="1427" hidden="1" ht="18.75" customHeight="1"/>
    <row r="1428" hidden="1" ht="18.75" customHeight="1"/>
    <row r="1429" hidden="1" ht="18.75" customHeight="1"/>
    <row r="1430" hidden="1" ht="18.75" customHeight="1"/>
    <row r="1431" hidden="1" ht="18.75" customHeight="1"/>
    <row r="1432" hidden="1" ht="18.75" customHeight="1"/>
    <row r="1433" hidden="1" ht="18.75" customHeight="1"/>
    <row r="1434" hidden="1" ht="18.75" customHeight="1"/>
    <row r="1435" hidden="1" ht="18.75" customHeight="1"/>
    <row r="1436" hidden="1" ht="18.75" customHeight="1"/>
    <row r="1437" hidden="1" ht="18.75" customHeight="1"/>
    <row r="1438" hidden="1" ht="18.75" customHeight="1"/>
    <row r="1439" hidden="1" ht="18.75" customHeight="1"/>
    <row r="1440" hidden="1" ht="18.75" customHeight="1"/>
    <row r="1441" hidden="1" ht="18.75" customHeight="1"/>
    <row r="1442" hidden="1" ht="18.75" customHeight="1"/>
    <row r="1443" hidden="1" ht="18.75" customHeight="1"/>
    <row r="1444" hidden="1" ht="18.75" customHeight="1"/>
    <row r="1445" hidden="1" ht="18.75" customHeight="1"/>
    <row r="1446" hidden="1" ht="18.75" customHeight="1"/>
    <row r="1447" hidden="1" ht="18.75" customHeight="1"/>
    <row r="1448" hidden="1" ht="18.75" customHeight="1"/>
    <row r="1449" hidden="1" ht="18.75" customHeight="1"/>
    <row r="1450" hidden="1" ht="18.75" customHeight="1"/>
    <row r="1451" hidden="1" ht="18.75" customHeight="1"/>
    <row r="1452" hidden="1" ht="18.75" customHeight="1"/>
    <row r="1453" hidden="1" ht="18.75" customHeight="1"/>
    <row r="1454" hidden="1" ht="18.75" customHeight="1"/>
    <row r="1455" hidden="1" ht="18.75" customHeight="1"/>
    <row r="1456" hidden="1" ht="18.75" customHeight="1"/>
    <row r="1457" hidden="1" ht="18.75" customHeight="1"/>
    <row r="1458" hidden="1" ht="18.75" customHeight="1"/>
    <row r="1459" hidden="1" ht="18.75" customHeight="1"/>
    <row r="1460" hidden="1" ht="18.75" customHeight="1"/>
    <row r="1461" hidden="1" ht="18.75" customHeight="1"/>
    <row r="1462" hidden="1" ht="18.75" customHeight="1"/>
    <row r="1463" hidden="1" ht="18.75" customHeight="1"/>
    <row r="1464" hidden="1" ht="18.75" customHeight="1"/>
    <row r="1465" hidden="1" ht="18.75" customHeight="1"/>
    <row r="1466" hidden="1" ht="18.75" customHeight="1"/>
    <row r="1467" hidden="1" ht="18.75" customHeight="1"/>
    <row r="1468" hidden="1" ht="18.75" customHeight="1"/>
    <row r="1469" hidden="1" ht="18.75" customHeight="1"/>
    <row r="1470" hidden="1" ht="18.75" customHeight="1"/>
    <row r="1471" hidden="1" ht="18.75" customHeight="1"/>
    <row r="1472" hidden="1" ht="18.75" customHeight="1"/>
    <row r="1473" hidden="1" ht="18.75" customHeight="1"/>
    <row r="1474" hidden="1" ht="18.75" customHeight="1"/>
    <row r="1475" hidden="1" ht="18.75" customHeight="1"/>
    <row r="1476" hidden="1" ht="18.75" customHeight="1"/>
    <row r="1477" hidden="1" ht="18.75" customHeight="1"/>
    <row r="1478" hidden="1" ht="18.75" customHeight="1"/>
    <row r="1479" hidden="1" ht="18.75" customHeight="1"/>
    <row r="1480" hidden="1" ht="18.75" customHeight="1"/>
    <row r="1481" hidden="1" ht="18.75" customHeight="1"/>
    <row r="1482" hidden="1" ht="18.75" customHeight="1"/>
    <row r="1483" hidden="1" ht="18.75" customHeight="1"/>
    <row r="1484" hidden="1" ht="18.75" customHeight="1"/>
    <row r="1485" hidden="1" ht="18.75" customHeight="1"/>
    <row r="1486" hidden="1" ht="18.75" customHeight="1"/>
    <row r="1487" hidden="1" ht="18.75" customHeight="1"/>
    <row r="1488" hidden="1" ht="18.75" customHeight="1"/>
    <row r="1489" hidden="1" ht="18.75" customHeight="1"/>
    <row r="1490" hidden="1" ht="18.75" customHeight="1"/>
    <row r="1491" hidden="1" ht="18.75" customHeight="1"/>
    <row r="1492" hidden="1" ht="18.75" customHeight="1"/>
    <row r="1493" hidden="1" ht="18.75" customHeight="1"/>
    <row r="1494" hidden="1" ht="18.75" customHeight="1"/>
    <row r="1495" hidden="1" ht="18.75" customHeight="1"/>
    <row r="1496" hidden="1" ht="18.75" customHeight="1"/>
    <row r="1497" hidden="1" ht="18.75" customHeight="1"/>
    <row r="1498" hidden="1" ht="18.75" customHeight="1"/>
    <row r="1499" hidden="1" ht="18.75" customHeight="1"/>
    <row r="1500" hidden="1" ht="18.75" customHeight="1"/>
    <row r="1501" hidden="1" ht="18.75" customHeight="1"/>
    <row r="1502" hidden="1" ht="18.75" customHeight="1"/>
    <row r="1503" hidden="1" ht="18.75" customHeight="1"/>
    <row r="1504" hidden="1" ht="18.75" customHeight="1"/>
    <row r="1505" hidden="1" ht="18.75" customHeight="1"/>
    <row r="1506" hidden="1" ht="18.75" customHeight="1"/>
    <row r="1507" hidden="1" ht="18.75" customHeight="1"/>
    <row r="1508" hidden="1" ht="18.75" customHeight="1"/>
    <row r="1509" hidden="1" ht="18.75" customHeight="1"/>
    <row r="1510" hidden="1" ht="18.75" customHeight="1"/>
    <row r="1511" hidden="1" ht="18.75" customHeight="1"/>
    <row r="1512" hidden="1" ht="18.75" customHeight="1"/>
    <row r="1513" hidden="1" ht="18.75" customHeight="1"/>
    <row r="1514" hidden="1" ht="18.75" customHeight="1"/>
    <row r="1515" hidden="1" ht="18.75" customHeight="1"/>
    <row r="1516" hidden="1" ht="18.75" customHeight="1"/>
    <row r="1517" hidden="1" ht="18.75" customHeight="1"/>
    <row r="1518" hidden="1" ht="18.75" customHeight="1"/>
    <row r="1519" hidden="1" ht="18.75" customHeight="1"/>
    <row r="1520" hidden="1" ht="18.75" customHeight="1"/>
    <row r="1521" hidden="1" ht="18.75" customHeight="1"/>
    <row r="1522" hidden="1" ht="18.75" customHeight="1"/>
    <row r="1523" hidden="1" ht="18.75" customHeight="1"/>
    <row r="1524" hidden="1" ht="18.75" customHeight="1"/>
    <row r="1525" hidden="1" ht="18.75" customHeight="1"/>
    <row r="1526" hidden="1" ht="18.75" customHeight="1"/>
    <row r="1527" hidden="1" ht="18.75" customHeight="1"/>
    <row r="1528" hidden="1" ht="18.75" customHeight="1"/>
    <row r="1529" hidden="1" ht="18.75" customHeight="1"/>
    <row r="1530" hidden="1" ht="18.75" customHeight="1"/>
    <row r="1531" hidden="1" ht="18.75" customHeight="1"/>
    <row r="1532" hidden="1" ht="18.75" customHeight="1"/>
    <row r="1533" hidden="1" ht="18.75" customHeight="1"/>
    <row r="1534" hidden="1" ht="18.75" customHeight="1"/>
    <row r="1535" hidden="1" ht="18.75" customHeight="1"/>
    <row r="1536" hidden="1" ht="18.75" customHeight="1"/>
    <row r="1537" hidden="1" ht="18.75" customHeight="1"/>
    <row r="1538" hidden="1" ht="18.75" customHeight="1"/>
    <row r="1539" hidden="1" ht="18.75" customHeight="1"/>
    <row r="1540" hidden="1" ht="18.75" customHeight="1"/>
    <row r="1541" hidden="1" ht="18.75" customHeight="1"/>
    <row r="1542" hidden="1" ht="18.75" customHeight="1"/>
    <row r="1543" hidden="1" ht="18.75" customHeight="1"/>
    <row r="1544" hidden="1" ht="18.75" customHeight="1"/>
    <row r="1545" hidden="1" ht="18.75" customHeight="1"/>
    <row r="1546" hidden="1" ht="18.75" customHeight="1"/>
    <row r="1547" hidden="1" ht="18.75" customHeight="1"/>
    <row r="1548" hidden="1" ht="18.75" customHeight="1"/>
    <row r="1549" hidden="1" ht="18.75" customHeight="1"/>
    <row r="1550" hidden="1" ht="18.75" customHeight="1"/>
    <row r="1551" hidden="1" ht="18.75" customHeight="1"/>
    <row r="1552" hidden="1" ht="18.75" customHeight="1"/>
    <row r="1553" hidden="1" ht="18.75" customHeight="1"/>
    <row r="1554" hidden="1" ht="18.75" customHeight="1"/>
    <row r="1555" hidden="1" ht="18.75" customHeight="1"/>
    <row r="1556" hidden="1" ht="18.75" customHeight="1"/>
    <row r="1557" hidden="1" ht="18.75" customHeight="1"/>
    <row r="1558" hidden="1" ht="18.75" customHeight="1"/>
    <row r="1559" hidden="1" ht="18.75" customHeight="1"/>
    <row r="1560" hidden="1" ht="18.75" customHeight="1"/>
    <row r="1561" hidden="1" ht="18.75" customHeight="1"/>
    <row r="1562" hidden="1" ht="18.75" customHeight="1"/>
    <row r="1563" hidden="1" ht="18.75" customHeight="1"/>
    <row r="1564" hidden="1" ht="18.75" customHeight="1"/>
    <row r="1565" hidden="1" ht="18.75" customHeight="1"/>
    <row r="1566" hidden="1" ht="18.75" customHeight="1"/>
    <row r="1567" hidden="1" ht="18.75" customHeight="1"/>
    <row r="1568" hidden="1" ht="18.75" customHeight="1"/>
    <row r="1569" hidden="1" ht="18.75" customHeight="1"/>
    <row r="1570" hidden="1" ht="18.75" customHeight="1"/>
    <row r="1571" hidden="1" ht="18.75" customHeight="1"/>
    <row r="1572" hidden="1" ht="18.75" customHeight="1"/>
    <row r="1573" hidden="1" ht="18.75" customHeight="1"/>
    <row r="1574" hidden="1" ht="18.75" customHeight="1"/>
    <row r="1575" hidden="1" ht="18.75" customHeight="1"/>
    <row r="1576" hidden="1" ht="18.75" customHeight="1"/>
    <row r="1577" hidden="1" ht="18.75" customHeight="1"/>
    <row r="1578" hidden="1" ht="18.75" customHeight="1"/>
    <row r="1579" hidden="1" ht="18.75" customHeight="1"/>
    <row r="1580" hidden="1" ht="18.75" customHeight="1"/>
    <row r="1581" hidden="1" ht="18.75" customHeight="1"/>
    <row r="1582" hidden="1" ht="18.75" customHeight="1"/>
    <row r="1583" hidden="1" ht="18.75" customHeight="1"/>
    <row r="1584" hidden="1" ht="18.75" customHeight="1"/>
    <row r="1585" hidden="1" ht="18.75" customHeight="1"/>
    <row r="1586" hidden="1" ht="18.75" customHeight="1"/>
    <row r="1587" hidden="1" ht="18.75" customHeight="1"/>
    <row r="1588" hidden="1" ht="18.75" customHeight="1"/>
    <row r="1589" hidden="1" ht="18.75" customHeight="1"/>
    <row r="1590" hidden="1" ht="18.75" customHeight="1"/>
    <row r="1591" hidden="1" ht="18.75" customHeight="1"/>
    <row r="1592" hidden="1" ht="18.75" customHeight="1"/>
    <row r="1593" hidden="1" ht="18.75" customHeight="1"/>
    <row r="1594" hidden="1" ht="18.75" customHeight="1"/>
    <row r="1595" hidden="1" ht="18.75" customHeight="1"/>
    <row r="1596" hidden="1" ht="18.75" customHeight="1"/>
    <row r="1597" hidden="1" ht="18.75" customHeight="1"/>
    <row r="1598" hidden="1" ht="18.75" customHeight="1"/>
    <row r="1599" hidden="1" ht="18.75" customHeight="1"/>
    <row r="1600" hidden="1" ht="18.75" customHeight="1"/>
    <row r="1601" hidden="1" ht="18.75" customHeight="1"/>
    <row r="1602" hidden="1" ht="18.75" customHeight="1"/>
    <row r="1603" hidden="1" ht="18.75" customHeight="1"/>
    <row r="1604" hidden="1" ht="18.75" customHeight="1"/>
    <row r="1605" hidden="1" ht="18.75" customHeight="1"/>
    <row r="1606" hidden="1" ht="18.75" customHeight="1"/>
    <row r="1607" hidden="1" ht="18.75" customHeight="1"/>
    <row r="1608" hidden="1" ht="18.75" customHeight="1"/>
    <row r="1609" hidden="1" ht="18.75" customHeight="1"/>
    <row r="1610" hidden="1" ht="18.75" customHeight="1"/>
    <row r="1611" hidden="1" ht="18.75" customHeight="1"/>
    <row r="1612" hidden="1" ht="18.75" customHeight="1"/>
    <row r="1613" hidden="1" ht="18.75" customHeight="1"/>
    <row r="1614" hidden="1" ht="18.75" customHeight="1"/>
    <row r="1615" hidden="1" ht="18.75" customHeight="1"/>
    <row r="1616" hidden="1" ht="18.75" customHeight="1"/>
    <row r="1617" hidden="1" ht="18.75" customHeight="1"/>
    <row r="1618" hidden="1" ht="18.75" customHeight="1"/>
    <row r="1619" hidden="1" ht="18.75" customHeight="1"/>
    <row r="1620" hidden="1" ht="18.75" customHeight="1"/>
    <row r="1621" hidden="1" ht="18.75" customHeight="1"/>
    <row r="1622" hidden="1" ht="18.75" customHeight="1"/>
    <row r="1623" hidden="1" ht="18.75" customHeight="1"/>
    <row r="1624" hidden="1" ht="18.75" customHeight="1"/>
    <row r="1625" hidden="1" ht="18.75" customHeight="1"/>
    <row r="1626" hidden="1" ht="18.75" customHeight="1"/>
    <row r="1627" hidden="1" ht="18.75" customHeight="1"/>
    <row r="1628" hidden="1" ht="18.75" customHeight="1"/>
    <row r="1629" hidden="1" ht="18.75" customHeight="1"/>
    <row r="1630" hidden="1" ht="18.75" customHeight="1"/>
    <row r="1631" hidden="1" ht="18.75" customHeight="1"/>
    <row r="1632" hidden="1" ht="18.75" customHeight="1"/>
    <row r="1633" hidden="1" ht="18.75" customHeight="1"/>
    <row r="1634" hidden="1" ht="18.75" customHeight="1"/>
    <row r="1635" hidden="1" ht="18.75" customHeight="1"/>
    <row r="1636" hidden="1" ht="18.75" customHeight="1"/>
    <row r="1637" hidden="1" ht="18.75" customHeight="1"/>
    <row r="1638" hidden="1" ht="18.75" customHeight="1"/>
    <row r="1639" hidden="1" ht="18.75" customHeight="1"/>
    <row r="1640" hidden="1" ht="18.75" customHeight="1"/>
    <row r="1641" hidden="1" ht="18.75" customHeight="1"/>
    <row r="1642" hidden="1" ht="18.75" customHeight="1"/>
    <row r="1643" hidden="1" ht="18.75" customHeight="1"/>
    <row r="1644" hidden="1" ht="18.75" customHeight="1"/>
    <row r="1645" hidden="1" ht="18.75" customHeight="1"/>
    <row r="1646" hidden="1" ht="18.75" customHeight="1"/>
    <row r="1647" hidden="1" ht="18.75" customHeight="1"/>
    <row r="1648" hidden="1" ht="18.75" customHeight="1"/>
    <row r="1649" hidden="1" ht="18.75" customHeight="1"/>
    <row r="1650" hidden="1" ht="18.75" customHeight="1"/>
    <row r="1651" hidden="1" ht="18.75" customHeight="1"/>
    <row r="1652" hidden="1" ht="18.75" customHeight="1"/>
    <row r="1653" hidden="1" ht="18.75" customHeight="1"/>
    <row r="1654" hidden="1" ht="18.75" customHeight="1"/>
    <row r="1655" hidden="1" ht="18.75" customHeight="1"/>
    <row r="1656" hidden="1" ht="18.75" customHeight="1"/>
    <row r="1657" hidden="1" ht="18.75" customHeight="1"/>
    <row r="1658" hidden="1" ht="18.75" customHeight="1"/>
    <row r="1659" hidden="1" ht="18.75" customHeight="1"/>
    <row r="1660" hidden="1" ht="18.75" customHeight="1"/>
    <row r="1661" hidden="1" ht="18.75" customHeight="1"/>
    <row r="1662" hidden="1" ht="18.75" customHeight="1"/>
    <row r="1663" hidden="1" ht="18.75" customHeight="1"/>
    <row r="1664" hidden="1" ht="18.75" customHeight="1"/>
    <row r="1665" hidden="1" ht="18.75" customHeight="1"/>
    <row r="1666" hidden="1" ht="18.75" customHeight="1"/>
    <row r="1667" hidden="1" ht="18.75" customHeight="1"/>
    <row r="1668" hidden="1" ht="18.75" customHeight="1"/>
    <row r="1669" hidden="1" ht="18.75" customHeight="1"/>
    <row r="1670" hidden="1" ht="18.75" customHeight="1"/>
    <row r="1671" hidden="1" ht="18.75" customHeight="1"/>
    <row r="1672" hidden="1" ht="18.75" customHeight="1"/>
    <row r="1673" hidden="1" ht="18.75" customHeight="1"/>
    <row r="1674" hidden="1" ht="18.75" customHeight="1"/>
    <row r="1675" hidden="1" ht="18.75" customHeight="1"/>
    <row r="1676" hidden="1" ht="18.75" customHeight="1"/>
    <row r="1677" hidden="1" ht="18.75" customHeight="1"/>
    <row r="1678" hidden="1" ht="18.75" customHeight="1"/>
    <row r="1679" hidden="1" ht="18.75" customHeight="1"/>
    <row r="1680" hidden="1" ht="18.75" customHeight="1"/>
    <row r="1681" hidden="1" ht="18.75" customHeight="1"/>
    <row r="1682" hidden="1" ht="18.75" customHeight="1"/>
    <row r="1683" hidden="1" ht="18.75" customHeight="1"/>
    <row r="1684" hidden="1" ht="18.75" customHeight="1"/>
    <row r="1685" hidden="1" ht="18.75" customHeight="1"/>
    <row r="1686" hidden="1" ht="18.75" customHeight="1"/>
    <row r="1687" hidden="1" ht="18.75" customHeight="1"/>
    <row r="1688" hidden="1" ht="18.75" customHeight="1"/>
    <row r="1689" hidden="1" ht="18.75" customHeight="1"/>
    <row r="1690" hidden="1" ht="18.75" customHeight="1"/>
    <row r="1691" hidden="1" ht="18.75" customHeight="1"/>
    <row r="1692" hidden="1" ht="18.75" customHeight="1"/>
    <row r="1693" hidden="1" ht="18.75" customHeight="1"/>
    <row r="1694" hidden="1" ht="18.75" customHeight="1"/>
    <row r="1695" hidden="1" ht="18.75" customHeight="1"/>
    <row r="1696" hidden="1" ht="18.75" customHeight="1"/>
    <row r="1697" hidden="1" ht="18.75" customHeight="1"/>
    <row r="1698" hidden="1" ht="18.75" customHeight="1"/>
    <row r="1699" hidden="1" ht="18.75" customHeight="1"/>
    <row r="1700" hidden="1" ht="18.75" customHeight="1"/>
    <row r="1701" hidden="1" ht="18.75" customHeight="1"/>
    <row r="1702" hidden="1" ht="18.75" customHeight="1"/>
    <row r="1703" hidden="1" ht="18.75" customHeight="1"/>
    <row r="1704" hidden="1" ht="18.75" customHeight="1"/>
    <row r="1705" hidden="1" ht="18.75" customHeight="1"/>
    <row r="1706" hidden="1" ht="18.75" customHeight="1"/>
    <row r="1707" hidden="1" ht="18.75" customHeight="1"/>
    <row r="1708" hidden="1" ht="18.75" customHeight="1"/>
    <row r="1709" hidden="1" ht="18.75" customHeight="1"/>
    <row r="1710" hidden="1" ht="18.75" customHeight="1"/>
    <row r="1711" hidden="1" ht="18.75" customHeight="1"/>
    <row r="1712" hidden="1" ht="18.75" customHeight="1"/>
    <row r="1713" hidden="1" ht="18.75" customHeight="1"/>
    <row r="1714" hidden="1" ht="18.75" customHeight="1"/>
    <row r="1715" hidden="1" ht="18.75" customHeight="1"/>
    <row r="1716" hidden="1" ht="18.75" customHeight="1"/>
    <row r="1717" hidden="1" ht="18.75" customHeight="1"/>
    <row r="1718" hidden="1" ht="18.75" customHeight="1"/>
    <row r="1719" hidden="1" ht="18.75" customHeight="1"/>
    <row r="1720" hidden="1" ht="18.75" customHeight="1"/>
    <row r="1721" hidden="1" ht="18.75" customHeight="1"/>
    <row r="1722" hidden="1" ht="18.75" customHeight="1"/>
    <row r="1723" hidden="1" ht="18.75" customHeight="1"/>
    <row r="1724" hidden="1" ht="18.75" customHeight="1"/>
    <row r="1725" hidden="1" ht="18.75" customHeight="1"/>
    <row r="1726" hidden="1" ht="18.75" customHeight="1"/>
    <row r="1727" hidden="1" ht="18.75" customHeight="1"/>
    <row r="1728" hidden="1" ht="18.75" customHeight="1"/>
    <row r="1729" hidden="1" ht="18.75" customHeight="1"/>
    <row r="1730" hidden="1" ht="18.75" customHeight="1"/>
    <row r="1731" hidden="1" ht="18.75" customHeight="1"/>
    <row r="1732" hidden="1" ht="18.75" customHeight="1"/>
    <row r="1733" hidden="1" ht="18.75" customHeight="1"/>
    <row r="1734" hidden="1" ht="18.75" customHeight="1"/>
    <row r="1735" hidden="1" ht="18.75" customHeight="1"/>
    <row r="1736" hidden="1" ht="18.75" customHeight="1"/>
    <row r="1737" hidden="1" ht="18.75" customHeight="1"/>
    <row r="1738" hidden="1" ht="18.75" customHeight="1"/>
    <row r="1739" hidden="1" ht="18.75" customHeight="1"/>
    <row r="1740" hidden="1" ht="18.75" customHeight="1"/>
    <row r="1741" hidden="1" ht="18.75" customHeight="1"/>
    <row r="1742" hidden="1" ht="18.75" customHeight="1"/>
    <row r="1743" hidden="1" ht="18.75" customHeight="1"/>
    <row r="1744" hidden="1" ht="18.75" customHeight="1"/>
    <row r="1745" hidden="1" ht="18.75" customHeight="1"/>
    <row r="1746" hidden="1" ht="18.75" customHeight="1"/>
    <row r="1747" hidden="1" ht="18.75" customHeight="1"/>
    <row r="1748" hidden="1" ht="18.75" customHeight="1"/>
    <row r="1749" hidden="1" ht="18.75" customHeight="1"/>
    <row r="1750" hidden="1" ht="18.75" customHeight="1"/>
    <row r="1751" hidden="1" ht="18.75" customHeight="1"/>
    <row r="1752" hidden="1" ht="18.75" customHeight="1"/>
    <row r="1753" hidden="1" ht="18.75" customHeight="1"/>
    <row r="1754" hidden="1" ht="18.75" customHeight="1"/>
    <row r="1755" hidden="1" ht="18.75" customHeight="1"/>
    <row r="1756" hidden="1" ht="18.75" customHeight="1"/>
    <row r="1757" hidden="1" ht="18.75" customHeight="1"/>
    <row r="1758" hidden="1" ht="18.75" customHeight="1"/>
    <row r="1759" hidden="1" ht="18.75" customHeight="1"/>
    <row r="1760" hidden="1" ht="18.75" customHeight="1"/>
    <row r="1761" hidden="1" ht="18.75" customHeight="1"/>
    <row r="1762" hidden="1" ht="18.75" customHeight="1"/>
    <row r="1763" hidden="1" ht="18.75" customHeight="1"/>
    <row r="1764" hidden="1" ht="18.75" customHeight="1"/>
    <row r="1765" hidden="1" ht="18.75" customHeight="1"/>
    <row r="1766" hidden="1" ht="18.75" customHeight="1"/>
    <row r="1767" hidden="1" ht="18.75" customHeight="1"/>
    <row r="1768" hidden="1" ht="18.75" customHeight="1"/>
    <row r="1769" hidden="1" ht="18.75" customHeight="1"/>
    <row r="1770" hidden="1" ht="18.75" customHeight="1"/>
    <row r="1771" hidden="1" ht="18.75" customHeight="1"/>
    <row r="1772" hidden="1" ht="18.75" customHeight="1"/>
    <row r="1773" hidden="1" ht="18.75" customHeight="1"/>
    <row r="1774" hidden="1" ht="18.75" customHeight="1"/>
    <row r="1775" hidden="1" ht="18.75" customHeight="1"/>
    <row r="1776" hidden="1" ht="18.75" customHeight="1"/>
    <row r="1777" hidden="1" ht="18.75" customHeight="1"/>
    <row r="1778" hidden="1" ht="18.75" customHeight="1"/>
    <row r="1779" hidden="1" ht="18.75" customHeight="1"/>
    <row r="1780" hidden="1" ht="18.75" customHeight="1"/>
    <row r="1781" hidden="1" ht="18.75" customHeight="1"/>
    <row r="1782" hidden="1" ht="18.75" customHeight="1"/>
    <row r="1783" hidden="1" ht="18.75" customHeight="1"/>
    <row r="1784" hidden="1" ht="18.75" customHeight="1"/>
    <row r="1785" hidden="1" ht="18.75" customHeight="1"/>
    <row r="1786" hidden="1" ht="18.75" customHeight="1"/>
    <row r="1787" hidden="1" ht="18.75" customHeight="1"/>
    <row r="1788" hidden="1" ht="18.75" customHeight="1"/>
    <row r="1789" hidden="1" ht="18.75" customHeight="1"/>
    <row r="1790" hidden="1" ht="18.75" customHeight="1"/>
    <row r="1791" hidden="1" ht="18.75" customHeight="1"/>
    <row r="1792" hidden="1" ht="18.75" customHeight="1"/>
    <row r="1793" hidden="1" ht="18.75" customHeight="1"/>
    <row r="1794" hidden="1" ht="18.75" customHeight="1"/>
    <row r="1795" hidden="1" ht="18.75" customHeight="1"/>
    <row r="1796" hidden="1" ht="18.75" customHeight="1"/>
    <row r="1797" hidden="1" ht="18.75" customHeight="1"/>
    <row r="1798" hidden="1" ht="18.75" customHeight="1"/>
    <row r="1799" hidden="1" ht="18.75" customHeight="1"/>
    <row r="1800" hidden="1" ht="18.75" customHeight="1"/>
    <row r="1801" hidden="1" ht="18.75" customHeight="1"/>
    <row r="1802" hidden="1" ht="18.75" customHeight="1"/>
    <row r="1803" hidden="1" ht="18.75" customHeight="1"/>
    <row r="1804" hidden="1" ht="18.75" customHeight="1"/>
    <row r="1805" hidden="1" ht="18.75" customHeight="1"/>
    <row r="1806" hidden="1" ht="18.75" customHeight="1"/>
    <row r="1807" hidden="1" ht="18.75" customHeight="1"/>
    <row r="1808" hidden="1" ht="18.75" customHeight="1"/>
    <row r="1809" hidden="1" ht="18.75" customHeight="1"/>
    <row r="1810" hidden="1" ht="18.75" customHeight="1"/>
    <row r="1811" hidden="1" ht="18.75" customHeight="1"/>
    <row r="1812" hidden="1" ht="18.75" customHeight="1"/>
    <row r="1813" hidden="1" ht="18.75" customHeight="1"/>
    <row r="1814" hidden="1" ht="18.75" customHeight="1"/>
    <row r="1815" hidden="1" ht="18.75" customHeight="1"/>
    <row r="1816" hidden="1" ht="18.75" customHeight="1"/>
    <row r="1817" hidden="1" ht="18.75" customHeight="1"/>
    <row r="1818" hidden="1" ht="18.75" customHeight="1"/>
    <row r="1819" hidden="1" ht="18.75" customHeight="1"/>
    <row r="1820" hidden="1" ht="18.75" customHeight="1"/>
    <row r="1821" hidden="1" ht="18.75" customHeight="1"/>
    <row r="1822" hidden="1" ht="18.75" customHeight="1"/>
    <row r="1823" hidden="1" ht="18.75" customHeight="1"/>
    <row r="1824" hidden="1" ht="18.75" customHeight="1"/>
    <row r="1825" hidden="1" ht="18.75" customHeight="1"/>
    <row r="1826" hidden="1" ht="18.75" customHeight="1"/>
    <row r="1827" hidden="1" ht="18.75" customHeight="1"/>
    <row r="1828" hidden="1" ht="18.75" customHeight="1"/>
    <row r="1829" hidden="1" ht="18.75" customHeight="1"/>
    <row r="1830" hidden="1" ht="18.75" customHeight="1"/>
    <row r="1831" hidden="1" ht="18.75" customHeight="1"/>
    <row r="1832" hidden="1" ht="18.75" customHeight="1"/>
    <row r="1833" hidden="1" ht="18.75" customHeight="1"/>
    <row r="1834" hidden="1" ht="18.75" customHeight="1"/>
    <row r="1835" hidden="1" ht="18.75" customHeight="1"/>
    <row r="1836" hidden="1" ht="18.75" customHeight="1"/>
    <row r="1837" hidden="1" ht="18.75" customHeight="1"/>
    <row r="1838" hidden="1" ht="18.75" customHeight="1"/>
    <row r="1839" hidden="1" ht="18.75" customHeight="1"/>
    <row r="1840" hidden="1" ht="18.75" customHeight="1"/>
    <row r="1841" hidden="1" ht="18.75" customHeight="1"/>
    <row r="1842" hidden="1" ht="18.75" customHeight="1"/>
    <row r="1843" hidden="1" ht="18.75" customHeight="1"/>
    <row r="1844" hidden="1" ht="18.75" customHeight="1"/>
    <row r="1845" hidden="1" ht="18.75" customHeight="1"/>
    <row r="1846" hidden="1" ht="18.75" customHeight="1"/>
    <row r="1847" hidden="1" ht="18.75" customHeight="1"/>
    <row r="1848" hidden="1" ht="18.75" customHeight="1"/>
    <row r="1849" hidden="1" ht="18.75" customHeight="1"/>
    <row r="1850" hidden="1" ht="18.75" customHeight="1"/>
    <row r="1851" hidden="1" ht="18.75" customHeight="1"/>
    <row r="1852" hidden="1" ht="18.75" customHeight="1"/>
    <row r="1853" hidden="1" ht="18.75" customHeight="1"/>
    <row r="1854" hidden="1" ht="18.75" customHeight="1"/>
    <row r="1855" hidden="1" ht="18.75" customHeight="1"/>
    <row r="1856" hidden="1" ht="18.75" customHeight="1"/>
    <row r="1857" hidden="1" ht="18.75" customHeight="1"/>
    <row r="1858" hidden="1" ht="18.75" customHeight="1"/>
    <row r="1859" hidden="1" ht="18.75" customHeight="1"/>
    <row r="1860" hidden="1" ht="18.75" customHeight="1"/>
    <row r="1861" hidden="1" ht="18.75" customHeight="1"/>
    <row r="1862" hidden="1" ht="18.75" customHeight="1"/>
    <row r="1863" hidden="1" ht="18.75" customHeight="1"/>
    <row r="1864" hidden="1" ht="18.75" customHeight="1"/>
    <row r="1865" hidden="1" ht="18.75" customHeight="1"/>
    <row r="1866" hidden="1" ht="18.75" customHeight="1"/>
    <row r="1867" hidden="1" ht="18.75" customHeight="1"/>
    <row r="1868" hidden="1" ht="18.75" customHeight="1"/>
    <row r="1869" hidden="1" ht="18.75" customHeight="1"/>
    <row r="1870" hidden="1" ht="18.75" customHeight="1"/>
    <row r="1871" hidden="1" ht="18.75" customHeight="1"/>
    <row r="1872" hidden="1" ht="18.75" customHeight="1"/>
    <row r="1873" hidden="1" ht="18.75" customHeight="1"/>
    <row r="1874" hidden="1" ht="18.75" customHeight="1"/>
    <row r="1875" hidden="1" ht="18.75" customHeight="1"/>
    <row r="1876" hidden="1" ht="18.75" customHeight="1"/>
    <row r="1877" hidden="1" ht="18.75" customHeight="1"/>
    <row r="1878" hidden="1" ht="18.75" customHeight="1"/>
    <row r="1879" hidden="1" ht="18.75" customHeight="1"/>
    <row r="1880" hidden="1" ht="18.75" customHeight="1"/>
    <row r="1881" hidden="1" ht="18.75" customHeight="1"/>
    <row r="1882" hidden="1" ht="18.75" customHeight="1"/>
    <row r="1883" hidden="1" ht="18.75" customHeight="1"/>
    <row r="1884" hidden="1" ht="18.75" customHeight="1"/>
    <row r="1885" hidden="1" ht="18.75" customHeight="1"/>
    <row r="1886" hidden="1" ht="18.75" customHeight="1"/>
    <row r="1887" hidden="1" ht="18.75" customHeight="1"/>
    <row r="1888" hidden="1" ht="18.75" customHeight="1"/>
    <row r="1889" hidden="1" ht="18.75" customHeight="1"/>
    <row r="1890" hidden="1" ht="18.75" customHeight="1"/>
    <row r="1891" hidden="1" ht="18.75" customHeight="1"/>
    <row r="1892" hidden="1" ht="18.75" customHeight="1"/>
    <row r="1893" hidden="1" ht="18.75" customHeight="1"/>
    <row r="1894" hidden="1" ht="18.75" customHeight="1"/>
    <row r="1895" hidden="1" ht="18.75" customHeight="1"/>
    <row r="1896" hidden="1" ht="18.75" customHeight="1"/>
    <row r="1897" hidden="1" ht="18.75" customHeight="1"/>
    <row r="1898" hidden="1" ht="18.75" customHeight="1"/>
    <row r="1899" hidden="1" ht="18.75" customHeight="1"/>
    <row r="1900" hidden="1" ht="18.75" customHeight="1"/>
    <row r="1901" hidden="1" ht="18.75" customHeight="1"/>
    <row r="1902" hidden="1" ht="18.75" customHeight="1"/>
    <row r="1903" hidden="1" ht="18.75" customHeight="1"/>
    <row r="1904" hidden="1" ht="18.75" customHeight="1"/>
    <row r="1905" hidden="1" ht="18.75" customHeight="1"/>
    <row r="1906" hidden="1" ht="18.75" customHeight="1"/>
    <row r="1907" hidden="1" ht="18.75" customHeight="1"/>
    <row r="1908" hidden="1" ht="18.75" customHeight="1"/>
    <row r="1909" hidden="1" ht="18.75" customHeight="1"/>
    <row r="1910" hidden="1" ht="18.75" customHeight="1"/>
    <row r="1911" hidden="1" ht="18.75" customHeight="1"/>
    <row r="1912" hidden="1" ht="18.75" customHeight="1"/>
    <row r="1913" hidden="1" ht="18.75" customHeight="1"/>
    <row r="1914" hidden="1" ht="18.75" customHeight="1"/>
    <row r="1915" hidden="1" ht="18.75" customHeight="1"/>
    <row r="1916" hidden="1" ht="18.75" customHeight="1"/>
    <row r="1917" hidden="1" ht="18.75" customHeight="1"/>
    <row r="1918" hidden="1" ht="18.75" customHeight="1"/>
    <row r="1919" hidden="1" ht="18.75" customHeight="1"/>
    <row r="1920" hidden="1" ht="18.75" customHeight="1"/>
    <row r="1921" hidden="1" ht="18.75" customHeight="1"/>
    <row r="1922" hidden="1" ht="18.75" customHeight="1"/>
    <row r="1923" hidden="1" ht="18.75" customHeight="1"/>
    <row r="1924" hidden="1" ht="18.75" customHeight="1"/>
    <row r="1925" hidden="1" ht="18.75" customHeight="1"/>
    <row r="1926" hidden="1" ht="18.75" customHeight="1"/>
    <row r="1927" hidden="1" ht="18.75" customHeight="1"/>
    <row r="1928" hidden="1" ht="18.75" customHeight="1"/>
    <row r="1929" hidden="1" ht="18.75" customHeight="1"/>
    <row r="1930" hidden="1" ht="18.75" customHeight="1"/>
    <row r="1931" hidden="1" ht="18.75" customHeight="1"/>
    <row r="1932" hidden="1" ht="18.75" customHeight="1"/>
    <row r="1933" hidden="1" ht="18.75" customHeight="1"/>
    <row r="1934" hidden="1" ht="18.75" customHeight="1"/>
    <row r="1935" hidden="1" ht="18.75" customHeight="1"/>
    <row r="1936" hidden="1" ht="18.75" customHeight="1"/>
    <row r="1937" hidden="1" ht="18.75" customHeight="1"/>
    <row r="1938" hidden="1" ht="18.75" customHeight="1"/>
    <row r="1939" hidden="1" ht="18.75" customHeight="1"/>
    <row r="1940" hidden="1" ht="18.75" customHeight="1"/>
    <row r="1941" hidden="1" ht="18.75" customHeight="1"/>
    <row r="1942" hidden="1" ht="18.75" customHeight="1"/>
    <row r="1943" hidden="1" ht="18.75" customHeight="1"/>
    <row r="1944" hidden="1" ht="18.75" customHeight="1"/>
    <row r="1945" hidden="1" ht="18.75" customHeight="1"/>
    <row r="1946" hidden="1" ht="18.75" customHeight="1"/>
    <row r="1947" hidden="1" ht="18.75" customHeight="1"/>
    <row r="1948" hidden="1" ht="18.75" customHeight="1"/>
    <row r="1949" hidden="1" ht="18.75" customHeight="1"/>
    <row r="1950" hidden="1" ht="18.75" customHeight="1"/>
    <row r="1951" hidden="1" ht="18.75" customHeight="1"/>
    <row r="1952" hidden="1" ht="18.75" customHeight="1"/>
    <row r="1953" hidden="1" ht="18.75" customHeight="1"/>
    <row r="1954" hidden="1" ht="18.75" customHeight="1"/>
    <row r="1955" hidden="1" ht="18.75" customHeight="1"/>
    <row r="1956" hidden="1" ht="18.75" customHeight="1"/>
    <row r="1957" hidden="1" ht="18.75" customHeight="1"/>
    <row r="1958" hidden="1" ht="18.75" customHeight="1"/>
    <row r="1959" hidden="1" ht="18.75" customHeight="1"/>
    <row r="1960" hidden="1" ht="18.75" customHeight="1"/>
    <row r="1961" hidden="1" ht="18.75" customHeight="1"/>
    <row r="1962" hidden="1" ht="18.75" customHeight="1"/>
    <row r="1963" hidden="1" ht="18.75" customHeight="1"/>
    <row r="1964" hidden="1" ht="18.75" customHeight="1"/>
    <row r="1965" hidden="1" ht="18.75" customHeight="1"/>
    <row r="1966" hidden="1" ht="18.75" customHeight="1"/>
    <row r="1967" hidden="1" ht="18.75" customHeight="1"/>
    <row r="1968" hidden="1" ht="18.75" customHeight="1"/>
    <row r="1969" hidden="1" ht="18.75" customHeight="1"/>
    <row r="1970" hidden="1" ht="18.75" customHeight="1"/>
    <row r="1971" hidden="1" ht="18.75" customHeight="1"/>
    <row r="1972" hidden="1" ht="18.75" customHeight="1"/>
    <row r="1973" hidden="1" ht="18.75" customHeight="1"/>
    <row r="1974" hidden="1" ht="18.75" customHeight="1"/>
    <row r="1975" hidden="1" ht="18.75" customHeight="1"/>
    <row r="1976" hidden="1" ht="18.75" customHeight="1"/>
    <row r="1977" hidden="1" ht="18.75" customHeight="1"/>
    <row r="1978" hidden="1" ht="18.75" customHeight="1"/>
    <row r="1979" hidden="1" ht="18.75" customHeight="1"/>
    <row r="1980" hidden="1" ht="18.75" customHeight="1"/>
    <row r="1981" hidden="1" ht="18.75" customHeight="1"/>
    <row r="1982" hidden="1" ht="18.75" customHeight="1"/>
    <row r="1983" hidden="1" ht="18.75" customHeight="1"/>
    <row r="1984" hidden="1" ht="18.75" customHeight="1"/>
    <row r="1985" hidden="1" ht="18.75" customHeight="1"/>
    <row r="1986" hidden="1" ht="18.75" customHeight="1"/>
    <row r="1987" hidden="1" ht="18.75" customHeight="1"/>
    <row r="1988" hidden="1" ht="18.75" customHeight="1"/>
    <row r="1989" hidden="1" ht="18.75" customHeight="1"/>
    <row r="1990" hidden="1" ht="18.75" customHeight="1"/>
    <row r="1991" hidden="1" ht="18.75" customHeight="1"/>
    <row r="1992" hidden="1" ht="18.75" customHeight="1"/>
    <row r="1993" hidden="1" ht="18.75" customHeight="1"/>
    <row r="1994" hidden="1" ht="18.75" customHeight="1"/>
    <row r="1995" hidden="1" ht="18.75" customHeight="1"/>
    <row r="1996" hidden="1" ht="18.75" customHeight="1"/>
    <row r="1997" hidden="1" ht="18.75" customHeight="1"/>
    <row r="1998" hidden="1" ht="18.75" customHeight="1"/>
    <row r="1999" hidden="1" ht="18.75" customHeight="1"/>
    <row r="2000" hidden="1" ht="18.75" customHeight="1"/>
    <row r="2001" hidden="1" ht="18.75" customHeight="1"/>
    <row r="2002" hidden="1" ht="18.75" customHeight="1"/>
    <row r="2003" hidden="1" ht="18.75" customHeight="1"/>
    <row r="2004" hidden="1" ht="18.75" customHeight="1"/>
    <row r="2005" hidden="1" ht="18.75" customHeight="1"/>
    <row r="2006" hidden="1" ht="18.75" customHeight="1"/>
    <row r="2007" hidden="1" ht="18.75" customHeight="1"/>
    <row r="2008" hidden="1" ht="18.75" customHeight="1"/>
    <row r="2009" hidden="1" ht="18.75" customHeight="1"/>
    <row r="2010" hidden="1" ht="18.75" customHeight="1"/>
    <row r="2011" hidden="1" ht="18.75" customHeight="1"/>
    <row r="2012" hidden="1" ht="18.75" customHeight="1"/>
    <row r="2013" hidden="1" ht="18.75" customHeight="1"/>
    <row r="2014" hidden="1" ht="18.75" customHeight="1"/>
    <row r="2015" hidden="1" ht="18.75" customHeight="1"/>
    <row r="2016" hidden="1" ht="18.75" customHeight="1"/>
    <row r="2017" hidden="1" ht="18.75" customHeight="1"/>
    <row r="2018" hidden="1" ht="18.75" customHeight="1"/>
    <row r="2019" hidden="1" ht="18.75" customHeight="1"/>
    <row r="2020" hidden="1" ht="18.75" customHeight="1"/>
    <row r="2021" hidden="1" ht="18.75" customHeight="1"/>
    <row r="2022" hidden="1" ht="18.75" customHeight="1"/>
    <row r="2023" hidden="1" ht="18.75" customHeight="1"/>
    <row r="2024" hidden="1" ht="18.75" customHeight="1"/>
    <row r="2025" hidden="1" ht="18.75" customHeight="1"/>
    <row r="2026" hidden="1" ht="18.75" customHeight="1"/>
    <row r="2027" hidden="1" ht="18.75" customHeight="1"/>
    <row r="2028" hidden="1" ht="18.75" customHeight="1"/>
    <row r="2029" hidden="1" ht="18.75" customHeight="1"/>
    <row r="2030" hidden="1" ht="18.75" customHeight="1"/>
    <row r="2031" hidden="1" ht="18.75" customHeight="1"/>
    <row r="2032" hidden="1" ht="18.75" customHeight="1"/>
    <row r="2033" hidden="1" ht="18.75" customHeight="1"/>
    <row r="2034" hidden="1" ht="18.75" customHeight="1"/>
    <row r="2035" hidden="1" ht="18.75" customHeight="1"/>
    <row r="2036" hidden="1" ht="18.75" customHeight="1"/>
    <row r="2037" hidden="1" ht="18.75" customHeight="1"/>
    <row r="2038" hidden="1" ht="18.75" customHeight="1"/>
    <row r="2039" hidden="1" ht="18.75" customHeight="1"/>
    <row r="2040" hidden="1" ht="18.75" customHeight="1"/>
    <row r="2041" hidden="1" ht="18.75" customHeight="1"/>
    <row r="2042" hidden="1" ht="18.75" customHeight="1"/>
    <row r="2043" hidden="1" ht="18.75" customHeight="1"/>
    <row r="2044" hidden="1" ht="18.75" customHeight="1"/>
    <row r="2045" hidden="1" ht="18.75" customHeight="1"/>
    <row r="2046" hidden="1" ht="18.75" customHeight="1"/>
    <row r="2047" hidden="1" ht="18.75" customHeight="1"/>
    <row r="2048" hidden="1" ht="18.75" customHeight="1"/>
    <row r="2049" hidden="1" ht="18.75" customHeight="1"/>
    <row r="2050" hidden="1" ht="18.75" customHeight="1"/>
    <row r="2051" hidden="1" ht="18.75" customHeight="1"/>
    <row r="2052" hidden="1" ht="18.75" customHeight="1"/>
    <row r="2053" hidden="1" ht="18.75" customHeight="1"/>
    <row r="2054" hidden="1" ht="18.75" customHeight="1"/>
    <row r="2055" hidden="1" ht="18.75" customHeight="1"/>
    <row r="2056" hidden="1" ht="18.75" customHeight="1"/>
    <row r="2057" hidden="1" ht="18.75" customHeight="1"/>
    <row r="2058" hidden="1" ht="18.75" customHeight="1"/>
    <row r="2059" hidden="1" ht="18.75" customHeight="1"/>
    <row r="2060" hidden="1" ht="18.75" customHeight="1"/>
    <row r="2061" hidden="1" ht="18.75" customHeight="1"/>
    <row r="2062" hidden="1" ht="18.75" customHeight="1"/>
    <row r="2063" hidden="1" ht="18.75" customHeight="1"/>
    <row r="2064" hidden="1" ht="18.75" customHeight="1"/>
    <row r="2065" hidden="1" ht="18.75" customHeight="1"/>
    <row r="2066" hidden="1" ht="18.75" customHeight="1"/>
    <row r="2067" hidden="1" ht="18.75" customHeight="1"/>
    <row r="2068" hidden="1" ht="18.75" customHeight="1"/>
    <row r="2069" hidden="1" ht="18.75" customHeight="1"/>
    <row r="2070" hidden="1" ht="18.75" customHeight="1"/>
    <row r="2071" hidden="1" ht="18.75" customHeight="1"/>
    <row r="2072" hidden="1" ht="18.75" customHeight="1"/>
    <row r="2073" hidden="1" ht="18.75" customHeight="1"/>
    <row r="2074" hidden="1" ht="18.75" customHeight="1"/>
    <row r="2075" hidden="1" ht="18.75" customHeight="1"/>
    <row r="2076" hidden="1" ht="18.75" customHeight="1"/>
    <row r="2077" hidden="1" ht="18.75" customHeight="1"/>
    <row r="2078" hidden="1" ht="18.75" customHeight="1"/>
    <row r="2079" hidden="1" ht="18.75" customHeight="1"/>
    <row r="2080" hidden="1" ht="18.75" customHeight="1"/>
    <row r="2081" hidden="1" ht="18.75" customHeight="1"/>
    <row r="2082" hidden="1" ht="18.75" customHeight="1"/>
    <row r="2083" hidden="1" ht="18.75" customHeight="1"/>
    <row r="2084" hidden="1" ht="18.75" customHeight="1"/>
    <row r="2085" hidden="1" ht="18.75" customHeight="1"/>
    <row r="2086" hidden="1" ht="18.75" customHeight="1"/>
    <row r="2087" hidden="1" ht="18.75" customHeight="1"/>
    <row r="2088" hidden="1" ht="18.75" customHeight="1"/>
    <row r="2089" hidden="1" ht="18.75" customHeight="1"/>
    <row r="2090" hidden="1" ht="18.75" customHeight="1"/>
    <row r="2091" hidden="1" ht="18.75" customHeight="1"/>
    <row r="2092" hidden="1" ht="18.75" customHeight="1"/>
    <row r="2093" hidden="1" ht="18.75" customHeight="1"/>
    <row r="2094" hidden="1" ht="18.75" customHeight="1"/>
    <row r="2095" hidden="1" ht="18.75" customHeight="1"/>
    <row r="2096" hidden="1" ht="18.75" customHeight="1"/>
    <row r="2097" hidden="1" ht="18.75" customHeight="1"/>
    <row r="2098" hidden="1" ht="18.75" customHeight="1"/>
    <row r="2099" hidden="1" ht="18.75" customHeight="1"/>
    <row r="2100" hidden="1" ht="18.75" customHeight="1"/>
    <row r="2101" hidden="1" ht="18.75" customHeight="1"/>
    <row r="2102" hidden="1" ht="18.75" customHeight="1"/>
    <row r="2103" hidden="1" ht="18.75" customHeight="1"/>
    <row r="2104" hidden="1" ht="18.75" customHeight="1"/>
    <row r="2105" hidden="1" ht="18.75" customHeight="1"/>
    <row r="2106" hidden="1" ht="18" customHeight="1"/>
    <row r="2107" hidden="1" ht="18.75" customHeight="1"/>
    <row r="2108" hidden="1" ht="18.75" customHeight="1"/>
    <row r="2109" hidden="1" ht="18.75" customHeight="1"/>
    <row r="2110" hidden="1" ht="18.75" customHeight="1"/>
    <row r="2111" hidden="1" ht="18.75" customHeight="1"/>
    <row r="2112" hidden="1" ht="18.75" customHeight="1"/>
    <row r="2113" hidden="1" ht="18.75" customHeight="1"/>
    <row r="2114" hidden="1" ht="18" customHeight="1"/>
    <row r="2115" hidden="1" ht="18" customHeight="1"/>
    <row r="2116" hidden="1" ht="18" customHeight="1"/>
    <row r="2117" hidden="1" ht="18" customHeight="1"/>
    <row r="2118" hidden="1" ht="18" customHeight="1"/>
    <row r="2119" hidden="1" ht="18" customHeight="1"/>
    <row r="2120" hidden="1" ht="18" customHeight="1"/>
    <row r="2121" hidden="1" ht="18" customHeight="1"/>
    <row r="2122" hidden="1" ht="18" customHeight="1"/>
    <row r="2123" hidden="1" ht="18" customHeight="1"/>
    <row r="2124" hidden="1" ht="18" customHeight="1"/>
    <row r="2125" hidden="1" ht="18.75" customHeight="1"/>
    <row r="2126" hidden="1" ht="18.75" customHeight="1"/>
    <row r="2127" hidden="1" ht="18.75" customHeight="1"/>
    <row r="2128" hidden="1" ht="18.75" customHeight="1"/>
    <row r="2129" hidden="1" ht="18.75" customHeight="1"/>
    <row r="2130" hidden="1" ht="18.75" customHeight="1"/>
    <row r="2131" hidden="1" ht="18.75" customHeight="1"/>
    <row r="2132" hidden="1" ht="18.75" customHeight="1"/>
    <row r="2133" hidden="1" ht="18.75" customHeight="1"/>
    <row r="2134" hidden="1" ht="18.75" customHeight="1"/>
    <row r="2135" hidden="1" ht="18.75" customHeight="1"/>
    <row r="2136" hidden="1" ht="18.75" customHeight="1"/>
    <row r="2137" hidden="1" ht="18.75" customHeight="1"/>
    <row r="2138" hidden="1" ht="18.75" customHeight="1"/>
    <row r="2139" hidden="1" ht="18.75" customHeight="1"/>
    <row r="2140" hidden="1" ht="18.75" customHeight="1"/>
    <row r="2141" hidden="1" ht="18.75" customHeight="1"/>
    <row r="2142" hidden="1" ht="18.75" customHeight="1"/>
    <row r="2143" hidden="1" ht="18.75" customHeight="1"/>
    <row r="2144" hidden="1" ht="18.75" customHeight="1"/>
    <row r="2145" hidden="1" ht="18.75" customHeight="1"/>
    <row r="2146" hidden="1" ht="18.75" customHeight="1"/>
    <row r="2147" hidden="1" ht="18.75" customHeight="1"/>
    <row r="2148" hidden="1" ht="18.75" customHeight="1"/>
    <row r="2149" hidden="1" ht="18.75" customHeight="1"/>
    <row r="2150" hidden="1" ht="18.75" customHeight="1"/>
    <row r="2151" hidden="1" ht="18.75" customHeight="1"/>
    <row r="2152" hidden="1" ht="18.75" customHeight="1"/>
    <row r="2153" hidden="1" ht="18.75" customHeight="1"/>
    <row r="2154" hidden="1" ht="18.75" customHeight="1"/>
    <row r="2155" hidden="1" ht="18.75" customHeight="1"/>
    <row r="2156" hidden="1" ht="18.75" customHeight="1"/>
    <row r="2157" hidden="1" ht="18.75" customHeight="1"/>
    <row r="2158" hidden="1" ht="18.75" customHeight="1"/>
    <row r="2159" hidden="1" ht="18.75" customHeight="1"/>
    <row r="2160" hidden="1" ht="18.75" customHeight="1"/>
    <row r="2161" hidden="1" ht="18.75" customHeight="1"/>
    <row r="2162" hidden="1" ht="18.75" customHeight="1"/>
    <row r="2163" hidden="1" ht="18.75" customHeight="1"/>
    <row r="2164" hidden="1" ht="18.75" customHeight="1"/>
    <row r="2165" hidden="1" ht="18.75" customHeight="1"/>
    <row r="2166" hidden="1" ht="18.75" customHeight="1"/>
    <row r="2167" hidden="1" ht="18.75" customHeight="1"/>
    <row r="2168" hidden="1" ht="18.75" customHeight="1"/>
    <row r="2169" hidden="1" ht="18.75" customHeight="1"/>
    <row r="2170" hidden="1" ht="18.75" customHeight="1"/>
    <row r="2171" hidden="1" ht="18.75" customHeight="1"/>
    <row r="2172" hidden="1" ht="18.75" customHeight="1"/>
    <row r="2173" hidden="1" ht="18.75" customHeight="1"/>
    <row r="2174" hidden="1" ht="18.75" customHeight="1"/>
    <row r="2175" hidden="1" ht="18.75" customHeight="1"/>
    <row r="2176" hidden="1" ht="18.75" customHeight="1"/>
    <row r="2177" hidden="1" ht="18.75" customHeight="1"/>
    <row r="2178" hidden="1" ht="18.75" customHeight="1"/>
    <row r="2179" hidden="1" ht="18.75" customHeight="1"/>
    <row r="2180" hidden="1" ht="18.75" customHeight="1"/>
    <row r="2181" hidden="1" ht="18.75" customHeight="1"/>
    <row r="2182" hidden="1" ht="18.75" customHeight="1"/>
    <row r="2183" hidden="1" ht="18.75" customHeight="1"/>
    <row r="2184" hidden="1" ht="18.75" customHeight="1"/>
    <row r="2185" hidden="1" ht="18.75" customHeight="1"/>
    <row r="2186" hidden="1" ht="18.75" customHeight="1"/>
    <row r="2187" hidden="1" ht="18.75" customHeight="1"/>
    <row r="2188" hidden="1" ht="18.75" customHeight="1"/>
    <row r="2189" hidden="1" ht="18.75" customHeight="1"/>
    <row r="2190" hidden="1" ht="18.75" customHeight="1"/>
    <row r="2191" hidden="1" ht="18.75" customHeight="1"/>
    <row r="2192" hidden="1" ht="18.75" customHeight="1"/>
    <row r="2193" hidden="1" ht="18.75" customHeight="1"/>
    <row r="2194" hidden="1" ht="18.75" customHeight="1"/>
    <row r="2195" hidden="1" ht="18.75" customHeight="1"/>
    <row r="2196" hidden="1" ht="18.75" customHeight="1"/>
    <row r="2197" hidden="1" ht="18.75" customHeight="1"/>
    <row r="2198" hidden="1" ht="18.75" customHeight="1"/>
    <row r="2199" hidden="1" ht="18.75" customHeight="1"/>
    <row r="2200" hidden="1" ht="18.75" customHeight="1"/>
    <row r="2201" hidden="1" ht="18.75" customHeight="1"/>
    <row r="2202" hidden="1" ht="18.75" customHeight="1"/>
    <row r="2203" hidden="1" ht="18.75" customHeight="1"/>
    <row r="2204" hidden="1" ht="18.75" customHeight="1"/>
    <row r="2205" hidden="1" ht="18.75" customHeight="1"/>
    <row r="2206" hidden="1" ht="18.75" customHeight="1"/>
    <row r="2207" hidden="1" ht="18.75" customHeight="1"/>
    <row r="2208" hidden="1" ht="18.75" customHeight="1"/>
    <row r="2209" hidden="1" ht="18.75" customHeight="1"/>
    <row r="2210" hidden="1" ht="18.75" customHeight="1"/>
    <row r="2211" hidden="1" ht="18.75" customHeight="1"/>
    <row r="2212" hidden="1" ht="18.75" customHeight="1"/>
    <row r="2213" hidden="1" ht="18.75" customHeight="1"/>
    <row r="2214" hidden="1" ht="18.75" customHeight="1"/>
    <row r="2215" hidden="1" ht="18.75" customHeight="1"/>
    <row r="2216" hidden="1" ht="18.75" customHeight="1"/>
    <row r="2217" hidden="1" ht="18.75" customHeight="1"/>
    <row r="2218" hidden="1" ht="18.75" customHeight="1"/>
    <row r="2219" hidden="1" ht="18.75" customHeight="1"/>
    <row r="2220" hidden="1" ht="18.75" customHeight="1"/>
    <row r="2221" hidden="1" ht="18.75" customHeight="1"/>
    <row r="2222" hidden="1" ht="18.75" customHeight="1"/>
    <row r="2223" hidden="1" ht="18.75" customHeight="1"/>
    <row r="2224" hidden="1" ht="18.75" customHeight="1"/>
    <row r="2225" hidden="1" ht="18.75" customHeight="1"/>
    <row r="2226" hidden="1" ht="18.75" customHeight="1"/>
    <row r="2227" hidden="1" ht="18.75" customHeight="1"/>
    <row r="2228" hidden="1" ht="18.75" customHeight="1"/>
    <row r="2229" hidden="1" ht="18.75" customHeight="1"/>
    <row r="2230" hidden="1" ht="18.75" customHeight="1"/>
    <row r="2231" hidden="1" ht="18.75" customHeight="1"/>
    <row r="2232" hidden="1" ht="18.75" customHeight="1"/>
    <row r="2233" hidden="1" ht="18.75" customHeight="1"/>
    <row r="2234" hidden="1" ht="18.75" customHeight="1"/>
    <row r="2235" hidden="1" ht="18.75" customHeight="1"/>
    <row r="2236" hidden="1" ht="18.75" customHeight="1"/>
    <row r="2237" hidden="1" ht="18.75" customHeight="1"/>
    <row r="2238" hidden="1" ht="18.75" customHeight="1"/>
    <row r="2239" hidden="1" ht="18.75" customHeight="1"/>
    <row r="2240" hidden="1" ht="18.75" customHeight="1"/>
    <row r="2241" hidden="1" ht="18.75" customHeight="1"/>
    <row r="2242" hidden="1" ht="18.75" customHeight="1"/>
    <row r="2243" hidden="1" ht="18.75" customHeight="1"/>
    <row r="2244" hidden="1" ht="18.75" customHeight="1"/>
    <row r="2245" hidden="1" ht="18.75" customHeight="1"/>
    <row r="2246" hidden="1" ht="18.75" customHeight="1"/>
    <row r="2247" hidden="1" ht="18.75" customHeight="1"/>
    <row r="2248" hidden="1" ht="18.75" customHeight="1"/>
    <row r="2249" hidden="1" ht="18.75" customHeight="1"/>
    <row r="2250" hidden="1" ht="18.75" customHeight="1"/>
    <row r="2251" hidden="1" ht="18.75" customHeight="1"/>
    <row r="2252" hidden="1" ht="18.75" customHeight="1"/>
    <row r="2253" hidden="1" ht="18.75" customHeight="1"/>
    <row r="2254" hidden="1" ht="18.75" customHeight="1"/>
    <row r="2255" hidden="1" ht="18.75" customHeight="1"/>
    <row r="2256" hidden="1" ht="18.75" customHeight="1"/>
    <row r="2257" hidden="1" ht="18.75" customHeight="1"/>
    <row r="2258" hidden="1" ht="18.75" customHeight="1"/>
    <row r="2259" hidden="1" ht="18.75" customHeight="1"/>
    <row r="2260" hidden="1" ht="18.75" customHeight="1"/>
    <row r="2261" hidden="1" ht="18.75" customHeight="1"/>
    <row r="2262" hidden="1" ht="18.75" customHeight="1"/>
    <row r="2263" hidden="1" ht="18.75" customHeight="1"/>
    <row r="2264" hidden="1" ht="18.75" customHeight="1"/>
    <row r="2265" hidden="1" ht="18.75" customHeight="1"/>
    <row r="2266" hidden="1" ht="18.75" customHeight="1"/>
    <row r="2267" hidden="1" ht="18.75" customHeight="1"/>
    <row r="2268" hidden="1" ht="18.75" customHeight="1"/>
    <row r="2269" hidden="1" ht="18.75" customHeight="1"/>
    <row r="2270" hidden="1" ht="18.75" customHeight="1"/>
    <row r="2271" hidden="1" ht="18.75" customHeight="1"/>
    <row r="2272" hidden="1" ht="18.75" customHeight="1"/>
    <row r="2273" hidden="1" ht="18.75" customHeight="1"/>
    <row r="2274" hidden="1" ht="18.75" customHeight="1"/>
    <row r="2275" hidden="1" ht="18.75" customHeight="1"/>
    <row r="2276" hidden="1" ht="18.75" customHeight="1"/>
    <row r="2277" hidden="1" ht="18.75" customHeight="1"/>
    <row r="2278" hidden="1" ht="18.75" customHeight="1"/>
    <row r="2279" hidden="1" ht="18.75" customHeight="1"/>
    <row r="2280" hidden="1" ht="18.75" customHeight="1"/>
    <row r="2281" hidden="1" ht="18.75" customHeight="1"/>
    <row r="2282" hidden="1" ht="18.75" customHeight="1"/>
    <row r="2283" hidden="1" ht="18.75" customHeight="1"/>
    <row r="2284" hidden="1" ht="18.75" customHeight="1"/>
    <row r="2285" hidden="1" ht="18.75" customHeight="1"/>
    <row r="2286" hidden="1" ht="18.75" customHeight="1"/>
    <row r="2287" hidden="1" ht="18.75" customHeight="1"/>
    <row r="2288" hidden="1" ht="18.75" customHeight="1"/>
    <row r="2289" hidden="1" ht="18.75" customHeight="1"/>
    <row r="2290" hidden="1" ht="18.75" customHeight="1"/>
    <row r="2291" hidden="1" ht="18.75" customHeight="1"/>
    <row r="2292" hidden="1" ht="18.75" customHeight="1"/>
    <row r="2293" hidden="1" ht="18.75" customHeight="1"/>
    <row r="2294" hidden="1" ht="18.75" customHeight="1"/>
    <row r="2295" hidden="1" ht="18.75" customHeight="1"/>
    <row r="2296" hidden="1" ht="18.75" customHeight="1"/>
    <row r="2297" hidden="1" ht="18.75" customHeight="1"/>
    <row r="2298" hidden="1" ht="18.75" customHeight="1"/>
    <row r="2299" hidden="1" ht="18.75" customHeight="1"/>
    <row r="2300" hidden="1" ht="18.75" customHeight="1"/>
    <row r="2301" hidden="1" ht="18.75" customHeight="1"/>
    <row r="2302" hidden="1" ht="18.75" customHeight="1"/>
    <row r="2303" hidden="1" ht="18.75" customHeight="1"/>
    <row r="2304" hidden="1" ht="18.75" customHeight="1"/>
    <row r="2305" hidden="1" ht="18.75" customHeight="1"/>
    <row r="2306" hidden="1" ht="18.75" customHeight="1"/>
    <row r="2307" hidden="1" ht="18.75" customHeight="1"/>
    <row r="2308" hidden="1" ht="18.75" customHeight="1"/>
    <row r="2309" hidden="1" ht="18.75" customHeight="1"/>
    <row r="2310" hidden="1" ht="18.75" customHeight="1"/>
    <row r="2311" hidden="1" ht="18.75" customHeight="1"/>
    <row r="2312" hidden="1" ht="18.75" customHeight="1"/>
    <row r="2313" hidden="1" ht="18.75" customHeight="1"/>
    <row r="2314" hidden="1" ht="18.75" customHeight="1"/>
    <row r="2315" hidden="1" ht="18.75" customHeight="1"/>
    <row r="2316" hidden="1" ht="18.75" customHeight="1"/>
    <row r="2317" hidden="1" ht="18.75" customHeight="1"/>
    <row r="2318" hidden="1" ht="18.75" customHeight="1"/>
    <row r="2319" hidden="1" ht="18.75" customHeight="1"/>
    <row r="2320" hidden="1" ht="18.75" customHeight="1"/>
    <row r="2321" hidden="1" ht="18.75" customHeight="1"/>
    <row r="2322" hidden="1" ht="18.75" customHeight="1"/>
    <row r="2323" hidden="1" ht="18.75" customHeight="1"/>
    <row r="2324" hidden="1" ht="18.75" customHeight="1"/>
    <row r="2325" hidden="1" ht="18.75" customHeight="1"/>
    <row r="2326" hidden="1" ht="18.75" customHeight="1"/>
    <row r="2327" hidden="1" ht="18.75" customHeight="1"/>
    <row r="2328" hidden="1" ht="18.75" customHeight="1"/>
    <row r="2329" hidden="1" ht="18.75" customHeight="1"/>
    <row r="2330" hidden="1" ht="18.75" customHeight="1"/>
    <row r="2331" hidden="1" ht="18.75" customHeight="1"/>
    <row r="2332" hidden="1" ht="18.75" customHeight="1"/>
    <row r="2333" hidden="1" ht="18.75" customHeight="1"/>
    <row r="2334" hidden="1" ht="18.75" customHeight="1"/>
    <row r="2335" hidden="1" ht="18.75" customHeight="1"/>
    <row r="2336" hidden="1" ht="18.75" customHeight="1"/>
    <row r="2337" hidden="1" ht="18.75" customHeight="1"/>
    <row r="2338" hidden="1" ht="18.75" customHeight="1"/>
    <row r="2339" hidden="1" ht="18.75" customHeight="1"/>
    <row r="2340" hidden="1" ht="18.75" customHeight="1"/>
    <row r="2341" hidden="1" ht="18.75" customHeight="1"/>
    <row r="2342" hidden="1" ht="18.75" customHeight="1"/>
    <row r="2343" hidden="1" ht="18.75" customHeight="1"/>
    <row r="2344" hidden="1" ht="18.75" customHeight="1"/>
    <row r="2345" hidden="1" ht="18.75" customHeight="1"/>
    <row r="2346" hidden="1" ht="18.75" customHeight="1"/>
    <row r="2347" hidden="1" ht="18.75" customHeight="1"/>
    <row r="2348" hidden="1" ht="18.75" customHeight="1"/>
    <row r="2349" hidden="1" ht="18.75" customHeight="1"/>
    <row r="2350" hidden="1" ht="18.75" customHeight="1"/>
    <row r="2351" hidden="1" ht="18.75" customHeight="1"/>
    <row r="2352" hidden="1" ht="18.75" customHeight="1"/>
    <row r="2353" hidden="1" ht="18.75" customHeight="1"/>
    <row r="2354" hidden="1" ht="18.75" customHeight="1"/>
    <row r="2355" hidden="1" ht="18.75" customHeight="1"/>
    <row r="2356" hidden="1" ht="18.75" customHeight="1"/>
    <row r="2357" hidden="1" ht="18.75" customHeight="1"/>
    <row r="2358" hidden="1" ht="18.75" customHeight="1"/>
    <row r="2359" hidden="1" ht="18.75" customHeight="1"/>
    <row r="2360" hidden="1" ht="18.75" customHeight="1"/>
    <row r="2361" hidden="1" ht="18.75" customHeight="1"/>
    <row r="2362" hidden="1" ht="18.75" customHeight="1"/>
    <row r="2363" hidden="1" ht="18.75" customHeight="1"/>
    <row r="2364" hidden="1" ht="18.75" customHeight="1"/>
    <row r="2365" hidden="1" ht="18.75" customHeight="1"/>
    <row r="2366" hidden="1" ht="18.75" customHeight="1"/>
    <row r="2367" hidden="1" ht="18.75" customHeight="1"/>
    <row r="2368" hidden="1" ht="18.75" customHeight="1"/>
    <row r="2369" hidden="1" ht="18.75" customHeight="1"/>
    <row r="2370" hidden="1" ht="18.75" customHeight="1"/>
    <row r="2371" hidden="1" ht="18.75" customHeight="1"/>
    <row r="2372" hidden="1" ht="18.75" customHeight="1"/>
    <row r="2373" hidden="1" ht="18.75" customHeight="1"/>
    <row r="2374" hidden="1" ht="18.75" customHeight="1"/>
    <row r="2375" hidden="1" ht="18.75" customHeight="1"/>
    <row r="2376" hidden="1" ht="18.75" customHeight="1"/>
    <row r="2377" hidden="1" ht="18.75" customHeight="1"/>
    <row r="2378" hidden="1" ht="18.75" customHeight="1"/>
    <row r="2379" hidden="1" ht="18.75" customHeight="1"/>
    <row r="2380" hidden="1" ht="18.75" customHeight="1"/>
    <row r="2381" hidden="1" ht="18.75" customHeight="1"/>
    <row r="2382" hidden="1" ht="18.75" customHeight="1"/>
    <row r="2383" hidden="1" ht="18.75" customHeight="1"/>
    <row r="2384" hidden="1" ht="18.75" customHeight="1"/>
    <row r="2385" hidden="1" ht="18.75" customHeight="1"/>
    <row r="2386" hidden="1" ht="18.75" customHeight="1"/>
    <row r="2387" hidden="1" ht="18.75" customHeight="1"/>
    <row r="2388" hidden="1" ht="18.75" customHeight="1"/>
    <row r="2389" hidden="1" ht="18.75" customHeight="1"/>
    <row r="2390" hidden="1" ht="18.75" customHeight="1"/>
    <row r="2391" hidden="1" ht="18.75" customHeight="1"/>
    <row r="2392" hidden="1" ht="18.75" customHeight="1"/>
    <row r="2393" hidden="1" ht="18.75" customHeight="1"/>
    <row r="2394" hidden="1" ht="18.75" customHeight="1"/>
    <row r="2395" hidden="1" ht="18.75" customHeight="1"/>
    <row r="2396" hidden="1" ht="18.75" customHeight="1"/>
    <row r="2397" hidden="1" ht="18.75" customHeight="1"/>
    <row r="2398" hidden="1" ht="18.75" customHeight="1"/>
    <row r="2399" hidden="1" ht="18.75" customHeight="1"/>
    <row r="2400" hidden="1" ht="18.75" customHeight="1"/>
    <row r="2401" hidden="1" ht="18.75" customHeight="1"/>
    <row r="2402" hidden="1" ht="18.75" customHeight="1"/>
    <row r="2403" hidden="1" ht="18.75" customHeight="1"/>
    <row r="2404" hidden="1" ht="18.75" customHeight="1"/>
    <row r="2405" hidden="1" ht="18.75" customHeight="1"/>
    <row r="2406" hidden="1" ht="18.75" customHeight="1"/>
    <row r="2407" hidden="1" ht="18.75" customHeight="1"/>
    <row r="2408" hidden="1" ht="18.75" customHeight="1"/>
    <row r="2409" hidden="1" ht="18.75" customHeight="1"/>
    <row r="2410" hidden="1" ht="18.75" customHeight="1"/>
    <row r="2411" hidden="1" ht="18.75" customHeight="1"/>
    <row r="2412" hidden="1" ht="18.75" customHeight="1"/>
    <row r="2413" hidden="1" ht="18.75" customHeight="1"/>
    <row r="2414" hidden="1" ht="18.75" customHeight="1"/>
    <row r="2415" hidden="1" ht="18.75" customHeight="1"/>
    <row r="2416" hidden="1" ht="18.75" customHeight="1"/>
    <row r="2417" hidden="1" ht="18.75" customHeight="1"/>
    <row r="2418" hidden="1" ht="18.75" customHeight="1"/>
    <row r="2419" hidden="1" ht="18.75" customHeight="1"/>
    <row r="2420" hidden="1" ht="18.75" customHeight="1"/>
    <row r="2421" hidden="1" ht="18.75" customHeight="1"/>
    <row r="2422" hidden="1" ht="18.75" customHeight="1"/>
    <row r="2423" hidden="1" ht="18.75" customHeight="1"/>
    <row r="2424" hidden="1" ht="18.75" customHeight="1"/>
    <row r="2425" hidden="1" ht="18.75" customHeight="1"/>
    <row r="2426" hidden="1" ht="18.75" customHeight="1"/>
    <row r="2427" hidden="1" ht="18.75" customHeight="1"/>
    <row r="2428" hidden="1" ht="18.75" customHeight="1"/>
    <row r="2429" hidden="1" ht="18.75" customHeight="1"/>
    <row r="2430" hidden="1" ht="18.75" customHeight="1"/>
    <row r="2431" hidden="1" ht="18.75" customHeight="1"/>
    <row r="2432" hidden="1" ht="18.75" customHeight="1"/>
    <row r="2433" hidden="1" ht="18.75" customHeight="1"/>
    <row r="2434" hidden="1" ht="18.75" customHeight="1"/>
    <row r="2435" hidden="1" ht="18.75" customHeight="1"/>
    <row r="2436" hidden="1" ht="18.75" customHeight="1"/>
    <row r="2437" hidden="1" ht="18.75" customHeight="1"/>
    <row r="2438" hidden="1" ht="18.75" customHeight="1"/>
    <row r="2439" hidden="1" ht="18.75" customHeight="1"/>
    <row r="2440" hidden="1" ht="18.75" customHeight="1"/>
    <row r="2441" hidden="1" ht="18.75" customHeight="1"/>
    <row r="2442" hidden="1" ht="18.75" customHeight="1"/>
    <row r="2443" hidden="1" ht="18.75" customHeight="1"/>
    <row r="2444" hidden="1" ht="18.75" customHeight="1"/>
    <row r="2445" hidden="1" ht="18.75" customHeight="1"/>
    <row r="2446" hidden="1" ht="18.75" customHeight="1"/>
    <row r="2447" hidden="1" ht="18.75" customHeight="1"/>
    <row r="2448" hidden="1" ht="18.75" customHeight="1"/>
    <row r="2449" hidden="1" ht="18.75" customHeight="1"/>
    <row r="2450" hidden="1" ht="18.75" customHeight="1"/>
    <row r="2451" hidden="1" ht="18.75" customHeight="1"/>
    <row r="2452" hidden="1" ht="18.75" customHeight="1"/>
    <row r="2453" hidden="1" ht="18.75" customHeight="1"/>
    <row r="2454" hidden="1" ht="18.75" customHeight="1"/>
    <row r="2455" hidden="1" ht="18.75" customHeight="1"/>
    <row r="2456" hidden="1" ht="18.75" customHeight="1"/>
    <row r="2457" hidden="1" ht="18.75" customHeight="1"/>
    <row r="2458" hidden="1" ht="18.75" customHeight="1"/>
    <row r="2459" hidden="1" ht="18.75" customHeight="1"/>
    <row r="2460" hidden="1" ht="18.75" customHeight="1"/>
    <row r="2461" hidden="1" ht="18.75" customHeight="1"/>
    <row r="2462" hidden="1" ht="18.75" customHeight="1"/>
    <row r="2463" hidden="1" ht="18.75" customHeight="1"/>
    <row r="2464" hidden="1" ht="18.75" customHeight="1"/>
    <row r="2465" hidden="1" ht="18.75" customHeight="1"/>
    <row r="2466" hidden="1" ht="18.75" customHeight="1"/>
    <row r="2467" hidden="1" ht="18.75" customHeight="1"/>
    <row r="2468" hidden="1" ht="18.75" customHeight="1"/>
    <row r="2469" hidden="1" ht="18.75" customHeight="1"/>
    <row r="2470" hidden="1" ht="18.75" customHeight="1"/>
    <row r="2471" hidden="1" ht="18.75" customHeight="1"/>
    <row r="2472" hidden="1" ht="18.75" customHeight="1"/>
    <row r="2473" hidden="1" ht="18.75" customHeight="1"/>
    <row r="2474" hidden="1" ht="18.75" customHeight="1"/>
    <row r="2475" hidden="1" ht="18.75" customHeight="1"/>
    <row r="2476" hidden="1" ht="18.75" customHeight="1"/>
    <row r="2477" hidden="1" ht="18.75" customHeight="1"/>
    <row r="2478" hidden="1" ht="18.75" customHeight="1"/>
    <row r="2479" hidden="1" ht="18.75" customHeight="1"/>
    <row r="2480" hidden="1" ht="18.75" customHeight="1"/>
    <row r="2481" hidden="1" ht="18.75" customHeight="1"/>
    <row r="2482" hidden="1" ht="18.75" customHeight="1"/>
    <row r="2483" hidden="1" ht="18.75" customHeight="1"/>
    <row r="2484" hidden="1" ht="18.75" customHeight="1"/>
    <row r="2485" hidden="1" ht="18.75" customHeight="1"/>
    <row r="2486" hidden="1" ht="18.75" customHeight="1"/>
    <row r="2487" hidden="1" ht="18.75" customHeight="1"/>
    <row r="2488" hidden="1" ht="18.75" customHeight="1"/>
    <row r="2489" hidden="1" ht="18.75" customHeight="1"/>
    <row r="2490" hidden="1" ht="18.75" customHeight="1"/>
    <row r="2491" hidden="1" ht="18.75" customHeight="1"/>
    <row r="2492" hidden="1" ht="18.75" customHeight="1"/>
    <row r="2493" hidden="1" ht="18.75" customHeight="1"/>
    <row r="2494" hidden="1" ht="18.75" customHeight="1"/>
    <row r="2495" hidden="1" ht="18.75" customHeight="1"/>
    <row r="2496" hidden="1" ht="18.75" customHeight="1"/>
    <row r="2497" hidden="1" ht="18.75" customHeight="1"/>
    <row r="2498" hidden="1" ht="18.75" customHeight="1"/>
    <row r="2499" hidden="1" ht="18.75" customHeight="1"/>
    <row r="2500" hidden="1" ht="18.75" customHeight="1"/>
    <row r="2501" hidden="1" ht="18.75" customHeight="1"/>
    <row r="2502" hidden="1" ht="18.75" customHeight="1"/>
    <row r="2503" hidden="1" ht="18.75" customHeight="1"/>
    <row r="2504" hidden="1" ht="18.75" customHeight="1"/>
    <row r="2505" hidden="1" ht="18.75" customHeight="1"/>
    <row r="2506" hidden="1" ht="18.75" customHeight="1"/>
    <row r="2507" hidden="1" ht="18.75" customHeight="1"/>
    <row r="2508" hidden="1" ht="18.75" customHeight="1"/>
    <row r="2509" hidden="1" ht="18.75" customHeight="1"/>
    <row r="2510" hidden="1" ht="18.75" customHeight="1"/>
    <row r="2511" hidden="1" ht="18.75" customHeight="1"/>
    <row r="2512" hidden="1" ht="18.75" customHeight="1"/>
    <row r="2513" hidden="1" ht="18.75" customHeight="1"/>
    <row r="2514" hidden="1" ht="18.75" customHeight="1"/>
    <row r="2515" hidden="1" ht="18.75" customHeight="1"/>
    <row r="2516" hidden="1" ht="18.75" customHeight="1"/>
    <row r="2517" hidden="1" ht="18.75" customHeight="1"/>
    <row r="2518" hidden="1" ht="18.75" customHeight="1"/>
    <row r="2519" hidden="1" ht="18.75" customHeight="1"/>
    <row r="2520" hidden="1" ht="18.75" customHeight="1"/>
    <row r="2521" hidden="1" ht="18.75" customHeight="1"/>
    <row r="2522" hidden="1" ht="18.75" customHeight="1"/>
    <row r="2523" hidden="1" ht="18.75" customHeight="1"/>
    <row r="2524" hidden="1" ht="18.75" customHeight="1"/>
    <row r="2525" hidden="1" ht="18.75" customHeight="1"/>
    <row r="2526" hidden="1" ht="18.75" customHeight="1"/>
    <row r="2527" hidden="1" ht="18.75" customHeight="1"/>
    <row r="2528" hidden="1" ht="18.75" customHeight="1"/>
    <row r="2529" hidden="1" ht="18.75" customHeight="1"/>
    <row r="2530" hidden="1" ht="18.75" customHeight="1"/>
    <row r="2531" hidden="1" ht="18.75" customHeight="1"/>
    <row r="2532" hidden="1" ht="18.75" customHeight="1"/>
    <row r="2533" hidden="1" ht="18.75" customHeight="1"/>
    <row r="2534" hidden="1" ht="18.75" customHeight="1"/>
    <row r="2535" hidden="1" ht="18.75" customHeight="1"/>
    <row r="2536" hidden="1" ht="18.75" customHeight="1"/>
    <row r="2537" hidden="1" ht="18.75" customHeight="1"/>
    <row r="2538" hidden="1" ht="18.75" customHeight="1"/>
    <row r="2539" hidden="1" ht="18.75" customHeight="1"/>
    <row r="2540" hidden="1" ht="18.75" customHeight="1"/>
    <row r="2541" hidden="1" ht="18.75" customHeight="1"/>
    <row r="2542" hidden="1" ht="18.75" customHeight="1"/>
    <row r="2543" hidden="1" ht="18.75" customHeight="1"/>
    <row r="2544" hidden="1" ht="18.75" customHeight="1"/>
    <row r="2545" hidden="1" ht="18.75" customHeight="1"/>
    <row r="2546" hidden="1" ht="18.75" customHeight="1"/>
    <row r="2547" hidden="1" ht="18.75" customHeight="1"/>
    <row r="2548" hidden="1" ht="18.75" customHeight="1"/>
    <row r="2549" hidden="1" ht="18.75" customHeight="1"/>
    <row r="2550" hidden="1" ht="18.75" customHeight="1"/>
    <row r="2551" hidden="1" ht="18.75" customHeight="1"/>
    <row r="2552" hidden="1" ht="18.75" customHeight="1"/>
    <row r="2553" hidden="1" ht="18.75" customHeight="1"/>
    <row r="2554" hidden="1" ht="18.75" customHeight="1"/>
    <row r="2555" hidden="1" ht="18.75" customHeight="1"/>
    <row r="2556" hidden="1" ht="18.75" customHeight="1"/>
    <row r="2557" hidden="1" ht="18.75" customHeight="1"/>
    <row r="2558" hidden="1" ht="18.75" customHeight="1"/>
    <row r="2559" hidden="1" ht="18.75" customHeight="1"/>
    <row r="2560" hidden="1" ht="18.75" customHeight="1"/>
    <row r="2561" hidden="1" ht="18.75" customHeight="1"/>
  </sheetData>
  <conditionalFormatting sqref="C78:C92">
    <cfRule type="duplicateValues" priority="3464" dxfId="0"/>
    <cfRule type="duplicateValues" priority="3463" dxfId="0"/>
    <cfRule type="duplicateValues" priority="3462" dxfId="0"/>
    <cfRule type="duplicateValues" priority="3465" dxfId="0"/>
  </conditionalFormatting>
  <conditionalFormatting sqref="C176">
    <cfRule type="duplicateValues" priority="21" dxfId="0"/>
    <cfRule type="duplicateValues" priority="22" dxfId="0"/>
    <cfRule type="duplicateValues" priority="23" dxfId="0"/>
    <cfRule type="duplicateValues" priority="24" dxfId="0"/>
  </conditionalFormatting>
  <conditionalFormatting sqref="C178 C181:C183 C185 C187">
    <cfRule type="duplicateValues" priority="29" dxfId="0"/>
    <cfRule type="duplicateValues" priority="30" dxfId="0"/>
    <cfRule type="duplicateValues" priority="31" dxfId="0"/>
    <cfRule type="duplicateValues" priority="32" dxfId="0"/>
  </conditionalFormatting>
  <conditionalFormatting sqref="C179:C180">
    <cfRule type="duplicateValues" priority="17" dxfId="0"/>
    <cfRule type="duplicateValues" priority="18" dxfId="0"/>
    <cfRule type="duplicateValues" priority="19" dxfId="0"/>
    <cfRule type="duplicateValues" priority="20" dxfId="0"/>
  </conditionalFormatting>
  <conditionalFormatting sqref="C184">
    <cfRule type="duplicateValues" priority="10" dxfId="0"/>
    <cfRule type="duplicateValues" priority="11" dxfId="0"/>
    <cfRule type="duplicateValues" priority="12" dxfId="0"/>
    <cfRule type="duplicateValues" priority="9" dxfId="0"/>
  </conditionalFormatting>
  <conditionalFormatting sqref="C186">
    <cfRule type="duplicateValues" priority="13" dxfId="0"/>
    <cfRule type="duplicateValues" priority="14" dxfId="0"/>
    <cfRule type="duplicateValues" priority="15" dxfId="0"/>
    <cfRule type="duplicateValues" priority="16" dxfId="0"/>
  </conditionalFormatting>
  <conditionalFormatting sqref="C188">
    <cfRule type="duplicateValues" priority="25" dxfId="0"/>
    <cfRule type="duplicateValues" priority="26" dxfId="0"/>
    <cfRule type="duplicateValues" priority="27" dxfId="0"/>
    <cfRule type="duplicateValues" priority="28" dxfId="0"/>
  </conditionalFormatting>
  <conditionalFormatting sqref="C190">
    <cfRule type="duplicateValues" priority="51" dxfId="0"/>
    <cfRule type="duplicateValues" priority="49" dxfId="0"/>
    <cfRule type="duplicateValues" priority="52" dxfId="0"/>
    <cfRule type="duplicateValues" priority="50" dxfId="0"/>
  </conditionalFormatting>
  <conditionalFormatting sqref="C191">
    <cfRule type="duplicateValues" priority="37" dxfId="0"/>
    <cfRule type="duplicateValues" priority="38" dxfId="0"/>
    <cfRule type="duplicateValues" priority="39" dxfId="0"/>
    <cfRule type="duplicateValues" priority="40" dxfId="0"/>
  </conditionalFormatting>
  <conditionalFormatting sqref="C192">
    <cfRule type="duplicateValues" priority="48" dxfId="0"/>
    <cfRule type="duplicateValues" priority="47" dxfId="0"/>
    <cfRule type="duplicateValues" priority="46" dxfId="0"/>
    <cfRule type="duplicateValues" priority="45" dxfId="0"/>
  </conditionalFormatting>
  <conditionalFormatting sqref="C194">
    <cfRule type="duplicateValues" priority="33" dxfId="0"/>
    <cfRule type="duplicateValues" priority="34" dxfId="0"/>
    <cfRule type="duplicateValues" priority="35" dxfId="0"/>
    <cfRule type="duplicateValues" priority="36" dxfId="0"/>
  </conditionalFormatting>
  <conditionalFormatting sqref="C196">
    <cfRule type="duplicateValues" priority="41" dxfId="0"/>
    <cfRule type="duplicateValues" priority="42" dxfId="0"/>
    <cfRule type="duplicateValues" priority="44" dxfId="0"/>
    <cfRule type="duplicateValues" priority="43" dxfId="0"/>
  </conditionalFormatting>
  <conditionalFormatting sqref="C222">
    <cfRule type="duplicateValues" priority="53" dxfId="0"/>
    <cfRule type="duplicateValues" priority="54" dxfId="0"/>
    <cfRule type="duplicateValues" priority="55" dxfId="0"/>
    <cfRule type="duplicateValues" priority="56" dxfId="0"/>
  </conditionalFormatting>
  <conditionalFormatting sqref="C235">
    <cfRule type="duplicateValues" priority="67" dxfId="0"/>
    <cfRule type="duplicateValues" priority="68" dxfId="0"/>
    <cfRule type="duplicateValues" priority="69" dxfId="0"/>
  </conditionalFormatting>
  <conditionalFormatting sqref="C236">
    <cfRule type="duplicateValues" priority="64" dxfId="0"/>
    <cfRule type="duplicateValues" priority="65" dxfId="0"/>
    <cfRule type="duplicateValues" priority="66" dxfId="0"/>
  </conditionalFormatting>
  <conditionalFormatting sqref="C244:C245 C247:C250">
    <cfRule type="duplicateValues" priority="329" dxfId="0"/>
    <cfRule type="duplicateValues" priority="330" dxfId="0"/>
  </conditionalFormatting>
  <conditionalFormatting sqref="C246">
    <cfRule type="duplicateValues" priority="73" dxfId="0"/>
    <cfRule type="duplicateValues" priority="74" dxfId="0"/>
    <cfRule type="duplicateValues" priority="75" dxfId="0"/>
  </conditionalFormatting>
  <conditionalFormatting sqref="C251">
    <cfRule type="duplicateValues" priority="76" dxfId="0"/>
    <cfRule type="duplicateValues" priority="77" dxfId="0"/>
  </conditionalFormatting>
  <conditionalFormatting sqref="C256">
    <cfRule type="duplicateValues" priority="83" dxfId="0"/>
    <cfRule type="duplicateValues" priority="82" dxfId="0"/>
  </conditionalFormatting>
  <conditionalFormatting sqref="C283">
    <cfRule type="duplicateValues" priority="85" dxfId="0"/>
    <cfRule type="duplicateValues" priority="84" dxfId="0"/>
  </conditionalFormatting>
  <conditionalFormatting sqref="C286">
    <cfRule type="duplicateValues" priority="86" dxfId="0"/>
    <cfRule type="duplicateValues" priority="87" dxfId="0"/>
  </conditionalFormatting>
  <conditionalFormatting sqref="C309:C310">
    <cfRule type="duplicateValues" priority="156" dxfId="0"/>
  </conditionalFormatting>
  <conditionalFormatting sqref="C311">
    <cfRule type="duplicateValues" priority="88" dxfId="0"/>
  </conditionalFormatting>
  <conditionalFormatting sqref="C324">
    <cfRule type="duplicateValues" priority="92" dxfId="0"/>
  </conditionalFormatting>
  <conditionalFormatting sqref="C325">
    <cfRule type="duplicateValues" priority="93" dxfId="0"/>
  </conditionalFormatting>
  <conditionalFormatting sqref="C360">
    <cfRule type="duplicateValues" priority="95" dxfId="0"/>
  </conditionalFormatting>
  <conditionalFormatting sqref="C361:C363">
    <cfRule type="duplicateValues" priority="155" dxfId="0"/>
  </conditionalFormatting>
  <conditionalFormatting sqref="C364 C366">
    <cfRule type="duplicateValues" priority="96" dxfId="0"/>
  </conditionalFormatting>
  <conditionalFormatting sqref="C558:C559">
    <cfRule type="duplicateValues" priority="100" dxfId="0"/>
  </conditionalFormatting>
  <conditionalFormatting sqref="C646:C647">
    <cfRule type="duplicateValues" priority="94" dxfId="0"/>
  </conditionalFormatting>
  <conditionalFormatting sqref="C831">
    <cfRule type="duplicateValues" priority="79" dxfId="0"/>
    <cfRule type="duplicateValues" priority="78" dxfId="0"/>
  </conditionalFormatting>
  <printOptions horizontalCentered="1"/>
  <pageMargins left="0" right="0" top="0.75" bottom="0.75" header="0.3" footer="0.3"/>
  <pageSetup orientation="landscape" scale="1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B2"/>
  <sheetViews>
    <sheetView zoomScale="80" zoomScaleNormal="80" workbookViewId="0">
      <selection activeCell="C90" sqref="C90"/>
    </sheetView>
  </sheetViews>
  <sheetFormatPr baseColWidth="8" defaultColWidth="9.140625" defaultRowHeight="13.5"/>
  <cols>
    <col width="7.42578125" bestFit="1" customWidth="1" style="3" min="1" max="1"/>
    <col width="50.42578125" bestFit="1" customWidth="1" style="3" min="2" max="2"/>
    <col width="31" bestFit="1" customWidth="1" style="3" min="3" max="3"/>
    <col width="16.7109375" bestFit="1" customWidth="1" style="3" min="4" max="4"/>
    <col width="12.42578125" customWidth="1" style="6" min="5" max="5"/>
    <col width="12" customWidth="1" style="3" min="6" max="6"/>
    <col width="12.140625" customWidth="1" style="3" min="7" max="7"/>
    <col width="10.7109375" customWidth="1" style="3" min="8" max="8"/>
    <col width="17.140625" customWidth="1" style="3" min="9" max="9"/>
    <col width="14.85546875" customWidth="1" style="3" min="10" max="10"/>
    <col width="12.140625" customWidth="1" style="3" min="11" max="12"/>
    <col width="16.42578125" customWidth="1" style="6" min="13" max="13"/>
    <col width="48.85546875" bestFit="1" customWidth="1" style="6" min="14" max="14"/>
    <col width="23.28515625" bestFit="1" customWidth="1" style="6" min="15" max="15"/>
    <col hidden="1" width="19.5703125" customWidth="1" style="3" min="16" max="16"/>
    <col hidden="1" width="48.7109375" customWidth="1" style="3" min="17" max="17"/>
    <col hidden="1" width="30.28515625" customWidth="1" style="3" min="18" max="18"/>
    <col hidden="1" width="24.28515625" customWidth="1" style="3" min="19" max="19"/>
    <col hidden="1" width="19.7109375" customWidth="1" style="3" min="20" max="20"/>
    <col width="18.7109375" customWidth="1" style="3" min="21" max="21"/>
    <col width="16.140625" customWidth="1" style="3" min="22" max="22"/>
    <col width="22.140625" bestFit="1" customWidth="1" style="3" min="23" max="23"/>
    <col width="11.42578125" customWidth="1" style="3" min="24" max="26"/>
    <col width="12.7109375" customWidth="1" style="6" min="27" max="27"/>
    <col width="14.28515625" customWidth="1" style="74" min="28" max="28"/>
    <col width="12" bestFit="1" customWidth="1" style="3" min="29" max="29"/>
    <col width="23.7109375" bestFit="1" customWidth="1" style="6" min="30" max="30"/>
    <col width="9.140625" customWidth="1" style="3" min="31" max="16384"/>
  </cols>
  <sheetData>
    <row r="2">
      <c r="B2" s="3" t="inlineStr">
        <is>
          <t>AVAILABLES</t>
        </is>
      </c>
    </row>
    <row r="3" ht="22.5" customHeight="1"/>
    <row r="4" hidden="1" ht="18.75" customHeight="1"/>
    <row r="5" ht="18.75" customHeight="1"/>
    <row r="6" hidden="1" ht="18.75" customHeight="1"/>
    <row r="7" hidden="1" ht="18.75" customHeight="1"/>
    <row r="8" hidden="1" ht="18.75" customHeight="1"/>
    <row r="9" hidden="1" ht="18.75" customHeight="1"/>
    <row r="10" hidden="1" ht="18.75" customHeight="1"/>
    <row r="11" hidden="1" ht="18.75" customHeight="1"/>
    <row r="12" hidden="1" ht="18.75" customHeight="1"/>
    <row r="13" hidden="1" ht="18.75" customHeight="1"/>
    <row r="14" hidden="1" ht="18.75" customHeight="1"/>
    <row r="15" hidden="1" ht="18.75" customHeight="1"/>
    <row r="16" hidden="1" ht="18.75" customHeight="1"/>
    <row r="17" ht="18.75" customHeight="1"/>
    <row r="18" hidden="1" ht="18.75" customHeight="1"/>
    <row r="19" ht="18.75" customHeight="1"/>
    <row r="20" hidden="1" ht="18.75" customHeight="1"/>
    <row r="21" hidden="1" ht="18.75" customHeight="1"/>
    <row r="22" ht="18.75" customHeight="1"/>
    <row r="23" hidden="1" ht="18.75" customHeight="1"/>
    <row r="24" hidden="1" ht="18.75" customHeight="1"/>
    <row r="25" hidden="1" ht="18.75" customHeight="1"/>
    <row r="26" hidden="1" ht="18.75" customHeight="1"/>
    <row r="27" hidden="1" ht="18.75" customHeight="1"/>
    <row r="28" hidden="1" ht="18.75" customHeight="1"/>
    <row r="29" hidden="1" ht="18.75" customHeight="1"/>
    <row r="30" hidden="1" ht="18.75" customHeight="1"/>
    <row r="31" hidden="1" ht="18.75" customHeight="1"/>
    <row r="32" hidden="1" ht="18.75" customHeight="1"/>
    <row r="33" hidden="1" ht="18.75" customHeight="1"/>
    <row r="34" hidden="1" ht="18.75" customHeight="1"/>
    <row r="35" ht="18.75" customHeight="1"/>
    <row r="36" hidden="1" ht="18.75" customHeight="1"/>
    <row r="37" hidden="1" ht="18.75" customHeight="1"/>
    <row r="38" hidden="1" ht="18.75" customHeight="1"/>
    <row r="39" hidden="1" ht="18.75" customHeight="1"/>
    <row r="40" hidden="1" ht="18.75" customHeight="1"/>
    <row r="41" hidden="1" ht="18.75" customHeight="1"/>
    <row r="42" hidden="1" ht="18.75" customHeight="1"/>
    <row r="43" hidden="1" ht="18.75" customHeight="1"/>
    <row r="44" hidden="1" ht="18.75" customHeight="1"/>
    <row r="45" ht="18.75" customHeight="1"/>
    <row r="46" hidden="1" ht="18.75" customHeight="1"/>
    <row r="47" hidden="1" ht="18.75" customHeight="1"/>
    <row r="48" hidden="1" ht="18.75" customHeight="1"/>
    <row r="49" hidden="1" ht="18.75" customHeight="1"/>
    <row r="50" ht="18.75" customHeight="1"/>
    <row r="51" hidden="1" ht="18.75" customHeight="1"/>
    <row r="52" hidden="1" ht="18.75" customHeight="1"/>
    <row r="53" hidden="1" ht="18.75" customHeight="1"/>
    <row r="54" hidden="1" ht="18.75" customHeight="1"/>
    <row r="55" hidden="1" ht="18.75" customHeight="1"/>
    <row r="56" hidden="1" ht="18.75" customHeight="1"/>
    <row r="57" hidden="1" ht="18.75" customHeight="1"/>
    <row r="58" ht="18.75" customHeight="1"/>
    <row r="59" hidden="1" ht="18.75" customHeight="1"/>
    <row r="60" hidden="1" ht="18.75" customHeight="1"/>
    <row r="61" hidden="1" ht="18.75" customHeight="1"/>
    <row r="62" hidden="1" ht="18.75" customHeight="1"/>
    <row r="63" hidden="1" ht="18.75" customHeight="1"/>
    <row r="64" hidden="1" ht="18.75" customHeight="1"/>
    <row r="65" hidden="1" ht="18.75" customHeight="1"/>
    <row r="66" hidden="1" ht="18.75" customHeight="1"/>
    <row r="67" hidden="1" ht="18.75" customHeight="1"/>
    <row r="68" hidden="1" ht="18.75" customHeight="1"/>
    <row r="69" hidden="1" ht="18.75" customHeight="1"/>
    <row r="70" hidden="1" ht="18.75" customHeight="1"/>
    <row r="71" hidden="1" ht="18.75" customHeight="1"/>
    <row r="72" hidden="1" ht="18.75" customHeight="1"/>
    <row r="73" hidden="1" ht="18.75" customHeight="1"/>
    <row r="74" hidden="1" ht="18.75" customHeight="1"/>
    <row r="75" hidden="1" ht="18.75" customHeight="1"/>
    <row r="76" hidden="1" ht="18.75" customHeight="1"/>
    <row r="77" hidden="1" ht="18.75" customHeight="1"/>
    <row r="78" hidden="1" ht="18.75" customHeight="1"/>
    <row r="79" hidden="1" ht="18.75" customHeight="1"/>
    <row r="80" ht="18.75" customHeight="1"/>
    <row r="81" hidden="1" ht="18.75" customHeight="1"/>
    <row r="82" hidden="1" ht="18.75" customHeight="1"/>
    <row r="83" hidden="1" ht="18.75" customHeight="1"/>
    <row r="84" ht="18.75" customHeight="1"/>
    <row r="85" hidden="1" ht="18.75" customHeight="1"/>
    <row r="86" hidden="1" ht="18.75" customHeight="1"/>
    <row r="87" hidden="1" ht="18.75" customHeight="1"/>
    <row r="88" hidden="1" ht="18.75" customHeight="1"/>
    <row r="89" hidden="1" ht="18.75" customHeight="1"/>
    <row r="90" hidden="1" ht="18.75" customHeight="1"/>
    <row r="91" hidden="1" ht="18.75" customHeight="1"/>
    <row r="92" hidden="1" ht="18.75" customHeight="1"/>
    <row r="93" hidden="1" ht="18.75" customHeight="1"/>
    <row r="94" hidden="1" ht="18.75" customHeight="1"/>
    <row r="95" hidden="1" ht="18.75" customHeight="1"/>
    <row r="96" hidden="1" ht="18.75" customHeight="1"/>
    <row r="97" hidden="1" ht="18.75" customHeight="1"/>
    <row r="98" hidden="1" ht="18.75" customHeight="1"/>
    <row r="99" hidden="1" ht="18.75" customHeight="1"/>
    <row r="100" hidden="1" ht="18.75" customHeight="1"/>
    <row r="101" hidden="1" ht="18.75" customHeight="1"/>
    <row r="102" hidden="1" ht="18.75" customHeight="1"/>
    <row r="103" hidden="1" ht="18.75" customHeight="1"/>
    <row r="104" hidden="1" ht="18.75" customHeight="1"/>
    <row r="105" hidden="1" ht="18.75" customHeight="1"/>
    <row r="106" hidden="1" ht="18.75" customHeight="1"/>
    <row r="107" hidden="1" ht="18.75" customHeight="1"/>
    <row r="108" hidden="1" ht="18.75" customHeight="1"/>
    <row r="109" hidden="1" ht="18.75" customHeight="1"/>
    <row r="110" hidden="1" ht="18.75" customHeight="1"/>
    <row r="111" hidden="1" ht="18.75" customHeight="1"/>
    <row r="112" hidden="1" ht="18.75" customHeight="1"/>
    <row r="113" hidden="1" ht="18.75" customHeight="1"/>
    <row r="114" hidden="1" ht="18.75" customHeight="1"/>
    <row r="115" hidden="1" ht="18.75" customHeight="1"/>
    <row r="116" hidden="1" ht="18.75" customHeight="1"/>
    <row r="117" hidden="1" ht="18.75" customHeight="1"/>
    <row r="118" hidden="1" ht="18.75" customHeight="1"/>
    <row r="119" hidden="1" ht="18.75" customHeight="1"/>
    <row r="120" hidden="1" ht="18.75" customHeight="1"/>
    <row r="121" hidden="1" ht="18.75" customHeight="1"/>
    <row r="122" hidden="1" ht="18.75" customHeight="1"/>
    <row r="123" hidden="1" ht="18.75" customHeight="1"/>
    <row r="124" hidden="1" ht="18.75" customHeight="1"/>
    <row r="125" hidden="1" ht="18.75" customHeight="1"/>
    <row r="126" hidden="1" ht="18.75" customHeight="1"/>
    <row r="127" hidden="1" ht="18.75" customHeight="1"/>
    <row r="128" hidden="1" ht="18.75" customHeight="1"/>
    <row r="129" hidden="1" ht="18.75" customHeight="1"/>
    <row r="130" hidden="1" ht="18.75" customHeight="1"/>
    <row r="131" hidden="1" ht="18.75" customHeight="1"/>
    <row r="132" hidden="1" ht="18.75" customHeight="1"/>
    <row r="133" hidden="1" ht="18.75" customHeight="1"/>
    <row r="134" hidden="1" ht="18.75" customHeight="1"/>
    <row r="135" hidden="1" ht="18.75" customHeight="1"/>
    <row r="136" hidden="1" ht="18.75" customHeight="1"/>
    <row r="137" hidden="1" ht="18.75" customHeight="1"/>
    <row r="138" hidden="1" ht="18.75" customHeight="1"/>
    <row r="139" hidden="1" ht="18.75" customHeight="1"/>
    <row r="140" hidden="1" ht="18.75" customHeight="1"/>
    <row r="141" hidden="1" ht="18.75" customHeight="1"/>
    <row r="142" hidden="1" ht="18.75" customHeight="1"/>
    <row r="143" hidden="1" ht="18.75" customHeight="1"/>
    <row r="144" hidden="1" ht="18.75" customHeight="1"/>
    <row r="145" hidden="1" ht="18.75" customHeight="1"/>
    <row r="146" hidden="1" ht="18.75" customHeight="1"/>
    <row r="147" hidden="1" ht="18.75" customHeight="1"/>
    <row r="148" hidden="1" ht="18.75" customHeight="1"/>
    <row r="149" hidden="1" ht="18.75" customHeight="1"/>
    <row r="150" hidden="1" ht="18.75" customHeight="1"/>
    <row r="151" hidden="1" ht="19.5" customHeight="1"/>
    <row r="152" hidden="1" ht="19.5" customHeight="1"/>
    <row r="153" ht="19.5" customHeight="1"/>
    <row r="154" ht="19.5" customHeight="1"/>
    <row r="155" ht="19.5" customHeight="1"/>
    <row r="156" ht="19.5" customHeight="1"/>
    <row r="157" ht="19.5" customHeight="1"/>
  </sheetData>
  <conditionalFormatting sqref="C1:C1048576">
    <cfRule type="duplicateValues" priority="1" dxfId="0"/>
    <cfRule type="duplicateValues" priority="3" dxfId="0"/>
    <cfRule type="duplicateValues" priority="4" dxfId="0"/>
  </conditionalFormatting>
  <conditionalFormatting sqref="C4:C152">
    <cfRule type="duplicateValues" priority="3461" dxfId="0"/>
  </conditionalFormatting>
  <printOptions horizontalCentered="1"/>
  <pageMargins left="0" right="0" top="0.75" bottom="0.75" header="0.3" footer="0.3"/>
  <pageSetup orientation="landscape" scale="2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4"/>
  <sheetViews>
    <sheetView topLeftCell="A577" workbookViewId="0">
      <selection activeCell="F15" sqref="F15"/>
    </sheetView>
  </sheetViews>
  <sheetFormatPr baseColWidth="8" defaultRowHeight="15"/>
  <cols>
    <col width="9.140625" customWidth="1" style="34" min="2" max="2"/>
    <col width="10.140625" bestFit="1" customWidth="1" style="56" min="3" max="3"/>
    <col width="10.140625" bestFit="1" customWidth="1" style="1" min="15" max="15"/>
  </cols>
  <sheetData>
    <row r="2">
      <c r="B2" s="34" t="inlineStr">
        <is>
          <t>Sold Cap</t>
        </is>
      </c>
      <c r="C2" s="56" t="inlineStr">
        <is>
          <t>Date</t>
        </is>
      </c>
    </row>
    <row r="3">
      <c r="B3" s="34" t="n">
        <v>0.05540005333333334</v>
      </c>
      <c r="C3" s="56" t="n">
        <v>45289</v>
      </c>
    </row>
    <row r="4">
      <c r="B4" s="34" t="n">
        <v>0.07425736137667303</v>
      </c>
      <c r="C4" s="56" t="n">
        <v>45672</v>
      </c>
    </row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.5703125" bestFit="1" customWidth="1" style="1" min="1" max="1"/>
    <col width="24.140625" bestFit="1" customWidth="1" style="1" min="2" max="2"/>
    <col width="18.28515625" bestFit="1" customWidth="1" style="1" min="3" max="3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R14"/>
  <sheetViews>
    <sheetView topLeftCell="BS96" zoomScale="80" zoomScaleNormal="80" workbookViewId="0">
      <selection activeCell="CN111" sqref="CN111"/>
    </sheetView>
  </sheetViews>
  <sheetFormatPr baseColWidth="8" defaultColWidth="9.140625" defaultRowHeight="13.5"/>
  <cols>
    <col width="9.140625" customWidth="1" style="59" min="1" max="1"/>
    <col width="9.28515625" bestFit="1" customWidth="1" style="59" min="2" max="4"/>
    <col width="12.7109375" bestFit="1" customWidth="1" style="16" min="5" max="5"/>
    <col width="18" bestFit="1" customWidth="1" style="16" min="6" max="6"/>
    <col width="17.85546875" customWidth="1" style="16" min="7" max="7"/>
    <col width="18" bestFit="1" customWidth="1" style="59" min="8" max="8"/>
    <col width="17.85546875" customWidth="1" style="59" min="9" max="9"/>
    <col width="14.28515625" bestFit="1" customWidth="1" style="59" min="10" max="10"/>
    <col width="17.85546875" customWidth="1" style="59" min="11" max="11"/>
    <col width="13.28515625" bestFit="1" customWidth="1" style="59" min="12" max="12"/>
    <col width="9.28515625" bestFit="1" customWidth="1" style="59" min="13" max="14"/>
    <col width="8.85546875" bestFit="1" customWidth="1" style="16" min="15" max="15"/>
    <col width="8.7109375" customWidth="1" style="16" min="16" max="36"/>
    <col width="9.28515625" bestFit="1" customWidth="1" style="59" min="37" max="44"/>
    <col width="10.140625" bestFit="1" customWidth="1" style="59" min="45" max="47"/>
    <col width="10.85546875" bestFit="1" customWidth="1" style="59" min="48" max="49"/>
    <col width="10.140625" bestFit="1" customWidth="1" style="59" min="50" max="50"/>
    <col width="11.28515625" bestFit="1" customWidth="1" style="59" min="51" max="51"/>
    <col width="10.140625" bestFit="1" customWidth="1" style="59" min="52" max="52"/>
    <col width="9.28515625" bestFit="1" customWidth="1" style="59" min="53" max="62"/>
    <col width="11.28515625" bestFit="1" customWidth="1" style="59" min="63" max="64"/>
    <col width="10.140625" bestFit="1" customWidth="1" style="59" min="65" max="65"/>
    <col width="9.140625" customWidth="1" style="59" min="66" max="66"/>
    <col width="9.28515625" bestFit="1" customWidth="1" style="59" min="67" max="69"/>
    <col width="9.140625" customWidth="1" style="59" min="70" max="80"/>
    <col width="22.140625" customWidth="1" style="16" min="81" max="81"/>
    <col width="21.140625" bestFit="1" customWidth="1" style="16" min="82" max="82"/>
    <col width="15.7109375" bestFit="1" customWidth="1" style="16" min="83" max="83"/>
    <col width="9.140625" customWidth="1" style="59" min="84" max="85"/>
    <col width="10.140625" bestFit="1" customWidth="1" style="59" min="86" max="86"/>
    <col width="16.28515625" bestFit="1" customWidth="1" style="16" min="87" max="87"/>
    <col width="11.7109375" bestFit="1" customWidth="1" style="16" min="88" max="88"/>
    <col width="9.28515625" bestFit="1" customWidth="1" style="59" min="89" max="91"/>
    <col width="9.140625" customWidth="1" style="59" min="92" max="16384"/>
  </cols>
  <sheetData>
    <row r="1">
      <c r="C1" s="24">
        <f>AVERAGE(C15:C185)</f>
        <v/>
      </c>
      <c r="E1" s="75">
        <f>AVERAGE(E15:E185)</f>
        <v/>
      </c>
      <c r="F1" s="75">
        <f>AVERAGE(F15:F185)</f>
        <v/>
      </c>
      <c r="G1" s="26">
        <f>AVERAGE(G26:G185)</f>
        <v/>
      </c>
      <c r="H1" s="75">
        <f>AVERAGE(H15:H185)</f>
        <v/>
      </c>
      <c r="I1" s="75">
        <f>AVERAGE(I15:I185)</f>
        <v/>
      </c>
      <c r="J1" s="24">
        <f>AVERAGE(J15:J185)</f>
        <v/>
      </c>
      <c r="K1" s="75">
        <f>AVERAGE(K15:K185)</f>
        <v/>
      </c>
      <c r="L1" s="24">
        <f>AVERAGE(L15:L185)</f>
        <v/>
      </c>
      <c r="M1" s="57">
        <f>AVERAGE(M15:M185)</f>
        <v/>
      </c>
      <c r="N1" s="57">
        <f>AVERAGE(N15:N185)</f>
        <v/>
      </c>
      <c r="O1" s="57">
        <f>AVERAGE(O15:O185)</f>
        <v/>
      </c>
      <c r="P1" s="57">
        <f>AVERAGE(P15:P185)</f>
        <v/>
      </c>
      <c r="Q1" s="57">
        <f>AVERAGE(Q15:Q185)</f>
        <v/>
      </c>
      <c r="R1" s="57">
        <f>AVERAGE(R15:R185)</f>
        <v/>
      </c>
      <c r="S1" s="57">
        <f>AVERAGE(S15:S185)</f>
        <v/>
      </c>
      <c r="T1" s="57">
        <f>AVERAGE(T15:T185)</f>
        <v/>
      </c>
      <c r="U1" s="57">
        <f>AVERAGE(U15:U185)</f>
        <v/>
      </c>
      <c r="V1" s="59" t="n"/>
      <c r="W1" s="59" t="n"/>
      <c r="X1" s="59" t="n"/>
      <c r="Y1" s="59" t="n"/>
      <c r="Z1" s="57">
        <f>AVERAGE(Z15:Z185)</f>
        <v/>
      </c>
      <c r="AA1" s="57">
        <f>AVERAGE(AA15:AA185)</f>
        <v/>
      </c>
      <c r="AB1" s="57">
        <f>AVERAGE(AB15:AB185)</f>
        <v/>
      </c>
      <c r="AC1" s="57">
        <f>AVERAGE(AC15:AC185)</f>
        <v/>
      </c>
      <c r="AD1" s="57">
        <f>AVERAGE(AD15:AD185)</f>
        <v/>
      </c>
      <c r="AE1" s="57">
        <f>AVERAGE(AE15:AE185)</f>
        <v/>
      </c>
      <c r="AF1" s="57">
        <f>AVERAGE(AF15:AF185)</f>
        <v/>
      </c>
      <c r="AG1" s="57">
        <f>AVERAGE(AG15:AG185)</f>
        <v/>
      </c>
      <c r="AH1" s="57">
        <f>AVERAGE(AH15:AH196)</f>
        <v/>
      </c>
      <c r="AI1" s="57">
        <f>AVERAGE(AI15:AI196)</f>
        <v/>
      </c>
      <c r="AJ1" s="57">
        <f>AVERAGE(AJ15:AJ196)</f>
        <v/>
      </c>
      <c r="AK1" s="24">
        <f>AVERAGE(AK15:AK185)</f>
        <v/>
      </c>
      <c r="AL1" s="76">
        <f>AVERAGE(AL15:AL185)</f>
        <v/>
      </c>
      <c r="AM1" s="57">
        <f>AVERAGE(AM15:AM185)</f>
        <v/>
      </c>
      <c r="AN1" s="57">
        <f>AVERAGE(AN15:AN185)</f>
        <v/>
      </c>
      <c r="AO1" s="57">
        <f>AVERAGE(AO15:AO185)</f>
        <v/>
      </c>
      <c r="AP1" s="58">
        <f>AVERAGE(AP15:AP185)</f>
        <v/>
      </c>
      <c r="AQ1" s="57">
        <f>AVERAGE(AQ15:AQ185)</f>
        <v/>
      </c>
      <c r="AR1" s="58">
        <f>AVERAGE(AR15:AR185)</f>
        <v/>
      </c>
      <c r="AS1" s="24">
        <f>AVERAGE(AS15:AS185)</f>
        <v/>
      </c>
      <c r="AT1" s="24">
        <f>AVERAGE(AT15:AT185)</f>
        <v/>
      </c>
      <c r="AU1" s="24">
        <f>AVERAGE(AU15:AU185)</f>
        <v/>
      </c>
      <c r="AV1" s="24">
        <f>AVERAGE(AV15:AV185)</f>
        <v/>
      </c>
      <c r="AW1" s="24">
        <f>AVERAGE(AW15:AW185)</f>
        <v/>
      </c>
      <c r="BB1" s="77">
        <f>AVERAGE(BB15:BB185)</f>
        <v/>
      </c>
      <c r="BC1" s="75">
        <f>AVERAGE(BC15:BC185)</f>
        <v/>
      </c>
      <c r="BD1" s="78">
        <f>AVERAGE(BD15:BD190)</f>
        <v/>
      </c>
      <c r="BE1" s="58">
        <f>AVERAGE(BE27:BE190)</f>
        <v/>
      </c>
      <c r="BF1" s="57">
        <f>AVERAGE(BF15:BF190)</f>
        <v/>
      </c>
      <c r="BG1" s="57">
        <f>AVERAGE(BG15:BG190)</f>
        <v/>
      </c>
      <c r="BH1" s="57">
        <f>AVERAGE(BH15:BH185)</f>
        <v/>
      </c>
      <c r="BI1" s="57">
        <f>AVERAGE(BI15:BI185)</f>
        <v/>
      </c>
      <c r="BJ1" s="57">
        <f>AVERAGE(BJ15:BJ185)</f>
        <v/>
      </c>
      <c r="BK1" s="24">
        <f>AVERAGE(BK15:BK185)</f>
        <v/>
      </c>
      <c r="BL1" s="24">
        <f>AVERAGE(BL15:BL185)</f>
        <v/>
      </c>
      <c r="BM1" s="24">
        <f>AVERAGE(BM15:BM185)</f>
        <v/>
      </c>
    </row>
    <row r="2">
      <c r="B2" s="59" t="inlineStr">
        <is>
          <t>Date</t>
        </is>
      </c>
      <c r="C2" s="59" t="inlineStr">
        <is>
          <t>Transaction Count (ttm)</t>
        </is>
      </c>
      <c r="D2" s="59" t="inlineStr">
        <is>
          <t>Transaction Count (ttm) w/o Sumitomo</t>
        </is>
      </c>
      <c r="E2" s="59" t="inlineStr">
        <is>
          <t>Avg Deal Size</t>
        </is>
      </c>
      <c r="F2" s="59" t="inlineStr">
        <is>
          <t>Sales Volume (ttm)</t>
        </is>
      </c>
      <c r="G2" s="59" t="inlineStr">
        <is>
          <t>Y-O-Y Change (%)</t>
        </is>
      </c>
      <c r="H2" s="59" t="inlineStr">
        <is>
          <t>Sales Volume (ttm)</t>
        </is>
      </c>
      <c r="I2" s="59" t="inlineStr">
        <is>
          <t>Quarterly Volume</t>
        </is>
      </c>
      <c r="J2" s="59" t="inlineStr">
        <is>
          <t>Quarterly Count</t>
        </is>
      </c>
      <c r="K2" s="59" t="inlineStr">
        <is>
          <t>Monthly Volume</t>
        </is>
      </c>
      <c r="L2" s="59" t="inlineStr">
        <is>
          <t>Monthly Count</t>
        </is>
      </c>
      <c r="M2" s="59" t="inlineStr">
        <is>
          <t>Upper Quartile (ttm)</t>
        </is>
      </c>
      <c r="N2" s="59" t="inlineStr">
        <is>
          <t>Lower Quartile (ttm)</t>
        </is>
      </c>
      <c r="O2" s="59" t="inlineStr">
        <is>
          <t>Cap (ttm)</t>
        </is>
      </c>
      <c r="P2" s="59" t="inlineStr">
        <is>
          <t>Weighted Average Cap (ttm)</t>
        </is>
      </c>
      <c r="Q2" s="59" t="inlineStr">
        <is>
          <t>Cap (90 day)</t>
        </is>
      </c>
      <c r="R2" s="59" t="inlineStr">
        <is>
          <t>Cap (180 day)</t>
        </is>
      </c>
      <c r="S2" s="59" t="inlineStr">
        <is>
          <t>10-Year Treasury Yields</t>
        </is>
      </c>
      <c r="T2" s="59" t="inlineStr">
        <is>
          <t>Low Assumed Loan Constant</t>
        </is>
      </c>
      <c r="U2" s="59" t="inlineStr">
        <is>
          <t>High Assumed Loan Constant</t>
        </is>
      </c>
      <c r="V2" s="59" t="inlineStr">
        <is>
          <t>Pace of Change in Borrowing Cost</t>
        </is>
      </c>
      <c r="W2" s="59" t="inlineStr">
        <is>
          <t>NM Cap Rate (ttm)</t>
        </is>
      </c>
      <c r="X2" s="59" t="inlineStr">
        <is>
          <t>Non-NM Cap Rate (ttm)</t>
        </is>
      </c>
      <c r="Y2" s="59" t="inlineStr">
        <is>
          <t>Client Impact</t>
        </is>
      </c>
      <c r="Z2" s="59" t="inlineStr">
        <is>
          <t>Cap Expansion/Compression Pace</t>
        </is>
      </c>
      <c r="AA2" s="59" t="inlineStr">
        <is>
          <t>Cap Expansion/Compression Trend (Core)</t>
        </is>
      </c>
      <c r="AB2" s="59" t="inlineStr">
        <is>
          <t>10+ Year Cap (ttm)</t>
        </is>
      </c>
      <c r="AC2" s="59" t="inlineStr">
        <is>
          <t>10+ Year Cap (90 Day)</t>
        </is>
      </c>
      <c r="AD2" s="59" t="inlineStr">
        <is>
          <t>12+ Year Cap (ttm)</t>
        </is>
      </c>
      <c r="AE2" s="59" t="inlineStr">
        <is>
          <t>8 to 12 Year Cap (ttm)</t>
        </is>
      </c>
      <c r="AF2" s="59" t="inlineStr">
        <is>
          <t>6 to 8 Year Cap (ttm)</t>
        </is>
      </c>
      <c r="AG2" s="59" t="inlineStr">
        <is>
          <t>5 or Less Year Cap (ttm)</t>
        </is>
      </c>
      <c r="AH2" s="59" t="inlineStr">
        <is>
          <t>FMC Cap (ttm)</t>
        </is>
      </c>
      <c r="AI2" s="59" t="inlineStr">
        <is>
          <t>DVA Cap (ttm)</t>
        </is>
      </c>
      <c r="AJ2" s="59" t="inlineStr">
        <is>
          <t>Other Cap (ttm)</t>
        </is>
      </c>
      <c r="AK2" s="59" t="inlineStr">
        <is>
          <t>Days on Market (ttm)</t>
        </is>
      </c>
      <c r="AL2" s="59" t="inlineStr">
        <is>
          <t>% of Ask</t>
        </is>
      </c>
      <c r="AM2" s="59" t="inlineStr">
        <is>
          <t>Last Ask (ttm)</t>
        </is>
      </c>
      <c r="AN2" s="59" t="inlineStr">
        <is>
          <t>Last Ask (t-quarter)</t>
        </is>
      </c>
      <c r="AO2" s="59" t="inlineStr">
        <is>
          <t>Bid-Ask Spread</t>
        </is>
      </c>
      <c r="AP2" s="59" t="inlineStr">
        <is>
          <t>Price Change (ttm)</t>
        </is>
      </c>
      <c r="AQ2" s="59" t="inlineStr">
        <is>
          <t>10+ Year Ask (ttm)</t>
        </is>
      </c>
      <c r="AR2" s="59" t="inlineStr">
        <is>
          <t>10+ Year Price Change (ttm)</t>
        </is>
      </c>
      <c r="AS2" s="59" t="inlineStr">
        <is>
          <t>Comps</t>
        </is>
      </c>
      <c r="AT2" s="59" t="inlineStr">
        <is>
          <t>Available</t>
        </is>
      </c>
      <c r="AU2" s="59" t="inlineStr">
        <is>
          <t>No. Added to Market</t>
        </is>
      </c>
      <c r="AV2" s="59" t="inlineStr">
        <is>
          <t>No. Sold</t>
        </is>
      </c>
      <c r="AW2" s="59" t="inlineStr">
        <is>
          <t>Net to Market</t>
        </is>
      </c>
      <c r="AX2" s="59" t="inlineStr">
        <is>
          <t>10+Year Sold (Monthly)</t>
        </is>
      </c>
      <c r="AY2" s="59" t="inlineStr">
        <is>
          <t>TTM 10+ Year Count</t>
        </is>
      </c>
      <c r="AZ2" s="59" t="inlineStr">
        <is>
          <t>&lt;10 Year Sold (Monthly)</t>
        </is>
      </c>
      <c r="BB2" s="59" t="inlineStr">
        <is>
          <t>Rent per SF (ttm)</t>
        </is>
      </c>
      <c r="BC2" s="59" t="inlineStr">
        <is>
          <t>Price per SF (ttm)</t>
        </is>
      </c>
      <c r="BD2" s="59" t="inlineStr">
        <is>
          <t>Valuation Index</t>
        </is>
      </c>
      <c r="BE2" s="59" t="inlineStr">
        <is>
          <t>YOY Change (%)</t>
        </is>
      </c>
      <c r="BF2" s="59" t="inlineStr">
        <is>
          <t>Cash Return Index</t>
        </is>
      </c>
      <c r="BG2" s="59" t="inlineStr">
        <is>
          <t>Leveraged Return Index</t>
        </is>
      </c>
      <c r="BH2" s="59" t="inlineStr">
        <is>
          <t>Individual Cap (ttm)</t>
        </is>
      </c>
      <c r="BI2" s="59" t="inlineStr">
        <is>
          <t>Fund Cap (ttm)</t>
        </is>
      </c>
      <c r="BJ2" s="59" t="inlineStr">
        <is>
          <t>REIT Cap (ttm)</t>
        </is>
      </c>
      <c r="BK2" s="59" t="inlineStr">
        <is>
          <t>Individual Count (ttm)</t>
        </is>
      </c>
      <c r="BL2" s="59" t="inlineStr">
        <is>
          <t>Fund Count (ttm)</t>
        </is>
      </c>
      <c r="BM2" s="59" t="inlineStr">
        <is>
          <t>REIT Count (ttm)</t>
        </is>
      </c>
    </row>
    <row r="3">
      <c r="B3" s="79" t="n">
        <v>39448</v>
      </c>
      <c r="C3" s="24" t="n"/>
      <c r="D3" s="24" t="n"/>
    </row>
    <row r="4">
      <c r="B4" s="79">
        <f>EDATE(B3,1)</f>
        <v/>
      </c>
      <c r="C4" s="24" t="n"/>
      <c r="D4" s="24" t="n"/>
      <c r="CP4" s="54" t="n"/>
      <c r="CQ4" s="60" t="inlineStr">
        <is>
          <t>NM Blue 003DA5</t>
        </is>
      </c>
      <c r="CR4" s="61" t="inlineStr">
        <is>
          <t>Aquamarine
5FA3A8</t>
        </is>
      </c>
    </row>
    <row r="5">
      <c r="B5" s="79">
        <f>EDATE(B4,1)</f>
        <v/>
      </c>
      <c r="C5" s="24" t="n"/>
      <c r="D5" s="24" t="n"/>
    </row>
    <row r="6">
      <c r="B6" s="79">
        <f>EDATE(B5,1)</f>
        <v/>
      </c>
      <c r="C6" s="24" t="n"/>
      <c r="D6" s="24" t="n"/>
      <c r="BO6" s="59" t="inlineStr">
        <is>
          <t>Transaction Count &amp; Average Deal Size - 8</t>
        </is>
      </c>
      <c r="CD6" s="59" t="inlineStr">
        <is>
          <t>Rent &amp; Price PSF - 9</t>
        </is>
      </c>
    </row>
    <row r="7">
      <c r="B7" s="79">
        <f>EDATE(B6,1)</f>
        <v/>
      </c>
      <c r="C7" s="24" t="n"/>
      <c r="D7" s="24" t="n"/>
    </row>
    <row r="8">
      <c r="B8" s="79">
        <f>EDATE(B7,1)</f>
        <v/>
      </c>
      <c r="C8" s="24" t="n"/>
      <c r="D8" s="24" t="n"/>
      <c r="CQ8" s="62" t="inlineStr">
        <is>
          <t>NM Blue 85
265AB2</t>
        </is>
      </c>
      <c r="CR8" s="63" t="inlineStr">
        <is>
          <t>Peridot
8FC49E</t>
        </is>
      </c>
    </row>
    <row r="9">
      <c r="B9" s="79">
        <f>EDATE(B8,1)</f>
        <v/>
      </c>
      <c r="C9" s="24" t="n"/>
      <c r="D9" s="24" t="n"/>
    </row>
    <row r="10">
      <c r="B10" s="79">
        <f>EDATE(B9,1)</f>
        <v/>
      </c>
      <c r="C10" s="24" t="n"/>
      <c r="D10" s="24" t="n"/>
    </row>
    <row r="11">
      <c r="B11" s="79">
        <f>EDATE(B10,1)</f>
        <v/>
      </c>
      <c r="C11" s="24" t="n"/>
      <c r="D11" s="24" t="n"/>
    </row>
    <row r="12">
      <c r="B12" s="79">
        <f>EDATE(B11,1)</f>
        <v/>
      </c>
      <c r="C12" s="24" t="n"/>
      <c r="D12" s="24" t="n"/>
      <c r="W12" s="59" t="n"/>
      <c r="CQ12" s="64" t="inlineStr">
        <is>
          <t>NM Blue 12
E0E8F4</t>
        </is>
      </c>
      <c r="CR12" s="65" t="inlineStr">
        <is>
          <t>Amethyst 9B88A5</t>
        </is>
      </c>
    </row>
    <row r="13">
      <c r="B13" s="79">
        <f>EDATE(B12,1)</f>
        <v/>
      </c>
      <c r="C13" s="24" t="n"/>
      <c r="D13" s="24" t="n"/>
      <c r="W13" s="59" t="n"/>
    </row>
    <row r="14">
      <c r="B14" s="79">
        <f>EDATE(B13,1)</f>
        <v/>
      </c>
      <c r="C14" s="24" t="n"/>
      <c r="D14" s="24" t="n"/>
      <c r="W14" s="59" t="n"/>
      <c r="X14" s="59" t="n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</sheetData>
  <mergeCells count="15">
    <mergeCell ref="CR20:CR23"/>
    <mergeCell ref="CQ20:CQ23"/>
    <mergeCell ref="CQ28:CQ31"/>
    <mergeCell ref="CR12:CR15"/>
    <mergeCell ref="CR24:CR27"/>
    <mergeCell ref="CQ8:CQ11"/>
    <mergeCell ref="CR16:CR19"/>
    <mergeCell ref="CD164:CE164"/>
    <mergeCell ref="CR4:CR7"/>
    <mergeCell ref="CQ4:CQ7"/>
    <mergeCell ref="CQ16:CQ19"/>
    <mergeCell ref="CR8:CR11"/>
    <mergeCell ref="CQ32:CQ35"/>
    <mergeCell ref="CQ24:CQ27"/>
    <mergeCell ref="CQ12:CQ15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4"/>
  <sheetViews>
    <sheetView topLeftCell="S50" zoomScaleNormal="100" workbookViewId="0">
      <selection activeCell="AC107" sqref="AC107"/>
    </sheetView>
  </sheetViews>
  <sheetFormatPr baseColWidth="8" defaultColWidth="9.140625" defaultRowHeight="13.5"/>
  <cols>
    <col width="9.140625" customWidth="1" style="59" min="1" max="1"/>
    <col width="10.7109375" customWidth="1" style="16" min="2" max="2"/>
    <col width="11.7109375" bestFit="1" customWidth="1" style="59" min="3" max="3"/>
    <col width="15.42578125" bestFit="1" customWidth="1" style="59" min="4" max="4"/>
    <col width="12" bestFit="1" customWidth="1" style="16" min="5" max="5"/>
    <col width="11" bestFit="1" customWidth="1" style="16" min="6" max="7"/>
    <col width="8.28515625" bestFit="1" customWidth="1" style="16" min="8" max="8"/>
    <col width="5.28515625" bestFit="1" customWidth="1" style="59" min="9" max="9"/>
    <col width="12.140625" bestFit="1" customWidth="1" style="16" min="10" max="10"/>
    <col width="12.140625" customWidth="1" style="16" min="11" max="12"/>
    <col width="13.42578125" bestFit="1" customWidth="1" style="16" min="13" max="13"/>
    <col width="11.5703125" bestFit="1" customWidth="1" style="59" min="14" max="14"/>
    <col width="12" bestFit="1" customWidth="1" style="16" min="15" max="15"/>
    <col width="11" bestFit="1" customWidth="1" style="16" min="16" max="17"/>
    <col width="8.28515625" bestFit="1" customWidth="1" style="16" min="18" max="18"/>
    <col width="5.28515625" bestFit="1" customWidth="1" style="59" min="19" max="19"/>
    <col width="12.140625" bestFit="1" customWidth="1" style="16" min="20" max="20"/>
    <col width="12.140625" customWidth="1" style="16" min="21" max="22"/>
    <col width="9.140625" customWidth="1" style="59" min="23" max="23"/>
    <col width="11" bestFit="1" customWidth="1" style="16" min="24" max="24"/>
    <col width="9.140625" customWidth="1" style="59" min="25" max="29"/>
    <col width="12" bestFit="1" customWidth="1" style="16" min="30" max="30"/>
    <col width="9.140625" customWidth="1" style="59" min="31" max="31"/>
    <col width="11" bestFit="1" customWidth="1" style="16" min="32" max="32"/>
    <col width="9.140625" customWidth="1" style="59" min="33" max="37"/>
    <col width="12.140625" bestFit="1" customWidth="1" style="16" min="38" max="38"/>
    <col width="9.140625" customWidth="1" style="59" min="39" max="39"/>
    <col width="11.42578125" bestFit="1" customWidth="1" style="16" min="40" max="40"/>
    <col width="9.140625" customWidth="1" style="59" min="41" max="45"/>
    <col width="12.140625" bestFit="1" customWidth="1" style="16" min="46" max="46"/>
    <col width="9.140625" customWidth="1" style="59" min="47" max="47"/>
    <col width="11" bestFit="1" customWidth="1" style="16" min="48" max="48"/>
    <col width="9.140625" customWidth="1" style="59" min="49" max="53"/>
    <col width="12" bestFit="1" customWidth="1" style="16" min="54" max="54"/>
    <col width="9.140625" customWidth="1" style="59" min="55" max="16384"/>
  </cols>
  <sheetData>
    <row r="1">
      <c r="C1" s="59" t="inlineStr">
        <is>
          <t>Total Market</t>
        </is>
      </c>
      <c r="M1" s="16" t="inlineStr">
        <is>
          <t>10+ Year Term</t>
        </is>
      </c>
      <c r="W1" s="16" t="inlineStr">
        <is>
          <t>5-8 Year Term</t>
        </is>
      </c>
      <c r="X1" s="59" t="n"/>
      <c r="AE1" s="16" t="inlineStr">
        <is>
          <t>8-12 Year Term</t>
        </is>
      </c>
      <c r="AF1" s="59" t="n"/>
      <c r="AM1" s="16" t="inlineStr">
        <is>
          <t>12+ Year Term</t>
        </is>
      </c>
      <c r="AN1" s="59" t="n"/>
      <c r="AU1" s="16" t="inlineStr">
        <is>
          <t>Sub 5 Year Term</t>
        </is>
      </c>
      <c r="AV1" s="59" t="n"/>
    </row>
    <row r="2">
      <c r="A2" s="16" t="inlineStr">
        <is>
          <t>LT Avg.</t>
        </is>
      </c>
      <c r="C2" s="24">
        <f>AVERAGE(C4:C49)</f>
        <v/>
      </c>
      <c r="D2" s="75">
        <f>AVERAGE(D4:D49)</f>
        <v/>
      </c>
      <c r="E2" s="57">
        <f>AVERAGE(E4:E49)</f>
        <v/>
      </c>
      <c r="F2" s="57">
        <f>AVERAGE(F4:F49)</f>
        <v/>
      </c>
      <c r="G2" s="57">
        <f>AVERAGE(G4:G49)</f>
        <v/>
      </c>
      <c r="H2" s="57">
        <f>AVERAGE(H4:H49)</f>
        <v/>
      </c>
      <c r="I2" s="24">
        <f>AVERAGE(I4:I49)</f>
        <v/>
      </c>
      <c r="J2" s="58">
        <f>AVERAGE(J4:J49)</f>
        <v/>
      </c>
      <c r="K2" s="78">
        <f>AVERAGE(K4:K49)</f>
        <v/>
      </c>
      <c r="L2" s="78">
        <f>AVERAGE(L4:L49)</f>
        <v/>
      </c>
      <c r="M2" s="24">
        <f>AVERAGE(M4:M49)</f>
        <v/>
      </c>
      <c r="N2" s="75">
        <f>AVERAGE(N4:N49)</f>
        <v/>
      </c>
      <c r="O2" s="57">
        <f>AVERAGE(O4:O49)</f>
        <v/>
      </c>
      <c r="P2" s="57">
        <f>AVERAGE(P4:P49)</f>
        <v/>
      </c>
      <c r="Q2" s="57">
        <f>AVERAGE(Q4:Q49)</f>
        <v/>
      </c>
      <c r="R2" s="57">
        <f>AVERAGE(R4:R49)</f>
        <v/>
      </c>
      <c r="S2" s="24">
        <f>AVERAGE(S4:S49)</f>
        <v/>
      </c>
      <c r="T2" s="58">
        <f>AVERAGE(T4:T49)</f>
        <v/>
      </c>
      <c r="U2" s="78">
        <f>AVERAGE(U4:U49)</f>
        <v/>
      </c>
      <c r="V2" s="78">
        <f>AVERAGE(V4:V49)</f>
        <v/>
      </c>
      <c r="W2" s="24">
        <f>AVERAGE(W4:W49)</f>
        <v/>
      </c>
      <c r="X2" s="75">
        <f>AVERAGE(X4:X49)</f>
        <v/>
      </c>
      <c r="Y2" s="57">
        <f>AVERAGE(Y4:Y49)</f>
        <v/>
      </c>
      <c r="Z2" s="57">
        <f>AVERAGE(Z4:Z49)</f>
        <v/>
      </c>
      <c r="AA2" s="57">
        <f>AVERAGE(AA4:AA49)</f>
        <v/>
      </c>
      <c r="AB2" s="57">
        <f>AVERAGE(AB4:AB49)</f>
        <v/>
      </c>
      <c r="AC2" s="24">
        <f>AVERAGE(AC4:AC49)</f>
        <v/>
      </c>
      <c r="AD2" s="58">
        <f>AVERAGE(AD4:AD49)</f>
        <v/>
      </c>
      <c r="AE2" s="24">
        <f>AVERAGE(AE4:AE49)</f>
        <v/>
      </c>
      <c r="AF2" s="75">
        <f>AVERAGE(AF4:AF49)</f>
        <v/>
      </c>
      <c r="AG2" s="57">
        <f>AVERAGE(AG4:AG49)</f>
        <v/>
      </c>
      <c r="AH2" s="57">
        <f>AVERAGE(AH4:AH49)</f>
        <v/>
      </c>
      <c r="AI2" s="57">
        <f>AVERAGE(AI4:AI49)</f>
        <v/>
      </c>
      <c r="AJ2" s="57">
        <f>AVERAGE(AJ4:AJ49)</f>
        <v/>
      </c>
      <c r="AK2" s="24">
        <f>AVERAGE(AK4:AK49)</f>
        <v/>
      </c>
      <c r="AL2" s="58">
        <f>AVERAGE(AL4:AL49)</f>
        <v/>
      </c>
      <c r="AM2" s="24">
        <f>AVERAGE(AM4:AM49)</f>
        <v/>
      </c>
      <c r="AN2" s="75">
        <f>AVERAGE(AN4:AN49)</f>
        <v/>
      </c>
      <c r="AO2" s="57">
        <f>AVERAGE(AO4:AO49)</f>
        <v/>
      </c>
      <c r="AP2" s="57">
        <f>AVERAGE(AP4:AP49)</f>
        <v/>
      </c>
      <c r="AQ2" s="57">
        <f>AVERAGE(AQ4:AQ49)</f>
        <v/>
      </c>
      <c r="AR2" s="57">
        <f>AVERAGE(AR4:AR49)</f>
        <v/>
      </c>
      <c r="AS2" s="24">
        <f>AVERAGE(AS4:AS49)</f>
        <v/>
      </c>
      <c r="AT2" s="58">
        <f>AVERAGE(AT4:AT49)</f>
        <v/>
      </c>
      <c r="AU2" s="24">
        <f>AVERAGE(AU4:AU49)</f>
        <v/>
      </c>
      <c r="AV2" s="75">
        <f>AVERAGE(AV4:AV49)</f>
        <v/>
      </c>
      <c r="AW2" s="57">
        <f>AVERAGE(AW4:AW49)</f>
        <v/>
      </c>
      <c r="AX2" s="57">
        <f>AVERAGE(AX4:AX49)</f>
        <v/>
      </c>
      <c r="AY2" s="57">
        <f>AVERAGE(AY4:AY49)</f>
        <v/>
      </c>
      <c r="AZ2" s="57">
        <f>AVERAGE(AZ4:AZ49)</f>
        <v/>
      </c>
      <c r="BA2" s="24">
        <f>AVERAGE(BA4:BA49)</f>
        <v/>
      </c>
      <c r="BB2" s="58">
        <f>AVERAGE(BB4:BB49)</f>
        <v/>
      </c>
    </row>
    <row r="3">
      <c r="B3" s="16" t="inlineStr">
        <is>
          <t>Date</t>
        </is>
      </c>
      <c r="C3" s="59" t="inlineStr">
        <is>
          <t>Total Market - No. Available</t>
        </is>
      </c>
      <c r="D3" s="59" t="inlineStr">
        <is>
          <t>Avg Price</t>
        </is>
      </c>
      <c r="E3" s="16" t="inlineStr">
        <is>
          <t>Total Market - Avg Cap</t>
        </is>
      </c>
      <c r="F3" s="16" t="inlineStr">
        <is>
          <t>Total Market - Upper Quart</t>
        </is>
      </c>
      <c r="G3" s="16" t="inlineStr">
        <is>
          <t>Total Market - Lower Quart</t>
        </is>
      </c>
      <c r="H3" s="16" t="inlineStr">
        <is>
          <t>Median</t>
        </is>
      </c>
      <c r="I3" s="59" t="inlineStr">
        <is>
          <t>Total Market - DOM</t>
        </is>
      </c>
      <c r="J3" s="16" t="inlineStr">
        <is>
          <t>Total Market - Price Change</t>
        </is>
      </c>
      <c r="K3" s="16" t="inlineStr">
        <is>
          <t>Total Market - Monthly Clear Pace</t>
        </is>
      </c>
      <c r="L3" s="59" t="inlineStr">
        <is>
          <t>Total Market - Inventory Backlog</t>
        </is>
      </c>
      <c r="M3" s="16" t="inlineStr">
        <is>
          <t>10+ Year Term - No. Available</t>
        </is>
      </c>
      <c r="N3" s="59" t="inlineStr">
        <is>
          <t>Avg Price</t>
        </is>
      </c>
      <c r="O3" s="16" t="inlineStr">
        <is>
          <t>10+ Year Term - Avg Cap</t>
        </is>
      </c>
      <c r="P3" s="16" t="inlineStr">
        <is>
          <t>10+ Year Term - Upper Quart</t>
        </is>
      </c>
      <c r="Q3" s="16" t="inlineStr">
        <is>
          <t>10+ Year Term - Lower Quart</t>
        </is>
      </c>
      <c r="R3" s="16" t="inlineStr">
        <is>
          <t>Median</t>
        </is>
      </c>
      <c r="S3" s="59" t="inlineStr">
        <is>
          <t>10+ Year Term - DOM</t>
        </is>
      </c>
      <c r="T3" s="16" t="inlineStr">
        <is>
          <t>10+ Year Term - Price Change</t>
        </is>
      </c>
      <c r="U3" s="59" t="inlineStr">
        <is>
          <t>10+ Year Term - Monthly Clear Pace</t>
        </is>
      </c>
      <c r="V3" s="59" t="inlineStr">
        <is>
          <t>10+ Year Term - Inventory Backlog</t>
        </is>
      </c>
      <c r="W3" s="16" t="inlineStr">
        <is>
          <t>No. Available</t>
        </is>
      </c>
      <c r="X3" s="59" t="inlineStr">
        <is>
          <t>Avg Price</t>
        </is>
      </c>
      <c r="Y3" s="16" t="inlineStr">
        <is>
          <t>Avg Cap</t>
        </is>
      </c>
      <c r="Z3" s="16" t="inlineStr">
        <is>
          <t>Upper Quart</t>
        </is>
      </c>
      <c r="AA3" s="16" t="inlineStr">
        <is>
          <t>Lower Quart</t>
        </is>
      </c>
      <c r="AB3" s="16" t="inlineStr">
        <is>
          <t>Median</t>
        </is>
      </c>
      <c r="AC3" s="59" t="inlineStr">
        <is>
          <t>DOM</t>
        </is>
      </c>
      <c r="AD3" s="16" t="inlineStr">
        <is>
          <t>Price Change</t>
        </is>
      </c>
      <c r="AE3" s="16" t="inlineStr">
        <is>
          <t>No. Available</t>
        </is>
      </c>
      <c r="AF3" s="59" t="inlineStr">
        <is>
          <t>Avg Price</t>
        </is>
      </c>
      <c r="AG3" s="16" t="inlineStr">
        <is>
          <t>Avg Cap</t>
        </is>
      </c>
      <c r="AH3" s="16" t="inlineStr">
        <is>
          <t>Upper Quart</t>
        </is>
      </c>
      <c r="AI3" s="16" t="inlineStr">
        <is>
          <t>Lower Quart</t>
        </is>
      </c>
      <c r="AJ3" s="16" t="inlineStr">
        <is>
          <t>Median</t>
        </is>
      </c>
      <c r="AK3" s="59" t="inlineStr">
        <is>
          <t>DOM</t>
        </is>
      </c>
      <c r="AL3" s="16" t="inlineStr">
        <is>
          <t>Price Change</t>
        </is>
      </c>
      <c r="AM3" s="16" t="inlineStr">
        <is>
          <t>No. Available</t>
        </is>
      </c>
      <c r="AN3" s="59" t="inlineStr">
        <is>
          <t>Avg Price</t>
        </is>
      </c>
      <c r="AO3" s="16" t="inlineStr">
        <is>
          <t>Avg Cap</t>
        </is>
      </c>
      <c r="AP3" s="16" t="inlineStr">
        <is>
          <t>Upper Quart</t>
        </is>
      </c>
      <c r="AQ3" s="16" t="inlineStr">
        <is>
          <t>Lower Quart</t>
        </is>
      </c>
      <c r="AR3" s="16" t="inlineStr">
        <is>
          <t>Median</t>
        </is>
      </c>
      <c r="AS3" s="59" t="inlineStr">
        <is>
          <t>DOM</t>
        </is>
      </c>
      <c r="AT3" s="16" t="inlineStr">
        <is>
          <t>Price Change</t>
        </is>
      </c>
      <c r="AU3" s="16" t="inlineStr">
        <is>
          <t>No. Available</t>
        </is>
      </c>
      <c r="AV3" s="59" t="inlineStr">
        <is>
          <t>Avg Price</t>
        </is>
      </c>
      <c r="AW3" s="16" t="inlineStr">
        <is>
          <t>Avg Cap</t>
        </is>
      </c>
      <c r="AX3" s="16" t="inlineStr">
        <is>
          <t>Upper Quart</t>
        </is>
      </c>
      <c r="AY3" s="16" t="inlineStr">
        <is>
          <t>Lower Quart</t>
        </is>
      </c>
      <c r="AZ3" s="16" t="inlineStr">
        <is>
          <t>Median</t>
        </is>
      </c>
      <c r="BA3" s="59" t="inlineStr">
        <is>
          <t>DOM</t>
        </is>
      </c>
      <c r="BB3" s="16" t="inlineStr">
        <is>
          <t>Price Change</t>
        </is>
      </c>
    </row>
    <row r="4">
      <c r="A4" s="16" t="inlineStr">
        <is>
          <t>Q3-17</t>
        </is>
      </c>
      <c r="B4" s="79" t="n">
        <v>42979</v>
      </c>
      <c r="C4" s="24" t="n">
        <v>83</v>
      </c>
      <c r="D4" s="75" t="n">
        <v>3123870.578056298</v>
      </c>
      <c r="E4" s="57" t="n">
        <v>0.06618799660914904</v>
      </c>
      <c r="F4" s="57" t="n">
        <v>0.07439999999999999</v>
      </c>
      <c r="G4" s="57" t="n">
        <v>0.0562</v>
      </c>
      <c r="H4" s="57" t="n"/>
      <c r="I4" s="24" t="n">
        <v>168</v>
      </c>
      <c r="J4" s="58" t="n">
        <v>0.1325301204819277</v>
      </c>
      <c r="K4" s="78">
        <f>COUNTIFS(Comps[DATE],"&lt;"&amp;B4,Comps[DATE],"&gt;="&amp;EDATE(B4,-12))/12</f>
        <v/>
      </c>
      <c r="L4" s="78">
        <f>C4/K4</f>
        <v/>
      </c>
      <c r="M4" s="24" t="n">
        <v>35</v>
      </c>
      <c r="N4" s="75" t="n">
        <v>4403458.999390649</v>
      </c>
      <c r="O4" s="57" t="n">
        <v>0.05554284786709762</v>
      </c>
      <c r="P4" s="57" t="n">
        <v>0.0578</v>
      </c>
      <c r="Q4" s="57" t="n">
        <v>0.0542</v>
      </c>
      <c r="R4" s="57" t="n"/>
      <c r="S4" s="24" t="n">
        <v>111</v>
      </c>
      <c r="T4" s="58" t="n">
        <v>0.3142857142857143</v>
      </c>
      <c r="U4" s="78">
        <f>COUNTIFS(Comps[DATE],"&lt;"&amp;B4,Comps[DATE],"&gt;="&amp;EDATE(B4,-12),Comps[TERM],"&gt;="&amp;10)/12</f>
        <v/>
      </c>
      <c r="V4" s="78">
        <f>M4/U4</f>
        <v/>
      </c>
      <c r="W4" s="24" t="n"/>
      <c r="X4" s="75" t="n"/>
      <c r="Y4" s="57" t="n"/>
      <c r="Z4" s="57" t="n"/>
      <c r="AA4" s="57" t="n"/>
      <c r="AB4" s="57" t="n"/>
      <c r="AC4" s="24" t="n"/>
      <c r="AD4" s="58" t="n"/>
      <c r="AE4" s="24" t="n"/>
      <c r="AF4" s="75" t="n"/>
      <c r="AG4" s="57" t="n"/>
      <c r="AH4" s="57" t="n"/>
      <c r="AI4" s="57" t="n"/>
      <c r="AJ4" s="57" t="n"/>
      <c r="AK4" s="24" t="n"/>
      <c r="AL4" s="58" t="n"/>
      <c r="AM4" s="24" t="n"/>
      <c r="AN4" s="75" t="n"/>
      <c r="AO4" s="57" t="n"/>
      <c r="AP4" s="57" t="n"/>
      <c r="AQ4" s="57" t="n"/>
      <c r="AR4" s="57" t="n"/>
      <c r="AS4" s="24" t="n"/>
      <c r="AT4" s="58" t="n"/>
      <c r="AU4" s="24" t="n"/>
      <c r="AV4" s="75" t="n"/>
      <c r="AW4" s="57" t="n"/>
      <c r="AX4" s="57" t="n"/>
      <c r="AY4" s="57" t="n"/>
      <c r="AZ4" s="57" t="n"/>
      <c r="BA4" s="24" t="n"/>
      <c r="BB4" s="58" t="n"/>
    </row>
    <row r="44" customFormat="1" s="43"/>
    <row r="48" customFormat="1" s="43"/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D2:L2"/>
  <sheetViews>
    <sheetView workbookViewId="0">
      <selection activeCell="A1" sqref="A1"/>
    </sheetView>
  </sheetViews>
  <sheetFormatPr baseColWidth="8" defaultRowHeight="15"/>
  <cols>
    <col width="10.140625" bestFit="1" customWidth="1" style="1" min="19" max="19"/>
  </cols>
  <sheetData>
    <row r="2">
      <c r="D2" t="inlineStr">
        <is>
          <t>Average Monthly Closings</t>
        </is>
      </c>
      <c r="F2" s="1" t="inlineStr">
        <is>
          <t>Days on Market</t>
        </is>
      </c>
      <c r="H2" t="inlineStr">
        <is>
          <t>Monthly On Market Inventory Rate</t>
        </is>
      </c>
      <c r="J2" t="inlineStr">
        <is>
          <t>Monthly Clear Rate</t>
        </is>
      </c>
      <c r="L2" t="inlineStr">
        <is>
          <t>Probability</t>
        </is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selection activeCell="A1" sqref="A1"/>
    </sheetView>
  </sheetViews>
  <sheetFormatPr baseColWidth="8" defaultRowHeight="15"/>
  <cols>
    <col width="10.140625" bestFit="1" customWidth="1" style="1" min="1" max="1"/>
    <col width="11.140625" bestFit="1" customWidth="1" min="2" max="2"/>
    <col width="11.7109375" bestFit="1" customWidth="1" style="1" min="3" max="3"/>
    <col width="11.7109375" bestFit="1" customWidth="1" style="1" min="5" max="5"/>
    <col width="11.7109375" customWidth="1" style="1" min="6" max="6"/>
  </cols>
  <sheetData>
    <row r="1">
      <c r="G1">
        <f>SUM(F4:F36)/SUM(D4:D36)</f>
        <v/>
      </c>
      <c r="H1">
        <f>SUM(C4:C36)/SUM(F4:F36)</f>
        <v/>
      </c>
    </row>
    <row r="2">
      <c r="B2" s="1" t="inlineStr">
        <is>
          <t>Year Built</t>
        </is>
      </c>
      <c r="C2" s="1" t="inlineStr">
        <is>
          <t>Sum of Rent</t>
        </is>
      </c>
      <c r="D2" s="1" t="inlineStr">
        <is>
          <t>Count of Rent</t>
        </is>
      </c>
      <c r="E2" s="1" t="inlineStr">
        <is>
          <t>Average Rents</t>
        </is>
      </c>
      <c r="F2" t="inlineStr">
        <is>
          <t>Sum of RBA</t>
        </is>
      </c>
      <c r="G2" s="1" t="inlineStr">
        <is>
          <t>Average RBA</t>
        </is>
      </c>
      <c r="H2" s="1" t="inlineStr">
        <is>
          <t>Average RPSF</t>
        </is>
      </c>
      <c r="I2" s="1" t="inlineStr">
        <is>
          <t>Upper Quartile Rent</t>
        </is>
      </c>
      <c r="J2" s="1" t="inlineStr">
        <is>
          <t>Lower Quartile Rent</t>
        </is>
      </c>
      <c r="K2" s="1" t="inlineStr">
        <is>
          <t>Median Rent PSF</t>
        </is>
      </c>
    </row>
    <row r="3">
      <c r="B3" s="32" t="n">
        <v>2023</v>
      </c>
      <c r="C3" s="80">
        <f>SUMIFS(Comps[RENT],Comps[BUILT],B3)+SUMIFS(Available[RENT],Available[BUILT],B3)</f>
        <v/>
      </c>
      <c r="D3" s="21">
        <f>COUNTIFS(Comps[RENT],"&gt;"&amp;0,Comps[BUILT],B3)+COUNTIFS(Available[RENT],"&gt;"&amp;0,Available[BUILT],B3)</f>
        <v/>
      </c>
      <c r="E3" s="80">
        <f>C3/D3</f>
        <v/>
      </c>
      <c r="F3" s="21">
        <f>SUMIFS(Comps[RBA],Comps[BUILT],B3,Comps[RENT],"&gt;"&amp;0)+SUMIFS(Available[RBA],Available[BUILT],B3,Available[RENT],"&gt;"&amp;0)</f>
        <v/>
      </c>
      <c r="G3" s="21">
        <f>F3/D3</f>
        <v/>
      </c>
      <c r="H3" s="81">
        <f>C3/F3</f>
        <v/>
      </c>
      <c r="I3" s="81">
        <f t="array" ref="I3">PERCENTILE(IF(Comps[BUILT]=B3,Comps[RENT/SF]),0.75)</f>
        <v/>
      </c>
      <c r="J3" s="81">
        <f t="array" ref="J3">PERCENTILE(IF(Comps[BUILT]=B3,Comps[RENT/SF]),0.25)</f>
        <v/>
      </c>
      <c r="K3" s="81">
        <f t="array" ref="K3">MEDIAN(IF(Comps[BUILT]=B3,Comps[RENT/SF]))</f>
        <v/>
      </c>
    </row>
    <row r="4">
      <c r="B4" s="32" t="n">
        <v>2022</v>
      </c>
      <c r="C4" s="80">
        <f>SUMIFS(Comps[RENT],Comps[BUILT],B4)+SUMIFS(Available[RENT],Available[BUILT],B4)</f>
        <v/>
      </c>
      <c r="D4" s="21">
        <f>COUNTIFS(Comps[RENT],"&gt;"&amp;0,Comps[BUILT],B4)+COUNTIFS(Available[RENT],"&gt;"&amp;0,Available[BUILT],B4)</f>
        <v/>
      </c>
      <c r="E4" s="80">
        <f>C4/D4</f>
        <v/>
      </c>
      <c r="F4" s="21">
        <f>SUMIFS(Comps[RBA],Comps[BUILT],B4,Comps[RENT],"&gt;"&amp;0)+SUMIFS(Available[RBA],Available[BUILT],B4,Available[RENT],"&gt;"&amp;0)</f>
        <v/>
      </c>
      <c r="G4" s="21">
        <f>F4/D4</f>
        <v/>
      </c>
      <c r="H4" s="81">
        <f>C4/F4</f>
        <v/>
      </c>
      <c r="I4" s="81">
        <f t="array" ref="I4">PERCENTILE(IF(Comps[BUILT]=B4,Comps[RENT/SF]),0.75)</f>
        <v/>
      </c>
      <c r="J4" s="81">
        <f t="array" ref="J4">PERCENTILE(IF(Comps[BUILT]=B4,Comps[RENT/SF]),0.25)</f>
        <v/>
      </c>
      <c r="K4" s="81">
        <f t="array" ref="K4">MEDIAN(IF(Comps[BUILT]=B4,Comps[RENT/SF]))</f>
        <v/>
      </c>
    </row>
    <row r="5">
      <c r="B5" s="32" t="n">
        <v>2021</v>
      </c>
      <c r="C5" s="80">
        <f>SUMIFS(Comps[RENT],Comps[BUILT],B5)+SUMIFS(Available[RENT],Available[BUILT],B5)</f>
        <v/>
      </c>
      <c r="D5" s="21">
        <f>COUNTIFS(Comps[RENT],"&gt;"&amp;0,Comps[BUILT],B5)+COUNTIFS(Available[RENT],"&gt;"&amp;0,Available[BUILT],B5)</f>
        <v/>
      </c>
      <c r="E5" s="80">
        <f>C5/D5</f>
        <v/>
      </c>
      <c r="F5" s="21">
        <f>SUMIFS(Comps[RBA],Comps[BUILT],B5,Comps[RENT],"&gt;"&amp;0)+SUMIFS(Available[RBA],Available[BUILT],B5,Available[RENT],"&gt;"&amp;0)</f>
        <v/>
      </c>
      <c r="G5" s="21">
        <f>F5/D5</f>
        <v/>
      </c>
      <c r="H5" s="81">
        <f>C5/F5</f>
        <v/>
      </c>
      <c r="I5" s="81">
        <f t="array" ref="I5">PERCENTILE(IF(Comps[BUILT]=B5,Comps[RENT/SF]),0.75)</f>
        <v/>
      </c>
      <c r="J5" s="81">
        <f t="array" ref="J5">PERCENTILE(IF(Comps[BUILT]=B5,Comps[RENT/SF]),0.25)</f>
        <v/>
      </c>
      <c r="K5" s="81">
        <f t="array" ref="K5">MEDIAN(IF(Comps[BUILT]=B5,Comps[RENT/SF]))</f>
        <v/>
      </c>
      <c r="N5" t="inlineStr">
        <is>
          <t>Rent by Year Built</t>
        </is>
      </c>
    </row>
    <row r="6">
      <c r="B6" s="32" t="n">
        <v>2020</v>
      </c>
      <c r="C6" s="80">
        <f>SUMIFS(Comps[RENT],Comps[BUILT],B6)+SUMIFS(Available[RENT],Available[BUILT],B6)</f>
        <v/>
      </c>
      <c r="D6" s="21">
        <f>COUNTIFS(Comps[RENT],"&gt;"&amp;0,Comps[BUILT],B6)+COUNTIFS(Available[RENT],"&gt;"&amp;0,Available[BUILT],B6)</f>
        <v/>
      </c>
      <c r="E6" s="80">
        <f>C6/D6</f>
        <v/>
      </c>
      <c r="F6" s="21">
        <f>SUMIFS(Comps[RBA],Comps[BUILT],B6,Comps[RENT],"&gt;"&amp;0)+SUMIFS(Available[RBA],Available[BUILT],B6,Available[RENT],"&gt;"&amp;0)</f>
        <v/>
      </c>
      <c r="G6" s="21">
        <f>F6/D6</f>
        <v/>
      </c>
      <c r="H6" s="81">
        <f>C6/F6</f>
        <v/>
      </c>
      <c r="I6" s="81">
        <f t="array" ref="I6">PERCENTILE(IF(Comps[BUILT]=B6,Comps[RENT/SF]),0.75)</f>
        <v/>
      </c>
      <c r="J6" s="81">
        <f t="array" ref="J6">PERCENTILE(IF(Comps[BUILT]=B6,Comps[RENT/SF]),0.25)</f>
        <v/>
      </c>
      <c r="K6" s="81">
        <f t="array" ref="K6">MEDIAN(IF(Comps[BUILT]=B6,Comps[RENT/SF]))</f>
        <v/>
      </c>
    </row>
    <row r="7">
      <c r="B7" s="32" t="n">
        <v>2019</v>
      </c>
      <c r="C7" s="80">
        <f>SUMIFS(Comps[RENT],Comps[BUILT],B7)+SUMIFS(Available[RENT],Available[BUILT],B7)</f>
        <v/>
      </c>
      <c r="D7" s="21">
        <f>COUNTIFS(Comps[RENT],"&gt;"&amp;0,Comps[BUILT],B7)+COUNTIFS(Available[RENT],"&gt;"&amp;0,Available[BUILT],B7)</f>
        <v/>
      </c>
      <c r="E7" s="80">
        <f>C7/D7</f>
        <v/>
      </c>
      <c r="F7" s="21">
        <f>SUMIFS(Comps[RBA],Comps[BUILT],B7,Comps[RENT],"&gt;"&amp;0)+SUMIFS(Available[RBA],Available[BUILT],B7,Available[RENT],"&gt;"&amp;0)</f>
        <v/>
      </c>
      <c r="G7" s="21">
        <f>F7/D7</f>
        <v/>
      </c>
      <c r="H7" s="81">
        <f>C7/F7</f>
        <v/>
      </c>
      <c r="I7" s="81">
        <f t="array" ref="I7">PERCENTILE(IF(Comps[BUILT]=B7,Comps[RENT/SF]),0.75)</f>
        <v/>
      </c>
      <c r="J7" s="81">
        <f t="array" ref="J7">PERCENTILE(IF(Comps[BUILT]=B7,Comps[RENT/SF]),0.25)</f>
        <v/>
      </c>
      <c r="K7" s="81">
        <f t="array" ref="K7">MEDIAN(IF(Comps[BUILT]=B7,Comps[RENT/SF]))</f>
        <v/>
      </c>
    </row>
    <row r="8">
      <c r="B8" s="32" t="n">
        <v>2018</v>
      </c>
      <c r="C8" s="80">
        <f>SUMIFS(Comps[RENT],Comps[BUILT],B8)+SUMIFS(Available[RENT],Available[BUILT],B8)</f>
        <v/>
      </c>
      <c r="D8" s="21">
        <f>COUNTIFS(Comps[RENT],"&gt;"&amp;0,Comps[BUILT],B8)+COUNTIFS(Available[RENT],"&gt;"&amp;0,Available[BUILT],B8)</f>
        <v/>
      </c>
      <c r="E8" s="80">
        <f>C8/D8</f>
        <v/>
      </c>
      <c r="F8" s="21">
        <f>SUMIFS(Comps[RBA],Comps[BUILT],B8,Comps[RENT],"&gt;"&amp;0)+SUMIFS(Available[RBA],Available[BUILT],B8,Available[RENT],"&gt;"&amp;0)</f>
        <v/>
      </c>
      <c r="G8" s="21">
        <f>F8/D8</f>
        <v/>
      </c>
      <c r="H8" s="81">
        <f>C8/F8</f>
        <v/>
      </c>
      <c r="I8" s="81">
        <f t="array" ref="I8">PERCENTILE(IF(Comps[BUILT]=B8,Comps[RENT/SF]),0.75)</f>
        <v/>
      </c>
      <c r="J8" s="81">
        <f t="array" ref="J8">PERCENTILE(IF(Comps[BUILT]=B8,Comps[RENT/SF]),0.25)</f>
        <v/>
      </c>
      <c r="K8" s="81">
        <f t="array" ref="K8">MEDIAN(IF(Comps[BUILT]=B8,Comps[RENT/SF]))</f>
        <v/>
      </c>
    </row>
    <row r="9">
      <c r="B9" s="32" t="n">
        <v>2017</v>
      </c>
      <c r="C9" s="80">
        <f>SUMIFS(Comps[RENT],Comps[BUILT],B9)+SUMIFS(Available[RENT],Available[BUILT],B9)</f>
        <v/>
      </c>
      <c r="D9" s="21">
        <f>COUNTIFS(Comps[RENT],"&gt;"&amp;0,Comps[BUILT],B9)+COUNTIFS(Available[RENT],"&gt;"&amp;0,Available[BUILT],B9)</f>
        <v/>
      </c>
      <c r="E9" s="80">
        <f>C9/D9</f>
        <v/>
      </c>
      <c r="F9" s="21">
        <f>SUMIFS(Comps[RBA],Comps[BUILT],B9,Comps[RENT],"&gt;"&amp;0)+SUMIFS(Available[RBA],Available[BUILT],B9,Available[RENT],"&gt;"&amp;0)</f>
        <v/>
      </c>
      <c r="G9" s="21">
        <f>F9/D9</f>
        <v/>
      </c>
      <c r="H9" s="81">
        <f>C9/F9</f>
        <v/>
      </c>
      <c r="I9" s="81">
        <f t="array" ref="I9">PERCENTILE(IF(Comps[BUILT]=B9,Comps[RENT/SF]),0.75)</f>
        <v/>
      </c>
      <c r="J9" s="81">
        <f t="array" ref="J9">PERCENTILE(IF(Comps[BUILT]=B9,Comps[RENT/SF]),0.25)</f>
        <v/>
      </c>
      <c r="K9" s="81">
        <f t="array" ref="K9">MEDIAN(IF(Comps[BUILT]=B9,Comps[RENT/SF]))</f>
        <v/>
      </c>
    </row>
    <row r="10">
      <c r="B10" s="32" t="n">
        <v>2016</v>
      </c>
      <c r="C10" s="80">
        <f>SUMIFS(Comps[RENT],Comps[BUILT],B10)+SUMIFS(Available[RENT],Available[BUILT],B10)</f>
        <v/>
      </c>
      <c r="D10" s="21">
        <f>COUNTIFS(Comps[RENT],"&gt;"&amp;0,Comps[BUILT],B10)+COUNTIFS(Available[RENT],"&gt;"&amp;0,Available[BUILT],B10)</f>
        <v/>
      </c>
      <c r="E10" s="80">
        <f>C10/D10</f>
        <v/>
      </c>
      <c r="F10" s="21">
        <f>SUMIFS(Comps[RBA],Comps[BUILT],B10,Comps[RENT],"&gt;"&amp;0)+SUMIFS(Available[RBA],Available[BUILT],B10,Available[RENT],"&gt;"&amp;0)</f>
        <v/>
      </c>
      <c r="G10" s="21">
        <f>F10/D10</f>
        <v/>
      </c>
      <c r="H10" s="81">
        <f>C10/F10</f>
        <v/>
      </c>
      <c r="I10" s="81">
        <f t="array" ref="I10">PERCENTILE(IF(Comps[BUILT]=B10,Comps[RENT/SF]),0.75)</f>
        <v/>
      </c>
      <c r="J10" s="81">
        <f t="array" ref="J10">PERCENTILE(IF(Comps[BUILT]=B10,Comps[RENT/SF]),0.25)</f>
        <v/>
      </c>
      <c r="K10" s="81">
        <f t="array" ref="K10">MEDIAN(IF(Comps[BUILT]=B10,Comps[RENT/SF]))</f>
        <v/>
      </c>
    </row>
    <row r="11">
      <c r="B11" s="32" t="n">
        <v>2015</v>
      </c>
      <c r="C11" s="80">
        <f>SUMIFS(Comps[RENT],Comps[BUILT],B11)+SUMIFS(Available[RENT],Available[BUILT],B11)</f>
        <v/>
      </c>
      <c r="D11" s="21">
        <f>COUNTIFS(Comps[RENT],"&gt;"&amp;0,Comps[BUILT],B11)+COUNTIFS(Available[RENT],"&gt;"&amp;0,Available[BUILT],B11)</f>
        <v/>
      </c>
      <c r="E11" s="80">
        <f>C11/D11</f>
        <v/>
      </c>
      <c r="F11" s="21">
        <f>SUMIFS(Comps[RBA],Comps[BUILT],B11,Comps[RENT],"&gt;"&amp;0)+SUMIFS(Available[RBA],Available[BUILT],B11,Available[RENT],"&gt;"&amp;0)</f>
        <v/>
      </c>
      <c r="G11" s="21">
        <f>F11/D11</f>
        <v/>
      </c>
      <c r="H11" s="81">
        <f>C11/F11</f>
        <v/>
      </c>
      <c r="I11" s="81">
        <f t="array" ref="I11">PERCENTILE(IF(Comps[BUILT]=B11,Comps[RENT/SF]),0.75)</f>
        <v/>
      </c>
      <c r="J11" s="81">
        <f t="array" ref="J11">PERCENTILE(IF(Comps[BUILT]=B11,Comps[RENT/SF]),0.25)</f>
        <v/>
      </c>
      <c r="K11" s="81">
        <f t="array" ref="K11">MEDIAN(IF(Comps[BUILT]=B11,Comps[RENT/SF]))</f>
        <v/>
      </c>
    </row>
    <row r="12">
      <c r="B12" s="32" t="n">
        <v>2014</v>
      </c>
      <c r="C12" s="80">
        <f>SUMIFS(Comps[RENT],Comps[BUILT],B12)+SUMIFS(Available[RENT],Available[BUILT],B12)</f>
        <v/>
      </c>
      <c r="D12" s="21">
        <f>COUNTIFS(Comps[RENT],"&gt;"&amp;0,Comps[BUILT],B12)+COUNTIFS(Available[RENT],"&gt;"&amp;0,Available[BUILT],B12)</f>
        <v/>
      </c>
      <c r="E12" s="80">
        <f>C12/D12</f>
        <v/>
      </c>
      <c r="F12" s="21">
        <f>SUMIFS(Comps[RBA],Comps[BUILT],B12,Comps[RENT],"&gt;"&amp;0)+SUMIFS(Available[RBA],Available[BUILT],B12,Available[RENT],"&gt;"&amp;0)</f>
        <v/>
      </c>
      <c r="G12" s="21">
        <f>F12/D12</f>
        <v/>
      </c>
      <c r="H12" s="81">
        <f>C12/F12</f>
        <v/>
      </c>
      <c r="I12" s="81">
        <f t="array" ref="I12">PERCENTILE(IF(Comps[BUILT]=B12,Comps[RENT/SF]),0.75)</f>
        <v/>
      </c>
      <c r="J12" s="81">
        <f t="array" ref="J12">PERCENTILE(IF(Comps[BUILT]=B12,Comps[RENT/SF]),0.25)</f>
        <v/>
      </c>
      <c r="K12" s="81">
        <f t="array" ref="K12">MEDIAN(IF(Comps[BUILT]=B12,Comps[RENT/SF]))</f>
        <v/>
      </c>
    </row>
    <row r="13">
      <c r="B13" s="32" t="n">
        <v>2013</v>
      </c>
      <c r="C13" s="80">
        <f>SUMIFS(Comps[RENT],Comps[BUILT],B13)+SUMIFS(Available[RENT],Available[BUILT],B13)</f>
        <v/>
      </c>
      <c r="D13" s="21">
        <f>COUNTIFS(Comps[RENT],"&gt;"&amp;0,Comps[BUILT],B13)+COUNTIFS(Available[RENT],"&gt;"&amp;0,Available[BUILT],B13)</f>
        <v/>
      </c>
      <c r="E13" s="80">
        <f>C13/D13</f>
        <v/>
      </c>
      <c r="F13" s="21">
        <f>SUMIFS(Comps[RBA],Comps[BUILT],B13,Comps[RENT],"&gt;"&amp;0)+SUMIFS(Available[RBA],Available[BUILT],B13,Available[RENT],"&gt;"&amp;0)</f>
        <v/>
      </c>
      <c r="G13" s="21">
        <f>F13/D13</f>
        <v/>
      </c>
      <c r="H13" s="81">
        <f>C13/F13</f>
        <v/>
      </c>
      <c r="I13" s="81">
        <f t="array" ref="I13">PERCENTILE(IF(Comps[BUILT]=B13,Comps[RENT/SF]),0.75)</f>
        <v/>
      </c>
      <c r="J13" s="81">
        <f t="array" ref="J13">PERCENTILE(IF(Comps[BUILT]=B13,Comps[RENT/SF]),0.25)</f>
        <v/>
      </c>
      <c r="K13" s="81">
        <f t="array" ref="K13">MEDIAN(IF(Comps[BUILT]=B13,Comps[RENT/SF]))</f>
        <v/>
      </c>
    </row>
    <row r="14">
      <c r="B14" s="32" t="n">
        <v>2012</v>
      </c>
      <c r="C14" s="80">
        <f>SUMIFS(Comps[RENT],Comps[BUILT],B14)+SUMIFS(Available[RENT],Available[BUILT],B14)</f>
        <v/>
      </c>
      <c r="D14" s="21">
        <f>COUNTIFS(Comps[RENT],"&gt;"&amp;0,Comps[BUILT],B14)+COUNTIFS(Available[RENT],"&gt;"&amp;0,Available[BUILT],B14)</f>
        <v/>
      </c>
      <c r="E14" s="80">
        <f>C14/D14</f>
        <v/>
      </c>
      <c r="F14" s="21">
        <f>SUMIFS(Comps[RBA],Comps[BUILT],B14,Comps[RENT],"&gt;"&amp;0)+SUMIFS(Available[RBA],Available[BUILT],B14,Available[RENT],"&gt;"&amp;0)</f>
        <v/>
      </c>
      <c r="G14" s="21">
        <f>F14/D14</f>
        <v/>
      </c>
      <c r="H14" s="81">
        <f>C14/F14</f>
        <v/>
      </c>
      <c r="I14" s="81">
        <f t="array" ref="I14">PERCENTILE(IF(Comps[BUILT]=B14,Comps[RENT/SF]),0.75)</f>
        <v/>
      </c>
      <c r="J14" s="81">
        <f t="array" ref="J14">PERCENTILE(IF(Comps[BUILT]=B14,Comps[RENT/SF]),0.25)</f>
        <v/>
      </c>
      <c r="K14" s="81">
        <f t="array" ref="K14">MEDIAN(IF(Comps[BUILT]=B14,Comps[RENT/SF]))</f>
        <v/>
      </c>
    </row>
    <row r="15">
      <c r="B15" s="32" t="n">
        <v>2011</v>
      </c>
      <c r="C15" s="80">
        <f>SUMIFS(Comps[RENT],Comps[BUILT],B15)+SUMIFS(Available[RENT],Available[BUILT],B15)</f>
        <v/>
      </c>
      <c r="D15" s="21">
        <f>COUNTIFS(Comps[RENT],"&gt;"&amp;0,Comps[BUILT],B15)+COUNTIFS(Available[RENT],"&gt;"&amp;0,Available[BUILT],B15)</f>
        <v/>
      </c>
      <c r="E15" s="80">
        <f>C15/D15</f>
        <v/>
      </c>
      <c r="F15" s="21">
        <f>SUMIFS(Comps[RBA],Comps[BUILT],B15,Comps[RENT],"&gt;"&amp;0)+SUMIFS(Available[RBA],Available[BUILT],B15,Available[RENT],"&gt;"&amp;0)</f>
        <v/>
      </c>
      <c r="G15" s="21">
        <f>F15/D15</f>
        <v/>
      </c>
      <c r="H15" s="81">
        <f>C15/F15</f>
        <v/>
      </c>
      <c r="I15" s="81">
        <f t="array" ref="I15">PERCENTILE(IF(Comps[BUILT]=B15,Comps[RENT/SF]),0.75)</f>
        <v/>
      </c>
      <c r="J15" s="81">
        <f t="array" ref="J15">PERCENTILE(IF(Comps[BUILT]=B15,Comps[RENT/SF]),0.25)</f>
        <v/>
      </c>
      <c r="K15" s="81">
        <f t="array" ref="K15">MEDIAN(IF(Comps[BUILT]=B15,Comps[RENT/SF]))</f>
        <v/>
      </c>
    </row>
    <row r="16">
      <c r="B16" s="32" t="n">
        <v>2010</v>
      </c>
      <c r="C16" s="80">
        <f>SUMIFS(Comps[RENT],Comps[BUILT],B16)+SUMIFS(Available[RENT],Available[BUILT],B16)</f>
        <v/>
      </c>
      <c r="D16" s="21">
        <f>COUNTIFS(Comps[RENT],"&gt;"&amp;0,Comps[BUILT],B16)+COUNTIFS(Available[RENT],"&gt;"&amp;0,Available[BUILT],B16)</f>
        <v/>
      </c>
      <c r="E16" s="80">
        <f>C16/D16</f>
        <v/>
      </c>
      <c r="F16" s="21">
        <f>SUMIFS(Comps[RBA],Comps[BUILT],B16,Comps[RENT],"&gt;"&amp;0)+SUMIFS(Available[RBA],Available[BUILT],B16,Available[RENT],"&gt;"&amp;0)</f>
        <v/>
      </c>
      <c r="G16" s="21">
        <f>F16/D16</f>
        <v/>
      </c>
      <c r="H16" s="81">
        <f>C16/F16</f>
        <v/>
      </c>
      <c r="I16" s="81">
        <f t="array" ref="I16">PERCENTILE(IF(Comps[BUILT]=B16,Comps[RENT/SF]),0.75)</f>
        <v/>
      </c>
      <c r="J16" s="81">
        <f t="array" ref="J16">PERCENTILE(IF(Comps[BUILT]=B16,Comps[RENT/SF]),0.25)</f>
        <v/>
      </c>
      <c r="K16" s="81">
        <f t="array" ref="K16">MEDIAN(IF(Comps[BUILT]=B16,Comps[RENT/SF]))</f>
        <v/>
      </c>
    </row>
    <row r="17">
      <c r="B17" s="32" t="n">
        <v>2009</v>
      </c>
      <c r="C17" s="80">
        <f>SUMIFS(Comps[RENT],Comps[BUILT],B17)+SUMIFS(Available[RENT],Available[BUILT],B17)</f>
        <v/>
      </c>
      <c r="D17" s="21">
        <f>COUNTIFS(Comps[RENT],"&gt;"&amp;0,Comps[BUILT],B17)+COUNTIFS(Available[RENT],"&gt;"&amp;0,Available[BUILT],B17)</f>
        <v/>
      </c>
      <c r="E17" s="80">
        <f>C17/D17</f>
        <v/>
      </c>
      <c r="F17" s="21">
        <f>SUMIFS(Comps[RBA],Comps[BUILT],B17,Comps[RENT],"&gt;"&amp;0)+SUMIFS(Available[RBA],Available[BUILT],B17,Available[RENT],"&gt;"&amp;0)</f>
        <v/>
      </c>
      <c r="G17" s="21">
        <f>F17/D17</f>
        <v/>
      </c>
      <c r="H17" s="81">
        <f>C17/F17</f>
        <v/>
      </c>
      <c r="I17" s="81">
        <f t="array" ref="I17">PERCENTILE(IF(Comps[BUILT]=B17,Comps[RENT/SF]),0.75)</f>
        <v/>
      </c>
      <c r="J17" s="81">
        <f t="array" ref="J17">PERCENTILE(IF(Comps[BUILT]=B17,Comps[RENT/SF]),0.25)</f>
        <v/>
      </c>
      <c r="K17" s="81">
        <f t="array" ref="K17">MEDIAN(IF(Comps[BUILT]=B17,Comps[RENT/SF]))</f>
        <v/>
      </c>
    </row>
    <row r="18">
      <c r="B18" s="32" t="n">
        <v>2008</v>
      </c>
      <c r="C18" s="80">
        <f>SUMIFS(Comps[RENT],Comps[BUILT],B18)+SUMIFS(Available[RENT],Available[BUILT],B18)</f>
        <v/>
      </c>
      <c r="D18" s="21">
        <f>COUNTIFS(Comps[RENT],"&gt;"&amp;0,Comps[BUILT],B18)+COUNTIFS(Available[RENT],"&gt;"&amp;0,Available[BUILT],B18)</f>
        <v/>
      </c>
      <c r="E18" s="80">
        <f>C18/D18</f>
        <v/>
      </c>
      <c r="F18" s="21">
        <f>SUMIFS(Comps[RBA],Comps[BUILT],B18,Comps[RENT],"&gt;"&amp;0)+SUMIFS(Available[RBA],Available[BUILT],B18,Available[RENT],"&gt;"&amp;0)</f>
        <v/>
      </c>
      <c r="G18" s="21">
        <f>F18/D18</f>
        <v/>
      </c>
      <c r="H18" s="81">
        <f>C18/F18</f>
        <v/>
      </c>
      <c r="I18" s="81">
        <f t="array" ref="I18">PERCENTILE(IF(Comps[BUILT]=B18,Comps[RENT/SF]),0.75)</f>
        <v/>
      </c>
      <c r="J18" s="81">
        <f t="array" ref="J18">PERCENTILE(IF(Comps[BUILT]=B18,Comps[RENT/SF]),0.25)</f>
        <v/>
      </c>
      <c r="K18" s="81">
        <f t="array" ref="K18">MEDIAN(IF(Comps[BUILT]=B18,Comps[RENT/SF]))</f>
        <v/>
      </c>
    </row>
    <row r="19">
      <c r="B19" s="32" t="n">
        <v>2007</v>
      </c>
      <c r="C19" s="80">
        <f>SUMIFS(Comps[RENT],Comps[BUILT],B19)+SUMIFS(Available[RENT],Available[BUILT],B19)</f>
        <v/>
      </c>
      <c r="D19" s="21">
        <f>COUNTIFS(Comps[RENT],"&gt;"&amp;0,Comps[BUILT],B19)+COUNTIFS(Available[RENT],"&gt;"&amp;0,Available[BUILT],B19)</f>
        <v/>
      </c>
      <c r="E19" s="80">
        <f>C19/D19</f>
        <v/>
      </c>
      <c r="F19" s="21">
        <f>SUMIFS(Comps[RBA],Comps[BUILT],B19,Comps[RENT],"&gt;"&amp;0)+SUMIFS(Available[RBA],Available[BUILT],B19,Available[RENT],"&gt;"&amp;0)</f>
        <v/>
      </c>
      <c r="G19" s="21">
        <f>F19/D19</f>
        <v/>
      </c>
      <c r="H19" s="81">
        <f>C19/F19</f>
        <v/>
      </c>
      <c r="I19" s="81">
        <f t="array" ref="I19">PERCENTILE(IF(Comps[BUILT]=B19,Comps[RENT/SF]),0.75)</f>
        <v/>
      </c>
      <c r="J19" s="81">
        <f t="array" ref="J19">PERCENTILE(IF(Comps[BUILT]=B19,Comps[RENT/SF]),0.25)</f>
        <v/>
      </c>
      <c r="K19" s="81">
        <f t="array" ref="K19">MEDIAN(IF(Comps[BUILT]=B19,Comps[RENT/SF]))</f>
        <v/>
      </c>
    </row>
    <row r="20">
      <c r="B20" s="32" t="n">
        <v>2006</v>
      </c>
      <c r="C20" s="80">
        <f>SUMIFS(Comps[RENT],Comps[BUILT],B20)+SUMIFS(Available[RENT],Available[BUILT],B20)</f>
        <v/>
      </c>
      <c r="D20" s="21">
        <f>COUNTIFS(Comps[RENT],"&gt;"&amp;0,Comps[BUILT],B20)+COUNTIFS(Available[RENT],"&gt;"&amp;0,Available[BUILT],B20)</f>
        <v/>
      </c>
      <c r="E20" s="80">
        <f>C20/D20</f>
        <v/>
      </c>
      <c r="F20" s="21">
        <f>SUMIFS(Comps[RBA],Comps[BUILT],B20,Comps[RENT],"&gt;"&amp;0)+SUMIFS(Available[RBA],Available[BUILT],B20,Available[RENT],"&gt;"&amp;0)</f>
        <v/>
      </c>
      <c r="G20" s="21">
        <f>F20/D20</f>
        <v/>
      </c>
      <c r="H20" s="81">
        <f>C20/F20</f>
        <v/>
      </c>
      <c r="I20" s="81">
        <f t="array" ref="I20">PERCENTILE(IF(Comps[BUILT]=B20,Comps[RENT/SF]),0.75)</f>
        <v/>
      </c>
      <c r="J20" s="81">
        <f t="array" ref="J20">PERCENTILE(IF(Comps[BUILT]=B20,Comps[RENT/SF]),0.25)</f>
        <v/>
      </c>
      <c r="K20" s="81">
        <f t="array" ref="K20">MEDIAN(IF(Comps[BUILT]=B20,Comps[RENT/SF]))</f>
        <v/>
      </c>
    </row>
    <row r="21">
      <c r="B21" s="32" t="n">
        <v>2005</v>
      </c>
      <c r="C21" s="80">
        <f>SUMIFS(Comps[RENT],Comps[BUILT],B21)+SUMIFS(Available[RENT],Available[BUILT],B21)</f>
        <v/>
      </c>
      <c r="D21" s="21">
        <f>COUNTIFS(Comps[RENT],"&gt;"&amp;0,Comps[BUILT],B21)+COUNTIFS(Available[RENT],"&gt;"&amp;0,Available[BUILT],B21)</f>
        <v/>
      </c>
      <c r="E21" s="80">
        <f>C21/D21</f>
        <v/>
      </c>
      <c r="F21" s="21">
        <f>SUMIFS(Comps[RBA],Comps[BUILT],B21,Comps[RENT],"&gt;"&amp;0)+SUMIFS(Available[RBA],Available[BUILT],B21,Available[RENT],"&gt;"&amp;0)</f>
        <v/>
      </c>
      <c r="G21" s="21">
        <f>F21/D21</f>
        <v/>
      </c>
      <c r="H21" s="81">
        <f>C21/F21</f>
        <v/>
      </c>
      <c r="I21" s="81">
        <f t="array" ref="I21">PERCENTILE(IF(Comps[BUILT]=B21,Comps[RENT/SF]),0.75)</f>
        <v/>
      </c>
      <c r="J21" s="81">
        <f t="array" ref="J21">PERCENTILE(IF(Comps[BUILT]=B21,Comps[RENT/SF]),0.25)</f>
        <v/>
      </c>
      <c r="K21" s="81">
        <f t="array" ref="K21">MEDIAN(IF(Comps[BUILT]=B21,Comps[RENT/SF]))</f>
        <v/>
      </c>
    </row>
    <row r="22">
      <c r="B22" s="32" t="n">
        <v>2004</v>
      </c>
      <c r="C22" s="80">
        <f>SUMIFS(Comps[RENT],Comps[BUILT],B22)+SUMIFS(Available[RENT],Available[BUILT],B22)</f>
        <v/>
      </c>
      <c r="D22" s="21">
        <f>COUNTIFS(Comps[RENT],"&gt;"&amp;0,Comps[BUILT],B22)+COUNTIFS(Available[RENT],"&gt;"&amp;0,Available[BUILT],B22)</f>
        <v/>
      </c>
      <c r="E22" s="80">
        <f>C22/D22</f>
        <v/>
      </c>
      <c r="F22" s="21">
        <f>SUMIFS(Comps[RBA],Comps[BUILT],B22,Comps[RENT],"&gt;"&amp;0)+SUMIFS(Available[RBA],Available[BUILT],B22,Available[RENT],"&gt;"&amp;0)</f>
        <v/>
      </c>
      <c r="G22" s="21">
        <f>F22/D22</f>
        <v/>
      </c>
      <c r="H22" s="81">
        <f>C22/F22</f>
        <v/>
      </c>
      <c r="I22" s="81">
        <f t="array" ref="I22">PERCENTILE(IF(Comps[BUILT]=B22,Comps[RENT/SF]),0.75)</f>
        <v/>
      </c>
      <c r="J22" s="81">
        <f t="array" ref="J22">PERCENTILE(IF(Comps[BUILT]=B22,Comps[RENT/SF]),0.25)</f>
        <v/>
      </c>
      <c r="K22" s="81">
        <f t="array" ref="K22">MEDIAN(IF(Comps[BUILT]=B22,Comps[RENT/SF]))</f>
        <v/>
      </c>
    </row>
    <row r="23">
      <c r="B23" s="32" t="n">
        <v>2003</v>
      </c>
      <c r="C23" s="80">
        <f>SUMIFS(Comps[RENT],Comps[BUILT],B23)+SUMIFS(Available[RENT],Available[BUILT],B23)</f>
        <v/>
      </c>
      <c r="D23" s="21">
        <f>COUNTIFS(Comps[RENT],"&gt;"&amp;0,Comps[BUILT],B23)+COUNTIFS(Available[RENT],"&gt;"&amp;0,Available[BUILT],B23)</f>
        <v/>
      </c>
      <c r="E23" s="80">
        <f>C23/D23</f>
        <v/>
      </c>
      <c r="F23" s="21">
        <f>SUMIFS(Comps[RBA],Comps[BUILT],B23,Comps[RENT],"&gt;"&amp;0)+SUMIFS(Available[RBA],Available[BUILT],B23,Available[RENT],"&gt;"&amp;0)</f>
        <v/>
      </c>
      <c r="G23" s="21">
        <f>F23/D23</f>
        <v/>
      </c>
      <c r="H23" s="81">
        <f>C23/F23</f>
        <v/>
      </c>
      <c r="I23" s="81">
        <f t="array" ref="I23">PERCENTILE(IF(Comps[BUILT]=B23,Comps[RENT/SF]),0.75)</f>
        <v/>
      </c>
      <c r="J23" s="81">
        <f t="array" ref="J23">PERCENTILE(IF(Comps[BUILT]=B23,Comps[RENT/SF]),0.25)</f>
        <v/>
      </c>
      <c r="K23" s="81">
        <f t="array" ref="K23">MEDIAN(IF(Comps[BUILT]=B23,Comps[RENT/SF]))</f>
        <v/>
      </c>
    </row>
    <row r="24">
      <c r="B24" s="32" t="n">
        <v>2002</v>
      </c>
      <c r="C24" s="80">
        <f>SUMIFS(Comps[RENT],Comps[BUILT],B24)+SUMIFS(Available[RENT],Available[BUILT],B24)</f>
        <v/>
      </c>
      <c r="D24" s="21">
        <f>COUNTIFS(Comps[RENT],"&gt;"&amp;0,Comps[BUILT],B24)+COUNTIFS(Available[RENT],"&gt;"&amp;0,Available[BUILT],B24)</f>
        <v/>
      </c>
      <c r="E24" s="80">
        <f>C24/D24</f>
        <v/>
      </c>
      <c r="F24" s="21">
        <f>SUMIFS(Comps[RBA],Comps[BUILT],B24,Comps[RENT],"&gt;"&amp;0)+SUMIFS(Available[RBA],Available[BUILT],B24,Available[RENT],"&gt;"&amp;0)</f>
        <v/>
      </c>
      <c r="G24" s="21">
        <f>F24/D24</f>
        <v/>
      </c>
      <c r="H24" s="81">
        <f>C24/F24</f>
        <v/>
      </c>
      <c r="I24" s="81">
        <f t="array" ref="I24">PERCENTILE(IF(Comps[BUILT]=B24,Comps[RENT/SF]),0.75)</f>
        <v/>
      </c>
      <c r="J24" s="81">
        <f t="array" ref="J24">PERCENTILE(IF(Comps[BUILT]=B24,Comps[RENT/SF]),0.25)</f>
        <v/>
      </c>
      <c r="K24" s="81">
        <f t="array" ref="K24">MEDIAN(IF(Comps[BUILT]=B24,Comps[RENT/SF]))</f>
        <v/>
      </c>
    </row>
    <row r="25">
      <c r="B25" s="32" t="n">
        <v>2001</v>
      </c>
      <c r="C25" s="80">
        <f>SUMIFS(Comps[RENT],Comps[BUILT],B25)+SUMIFS(Available[RENT],Available[BUILT],B25)</f>
        <v/>
      </c>
      <c r="D25" s="21">
        <f>COUNTIFS(Comps[RENT],"&gt;"&amp;0,Comps[BUILT],B25)+COUNTIFS(Available[RENT],"&gt;"&amp;0,Available[BUILT],B25)</f>
        <v/>
      </c>
      <c r="E25" s="80">
        <f>C25/D25</f>
        <v/>
      </c>
      <c r="F25" s="21">
        <f>SUMIFS(Comps[RBA],Comps[BUILT],B25,Comps[RENT],"&gt;"&amp;0)+SUMIFS(Available[RBA],Available[BUILT],B25,Available[RENT],"&gt;"&amp;0)</f>
        <v/>
      </c>
      <c r="G25" s="21">
        <f>F25/D25</f>
        <v/>
      </c>
      <c r="H25" s="81">
        <f>C25/F25</f>
        <v/>
      </c>
      <c r="I25" s="81">
        <f t="array" ref="I25">PERCENTILE(IF(Comps[BUILT]=B25,Comps[RENT/SF]),0.75)</f>
        <v/>
      </c>
      <c r="J25" s="81">
        <f t="array" ref="J25">PERCENTILE(IF(Comps[BUILT]=B25,Comps[RENT/SF]),0.25)</f>
        <v/>
      </c>
      <c r="K25" s="81">
        <f t="array" ref="K25">MEDIAN(IF(Comps[BUILT]=B25,Comps[RENT/SF]))</f>
        <v/>
      </c>
    </row>
    <row r="26">
      <c r="B26" s="32" t="n">
        <v>2000</v>
      </c>
      <c r="C26" s="80">
        <f>SUMIFS(Comps[RENT],Comps[BUILT],B26)+SUMIFS(Available[RENT],Available[BUILT],B26)</f>
        <v/>
      </c>
      <c r="D26" s="21">
        <f>COUNTIFS(Comps[RENT],"&gt;"&amp;0,Comps[BUILT],B26)+COUNTIFS(Available[RENT],"&gt;"&amp;0,Available[BUILT],B26)</f>
        <v/>
      </c>
      <c r="E26" s="80">
        <f>C26/D26</f>
        <v/>
      </c>
      <c r="F26" s="21">
        <f>SUMIFS(Comps[RBA],Comps[BUILT],B26,Comps[RENT],"&gt;"&amp;0)+SUMIFS(Available[RBA],Available[BUILT],B26,Available[RENT],"&gt;"&amp;0)</f>
        <v/>
      </c>
      <c r="G26" s="21">
        <f>F26/D26</f>
        <v/>
      </c>
      <c r="H26" s="81">
        <f>C26/F26</f>
        <v/>
      </c>
      <c r="I26" s="81">
        <f t="array" ref="I26">PERCENTILE(IF(Comps[BUILT]=B26,Comps[RENT/SF]),0.75)</f>
        <v/>
      </c>
      <c r="J26" s="81">
        <f t="array" ref="J26">PERCENTILE(IF(Comps[BUILT]=B26,Comps[RENT/SF]),0.25)</f>
        <v/>
      </c>
      <c r="K26" s="81">
        <f t="array" ref="K26">MEDIAN(IF(Comps[BUILT]=B26,Comps[RENT/SF]))</f>
        <v/>
      </c>
    </row>
    <row r="27">
      <c r="B27" s="32" t="n">
        <v>1999</v>
      </c>
      <c r="C27" s="80">
        <f>SUMIFS(Comps[RENT],Comps[BUILT],B27)+SUMIFS(Available[RENT],Available[BUILT],B27)</f>
        <v/>
      </c>
      <c r="D27" s="21">
        <f>COUNTIFS(Comps[RENT],"&gt;"&amp;0,Comps[BUILT],B27)+COUNTIFS(Available[RENT],"&gt;"&amp;0,Available[BUILT],B27)</f>
        <v/>
      </c>
      <c r="E27" s="80">
        <f>C27/D27</f>
        <v/>
      </c>
      <c r="F27" s="21">
        <f>SUMIFS(Comps[RBA],Comps[BUILT],B27,Comps[RENT],"&gt;"&amp;0)+SUMIFS(Available[RBA],Available[BUILT],B27,Available[RENT],"&gt;"&amp;0)</f>
        <v/>
      </c>
      <c r="G27" s="21">
        <f>F27/D27</f>
        <v/>
      </c>
      <c r="H27" s="81">
        <f>C27/F27</f>
        <v/>
      </c>
      <c r="I27" s="81">
        <f t="array" ref="I27">PERCENTILE(IF(Comps[BUILT]=B27,Comps[RENT/SF]),0.75)</f>
        <v/>
      </c>
      <c r="J27" s="81">
        <f t="array" ref="J27">PERCENTILE(IF(Comps[BUILT]=B27,Comps[RENT/SF]),0.25)</f>
        <v/>
      </c>
      <c r="K27" s="81">
        <f t="array" ref="K27">MEDIAN(IF(Comps[BUILT]=B27,Comps[RENT/SF]))</f>
        <v/>
      </c>
    </row>
    <row r="28">
      <c r="B28" s="32" t="n">
        <v>1998</v>
      </c>
      <c r="C28" s="80">
        <f>SUMIFS(Comps[RENT],Comps[BUILT],B28)+SUMIFS(Available[RENT],Available[BUILT],B28)</f>
        <v/>
      </c>
      <c r="D28" s="21">
        <f>COUNTIFS(Comps[RENT],"&gt;"&amp;0,Comps[BUILT],B28)+COUNTIFS(Available[RENT],"&gt;"&amp;0,Available[BUILT],B28)</f>
        <v/>
      </c>
      <c r="E28" s="80">
        <f>C28/D28</f>
        <v/>
      </c>
      <c r="F28" s="21">
        <f>SUMIFS(Comps[RBA],Comps[BUILT],B28,Comps[RENT],"&gt;"&amp;0)+SUMIFS(Available[RBA],Available[BUILT],B28,Available[RENT],"&gt;"&amp;0)</f>
        <v/>
      </c>
      <c r="G28" s="21">
        <f>F28/D28</f>
        <v/>
      </c>
      <c r="H28" s="81">
        <f>C28/F28</f>
        <v/>
      </c>
      <c r="I28" s="81">
        <f t="array" ref="I28">PERCENTILE(IF(Comps[BUILT]=B28,Comps[RENT/SF]),0.75)</f>
        <v/>
      </c>
      <c r="J28" s="81">
        <f t="array" ref="J28">PERCENTILE(IF(Comps[BUILT]=B28,Comps[RENT/SF]),0.25)</f>
        <v/>
      </c>
      <c r="K28" s="81">
        <f t="array" ref="K28">MEDIAN(IF(Comps[BUILT]=B28,Comps[RENT/SF]))</f>
        <v/>
      </c>
    </row>
    <row r="29">
      <c r="B29" s="32" t="n">
        <v>1997</v>
      </c>
      <c r="C29" s="80">
        <f>SUMIFS(Comps[RENT],Comps[BUILT],B29)+SUMIFS(Available[RENT],Available[BUILT],B29)</f>
        <v/>
      </c>
      <c r="D29" s="21">
        <f>COUNTIFS(Comps[RENT],"&gt;"&amp;0,Comps[BUILT],B29)+COUNTIFS(Available[RENT],"&gt;"&amp;0,Available[BUILT],B29)</f>
        <v/>
      </c>
      <c r="E29" s="80">
        <f>C29/D29</f>
        <v/>
      </c>
      <c r="F29" s="21">
        <f>SUMIFS(Comps[RBA],Comps[BUILT],B29,Comps[RENT],"&gt;"&amp;0)+SUMIFS(Available[RBA],Available[BUILT],B29,Available[RENT],"&gt;"&amp;0)</f>
        <v/>
      </c>
      <c r="G29" s="21">
        <f>F29/D29</f>
        <v/>
      </c>
      <c r="H29" s="81">
        <f>C29/F29</f>
        <v/>
      </c>
      <c r="I29" s="81">
        <f t="array" ref="I29">PERCENTILE(IF(Comps[BUILT]=B29,Comps[RENT/SF]),0.75)</f>
        <v/>
      </c>
      <c r="J29" s="81">
        <f t="array" ref="J29">PERCENTILE(IF(Comps[BUILT]=B29,Comps[RENT/SF]),0.25)</f>
        <v/>
      </c>
      <c r="K29" s="81">
        <f t="array" ref="K29">MEDIAN(IF(Comps[BUILT]=B29,Comps[RENT/SF]))</f>
        <v/>
      </c>
    </row>
    <row r="30">
      <c r="B30" s="32" t="n">
        <v>1996</v>
      </c>
      <c r="C30" s="80">
        <f>SUMIFS(Comps[RENT],Comps[BUILT],B30)+SUMIFS(Available[RENT],Available[BUILT],B30)</f>
        <v/>
      </c>
      <c r="D30" s="21">
        <f>COUNTIFS(Comps[RENT],"&gt;"&amp;0,Comps[BUILT],B30)+COUNTIFS(Available[RENT],"&gt;"&amp;0,Available[BUILT],B30)</f>
        <v/>
      </c>
      <c r="E30" s="80">
        <f>C30/D30</f>
        <v/>
      </c>
      <c r="F30" s="21">
        <f>SUMIFS(Comps[RBA],Comps[BUILT],B30,Comps[RENT],"&gt;"&amp;0)+SUMIFS(Available[RBA],Available[BUILT],B30,Available[RENT],"&gt;"&amp;0)</f>
        <v/>
      </c>
      <c r="G30" s="21">
        <f>F30/D30</f>
        <v/>
      </c>
      <c r="H30" s="81">
        <f>C30/F30</f>
        <v/>
      </c>
      <c r="I30" s="81">
        <f t="array" ref="I30">PERCENTILE(IF(Comps[BUILT]=B30,Comps[RENT/SF]),0.75)</f>
        <v/>
      </c>
      <c r="J30" s="81">
        <f t="array" ref="J30">PERCENTILE(IF(Comps[BUILT]=B30,Comps[RENT/SF]),0.25)</f>
        <v/>
      </c>
      <c r="K30" s="81">
        <f t="array" ref="K30">MEDIAN(IF(Comps[BUILT]=B30,Comps[RENT/SF]))</f>
        <v/>
      </c>
    </row>
    <row r="31">
      <c r="B31" s="32" t="n">
        <v>1995</v>
      </c>
      <c r="C31" s="80">
        <f>SUMIFS(Comps[RENT],Comps[BUILT],B31)+SUMIFS(Available[RENT],Available[BUILT],B31)</f>
        <v/>
      </c>
      <c r="D31" s="21">
        <f>COUNTIFS(Comps[RENT],"&gt;"&amp;0,Comps[BUILT],B31)+COUNTIFS(Available[RENT],"&gt;"&amp;0,Available[BUILT],B31)</f>
        <v/>
      </c>
      <c r="E31" s="80">
        <f>C31/D31</f>
        <v/>
      </c>
      <c r="F31" s="21">
        <f>SUMIFS(Comps[RBA],Comps[BUILT],B31,Comps[RENT],"&gt;"&amp;0)+SUMIFS(Available[RBA],Available[BUILT],B31,Available[RENT],"&gt;"&amp;0)</f>
        <v/>
      </c>
      <c r="G31" s="21">
        <f>F31/D31</f>
        <v/>
      </c>
      <c r="H31" s="81">
        <f>C31/F31</f>
        <v/>
      </c>
      <c r="I31" s="81">
        <f t="array" ref="I31">PERCENTILE(IF(Comps[BUILT]=B31,Comps[RENT/SF]),0.75)</f>
        <v/>
      </c>
      <c r="J31" s="81">
        <f t="array" ref="J31">PERCENTILE(IF(Comps[BUILT]=B31,Comps[RENT/SF]),0.25)</f>
        <v/>
      </c>
      <c r="K31" s="81">
        <f t="array" ref="K31">MEDIAN(IF(Comps[BUILT]=B31,Comps[RENT/SF]))</f>
        <v/>
      </c>
    </row>
    <row r="32">
      <c r="B32" s="32" t="n">
        <v>1994</v>
      </c>
      <c r="C32" s="80">
        <f>SUMIFS(Comps[RENT],Comps[BUILT],B32)+SUMIFS(Available[RENT],Available[BUILT],B32)</f>
        <v/>
      </c>
      <c r="D32" s="21">
        <f>COUNTIFS(Comps[RENT],"&gt;"&amp;0,Comps[BUILT],B32)+COUNTIFS(Available[RENT],"&gt;"&amp;0,Available[BUILT],B32)</f>
        <v/>
      </c>
      <c r="E32" s="80">
        <f>C32/D32</f>
        <v/>
      </c>
      <c r="F32" s="21">
        <f>SUMIFS(Comps[RBA],Comps[BUILT],B32,Comps[RENT],"&gt;"&amp;0)+SUMIFS(Available[RBA],Available[BUILT],B32,Available[RENT],"&gt;"&amp;0)</f>
        <v/>
      </c>
      <c r="G32" s="21">
        <f>F32/D32</f>
        <v/>
      </c>
      <c r="H32" s="81">
        <f>C32/F32</f>
        <v/>
      </c>
      <c r="I32" s="81">
        <f t="array" ref="I32">PERCENTILE(IF(Comps[BUILT]=B32,Comps[RENT/SF]),0.75)</f>
        <v/>
      </c>
      <c r="J32" s="81">
        <f t="array" ref="J32">PERCENTILE(IF(Comps[BUILT]=B32,Comps[RENT/SF]),0.25)</f>
        <v/>
      </c>
      <c r="K32" s="81">
        <f t="array" ref="K32">MEDIAN(IF(Comps[BUILT]=B32,Comps[RENT/SF]))</f>
        <v/>
      </c>
    </row>
    <row r="33">
      <c r="B33" s="32" t="n">
        <v>1993</v>
      </c>
      <c r="C33" s="80">
        <f>SUMIFS(Comps[RENT],Comps[BUILT],B33)+SUMIFS(Available[RENT],Available[BUILT],B33)</f>
        <v/>
      </c>
      <c r="D33" s="21">
        <f>COUNTIFS(Comps[RENT],"&gt;"&amp;0,Comps[BUILT],B33)+COUNTIFS(Available[RENT],"&gt;"&amp;0,Available[BUILT],B33)</f>
        <v/>
      </c>
      <c r="E33" s="80">
        <f>C33/D33</f>
        <v/>
      </c>
      <c r="F33" s="21">
        <f>SUMIFS(Comps[RBA],Comps[BUILT],B33,Comps[RENT],"&gt;"&amp;0)+SUMIFS(Available[RBA],Available[BUILT],B33,Available[RENT],"&gt;"&amp;0)</f>
        <v/>
      </c>
      <c r="G33" s="21">
        <f>F33/D33</f>
        <v/>
      </c>
      <c r="H33" s="81">
        <f>C33/F33</f>
        <v/>
      </c>
      <c r="I33" s="81">
        <f t="array" ref="I33">PERCENTILE(IF(Comps[BUILT]=B33,Comps[RENT/SF]),0.75)</f>
        <v/>
      </c>
      <c r="J33" s="81">
        <f t="array" ref="J33">PERCENTILE(IF(Comps[BUILT]=B33,Comps[RENT/SF]),0.25)</f>
        <v/>
      </c>
      <c r="K33" s="81">
        <f t="array" ref="K33">MEDIAN(IF(Comps[BUILT]=B33,Comps[RENT/SF]))</f>
        <v/>
      </c>
      <c r="N33" t="inlineStr">
        <is>
          <t>Rent Heat Map</t>
        </is>
      </c>
    </row>
    <row r="34">
      <c r="B34" s="32" t="n">
        <v>1992</v>
      </c>
      <c r="C34" s="80">
        <f>SUMIFS(Comps[RENT],Comps[BUILT],B34)+SUMIFS(Available[RENT],Available[BUILT],B34)</f>
        <v/>
      </c>
      <c r="D34" s="21">
        <f>COUNTIFS(Comps[RENT],"&gt;"&amp;0,Comps[BUILT],B34)+COUNTIFS(Available[RENT],"&gt;"&amp;0,Available[BUILT],B34)</f>
        <v/>
      </c>
      <c r="E34" s="80">
        <f>C34/D34</f>
        <v/>
      </c>
      <c r="F34" s="21">
        <f>SUMIFS(Comps[RBA],Comps[BUILT],B34,Comps[RENT],"&gt;"&amp;0)+SUMIFS(Available[RBA],Available[BUILT],B34,Available[RENT],"&gt;"&amp;0)</f>
        <v/>
      </c>
      <c r="G34" s="21">
        <f>F34/D34</f>
        <v/>
      </c>
      <c r="H34" s="81">
        <f>C34/F34</f>
        <v/>
      </c>
      <c r="I34" s="81">
        <f t="array" ref="I34">PERCENTILE(IF(Comps[BUILT]=B34,Comps[RENT/SF]),0.75)</f>
        <v/>
      </c>
      <c r="J34" s="81">
        <f t="array" ref="J34">PERCENTILE(IF(Comps[BUILT]=B34,Comps[RENT/SF]),0.25)</f>
        <v/>
      </c>
      <c r="K34" s="81">
        <f t="array" ref="K34">MEDIAN(IF(Comps[BUILT]=B34,Comps[RENT/SF]))</f>
        <v/>
      </c>
    </row>
    <row r="35">
      <c r="B35" s="32" t="n">
        <v>1991</v>
      </c>
      <c r="C35" s="80">
        <f>SUMIFS(Comps[RENT],Comps[BUILT],B35)+SUMIFS(Available[RENT],Available[BUILT],B35)</f>
        <v/>
      </c>
      <c r="D35" s="21">
        <f>COUNTIFS(Comps[RENT],"&gt;"&amp;0,Comps[BUILT],B35)+COUNTIFS(Available[RENT],"&gt;"&amp;0,Available[BUILT],B35)</f>
        <v/>
      </c>
      <c r="E35" s="80">
        <f>C35/D35</f>
        <v/>
      </c>
      <c r="F35" s="21">
        <f>SUMIFS(Comps[RBA],Comps[BUILT],B35,Comps[RENT],"&gt;"&amp;0)+SUMIFS(Available[RBA],Available[BUILT],B35,Available[RENT],"&gt;"&amp;0)</f>
        <v/>
      </c>
      <c r="G35" s="21">
        <f>F35/D35</f>
        <v/>
      </c>
      <c r="H35" s="81">
        <f>C35/F35</f>
        <v/>
      </c>
      <c r="I35" s="81">
        <f t="array" ref="I35">PERCENTILE(IF(Comps[BUILT]=B35,Comps[RENT/SF]),0.75)</f>
        <v/>
      </c>
      <c r="J35" s="81">
        <f t="array" ref="J35">PERCENTILE(IF(Comps[BUILT]=B35,Comps[RENT/SF]),0.25)</f>
        <v/>
      </c>
      <c r="K35" s="81">
        <f t="array" ref="K35">MEDIAN(IF(Comps[BUILT]=B35,Comps[RENT/SF]))</f>
        <v/>
      </c>
    </row>
    <row r="36">
      <c r="B36" s="32" t="n">
        <v>1990</v>
      </c>
      <c r="C36" s="80">
        <f>SUMIFS(Comps[RENT],Comps[BUILT],B36)+SUMIFS(Available[RENT],Available[BUILT],B36)</f>
        <v/>
      </c>
      <c r="D36" s="21">
        <f>COUNTIFS(Comps[RENT],"&gt;"&amp;0,Comps[BUILT],B36)+COUNTIFS(Available[RENT],"&gt;"&amp;0,Available[BUILT],B36)</f>
        <v/>
      </c>
      <c r="E36" s="80">
        <f>C36/D36</f>
        <v/>
      </c>
      <c r="F36" s="21">
        <f>SUMIFS(Comps[RBA],Comps[BUILT],B36,Comps[RENT],"&gt;"&amp;0)+SUMIFS(Available[RBA],Available[BUILT],B36,Available[RENT],"&gt;"&amp;0)</f>
        <v/>
      </c>
      <c r="G36" s="21">
        <f>F36/D36</f>
        <v/>
      </c>
      <c r="H36" s="81">
        <f>C36/F36</f>
        <v/>
      </c>
      <c r="I36" s="81">
        <f t="array" ref="I36">PERCENTILE(IF(Comps[BUILT]=B36,Comps[RENT/SF]),0.75)</f>
        <v/>
      </c>
      <c r="J36" s="81">
        <f t="array" ref="J36">PERCENTILE(IF(Comps[BUILT]=B36,Comps[RENT/SF]),0.25)</f>
        <v/>
      </c>
      <c r="K36" s="81">
        <f t="array" ref="K36">MEDIAN(IF(Comps[BUILT]=B36,Comps[RENT/SF]))</f>
        <v/>
      </c>
    </row>
    <row r="38">
      <c r="B38" s="1" t="inlineStr">
        <is>
          <t>State</t>
        </is>
      </c>
      <c r="C38" s="1" t="inlineStr">
        <is>
          <t>Sum of Rent</t>
        </is>
      </c>
      <c r="D38" s="1" t="inlineStr">
        <is>
          <t>Count of Rent</t>
        </is>
      </c>
      <c r="E38" s="1" t="inlineStr">
        <is>
          <t>Average Rents</t>
        </is>
      </c>
      <c r="F38" t="inlineStr">
        <is>
          <t>Sum of RBA</t>
        </is>
      </c>
      <c r="G38" s="1" t="inlineStr">
        <is>
          <t>Average RBA</t>
        </is>
      </c>
      <c r="H38" s="1" t="inlineStr">
        <is>
          <t>Average RPSF</t>
        </is>
      </c>
      <c r="I38" s="1" t="inlineStr">
        <is>
          <t>Upper Quartile Rent</t>
        </is>
      </c>
      <c r="J38" s="1" t="inlineStr">
        <is>
          <t>Lower Quartile Rent</t>
        </is>
      </c>
      <c r="K38" s="1" t="inlineStr">
        <is>
          <t>Median Rent PSF</t>
        </is>
      </c>
    </row>
    <row r="39">
      <c r="B39" s="1" t="inlineStr">
        <is>
          <t>AL</t>
        </is>
      </c>
      <c r="C39" s="80">
        <f>SUMIFS(Comps[RENT],Comps[STATE],B39)+SUMIFS(Available[RENT],Available[STATE],B39)</f>
        <v/>
      </c>
      <c r="D39" s="21">
        <f>COUNTIFS(Comps[RENT],"&gt;"&amp;0,Comps[STATE],B39)+COUNTIFS(Available[RENT],"&gt;"&amp;0,Available[STATE],B39)</f>
        <v/>
      </c>
      <c r="E39" s="80">
        <f>C39/D39</f>
        <v/>
      </c>
      <c r="F39" s="21">
        <f>SUMIFS(Comps[RBA],Comps[STATE],B39,Comps[RENT],"&gt;"&amp;0)+SUMIFS(Available[RBA],Available[STATE],B39,Available[RENT],"&gt;"&amp;0)</f>
        <v/>
      </c>
      <c r="G39" s="21">
        <f>F39/D39</f>
        <v/>
      </c>
      <c r="H39" s="81">
        <f>C39/F39</f>
        <v/>
      </c>
      <c r="I39" s="81">
        <f t="array" ref="I39">PERCENTILE(IF(Comps[STATE]=B39,Comps[RENT/SF]),0.75)</f>
        <v/>
      </c>
      <c r="J39" s="81">
        <f t="array" ref="J39">PERCENTILE(IF(Comps[STATE]=B39,Comps[RENT/SF]),0.25)</f>
        <v/>
      </c>
      <c r="K39" s="81">
        <f t="array" ref="K39">MEDIAN(IF(Comps[STATE]=B39,Comps[RENT/SF]))</f>
        <v/>
      </c>
    </row>
    <row r="40">
      <c r="B40" s="1" t="inlineStr">
        <is>
          <t>AK</t>
        </is>
      </c>
      <c r="C40" s="80">
        <f>SUMIFS(Comps[RENT],Comps[STATE],B40)+SUMIFS(Available[RENT],Available[STATE],B40)</f>
        <v/>
      </c>
      <c r="D40" s="21">
        <f>COUNTIFS(Comps[RENT],"&gt;"&amp;0,Comps[STATE],B40)+COUNTIFS(Available[RENT],"&gt;"&amp;0,Available[STATE],B40)</f>
        <v/>
      </c>
      <c r="E40" s="80">
        <f>C40/D40</f>
        <v/>
      </c>
      <c r="F40" s="21">
        <f>SUMIFS(Comps[RBA],Comps[STATE],B40,Comps[RENT],"&gt;"&amp;0)+SUMIFS(Available[RBA],Available[STATE],B40,Available[RENT],"&gt;"&amp;0)</f>
        <v/>
      </c>
      <c r="G40" s="21">
        <f>F40/D40</f>
        <v/>
      </c>
      <c r="H40" s="81">
        <f>C40/F40</f>
        <v/>
      </c>
      <c r="I40" s="81">
        <f t="array" ref="I40">PERCENTILE(IF(Comps[STATE]=B40,Comps[RENT/SF]),0.75)</f>
        <v/>
      </c>
      <c r="J40" s="81">
        <f t="array" ref="J40">PERCENTILE(IF(Comps[STATE]=B40,Comps[RENT/SF]),0.25)</f>
        <v/>
      </c>
      <c r="K40" s="81">
        <f t="array" ref="K40">MEDIAN(IF(Comps[STATE]=B40,Comps[RENT/SF]))</f>
        <v/>
      </c>
    </row>
    <row r="41">
      <c r="B41" s="1" t="inlineStr">
        <is>
          <t>AZ</t>
        </is>
      </c>
      <c r="C41" s="80">
        <f>SUMIFS(Comps[RENT],Comps[STATE],B41)+SUMIFS(Available[RENT],Available[STATE],B41)</f>
        <v/>
      </c>
      <c r="D41" s="21">
        <f>COUNTIFS(Comps[RENT],"&gt;"&amp;0,Comps[STATE],B41)+COUNTIFS(Available[RENT],"&gt;"&amp;0,Available[STATE],B41)</f>
        <v/>
      </c>
      <c r="E41" s="80">
        <f>C41/D41</f>
        <v/>
      </c>
      <c r="F41" s="21">
        <f>SUMIFS(Comps[RBA],Comps[STATE],B41,Comps[RENT],"&gt;"&amp;0)+SUMIFS(Available[RBA],Available[STATE],B41,Available[RENT],"&gt;"&amp;0)</f>
        <v/>
      </c>
      <c r="G41" s="21">
        <f>F41/D41</f>
        <v/>
      </c>
      <c r="H41" s="81">
        <f>C41/F41</f>
        <v/>
      </c>
      <c r="I41" s="81">
        <f t="array" ref="I41">PERCENTILE(IF(Comps[STATE]=B41,Comps[RENT/SF]),0.75)</f>
        <v/>
      </c>
      <c r="J41" s="81">
        <f t="array" ref="J41">PERCENTILE(IF(Comps[STATE]=B41,Comps[RENT/SF]),0.25)</f>
        <v/>
      </c>
      <c r="K41" s="81">
        <f t="array" ref="K41">MEDIAN(IF(Comps[STATE]=B41,Comps[RENT/SF]))</f>
        <v/>
      </c>
    </row>
    <row r="42">
      <c r="B42" s="1" t="inlineStr">
        <is>
          <t>AR</t>
        </is>
      </c>
      <c r="C42" s="80">
        <f>SUMIFS(Comps[RENT],Comps[STATE],B42)+SUMIFS(Available[RENT],Available[STATE],B42)</f>
        <v/>
      </c>
      <c r="D42" s="21">
        <f>COUNTIFS(Comps[RENT],"&gt;"&amp;0,Comps[STATE],B42)+COUNTIFS(Available[RENT],"&gt;"&amp;0,Available[STATE],B42)</f>
        <v/>
      </c>
      <c r="E42" s="80">
        <f>C42/D42</f>
        <v/>
      </c>
      <c r="F42" s="21">
        <f>SUMIFS(Comps[RBA],Comps[STATE],B42,Comps[RENT],"&gt;"&amp;0)+SUMIFS(Available[RBA],Available[STATE],B42,Available[RENT],"&gt;"&amp;0)</f>
        <v/>
      </c>
      <c r="G42" s="21">
        <f>F42/D42</f>
        <v/>
      </c>
      <c r="H42" s="81">
        <f>C42/F42</f>
        <v/>
      </c>
      <c r="I42" s="81">
        <f t="array" ref="I42">PERCENTILE(IF(Comps[STATE]=B42,Comps[RENT/SF]),0.75)</f>
        <v/>
      </c>
      <c r="J42" s="81">
        <f t="array" ref="J42">PERCENTILE(IF(Comps[STATE]=B42,Comps[RENT/SF]),0.25)</f>
        <v/>
      </c>
      <c r="K42" s="81">
        <f t="array" ref="K42">MEDIAN(IF(Comps[STATE]=B42,Comps[RENT/SF]))</f>
        <v/>
      </c>
    </row>
    <row r="43">
      <c r="B43" s="1" t="inlineStr">
        <is>
          <t>CA</t>
        </is>
      </c>
      <c r="C43" s="80">
        <f>SUMIFS(Comps[RENT],Comps[STATE],B43)+SUMIFS(Available[RENT],Available[STATE],B43)</f>
        <v/>
      </c>
      <c r="D43" s="21">
        <f>COUNTIFS(Comps[RENT],"&gt;"&amp;0,Comps[STATE],B43)+COUNTIFS(Available[RENT],"&gt;"&amp;0,Available[STATE],B43)</f>
        <v/>
      </c>
      <c r="E43" s="80">
        <f>C43/D43</f>
        <v/>
      </c>
      <c r="F43" s="21">
        <f>SUMIFS(Comps[RBA],Comps[STATE],B43,Comps[RENT],"&gt;"&amp;0)+SUMIFS(Available[RBA],Available[STATE],B43,Available[RENT],"&gt;"&amp;0)</f>
        <v/>
      </c>
      <c r="G43" s="21">
        <f>F43/D43</f>
        <v/>
      </c>
      <c r="H43" s="81">
        <f>C43/F43</f>
        <v/>
      </c>
      <c r="I43" s="81">
        <f t="array" ref="I43">PERCENTILE(IF(Comps[STATE]=B43,Comps[RENT/SF]),0.75)</f>
        <v/>
      </c>
      <c r="J43" s="81">
        <f t="array" ref="J43">PERCENTILE(IF(Comps[STATE]=B43,Comps[RENT/SF]),0.25)</f>
        <v/>
      </c>
      <c r="K43" s="81">
        <f t="array" ref="K43">MEDIAN(IF(Comps[STATE]=B43,Comps[RENT/SF]))</f>
        <v/>
      </c>
    </row>
    <row r="44">
      <c r="B44" s="1" t="inlineStr">
        <is>
          <t>CO</t>
        </is>
      </c>
      <c r="C44" s="80">
        <f>SUMIFS(Comps[RENT],Comps[STATE],B44)+SUMIFS(Available[RENT],Available[STATE],B44)</f>
        <v/>
      </c>
      <c r="D44" s="21">
        <f>COUNTIFS(Comps[RENT],"&gt;"&amp;0,Comps[STATE],B44)+COUNTIFS(Available[RENT],"&gt;"&amp;0,Available[STATE],B44)</f>
        <v/>
      </c>
      <c r="E44" s="80">
        <f>C44/D44</f>
        <v/>
      </c>
      <c r="F44" s="21">
        <f>SUMIFS(Comps[RBA],Comps[STATE],B44,Comps[RENT],"&gt;"&amp;0)+SUMIFS(Available[RBA],Available[STATE],B44,Available[RENT],"&gt;"&amp;0)</f>
        <v/>
      </c>
      <c r="G44" s="21">
        <f>F44/D44</f>
        <v/>
      </c>
      <c r="H44" s="81">
        <f>C44/F44</f>
        <v/>
      </c>
      <c r="I44" s="81">
        <f t="array" ref="I44">PERCENTILE(IF(Comps[STATE]=B44,Comps[RENT/SF]),0.75)</f>
        <v/>
      </c>
      <c r="J44" s="81">
        <f t="array" ref="J44">PERCENTILE(IF(Comps[STATE]=B44,Comps[RENT/SF]),0.25)</f>
        <v/>
      </c>
      <c r="K44" s="81">
        <f t="array" ref="K44">MEDIAN(IF(Comps[STATE]=B44,Comps[RENT/SF]))</f>
        <v/>
      </c>
    </row>
    <row r="45">
      <c r="B45" s="1" t="inlineStr">
        <is>
          <t>CT</t>
        </is>
      </c>
      <c r="C45" s="80">
        <f>SUMIFS(Comps[RENT],Comps[STATE],B45)+SUMIFS(Available[RENT],Available[STATE],B45)</f>
        <v/>
      </c>
      <c r="D45" s="21">
        <f>COUNTIFS(Comps[RENT],"&gt;"&amp;0,Comps[STATE],B45)+COUNTIFS(Available[RENT],"&gt;"&amp;0,Available[STATE],B45)</f>
        <v/>
      </c>
      <c r="E45" s="80">
        <f>C45/D45</f>
        <v/>
      </c>
      <c r="F45" s="21">
        <f>SUMIFS(Comps[RBA],Comps[STATE],B45,Comps[RENT],"&gt;"&amp;0)+SUMIFS(Available[RBA],Available[STATE],B45,Available[RENT],"&gt;"&amp;0)</f>
        <v/>
      </c>
      <c r="G45" s="21">
        <f>F45/D45</f>
        <v/>
      </c>
      <c r="H45" s="81">
        <f>C45/F45</f>
        <v/>
      </c>
      <c r="I45" s="81">
        <f t="array" ref="I45">PERCENTILE(IF(Comps[STATE]=B45,Comps[RENT/SF]),0.75)</f>
        <v/>
      </c>
      <c r="J45" s="81">
        <f t="array" ref="J45">PERCENTILE(IF(Comps[STATE]=B45,Comps[RENT/SF]),0.25)</f>
        <v/>
      </c>
      <c r="K45" s="81">
        <f t="array" ref="K45">MEDIAN(IF(Comps[STATE]=B45,Comps[RENT/SF]))</f>
        <v/>
      </c>
    </row>
    <row r="46">
      <c r="B46" s="1" t="inlineStr">
        <is>
          <t>DE</t>
        </is>
      </c>
      <c r="C46" s="80">
        <f>SUMIFS(Comps[RENT],Comps[STATE],B46)+SUMIFS(Available[RENT],Available[STATE],B46)</f>
        <v/>
      </c>
      <c r="D46" s="21">
        <f>COUNTIFS(Comps[RENT],"&gt;"&amp;0,Comps[STATE],B46)+COUNTIFS(Available[RENT],"&gt;"&amp;0,Available[STATE],B46)</f>
        <v/>
      </c>
      <c r="E46" s="80">
        <f>C46/D46</f>
        <v/>
      </c>
      <c r="F46" s="21">
        <f>SUMIFS(Comps[RBA],Comps[STATE],B46,Comps[RENT],"&gt;"&amp;0)+SUMIFS(Available[RBA],Available[STATE],B46,Available[RENT],"&gt;"&amp;0)</f>
        <v/>
      </c>
      <c r="G46" s="21">
        <f>F46/D46</f>
        <v/>
      </c>
      <c r="H46" s="81">
        <f>C46/F46</f>
        <v/>
      </c>
      <c r="I46" s="81">
        <f t="array" ref="I46">PERCENTILE(IF(Comps[STATE]=B46,Comps[RENT/SF]),0.75)</f>
        <v/>
      </c>
      <c r="J46" s="81">
        <f t="array" ref="J46">PERCENTILE(IF(Comps[STATE]=B46,Comps[RENT/SF]),0.25)</f>
        <v/>
      </c>
      <c r="K46" s="81">
        <f t="array" ref="K46">MEDIAN(IF(Comps[STATE]=B46,Comps[RENT/SF]))</f>
        <v/>
      </c>
    </row>
    <row r="47">
      <c r="B47" s="1" t="inlineStr">
        <is>
          <t>DC</t>
        </is>
      </c>
      <c r="C47" s="80">
        <f>SUMIFS(Comps[RENT],Comps[STATE],B47)+SUMIFS(Available[RENT],Available[STATE],B47)</f>
        <v/>
      </c>
      <c r="D47" s="21">
        <f>COUNTIFS(Comps[RENT],"&gt;"&amp;0,Comps[STATE],B47)+COUNTIFS(Available[RENT],"&gt;"&amp;0,Available[STATE],B47)</f>
        <v/>
      </c>
      <c r="E47" s="80">
        <f>C47/D47</f>
        <v/>
      </c>
      <c r="F47" s="21">
        <f>SUMIFS(Comps[RBA],Comps[STATE],B47,Comps[RENT],"&gt;"&amp;0)+SUMIFS(Available[RBA],Available[STATE],B47,Available[RENT],"&gt;"&amp;0)</f>
        <v/>
      </c>
      <c r="G47" s="21">
        <f>F47/D47</f>
        <v/>
      </c>
      <c r="H47" s="81">
        <f>C47/F47</f>
        <v/>
      </c>
      <c r="I47" s="81">
        <f t="array" ref="I47">PERCENTILE(IF(Comps[STATE]=B47,Comps[RENT/SF]),0.75)</f>
        <v/>
      </c>
      <c r="J47" s="81">
        <f t="array" ref="J47">PERCENTILE(IF(Comps[STATE]=B47,Comps[RENT/SF]),0.25)</f>
        <v/>
      </c>
      <c r="K47" s="81">
        <f t="array" ref="K47">MEDIAN(IF(Comps[STATE]=B47,Comps[RENT/SF]))</f>
        <v/>
      </c>
    </row>
    <row r="48">
      <c r="B48" s="1" t="inlineStr">
        <is>
          <t>FL</t>
        </is>
      </c>
      <c r="C48" s="80">
        <f>SUMIFS(Comps[RENT],Comps[STATE],B48)+SUMIFS(Available[RENT],Available[STATE],B48)</f>
        <v/>
      </c>
      <c r="D48" s="21">
        <f>COUNTIFS(Comps[RENT],"&gt;"&amp;0,Comps[STATE],B48)+COUNTIFS(Available[RENT],"&gt;"&amp;0,Available[STATE],B48)</f>
        <v/>
      </c>
      <c r="E48" s="80">
        <f>C48/D48</f>
        <v/>
      </c>
      <c r="F48" s="21">
        <f>SUMIFS(Comps[RBA],Comps[STATE],B48,Comps[RENT],"&gt;"&amp;0)+SUMIFS(Available[RBA],Available[STATE],B48,Available[RENT],"&gt;"&amp;0)</f>
        <v/>
      </c>
      <c r="G48" s="21">
        <f>F48/D48</f>
        <v/>
      </c>
      <c r="H48" s="81">
        <f>C48/F48</f>
        <v/>
      </c>
      <c r="I48" s="81">
        <f t="array" ref="I48">PERCENTILE(IF(Comps[STATE]=B48,Comps[RENT/SF]),0.75)</f>
        <v/>
      </c>
      <c r="J48" s="81">
        <f t="array" ref="J48">PERCENTILE(IF(Comps[STATE]=B48,Comps[RENT/SF]),0.25)</f>
        <v/>
      </c>
      <c r="K48" s="81">
        <f t="array" ref="K48">MEDIAN(IF(Comps[STATE]=B48,Comps[RENT/SF]))</f>
        <v/>
      </c>
    </row>
    <row r="49">
      <c r="B49" s="1" t="inlineStr">
        <is>
          <t>GA</t>
        </is>
      </c>
      <c r="C49" s="80">
        <f>SUMIFS(Comps[RENT],Comps[STATE],B49)+SUMIFS(Available[RENT],Available[STATE],B49)</f>
        <v/>
      </c>
      <c r="D49" s="21">
        <f>COUNTIFS(Comps[RENT],"&gt;"&amp;0,Comps[STATE],B49)+COUNTIFS(Available[RENT],"&gt;"&amp;0,Available[STATE],B49)</f>
        <v/>
      </c>
      <c r="E49" s="80">
        <f>C49/D49</f>
        <v/>
      </c>
      <c r="F49" s="21">
        <f>SUMIFS(Comps[RBA],Comps[STATE],B49,Comps[RENT],"&gt;"&amp;0)+SUMIFS(Available[RBA],Available[STATE],B49,Available[RENT],"&gt;"&amp;0)</f>
        <v/>
      </c>
      <c r="G49" s="21">
        <f>F49/D49</f>
        <v/>
      </c>
      <c r="H49" s="81">
        <f>C49/F49</f>
        <v/>
      </c>
      <c r="I49" s="81">
        <f t="array" ref="I49">PERCENTILE(IF(Comps[STATE]=B49,Comps[RENT/SF]),0.75)</f>
        <v/>
      </c>
      <c r="J49" s="81">
        <f t="array" ref="J49">PERCENTILE(IF(Comps[STATE]=B49,Comps[RENT/SF]),0.25)</f>
        <v/>
      </c>
      <c r="K49" s="81">
        <f t="array" ref="K49">MEDIAN(IF(Comps[STATE]=B49,Comps[RENT/SF]))</f>
        <v/>
      </c>
    </row>
    <row r="50">
      <c r="B50" s="1" t="inlineStr">
        <is>
          <t>HI</t>
        </is>
      </c>
      <c r="C50" s="80">
        <f>SUMIFS(Comps[RENT],Comps[STATE],B50)+SUMIFS(Available[RENT],Available[STATE],B50)</f>
        <v/>
      </c>
      <c r="D50" s="21">
        <f>COUNTIFS(Comps[RENT],"&gt;"&amp;0,Comps[STATE],B50)+COUNTIFS(Available[RENT],"&gt;"&amp;0,Available[STATE],B50)</f>
        <v/>
      </c>
      <c r="E50" s="80">
        <f>C50/D50</f>
        <v/>
      </c>
      <c r="F50" s="21">
        <f>SUMIFS(Comps[RBA],Comps[STATE],B50,Comps[RENT],"&gt;"&amp;0)+SUMIFS(Available[RBA],Available[STATE],B50,Available[RENT],"&gt;"&amp;0)</f>
        <v/>
      </c>
      <c r="G50" s="21">
        <f>F50/D50</f>
        <v/>
      </c>
      <c r="H50" s="81">
        <f>C50/F50</f>
        <v/>
      </c>
      <c r="I50" s="81">
        <f t="array" ref="I50">PERCENTILE(IF(Comps[STATE]=B50,Comps[RENT/SF]),0.75)</f>
        <v/>
      </c>
      <c r="J50" s="81">
        <f t="array" ref="J50">PERCENTILE(IF(Comps[STATE]=B50,Comps[RENT/SF]),0.25)</f>
        <v/>
      </c>
      <c r="K50" s="81">
        <f t="array" ref="K50">MEDIAN(IF(Comps[STATE]=B50,Comps[RENT/SF]))</f>
        <v/>
      </c>
    </row>
    <row r="51">
      <c r="B51" s="1" t="inlineStr">
        <is>
          <t>ID</t>
        </is>
      </c>
      <c r="C51" s="80">
        <f>SUMIFS(Comps[RENT],Comps[STATE],B51)+SUMIFS(Available[RENT],Available[STATE],B51)</f>
        <v/>
      </c>
      <c r="D51" s="21">
        <f>COUNTIFS(Comps[RENT],"&gt;"&amp;0,Comps[STATE],B51)+COUNTIFS(Available[RENT],"&gt;"&amp;0,Available[STATE],B51)</f>
        <v/>
      </c>
      <c r="E51" s="80">
        <f>C51/D51</f>
        <v/>
      </c>
      <c r="F51" s="21">
        <f>SUMIFS(Comps[RBA],Comps[STATE],B51,Comps[RENT],"&gt;"&amp;0)+SUMIFS(Available[RBA],Available[STATE],B51,Available[RENT],"&gt;"&amp;0)</f>
        <v/>
      </c>
      <c r="G51" s="21">
        <f>F51/D51</f>
        <v/>
      </c>
      <c r="H51" s="81">
        <f>C51/F51</f>
        <v/>
      </c>
      <c r="I51" s="81">
        <f t="array" ref="I51">PERCENTILE(IF(Comps[STATE]=B51,Comps[RENT/SF]),0.75)</f>
        <v/>
      </c>
      <c r="J51" s="81">
        <f t="array" ref="J51">PERCENTILE(IF(Comps[STATE]=B51,Comps[RENT/SF]),0.25)</f>
        <v/>
      </c>
      <c r="K51" s="81">
        <f t="array" ref="K51">MEDIAN(IF(Comps[STATE]=B51,Comps[RENT/SF]))</f>
        <v/>
      </c>
    </row>
    <row r="52">
      <c r="B52" s="1" t="inlineStr">
        <is>
          <t>IL</t>
        </is>
      </c>
      <c r="C52" s="80">
        <f>SUMIFS(Comps[RENT],Comps[STATE],B52)+SUMIFS(Available[RENT],Available[STATE],B52)</f>
        <v/>
      </c>
      <c r="D52" s="21">
        <f>COUNTIFS(Comps[RENT],"&gt;"&amp;0,Comps[STATE],B52)+COUNTIFS(Available[RENT],"&gt;"&amp;0,Available[STATE],B52)</f>
        <v/>
      </c>
      <c r="E52" s="80">
        <f>C52/D52</f>
        <v/>
      </c>
      <c r="F52" s="21">
        <f>SUMIFS(Comps[RBA],Comps[STATE],B52,Comps[RENT],"&gt;"&amp;0)+SUMIFS(Available[RBA],Available[STATE],B52,Available[RENT],"&gt;"&amp;0)</f>
        <v/>
      </c>
      <c r="G52" s="21">
        <f>F52/D52</f>
        <v/>
      </c>
      <c r="H52" s="81">
        <f>C52/F52</f>
        <v/>
      </c>
      <c r="I52" s="81">
        <f t="array" ref="I52">PERCENTILE(IF(Comps[STATE]=B52,Comps[RENT/SF]),0.75)</f>
        <v/>
      </c>
      <c r="J52" s="81">
        <f t="array" ref="J52">PERCENTILE(IF(Comps[STATE]=B52,Comps[RENT/SF]),0.25)</f>
        <v/>
      </c>
      <c r="K52" s="81">
        <f t="array" ref="K52">MEDIAN(IF(Comps[STATE]=B52,Comps[RENT/SF]))</f>
        <v/>
      </c>
    </row>
    <row r="53">
      <c r="B53" s="1" t="inlineStr">
        <is>
          <t>IN</t>
        </is>
      </c>
      <c r="C53" s="80">
        <f>SUMIFS(Comps[RENT],Comps[STATE],B53)+SUMIFS(Available[RENT],Available[STATE],B53)</f>
        <v/>
      </c>
      <c r="D53" s="21">
        <f>COUNTIFS(Comps[RENT],"&gt;"&amp;0,Comps[STATE],B53)+COUNTIFS(Available[RENT],"&gt;"&amp;0,Available[STATE],B53)</f>
        <v/>
      </c>
      <c r="E53" s="80">
        <f>C53/D53</f>
        <v/>
      </c>
      <c r="F53" s="21">
        <f>SUMIFS(Comps[RBA],Comps[STATE],B53,Comps[RENT],"&gt;"&amp;0)+SUMIFS(Available[RBA],Available[STATE],B53,Available[RENT],"&gt;"&amp;0)</f>
        <v/>
      </c>
      <c r="G53" s="21">
        <f>F53/D53</f>
        <v/>
      </c>
      <c r="H53" s="81">
        <f>C53/F53</f>
        <v/>
      </c>
      <c r="I53" s="81">
        <f t="array" ref="I53">PERCENTILE(IF(Comps[STATE]=B53,Comps[RENT/SF]),0.75)</f>
        <v/>
      </c>
      <c r="J53" s="81">
        <f t="array" ref="J53">PERCENTILE(IF(Comps[STATE]=B53,Comps[RENT/SF]),0.25)</f>
        <v/>
      </c>
      <c r="K53" s="81">
        <f t="array" ref="K53">MEDIAN(IF(Comps[STATE]=B53,Comps[RENT/SF]))</f>
        <v/>
      </c>
    </row>
    <row r="54">
      <c r="B54" s="1" t="inlineStr">
        <is>
          <t>IA</t>
        </is>
      </c>
      <c r="C54" s="80">
        <f>SUMIFS(Comps[RENT],Comps[STATE],B54)+SUMIFS(Available[RENT],Available[STATE],B54)</f>
        <v/>
      </c>
      <c r="D54" s="21">
        <f>COUNTIFS(Comps[RENT],"&gt;"&amp;0,Comps[STATE],B54)+COUNTIFS(Available[RENT],"&gt;"&amp;0,Available[STATE],B54)</f>
        <v/>
      </c>
      <c r="E54" s="80">
        <f>C54/D54</f>
        <v/>
      </c>
      <c r="F54" s="21">
        <f>SUMIFS(Comps[RBA],Comps[STATE],B54,Comps[RENT],"&gt;"&amp;0)+SUMIFS(Available[RBA],Available[STATE],B54,Available[RENT],"&gt;"&amp;0)</f>
        <v/>
      </c>
      <c r="G54" s="21">
        <f>F54/D54</f>
        <v/>
      </c>
      <c r="H54" s="81">
        <f>C54/F54</f>
        <v/>
      </c>
      <c r="I54" s="81">
        <f t="array" ref="I54">PERCENTILE(IF(Comps[STATE]=B54,Comps[RENT/SF]),0.75)</f>
        <v/>
      </c>
      <c r="J54" s="81">
        <f t="array" ref="J54">PERCENTILE(IF(Comps[STATE]=B54,Comps[RENT/SF]),0.25)</f>
        <v/>
      </c>
      <c r="K54" s="81">
        <f t="array" ref="K54">MEDIAN(IF(Comps[STATE]=B54,Comps[RENT/SF]))</f>
        <v/>
      </c>
    </row>
    <row r="55">
      <c r="B55" s="1" t="inlineStr">
        <is>
          <t>KS</t>
        </is>
      </c>
      <c r="C55" s="80">
        <f>SUMIFS(Comps[RENT],Comps[STATE],B55)+SUMIFS(Available[RENT],Available[STATE],B55)</f>
        <v/>
      </c>
      <c r="D55" s="21">
        <f>COUNTIFS(Comps[RENT],"&gt;"&amp;0,Comps[STATE],B55)+COUNTIFS(Available[RENT],"&gt;"&amp;0,Available[STATE],B55)</f>
        <v/>
      </c>
      <c r="E55" s="80">
        <f>C55/D55</f>
        <v/>
      </c>
      <c r="F55" s="21">
        <f>SUMIFS(Comps[RBA],Comps[STATE],B55,Comps[RENT],"&gt;"&amp;0)+SUMIFS(Available[RBA],Available[STATE],B55,Available[RENT],"&gt;"&amp;0)</f>
        <v/>
      </c>
      <c r="G55" s="21">
        <f>F55/D55</f>
        <v/>
      </c>
      <c r="H55" s="81">
        <f>C55/F55</f>
        <v/>
      </c>
      <c r="I55" s="81">
        <f t="array" ref="I55">PERCENTILE(IF(Comps[STATE]=B55,Comps[RENT/SF]),0.75)</f>
        <v/>
      </c>
      <c r="J55" s="81">
        <f t="array" ref="J55">PERCENTILE(IF(Comps[STATE]=B55,Comps[RENT/SF]),0.25)</f>
        <v/>
      </c>
      <c r="K55" s="81">
        <f t="array" ref="K55">MEDIAN(IF(Comps[STATE]=B55,Comps[RENT/SF]))</f>
        <v/>
      </c>
    </row>
    <row r="56">
      <c r="B56" s="1" t="inlineStr">
        <is>
          <t>KY</t>
        </is>
      </c>
      <c r="C56" s="80">
        <f>SUMIFS(Comps[RENT],Comps[STATE],B56)+SUMIFS(Available[RENT],Available[STATE],B56)</f>
        <v/>
      </c>
      <c r="D56" s="21">
        <f>COUNTIFS(Comps[RENT],"&gt;"&amp;0,Comps[STATE],B56)+COUNTIFS(Available[RENT],"&gt;"&amp;0,Available[STATE],B56)</f>
        <v/>
      </c>
      <c r="E56" s="80">
        <f>C56/D56</f>
        <v/>
      </c>
      <c r="F56" s="21">
        <f>SUMIFS(Comps[RBA],Comps[STATE],B56,Comps[RENT],"&gt;"&amp;0)+SUMIFS(Available[RBA],Available[STATE],B56,Available[RENT],"&gt;"&amp;0)</f>
        <v/>
      </c>
      <c r="G56" s="21">
        <f>F56/D56</f>
        <v/>
      </c>
      <c r="H56" s="81">
        <f>C56/F56</f>
        <v/>
      </c>
      <c r="I56" s="81">
        <f t="array" ref="I56">PERCENTILE(IF(Comps[STATE]=B56,Comps[RENT/SF]),0.75)</f>
        <v/>
      </c>
      <c r="J56" s="81">
        <f t="array" ref="J56">PERCENTILE(IF(Comps[STATE]=B56,Comps[RENT/SF]),0.25)</f>
        <v/>
      </c>
      <c r="K56" s="81">
        <f t="array" ref="K56">MEDIAN(IF(Comps[STATE]=B56,Comps[RENT/SF]))</f>
        <v/>
      </c>
    </row>
    <row r="57">
      <c r="B57" s="1" t="inlineStr">
        <is>
          <t>LA</t>
        </is>
      </c>
      <c r="C57" s="80">
        <f>SUMIFS(Comps[RENT],Comps[STATE],B57)+SUMIFS(Available[RENT],Available[STATE],B57)</f>
        <v/>
      </c>
      <c r="D57" s="21">
        <f>COUNTIFS(Comps[RENT],"&gt;"&amp;0,Comps[STATE],B57)+COUNTIFS(Available[RENT],"&gt;"&amp;0,Available[STATE],B57)</f>
        <v/>
      </c>
      <c r="E57" s="80">
        <f>C57/D57</f>
        <v/>
      </c>
      <c r="F57" s="21">
        <f>SUMIFS(Comps[RBA],Comps[STATE],B57,Comps[RENT],"&gt;"&amp;0)+SUMIFS(Available[RBA],Available[STATE],B57,Available[RENT],"&gt;"&amp;0)</f>
        <v/>
      </c>
      <c r="G57" s="21">
        <f>F57/D57</f>
        <v/>
      </c>
      <c r="H57" s="81">
        <f>C57/F57</f>
        <v/>
      </c>
      <c r="I57" s="81">
        <f t="array" ref="I57">PERCENTILE(IF(Comps[STATE]=B57,Comps[RENT/SF]),0.75)</f>
        <v/>
      </c>
      <c r="J57" s="81">
        <f t="array" ref="J57">PERCENTILE(IF(Comps[STATE]=B57,Comps[RENT/SF]),0.25)</f>
        <v/>
      </c>
      <c r="K57" s="81">
        <f t="array" ref="K57">MEDIAN(IF(Comps[STATE]=B57,Comps[RENT/SF]))</f>
        <v/>
      </c>
    </row>
    <row r="58">
      <c r="B58" s="1" t="inlineStr">
        <is>
          <t>ME</t>
        </is>
      </c>
      <c r="C58" s="80">
        <f>SUMIFS(Comps[RENT],Comps[STATE],B58)+SUMIFS(Available[RENT],Available[STATE],B58)</f>
        <v/>
      </c>
      <c r="D58" s="21">
        <f>COUNTIFS(Comps[RENT],"&gt;"&amp;0,Comps[STATE],B58)+COUNTIFS(Available[RENT],"&gt;"&amp;0,Available[STATE],B58)</f>
        <v/>
      </c>
      <c r="E58" s="80">
        <f>C58/D58</f>
        <v/>
      </c>
      <c r="F58" s="21">
        <f>SUMIFS(Comps[RBA],Comps[STATE],B58,Comps[RENT],"&gt;"&amp;0)+SUMIFS(Available[RBA],Available[STATE],B58,Available[RENT],"&gt;"&amp;0)</f>
        <v/>
      </c>
      <c r="G58" s="21">
        <f>F58/D58</f>
        <v/>
      </c>
      <c r="H58" s="81">
        <f>C58/F58</f>
        <v/>
      </c>
      <c r="I58" s="81">
        <f t="array" ref="I58">PERCENTILE(IF(Comps[STATE]=B58,Comps[RENT/SF]),0.75)</f>
        <v/>
      </c>
      <c r="J58" s="81">
        <f t="array" ref="J58">PERCENTILE(IF(Comps[STATE]=B58,Comps[RENT/SF]),0.25)</f>
        <v/>
      </c>
      <c r="K58" s="81">
        <f t="array" ref="K58">MEDIAN(IF(Comps[STATE]=B58,Comps[RENT/SF]))</f>
        <v/>
      </c>
    </row>
    <row r="59">
      <c r="B59" s="1" t="inlineStr">
        <is>
          <t>MD</t>
        </is>
      </c>
      <c r="C59" s="80">
        <f>SUMIFS(Comps[RENT],Comps[STATE],B59)+SUMIFS(Available[RENT],Available[STATE],B59)</f>
        <v/>
      </c>
      <c r="D59" s="21">
        <f>COUNTIFS(Comps[RENT],"&gt;"&amp;0,Comps[STATE],B59)+COUNTIFS(Available[RENT],"&gt;"&amp;0,Available[STATE],B59)</f>
        <v/>
      </c>
      <c r="E59" s="80">
        <f>C59/D59</f>
        <v/>
      </c>
      <c r="F59" s="21">
        <f>SUMIFS(Comps[RBA],Comps[STATE],B59,Comps[RENT],"&gt;"&amp;0)+SUMIFS(Available[RBA],Available[STATE],B59,Available[RENT],"&gt;"&amp;0)</f>
        <v/>
      </c>
      <c r="G59" s="21">
        <f>F59/D59</f>
        <v/>
      </c>
      <c r="H59" s="81">
        <f>C59/F59</f>
        <v/>
      </c>
      <c r="I59" s="81">
        <f t="array" ref="I59">PERCENTILE(IF(Comps[STATE]=B59,Comps[RENT/SF]),0.75)</f>
        <v/>
      </c>
      <c r="J59" s="81">
        <f t="array" ref="J59">PERCENTILE(IF(Comps[STATE]=B59,Comps[RENT/SF]),0.25)</f>
        <v/>
      </c>
      <c r="K59" s="81">
        <f t="array" ref="K59">MEDIAN(IF(Comps[STATE]=B59,Comps[RENT/SF]))</f>
        <v/>
      </c>
    </row>
    <row r="60">
      <c r="B60" s="1" t="inlineStr">
        <is>
          <t>MA</t>
        </is>
      </c>
      <c r="C60" s="80">
        <f>SUMIFS(Comps[RENT],Comps[STATE],B60)+SUMIFS(Available[RENT],Available[STATE],B60)</f>
        <v/>
      </c>
      <c r="D60" s="21">
        <f>COUNTIFS(Comps[RENT],"&gt;"&amp;0,Comps[STATE],B60)+COUNTIFS(Available[RENT],"&gt;"&amp;0,Available[STATE],B60)</f>
        <v/>
      </c>
      <c r="E60" s="80">
        <f>C60/D60</f>
        <v/>
      </c>
      <c r="F60" s="21">
        <f>SUMIFS(Comps[RBA],Comps[STATE],B60,Comps[RENT],"&gt;"&amp;0)+SUMIFS(Available[RBA],Available[STATE],B60,Available[RENT],"&gt;"&amp;0)</f>
        <v/>
      </c>
      <c r="G60" s="21">
        <f>F60/D60</f>
        <v/>
      </c>
      <c r="H60" s="81">
        <f>C60/F60</f>
        <v/>
      </c>
      <c r="I60" s="81">
        <f t="array" ref="I60">PERCENTILE(IF(Comps[STATE]=B60,Comps[RENT/SF]),0.75)</f>
        <v/>
      </c>
      <c r="J60" s="81">
        <f t="array" ref="J60">PERCENTILE(IF(Comps[STATE]=B60,Comps[RENT/SF]),0.25)</f>
        <v/>
      </c>
      <c r="K60" s="81">
        <f t="array" ref="K60">MEDIAN(IF(Comps[STATE]=B60,Comps[RENT/SF]))</f>
        <v/>
      </c>
    </row>
    <row r="61">
      <c r="B61" s="1" t="inlineStr">
        <is>
          <t>MI</t>
        </is>
      </c>
      <c r="C61" s="80">
        <f>SUMIFS(Comps[RENT],Comps[STATE],B61)+SUMIFS(Available[RENT],Available[STATE],B61)</f>
        <v/>
      </c>
      <c r="D61" s="21">
        <f>COUNTIFS(Comps[RENT],"&gt;"&amp;0,Comps[STATE],B61)+COUNTIFS(Available[RENT],"&gt;"&amp;0,Available[STATE],B61)</f>
        <v/>
      </c>
      <c r="E61" s="80">
        <f>C61/D61</f>
        <v/>
      </c>
      <c r="F61" s="21">
        <f>SUMIFS(Comps[RBA],Comps[STATE],B61,Comps[RENT],"&gt;"&amp;0)+SUMIFS(Available[RBA],Available[STATE],B61,Available[RENT],"&gt;"&amp;0)</f>
        <v/>
      </c>
      <c r="G61" s="21">
        <f>F61/D61</f>
        <v/>
      </c>
      <c r="H61" s="81">
        <f>C61/F61</f>
        <v/>
      </c>
      <c r="I61" s="81">
        <f t="array" ref="I61">PERCENTILE(IF(Comps[STATE]=B61,Comps[RENT/SF]),0.75)</f>
        <v/>
      </c>
      <c r="J61" s="81">
        <f t="array" ref="J61">PERCENTILE(IF(Comps[STATE]=B61,Comps[RENT/SF]),0.25)</f>
        <v/>
      </c>
      <c r="K61" s="81">
        <f t="array" ref="K61">MEDIAN(IF(Comps[STATE]=B61,Comps[RENT/SF]))</f>
        <v/>
      </c>
    </row>
    <row r="62">
      <c r="B62" s="1" t="inlineStr">
        <is>
          <t>MN</t>
        </is>
      </c>
      <c r="C62" s="80">
        <f>SUMIFS(Comps[RENT],Comps[STATE],B62)+SUMIFS(Available[RENT],Available[STATE],B62)</f>
        <v/>
      </c>
      <c r="D62" s="21">
        <f>COUNTIFS(Comps[RENT],"&gt;"&amp;0,Comps[STATE],B62)+COUNTIFS(Available[RENT],"&gt;"&amp;0,Available[STATE],B62)</f>
        <v/>
      </c>
      <c r="E62" s="80">
        <f>C62/D62</f>
        <v/>
      </c>
      <c r="F62" s="21">
        <f>SUMIFS(Comps[RBA],Comps[STATE],B62,Comps[RENT],"&gt;"&amp;0)+SUMIFS(Available[RBA],Available[STATE],B62,Available[RENT],"&gt;"&amp;0)</f>
        <v/>
      </c>
      <c r="G62" s="21">
        <f>F62/D62</f>
        <v/>
      </c>
      <c r="H62" s="81">
        <f>C62/F62</f>
        <v/>
      </c>
      <c r="I62" s="81">
        <f t="array" ref="I62">PERCENTILE(IF(Comps[STATE]=B62,Comps[RENT/SF]),0.75)</f>
        <v/>
      </c>
      <c r="J62" s="81">
        <f t="array" ref="J62">PERCENTILE(IF(Comps[STATE]=B62,Comps[RENT/SF]),0.25)</f>
        <v/>
      </c>
      <c r="K62" s="81">
        <f t="array" ref="K62">MEDIAN(IF(Comps[STATE]=B62,Comps[RENT/SF]))</f>
        <v/>
      </c>
    </row>
    <row r="63">
      <c r="B63" s="1" t="inlineStr">
        <is>
          <t>MS</t>
        </is>
      </c>
      <c r="C63" s="80">
        <f>SUMIFS(Comps[RENT],Comps[STATE],B63)+SUMIFS(Available[RENT],Available[STATE],B63)</f>
        <v/>
      </c>
      <c r="D63" s="21">
        <f>COUNTIFS(Comps[RENT],"&gt;"&amp;0,Comps[STATE],B63)+COUNTIFS(Available[RENT],"&gt;"&amp;0,Available[STATE],B63)</f>
        <v/>
      </c>
      <c r="E63" s="80">
        <f>C63/D63</f>
        <v/>
      </c>
      <c r="F63" s="21">
        <f>SUMIFS(Comps[RBA],Comps[STATE],B63,Comps[RENT],"&gt;"&amp;0)+SUMIFS(Available[RBA],Available[STATE],B63,Available[RENT],"&gt;"&amp;0)</f>
        <v/>
      </c>
      <c r="G63" s="21">
        <f>F63/D63</f>
        <v/>
      </c>
      <c r="H63" s="81">
        <f>C63/F63</f>
        <v/>
      </c>
      <c r="I63" s="81">
        <f t="array" ref="I63">PERCENTILE(IF(Comps[STATE]=B63,Comps[RENT/SF]),0.75)</f>
        <v/>
      </c>
      <c r="J63" s="81">
        <f t="array" ref="J63">PERCENTILE(IF(Comps[STATE]=B63,Comps[RENT/SF]),0.25)</f>
        <v/>
      </c>
      <c r="K63" s="81">
        <f t="array" ref="K63">MEDIAN(IF(Comps[STATE]=B63,Comps[RENT/SF]))</f>
        <v/>
      </c>
    </row>
    <row r="64">
      <c r="B64" s="1" t="inlineStr">
        <is>
          <t>MO</t>
        </is>
      </c>
      <c r="C64" s="80">
        <f>SUMIFS(Comps[RENT],Comps[STATE],B64)+SUMIFS(Available[RENT],Available[STATE],B64)</f>
        <v/>
      </c>
      <c r="D64" s="21">
        <f>COUNTIFS(Comps[RENT],"&gt;"&amp;0,Comps[STATE],B64)+COUNTIFS(Available[RENT],"&gt;"&amp;0,Available[STATE],B64)</f>
        <v/>
      </c>
      <c r="E64" s="80">
        <f>C64/D64</f>
        <v/>
      </c>
      <c r="F64" s="21">
        <f>SUMIFS(Comps[RBA],Comps[STATE],B64,Comps[RENT],"&gt;"&amp;0)+SUMIFS(Available[RBA],Available[STATE],B64,Available[RENT],"&gt;"&amp;0)</f>
        <v/>
      </c>
      <c r="G64" s="21">
        <f>F64/D64</f>
        <v/>
      </c>
      <c r="H64" s="81">
        <f>C64/F64</f>
        <v/>
      </c>
      <c r="I64" s="81">
        <f t="array" ref="I64">PERCENTILE(IF(Comps[STATE]=B64,Comps[RENT/SF]),0.75)</f>
        <v/>
      </c>
      <c r="J64" s="81">
        <f t="array" ref="J64">PERCENTILE(IF(Comps[STATE]=B64,Comps[RENT/SF]),0.25)</f>
        <v/>
      </c>
      <c r="K64" s="81">
        <f t="array" ref="K64">MEDIAN(IF(Comps[STATE]=B64,Comps[RENT/SF]))</f>
        <v/>
      </c>
    </row>
    <row r="65">
      <c r="B65" s="1" t="inlineStr">
        <is>
          <t>MT</t>
        </is>
      </c>
      <c r="C65" s="80">
        <f>SUMIFS(Comps[RENT],Comps[STATE],B65)+SUMIFS(Available[RENT],Available[STATE],B65)</f>
        <v/>
      </c>
      <c r="D65" s="21">
        <f>COUNTIFS(Comps[RENT],"&gt;"&amp;0,Comps[STATE],B65)+COUNTIFS(Available[RENT],"&gt;"&amp;0,Available[STATE],B65)</f>
        <v/>
      </c>
      <c r="E65" s="80">
        <f>C65/D65</f>
        <v/>
      </c>
      <c r="F65" s="21">
        <f>SUMIFS(Comps[RBA],Comps[STATE],B65,Comps[RENT],"&gt;"&amp;0)+SUMIFS(Available[RBA],Available[STATE],B65,Available[RENT],"&gt;"&amp;0)</f>
        <v/>
      </c>
      <c r="G65" s="21">
        <f>F65/D65</f>
        <v/>
      </c>
      <c r="H65" s="81">
        <f>C65/F65</f>
        <v/>
      </c>
      <c r="I65" s="81">
        <f t="array" ref="I65">PERCENTILE(IF(Comps[STATE]=B65,Comps[RENT/SF]),0.75)</f>
        <v/>
      </c>
      <c r="J65" s="81">
        <f t="array" ref="J65">PERCENTILE(IF(Comps[STATE]=B65,Comps[RENT/SF]),0.25)</f>
        <v/>
      </c>
      <c r="K65" s="81">
        <f t="array" ref="K65">MEDIAN(IF(Comps[STATE]=B65,Comps[RENT/SF]))</f>
        <v/>
      </c>
    </row>
    <row r="66">
      <c r="B66" s="1" t="inlineStr">
        <is>
          <t>NE</t>
        </is>
      </c>
      <c r="C66" s="80">
        <f>SUMIFS(Comps[RENT],Comps[STATE],B66)+SUMIFS(Available[RENT],Available[STATE],B66)</f>
        <v/>
      </c>
      <c r="D66" s="21">
        <f>COUNTIFS(Comps[RENT],"&gt;"&amp;0,Comps[STATE],B66)+COUNTIFS(Available[RENT],"&gt;"&amp;0,Available[STATE],B66)</f>
        <v/>
      </c>
      <c r="E66" s="80">
        <f>C66/D66</f>
        <v/>
      </c>
      <c r="F66" s="21">
        <f>SUMIFS(Comps[RBA],Comps[STATE],B66,Comps[RENT],"&gt;"&amp;0)+SUMIFS(Available[RBA],Available[STATE],B66,Available[RENT],"&gt;"&amp;0)</f>
        <v/>
      </c>
      <c r="G66" s="21">
        <f>F66/D66</f>
        <v/>
      </c>
      <c r="H66" s="81">
        <f>C66/F66</f>
        <v/>
      </c>
      <c r="I66" s="81">
        <f t="array" ref="I66">PERCENTILE(IF(Comps[STATE]=B66,Comps[RENT/SF]),0.75)</f>
        <v/>
      </c>
      <c r="J66" s="81">
        <f t="array" ref="J66">PERCENTILE(IF(Comps[STATE]=B66,Comps[RENT/SF]),0.25)</f>
        <v/>
      </c>
      <c r="K66" s="81">
        <f t="array" ref="K66">MEDIAN(IF(Comps[STATE]=B66,Comps[RENT/SF]))</f>
        <v/>
      </c>
    </row>
    <row r="67">
      <c r="B67" s="1" t="inlineStr">
        <is>
          <t>NV</t>
        </is>
      </c>
      <c r="C67" s="80">
        <f>SUMIFS(Comps[RENT],Comps[STATE],B67)+SUMIFS(Available[RENT],Available[STATE],B67)</f>
        <v/>
      </c>
      <c r="D67" s="21">
        <f>COUNTIFS(Comps[RENT],"&gt;"&amp;0,Comps[STATE],B67)+COUNTIFS(Available[RENT],"&gt;"&amp;0,Available[STATE],B67)</f>
        <v/>
      </c>
      <c r="E67" s="80">
        <f>C67/D67</f>
        <v/>
      </c>
      <c r="F67" s="21">
        <f>SUMIFS(Comps[RBA],Comps[STATE],B67,Comps[RENT],"&gt;"&amp;0)+SUMIFS(Available[RBA],Available[STATE],B67,Available[RENT],"&gt;"&amp;0)</f>
        <v/>
      </c>
      <c r="G67" s="21">
        <f>F67/D67</f>
        <v/>
      </c>
      <c r="H67" s="81">
        <f>C67/F67</f>
        <v/>
      </c>
      <c r="I67" s="81">
        <f t="array" ref="I67">PERCENTILE(IF(Comps[STATE]=B67,Comps[RENT/SF]),0.75)</f>
        <v/>
      </c>
      <c r="J67" s="81">
        <f t="array" ref="J67">PERCENTILE(IF(Comps[STATE]=B67,Comps[RENT/SF]),0.25)</f>
        <v/>
      </c>
      <c r="K67" s="81">
        <f t="array" ref="K67">MEDIAN(IF(Comps[STATE]=B67,Comps[RENT/SF]))</f>
        <v/>
      </c>
    </row>
    <row r="68">
      <c r="B68" s="1" t="inlineStr">
        <is>
          <t>NH</t>
        </is>
      </c>
      <c r="C68" s="80">
        <f>SUMIFS(Comps[RENT],Comps[STATE],B68)+SUMIFS(Available[RENT],Available[STATE],B68)</f>
        <v/>
      </c>
      <c r="D68" s="21">
        <f>COUNTIFS(Comps[RENT],"&gt;"&amp;0,Comps[STATE],B68)+COUNTIFS(Available[RENT],"&gt;"&amp;0,Available[STATE],B68)</f>
        <v/>
      </c>
      <c r="E68" s="80">
        <f>C68/D68</f>
        <v/>
      </c>
      <c r="F68" s="21">
        <f>SUMIFS(Comps[RBA],Comps[STATE],B68,Comps[RENT],"&gt;"&amp;0)+SUMIFS(Available[RBA],Available[STATE],B68,Available[RENT],"&gt;"&amp;0)</f>
        <v/>
      </c>
      <c r="G68" s="21">
        <f>F68/D68</f>
        <v/>
      </c>
      <c r="H68" s="81">
        <f>C68/F68</f>
        <v/>
      </c>
      <c r="I68" s="81">
        <f t="array" ref="I68">PERCENTILE(IF(Comps[STATE]=B68,Comps[RENT/SF]),0.75)</f>
        <v/>
      </c>
      <c r="J68" s="81">
        <f t="array" ref="J68">PERCENTILE(IF(Comps[STATE]=B68,Comps[RENT/SF]),0.25)</f>
        <v/>
      </c>
      <c r="K68" s="81">
        <f t="array" ref="K68">MEDIAN(IF(Comps[STATE]=B68,Comps[RENT/SF]))</f>
        <v/>
      </c>
    </row>
    <row r="69">
      <c r="B69" s="1" t="inlineStr">
        <is>
          <t>NJ</t>
        </is>
      </c>
      <c r="C69" s="80">
        <f>SUMIFS(Comps[RENT],Comps[STATE],B69)+SUMIFS(Available[RENT],Available[STATE],B69)</f>
        <v/>
      </c>
      <c r="D69" s="21">
        <f>COUNTIFS(Comps[RENT],"&gt;"&amp;0,Comps[STATE],B69)+COUNTIFS(Available[RENT],"&gt;"&amp;0,Available[STATE],B69)</f>
        <v/>
      </c>
      <c r="E69" s="80">
        <f>C69/D69</f>
        <v/>
      </c>
      <c r="F69" s="21">
        <f>SUMIFS(Comps[RBA],Comps[STATE],B69,Comps[RENT],"&gt;"&amp;0)+SUMIFS(Available[RBA],Available[STATE],B69,Available[RENT],"&gt;"&amp;0)</f>
        <v/>
      </c>
      <c r="G69" s="21">
        <f>F69/D69</f>
        <v/>
      </c>
      <c r="H69" s="81">
        <f>C69/F69</f>
        <v/>
      </c>
      <c r="I69" s="81">
        <f t="array" ref="I69">PERCENTILE(IF(Comps[STATE]=B69,Comps[RENT/SF]),0.75)</f>
        <v/>
      </c>
      <c r="J69" s="81">
        <f t="array" ref="J69">PERCENTILE(IF(Comps[STATE]=B69,Comps[RENT/SF]),0.25)</f>
        <v/>
      </c>
      <c r="K69" s="81">
        <f t="array" ref="K69">MEDIAN(IF(Comps[STATE]=B69,Comps[RENT/SF]))</f>
        <v/>
      </c>
    </row>
    <row r="70">
      <c r="B70" s="1" t="inlineStr">
        <is>
          <t>NM</t>
        </is>
      </c>
      <c r="C70" s="80">
        <f>SUMIFS(Comps[RENT],Comps[STATE],B70)+SUMIFS(Available[RENT],Available[STATE],B70)</f>
        <v/>
      </c>
      <c r="D70" s="21">
        <f>COUNTIFS(Comps[RENT],"&gt;"&amp;0,Comps[STATE],B70)+COUNTIFS(Available[RENT],"&gt;"&amp;0,Available[STATE],B70)</f>
        <v/>
      </c>
      <c r="E70" s="80">
        <f>C70/D70</f>
        <v/>
      </c>
      <c r="F70" s="21">
        <f>SUMIFS(Comps[RBA],Comps[STATE],B70,Comps[RENT],"&gt;"&amp;0)+SUMIFS(Available[RBA],Available[STATE],B70,Available[RENT],"&gt;"&amp;0)</f>
        <v/>
      </c>
      <c r="G70" s="21">
        <f>F70/D70</f>
        <v/>
      </c>
      <c r="H70" s="81">
        <f>C70/F70</f>
        <v/>
      </c>
      <c r="I70" s="81">
        <f t="array" ref="I70">PERCENTILE(IF(Comps[STATE]=B70,Comps[RENT/SF]),0.75)</f>
        <v/>
      </c>
      <c r="J70" s="81">
        <f t="array" ref="J70">PERCENTILE(IF(Comps[STATE]=B70,Comps[RENT/SF]),0.25)</f>
        <v/>
      </c>
      <c r="K70" s="81">
        <f t="array" ref="K70">MEDIAN(IF(Comps[STATE]=B70,Comps[RENT/SF]))</f>
        <v/>
      </c>
    </row>
    <row r="71">
      <c r="B71" s="1" t="inlineStr">
        <is>
          <t>NY</t>
        </is>
      </c>
      <c r="C71" s="80">
        <f>SUMIFS(Comps[RENT],Comps[STATE],B71)+SUMIFS(Available[RENT],Available[STATE],B71)</f>
        <v/>
      </c>
      <c r="D71" s="21">
        <f>COUNTIFS(Comps[RENT],"&gt;"&amp;0,Comps[STATE],B71)+COUNTIFS(Available[RENT],"&gt;"&amp;0,Available[STATE],B71)</f>
        <v/>
      </c>
      <c r="E71" s="80">
        <f>C71/D71</f>
        <v/>
      </c>
      <c r="F71" s="21">
        <f>SUMIFS(Comps[RBA],Comps[STATE],B71,Comps[RENT],"&gt;"&amp;0)+SUMIFS(Available[RBA],Available[STATE],B71,Available[RENT],"&gt;"&amp;0)</f>
        <v/>
      </c>
      <c r="G71" s="21">
        <f>F71/D71</f>
        <v/>
      </c>
      <c r="H71" s="81">
        <f>C71/F71</f>
        <v/>
      </c>
      <c r="I71" s="81">
        <f t="array" ref="I71">PERCENTILE(IF(Comps[STATE]=B71,Comps[RENT/SF]),0.75)</f>
        <v/>
      </c>
      <c r="J71" s="81">
        <f t="array" ref="J71">PERCENTILE(IF(Comps[STATE]=B71,Comps[RENT/SF]),0.25)</f>
        <v/>
      </c>
      <c r="K71" s="81">
        <f t="array" ref="K71">MEDIAN(IF(Comps[STATE]=B71,Comps[RENT/SF]))</f>
        <v/>
      </c>
    </row>
    <row r="72">
      <c r="B72" s="1" t="inlineStr">
        <is>
          <t>NC</t>
        </is>
      </c>
      <c r="C72" s="80">
        <f>SUMIFS(Comps[RENT],Comps[STATE],B72)+SUMIFS(Available[RENT],Available[STATE],B72)</f>
        <v/>
      </c>
      <c r="D72" s="21">
        <f>COUNTIFS(Comps[RENT],"&gt;"&amp;0,Comps[STATE],B72)+COUNTIFS(Available[RENT],"&gt;"&amp;0,Available[STATE],B72)</f>
        <v/>
      </c>
      <c r="E72" s="80">
        <f>C72/D72</f>
        <v/>
      </c>
      <c r="F72" s="21">
        <f>SUMIFS(Comps[RBA],Comps[STATE],B72,Comps[RENT],"&gt;"&amp;0)+SUMIFS(Available[RBA],Available[STATE],B72,Available[RENT],"&gt;"&amp;0)</f>
        <v/>
      </c>
      <c r="G72" s="21">
        <f>F72/D72</f>
        <v/>
      </c>
      <c r="H72" s="81">
        <f>C72/F72</f>
        <v/>
      </c>
      <c r="I72" s="81">
        <f t="array" ref="I72">PERCENTILE(IF(Comps[STATE]=B72,Comps[RENT/SF]),0.75)</f>
        <v/>
      </c>
      <c r="J72" s="81">
        <f t="array" ref="J72">PERCENTILE(IF(Comps[STATE]=B72,Comps[RENT/SF]),0.25)</f>
        <v/>
      </c>
      <c r="K72" s="81">
        <f t="array" ref="K72">MEDIAN(IF(Comps[STATE]=B72,Comps[RENT/SF]))</f>
        <v/>
      </c>
    </row>
    <row r="73">
      <c r="B73" s="1" t="inlineStr">
        <is>
          <t>ND</t>
        </is>
      </c>
      <c r="C73" s="80" t="n"/>
      <c r="D73" s="21" t="n"/>
      <c r="E73" s="80" t="n"/>
      <c r="F73" s="21" t="n"/>
      <c r="G73" s="21" t="n"/>
      <c r="H73" s="81" t="n"/>
      <c r="I73" s="81" t="n"/>
      <c r="J73" s="81" t="n"/>
      <c r="K73" s="81" t="n"/>
    </row>
    <row r="74">
      <c r="B74" s="1" t="inlineStr">
        <is>
          <t>OH</t>
        </is>
      </c>
      <c r="C74" s="80">
        <f>SUMIFS(Comps[RENT],Comps[STATE],B74)+SUMIFS(Available[RENT],Available[STATE],B74)</f>
        <v/>
      </c>
      <c r="D74" s="21">
        <f>COUNTIFS(Comps[RENT],"&gt;"&amp;0,Comps[STATE],B74)+COUNTIFS(Available[RENT],"&gt;"&amp;0,Available[STATE],B74)</f>
        <v/>
      </c>
      <c r="E74" s="80">
        <f>C74/D74</f>
        <v/>
      </c>
      <c r="F74" s="21">
        <f>SUMIFS(Comps[RBA],Comps[STATE],B74,Comps[RENT],"&gt;"&amp;0)+SUMIFS(Available[RBA],Available[STATE],B74,Available[RENT],"&gt;"&amp;0)</f>
        <v/>
      </c>
      <c r="G74" s="21">
        <f>F74/D74</f>
        <v/>
      </c>
      <c r="H74" s="81">
        <f>C74/F74</f>
        <v/>
      </c>
      <c r="I74" s="81">
        <f t="array" ref="I74">PERCENTILE(IF(Comps[STATE]=B74,Comps[RENT/SF]),0.75)</f>
        <v/>
      </c>
      <c r="J74" s="81">
        <f t="array" ref="J74">PERCENTILE(IF(Comps[STATE]=B74,Comps[RENT/SF]),0.25)</f>
        <v/>
      </c>
      <c r="K74" s="81">
        <f t="array" ref="K74">MEDIAN(IF(Comps[STATE]=B74,Comps[RENT/SF]))</f>
        <v/>
      </c>
    </row>
    <row r="75">
      <c r="B75" s="1" t="inlineStr">
        <is>
          <t>OK</t>
        </is>
      </c>
      <c r="C75" s="80">
        <f>SUMIFS(Comps[RENT],Comps[STATE],B75)+SUMIFS(Available[RENT],Available[STATE],B75)</f>
        <v/>
      </c>
      <c r="D75" s="21">
        <f>COUNTIFS(Comps[RENT],"&gt;"&amp;0,Comps[STATE],B75)+COUNTIFS(Available[RENT],"&gt;"&amp;0,Available[STATE],B75)</f>
        <v/>
      </c>
      <c r="E75" s="80">
        <f>C75/D75</f>
        <v/>
      </c>
      <c r="F75" s="21">
        <f>SUMIFS(Comps[RBA],Comps[STATE],B75,Comps[RENT],"&gt;"&amp;0)+SUMIFS(Available[RBA],Available[STATE],B75,Available[RENT],"&gt;"&amp;0)</f>
        <v/>
      </c>
      <c r="G75" s="21">
        <f>F75/D75</f>
        <v/>
      </c>
      <c r="H75" s="81">
        <f>C75/F75</f>
        <v/>
      </c>
      <c r="I75" s="81">
        <f t="array" ref="I75">PERCENTILE(IF(Comps[STATE]=B75,Comps[RENT/SF]),0.75)</f>
        <v/>
      </c>
      <c r="J75" s="81">
        <f t="array" ref="J75">PERCENTILE(IF(Comps[STATE]=B75,Comps[RENT/SF]),0.25)</f>
        <v/>
      </c>
      <c r="K75" s="81">
        <f t="array" ref="K75">MEDIAN(IF(Comps[STATE]=B75,Comps[RENT/SF]))</f>
        <v/>
      </c>
    </row>
    <row r="76">
      <c r="B76" s="1" t="inlineStr">
        <is>
          <t>OR</t>
        </is>
      </c>
      <c r="C76" s="80">
        <f>SUMIFS(Comps[RENT],Comps[STATE],B76)+SUMIFS(Available[RENT],Available[STATE],B76)</f>
        <v/>
      </c>
      <c r="D76" s="21">
        <f>COUNTIFS(Comps[RENT],"&gt;"&amp;0,Comps[STATE],B76)+COUNTIFS(Available[RENT],"&gt;"&amp;0,Available[STATE],B76)</f>
        <v/>
      </c>
      <c r="E76" s="80">
        <f>C76/D76</f>
        <v/>
      </c>
      <c r="F76" s="21">
        <f>SUMIFS(Comps[RBA],Comps[STATE],B76,Comps[RENT],"&gt;"&amp;0)+SUMIFS(Available[RBA],Available[STATE],B76,Available[RENT],"&gt;"&amp;0)</f>
        <v/>
      </c>
      <c r="G76" s="21">
        <f>F76/D76</f>
        <v/>
      </c>
      <c r="H76" s="81">
        <f>C76/F76</f>
        <v/>
      </c>
      <c r="I76" s="81">
        <f t="array" ref="I76">PERCENTILE(IF(Comps[STATE]=B76,Comps[RENT/SF]),0.75)</f>
        <v/>
      </c>
      <c r="J76" s="81">
        <f t="array" ref="J76">PERCENTILE(IF(Comps[STATE]=B76,Comps[RENT/SF]),0.25)</f>
        <v/>
      </c>
      <c r="K76" s="81">
        <f t="array" ref="K76">MEDIAN(IF(Comps[STATE]=B76,Comps[RENT/SF]))</f>
        <v/>
      </c>
    </row>
    <row r="77">
      <c r="B77" s="1" t="inlineStr">
        <is>
          <t>PA</t>
        </is>
      </c>
      <c r="C77" s="80">
        <f>SUMIFS(Comps[RENT],Comps[STATE],B77)+SUMIFS(Available[RENT],Available[STATE],B77)</f>
        <v/>
      </c>
      <c r="D77" s="21">
        <f>COUNTIFS(Comps[RENT],"&gt;"&amp;0,Comps[STATE],B77)+COUNTIFS(Available[RENT],"&gt;"&amp;0,Available[STATE],B77)</f>
        <v/>
      </c>
      <c r="E77" s="80">
        <f>C77/D77</f>
        <v/>
      </c>
      <c r="F77" s="21">
        <f>SUMIFS(Comps[RBA],Comps[STATE],B77,Comps[RENT],"&gt;"&amp;0)+SUMIFS(Available[RBA],Available[STATE],B77,Available[RENT],"&gt;"&amp;0)</f>
        <v/>
      </c>
      <c r="G77" s="21">
        <f>F77/D77</f>
        <v/>
      </c>
      <c r="H77" s="81">
        <f>C77/F77</f>
        <v/>
      </c>
      <c r="I77" s="81">
        <f t="array" ref="I77">PERCENTILE(IF(Comps[STATE]=B77,Comps[RENT/SF]),0.75)</f>
        <v/>
      </c>
      <c r="J77" s="81">
        <f t="array" ref="J77">PERCENTILE(IF(Comps[STATE]=B77,Comps[RENT/SF]),0.25)</f>
        <v/>
      </c>
      <c r="K77" s="81">
        <f t="array" ref="K77">MEDIAN(IF(Comps[STATE]=B77,Comps[RENT/SF]))</f>
        <v/>
      </c>
    </row>
    <row r="78">
      <c r="B78" s="1" t="inlineStr">
        <is>
          <t>RI</t>
        </is>
      </c>
      <c r="C78" s="80">
        <f>SUMIFS(Comps[RENT],Comps[STATE],B78)+SUMIFS(Available[RENT],Available[STATE],B78)</f>
        <v/>
      </c>
      <c r="D78" s="21">
        <f>COUNTIFS(Comps[RENT],"&gt;"&amp;0,Comps[STATE],B78)+COUNTIFS(Available[RENT],"&gt;"&amp;0,Available[STATE],B78)</f>
        <v/>
      </c>
      <c r="E78" s="80">
        <f>C78/D78</f>
        <v/>
      </c>
      <c r="F78" s="21">
        <f>SUMIFS(Comps[RBA],Comps[STATE],B78,Comps[RENT],"&gt;"&amp;0)+SUMIFS(Available[RBA],Available[STATE],B78,Available[RENT],"&gt;"&amp;0)</f>
        <v/>
      </c>
      <c r="G78" s="21">
        <f>F78/D78</f>
        <v/>
      </c>
      <c r="H78" s="81">
        <f>C78/F78</f>
        <v/>
      </c>
      <c r="I78" s="81">
        <f t="array" ref="I78">PERCENTILE(IF(Comps[STATE]=B78,Comps[RENT/SF]),0.75)</f>
        <v/>
      </c>
      <c r="J78" s="81">
        <f t="array" ref="J78">PERCENTILE(IF(Comps[STATE]=B78,Comps[RENT/SF]),0.25)</f>
        <v/>
      </c>
      <c r="K78" s="81">
        <f t="array" ref="K78">MEDIAN(IF(Comps[STATE]=B78,Comps[RENT/SF]))</f>
        <v/>
      </c>
    </row>
    <row r="79">
      <c r="B79" s="1" t="inlineStr">
        <is>
          <t>SC</t>
        </is>
      </c>
      <c r="C79" s="80">
        <f>SUMIFS(Comps[RENT],Comps[STATE],B79)+SUMIFS(Available[RENT],Available[STATE],B79)</f>
        <v/>
      </c>
      <c r="D79" s="21">
        <f>COUNTIFS(Comps[RENT],"&gt;"&amp;0,Comps[STATE],B79)+COUNTIFS(Available[RENT],"&gt;"&amp;0,Available[STATE],B79)</f>
        <v/>
      </c>
      <c r="E79" s="80">
        <f>C79/D79</f>
        <v/>
      </c>
      <c r="F79" s="21">
        <f>SUMIFS(Comps[RBA],Comps[STATE],B79,Comps[RENT],"&gt;"&amp;0)+SUMIFS(Available[RBA],Available[STATE],B79,Available[RENT],"&gt;"&amp;0)</f>
        <v/>
      </c>
      <c r="G79" s="21">
        <f>F79/D79</f>
        <v/>
      </c>
      <c r="H79" s="81">
        <f>C79/F79</f>
        <v/>
      </c>
      <c r="I79" s="81">
        <f t="array" ref="I79">PERCENTILE(IF(Comps[STATE]=B79,Comps[RENT/SF]),0.75)</f>
        <v/>
      </c>
      <c r="J79" s="81">
        <f t="array" ref="J79">PERCENTILE(IF(Comps[STATE]=B79,Comps[RENT/SF]),0.25)</f>
        <v/>
      </c>
      <c r="K79" s="81">
        <f t="array" ref="K79">MEDIAN(IF(Comps[STATE]=B79,Comps[RENT/SF]))</f>
        <v/>
      </c>
    </row>
    <row r="80">
      <c r="B80" s="1" t="inlineStr">
        <is>
          <t>SD</t>
        </is>
      </c>
      <c r="C80" s="80">
        <f>SUMIFS(Comps[RENT],Comps[STATE],B80)+SUMIFS(Available[RENT],Available[STATE],B80)</f>
        <v/>
      </c>
      <c r="D80" s="21">
        <f>COUNTIFS(Comps[RENT],"&gt;"&amp;0,Comps[STATE],B80)+COUNTIFS(Available[RENT],"&gt;"&amp;0,Available[STATE],B80)</f>
        <v/>
      </c>
      <c r="E80" s="80">
        <f>C80/D80</f>
        <v/>
      </c>
      <c r="F80" s="21">
        <f>SUMIFS(Comps[RBA],Comps[STATE],B80,Comps[RENT],"&gt;"&amp;0)+SUMIFS(Available[RBA],Available[STATE],B80,Available[RENT],"&gt;"&amp;0)</f>
        <v/>
      </c>
      <c r="G80" s="21">
        <f>F80/D80</f>
        <v/>
      </c>
      <c r="H80" s="81">
        <f>C80/F80</f>
        <v/>
      </c>
      <c r="I80" s="81">
        <f t="array" ref="I80">PERCENTILE(IF(Comps[STATE]=B80,Comps[RENT/SF]),0.75)</f>
        <v/>
      </c>
      <c r="J80" s="81">
        <f t="array" ref="J80">PERCENTILE(IF(Comps[STATE]=B80,Comps[RENT/SF]),0.25)</f>
        <v/>
      </c>
      <c r="K80" s="81">
        <f t="array" ref="K80">MEDIAN(IF(Comps[STATE]=B80,Comps[RENT/SF]))</f>
        <v/>
      </c>
    </row>
    <row r="81">
      <c r="B81" s="1" t="inlineStr">
        <is>
          <t>TN</t>
        </is>
      </c>
      <c r="C81" s="80">
        <f>SUMIFS(Comps[RENT],Comps[STATE],B81)+SUMIFS(Available[RENT],Available[STATE],B81)</f>
        <v/>
      </c>
      <c r="D81" s="21">
        <f>COUNTIFS(Comps[RENT],"&gt;"&amp;0,Comps[STATE],B81)+COUNTIFS(Available[RENT],"&gt;"&amp;0,Available[STATE],B81)</f>
        <v/>
      </c>
      <c r="E81" s="80">
        <f>C81/D81</f>
        <v/>
      </c>
      <c r="F81" s="21">
        <f>SUMIFS(Comps[RBA],Comps[STATE],B81,Comps[RENT],"&gt;"&amp;0)+SUMIFS(Available[RBA],Available[STATE],B81,Available[RENT],"&gt;"&amp;0)</f>
        <v/>
      </c>
      <c r="G81" s="21">
        <f>F81/D81</f>
        <v/>
      </c>
      <c r="H81" s="81">
        <f>C81/F81</f>
        <v/>
      </c>
      <c r="I81" s="81">
        <f t="array" ref="I81">PERCENTILE(IF(Comps[STATE]=B81,Comps[RENT/SF]),0.75)</f>
        <v/>
      </c>
      <c r="J81" s="81">
        <f t="array" ref="J81">PERCENTILE(IF(Comps[STATE]=B81,Comps[RENT/SF]),0.25)</f>
        <v/>
      </c>
      <c r="K81" s="81">
        <f t="array" ref="K81">MEDIAN(IF(Comps[STATE]=B81,Comps[RENT/SF]))</f>
        <v/>
      </c>
    </row>
    <row r="82">
      <c r="B82" s="1" t="inlineStr">
        <is>
          <t>TX</t>
        </is>
      </c>
      <c r="C82" s="80">
        <f>SUMIFS(Comps[RENT],Comps[STATE],B82)+SUMIFS(Available[RENT],Available[STATE],B82)</f>
        <v/>
      </c>
      <c r="D82" s="21">
        <f>COUNTIFS(Comps[RENT],"&gt;"&amp;0,Comps[STATE],B82)+COUNTIFS(Available[RENT],"&gt;"&amp;0,Available[STATE],B82)</f>
        <v/>
      </c>
      <c r="E82" s="80">
        <f>C82/D82</f>
        <v/>
      </c>
      <c r="F82" s="21">
        <f>SUMIFS(Comps[RBA],Comps[STATE],B82,Comps[RENT],"&gt;"&amp;0)+SUMIFS(Available[RBA],Available[STATE],B82,Available[RENT],"&gt;"&amp;0)</f>
        <v/>
      </c>
      <c r="G82" s="21">
        <f>F82/D82</f>
        <v/>
      </c>
      <c r="H82" s="81">
        <f>C82/F82</f>
        <v/>
      </c>
      <c r="I82" s="81">
        <f t="array" ref="I82">PERCENTILE(IF(Comps[STATE]=B82,Comps[RENT/SF]),0.75)</f>
        <v/>
      </c>
      <c r="J82" s="81">
        <f t="array" ref="J82">PERCENTILE(IF(Comps[STATE]=B82,Comps[RENT/SF]),0.25)</f>
        <v/>
      </c>
      <c r="K82" s="81">
        <f t="array" ref="K82">MEDIAN(IF(Comps[STATE]=B82,Comps[RENT/SF]))</f>
        <v/>
      </c>
    </row>
    <row r="83">
      <c r="B83" s="1" t="inlineStr">
        <is>
          <t>UT</t>
        </is>
      </c>
      <c r="C83" s="80">
        <f>SUMIFS(Comps[RENT],Comps[STATE],B83)+SUMIFS(Available[RENT],Available[STATE],B83)</f>
        <v/>
      </c>
      <c r="D83" s="21">
        <f>COUNTIFS(Comps[RENT],"&gt;"&amp;0,Comps[STATE],B83)+COUNTIFS(Available[RENT],"&gt;"&amp;0,Available[STATE],B83)</f>
        <v/>
      </c>
      <c r="E83" s="80">
        <f>C83/D83</f>
        <v/>
      </c>
      <c r="F83" s="21">
        <f>SUMIFS(Comps[RBA],Comps[STATE],B83,Comps[RENT],"&gt;"&amp;0)+SUMIFS(Available[RBA],Available[STATE],B83,Available[RENT],"&gt;"&amp;0)</f>
        <v/>
      </c>
      <c r="G83" s="21">
        <f>F83/D83</f>
        <v/>
      </c>
      <c r="H83" s="81">
        <f>C83/F83</f>
        <v/>
      </c>
      <c r="I83" s="81">
        <f t="array" ref="I83">PERCENTILE(IF(Comps[STATE]=B83,Comps[RENT/SF]),0.75)</f>
        <v/>
      </c>
      <c r="J83" s="81">
        <f t="array" ref="J83">PERCENTILE(IF(Comps[STATE]=B83,Comps[RENT/SF]),0.25)</f>
        <v/>
      </c>
      <c r="K83" s="81">
        <f t="array" ref="K83">MEDIAN(IF(Comps[STATE]=B83,Comps[RENT/SF]))</f>
        <v/>
      </c>
    </row>
    <row r="84">
      <c r="B84" s="1" t="inlineStr">
        <is>
          <t>VT</t>
        </is>
      </c>
      <c r="C84" s="80" t="n"/>
      <c r="D84" s="21" t="n"/>
      <c r="E84" s="80" t="n"/>
      <c r="F84" s="21" t="n"/>
      <c r="G84" s="21" t="n"/>
      <c r="H84" s="81" t="n"/>
      <c r="I84" s="81" t="n"/>
      <c r="J84" s="81" t="n"/>
      <c r="K84" s="81" t="n"/>
    </row>
    <row r="85">
      <c r="B85" s="1" t="inlineStr">
        <is>
          <t>VA</t>
        </is>
      </c>
      <c r="C85" s="80">
        <f>SUMIFS(Comps[RENT],Comps[STATE],B85)+SUMIFS(Available[RENT],Available[STATE],B85)</f>
        <v/>
      </c>
      <c r="D85" s="21">
        <f>COUNTIFS(Comps[RENT],"&gt;"&amp;0,Comps[STATE],B85)+COUNTIFS(Available[RENT],"&gt;"&amp;0,Available[STATE],B85)</f>
        <v/>
      </c>
      <c r="E85" s="80">
        <f>C85/D85</f>
        <v/>
      </c>
      <c r="F85" s="21">
        <f>SUMIFS(Comps[RBA],Comps[STATE],B85,Comps[RENT],"&gt;"&amp;0)+SUMIFS(Available[RBA],Available[STATE],B85,Available[RENT],"&gt;"&amp;0)</f>
        <v/>
      </c>
      <c r="G85" s="21">
        <f>F85/D85</f>
        <v/>
      </c>
      <c r="H85" s="81">
        <f>C85/F85</f>
        <v/>
      </c>
      <c r="I85" s="81">
        <f t="array" ref="I85">PERCENTILE(IF(Comps[STATE]=B85,Comps[RENT/SF]),0.75)</f>
        <v/>
      </c>
      <c r="J85" s="81">
        <f t="array" ref="J85">PERCENTILE(IF(Comps[STATE]=B85,Comps[RENT/SF]),0.25)</f>
        <v/>
      </c>
      <c r="K85" s="81">
        <f t="array" ref="K85">MEDIAN(IF(Comps[STATE]=B85,Comps[RENT/SF]))</f>
        <v/>
      </c>
    </row>
    <row r="86">
      <c r="B86" s="1" t="inlineStr">
        <is>
          <t>WA</t>
        </is>
      </c>
      <c r="C86" s="80">
        <f>SUMIFS(Comps[RENT],Comps[STATE],B86)+SUMIFS(Available[RENT],Available[STATE],B86)</f>
        <v/>
      </c>
      <c r="D86" s="21">
        <f>COUNTIFS(Comps[RENT],"&gt;"&amp;0,Comps[STATE],B86)+COUNTIFS(Available[RENT],"&gt;"&amp;0,Available[STATE],B86)</f>
        <v/>
      </c>
      <c r="E86" s="80">
        <f>C86/D86</f>
        <v/>
      </c>
      <c r="F86" s="21">
        <f>SUMIFS(Comps[RBA],Comps[STATE],B86,Comps[RENT],"&gt;"&amp;0)+SUMIFS(Available[RBA],Available[STATE],B86,Available[RENT],"&gt;"&amp;0)</f>
        <v/>
      </c>
      <c r="G86" s="21">
        <f>F86/D86</f>
        <v/>
      </c>
      <c r="H86" s="81">
        <f>C86/F86</f>
        <v/>
      </c>
      <c r="I86" s="81">
        <f t="array" ref="I86">PERCENTILE(IF(Comps[STATE]=B86,Comps[RENT/SF]),0.75)</f>
        <v/>
      </c>
      <c r="J86" s="81">
        <f t="array" ref="J86">PERCENTILE(IF(Comps[STATE]=B86,Comps[RENT/SF]),0.25)</f>
        <v/>
      </c>
      <c r="K86" s="81">
        <f t="array" ref="K86">MEDIAN(IF(Comps[STATE]=B86,Comps[RENT/SF]))</f>
        <v/>
      </c>
    </row>
    <row r="87">
      <c r="B87" s="1" t="inlineStr">
        <is>
          <t>WV</t>
        </is>
      </c>
      <c r="C87" s="80">
        <f>SUMIFS(Comps[RENT],Comps[STATE],B87)+SUMIFS(Available[RENT],Available[STATE],B87)</f>
        <v/>
      </c>
      <c r="D87" s="21">
        <f>COUNTIFS(Comps[RENT],"&gt;"&amp;0,Comps[STATE],B87)+COUNTIFS(Available[RENT],"&gt;"&amp;0,Available[STATE],B87)</f>
        <v/>
      </c>
      <c r="E87" s="80">
        <f>C87/D87</f>
        <v/>
      </c>
      <c r="F87" s="21">
        <f>SUMIFS(Comps[RBA],Comps[STATE],B87,Comps[RENT],"&gt;"&amp;0)+SUMIFS(Available[RBA],Available[STATE],B87,Available[RENT],"&gt;"&amp;0)</f>
        <v/>
      </c>
      <c r="G87" s="21">
        <f>F87/D87</f>
        <v/>
      </c>
      <c r="H87" s="81">
        <f>C87/F87</f>
        <v/>
      </c>
      <c r="I87" s="81">
        <f t="array" ref="I87">PERCENTILE(IF(Comps[STATE]=B87,Comps[RENT/SF]),0.75)</f>
        <v/>
      </c>
      <c r="J87" s="81">
        <f t="array" ref="J87">PERCENTILE(IF(Comps[STATE]=B87,Comps[RENT/SF]),0.25)</f>
        <v/>
      </c>
      <c r="K87" s="81">
        <f t="array" ref="K87">MEDIAN(IF(Comps[STATE]=B87,Comps[RENT/SF]))</f>
        <v/>
      </c>
    </row>
    <row r="88">
      <c r="B88" s="1" t="inlineStr">
        <is>
          <t>WI</t>
        </is>
      </c>
      <c r="C88" s="80">
        <f>SUMIFS(Comps[RENT],Comps[STATE],B88)+SUMIFS(Available[RENT],Available[STATE],B88)</f>
        <v/>
      </c>
      <c r="D88" s="21">
        <f>COUNTIFS(Comps[RENT],"&gt;"&amp;0,Comps[STATE],B88)+COUNTIFS(Available[RENT],"&gt;"&amp;0,Available[STATE],B88)</f>
        <v/>
      </c>
      <c r="E88" s="80">
        <f>C88/D88</f>
        <v/>
      </c>
      <c r="F88" s="21">
        <f>SUMIFS(Comps[RBA],Comps[STATE],B88,Comps[RENT],"&gt;"&amp;0)+SUMIFS(Available[RBA],Available[STATE],B88,Available[RENT],"&gt;"&amp;0)</f>
        <v/>
      </c>
      <c r="G88" s="21">
        <f>F88/D88</f>
        <v/>
      </c>
      <c r="H88" s="81">
        <f>C88/F88</f>
        <v/>
      </c>
      <c r="I88" s="81">
        <f t="array" ref="I88">PERCENTILE(IF(Comps[STATE]=B88,Comps[RENT/SF]),0.75)</f>
        <v/>
      </c>
      <c r="J88" s="81">
        <f t="array" ref="J88">PERCENTILE(IF(Comps[STATE]=B88,Comps[RENT/SF]),0.25)</f>
        <v/>
      </c>
      <c r="K88" s="81">
        <f t="array" ref="K88">MEDIAN(IF(Comps[STATE]=B88,Comps[RENT/SF]))</f>
        <v/>
      </c>
    </row>
    <row r="89">
      <c r="B89" s="1" t="inlineStr">
        <is>
          <t>WY</t>
        </is>
      </c>
    </row>
    <row r="91"/>
    <row r="92" ht="12.75" customHeight="1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cols>
    <col width="166.5703125" bestFit="1" customWidth="1" style="1" min="1" max="1"/>
    <col width="19.5703125" bestFit="1" customWidth="1" min="2" max="2"/>
    <col width="21.85546875" bestFit="1" customWidth="1" style="1" min="3" max="3"/>
    <col width="24.140625" bestFit="1" customWidth="1" min="4" max="4"/>
  </cols>
  <sheetData>
    <row r="1">
      <c r="B1" s="1" t="n"/>
    </row>
    <row r="1217" customFormat="1" s="1"/>
    <row r="1218" customFormat="1" s="1"/>
    <row r="1219" customFormat="1" s="1"/>
    <row r="1220" customFormat="1" s="1"/>
    <row r="1221" customFormat="1" s="1"/>
    <row r="1222" customFormat="1" s="1"/>
    <row r="1223" customFormat="1" s="1"/>
    <row r="1224" customFormat="1" s="1"/>
    <row r="1225" customFormat="1" s="1"/>
    <row r="1226" customFormat="1" s="1"/>
    <row r="1227" customFormat="1" s="1"/>
    <row r="1228" customFormat="1" s="1"/>
    <row r="1229" customFormat="1" s="1"/>
    <row r="1230" customFormat="1" s="1"/>
    <row r="1231" customFormat="1" s="1"/>
    <row r="1232" customFormat="1" s="1"/>
    <row r="1233" customFormat="1" s="1"/>
    <row r="1234" customFormat="1" s="1"/>
    <row r="1235" customFormat="1" s="1"/>
    <row r="1236" customFormat="1" s="1"/>
    <row r="1237" customFormat="1" s="1"/>
    <row r="1238" customFormat="1" s="1"/>
    <row r="1239" customFormat="1" s="1"/>
    <row r="1240" customFormat="1" s="1"/>
    <row r="1241" customFormat="1" s="1"/>
    <row r="1242" customFormat="1" s="1"/>
    <row r="1243" customFormat="1" s="1"/>
    <row r="1244" customFormat="1" s="1"/>
    <row r="1245" customFormat="1" s="1"/>
    <row r="1246" customFormat="1" s="1"/>
    <row r="1247" customFormat="1" s="1"/>
    <row r="1248" customFormat="1" s="1"/>
    <row r="1249" customFormat="1" s="1"/>
    <row r="1250" customFormat="1" s="1"/>
    <row r="1251" customFormat="1" s="1"/>
    <row r="1252" customFormat="1" s="1"/>
    <row r="1253" customFormat="1" s="1"/>
    <row r="1254" customFormat="1" s="1"/>
    <row r="1255" customFormat="1" s="1"/>
    <row r="1256" customFormat="1" s="1"/>
    <row r="1257" customFormat="1" s="1"/>
    <row r="1258" customFormat="1" s="1"/>
    <row r="1259" customFormat="1" s="1"/>
    <row r="1260" customFormat="1" s="1"/>
    <row r="1261" customFormat="1" s="1"/>
    <row r="1262" customFormat="1" s="1"/>
    <row r="1263" customFormat="1" s="1"/>
    <row r="1264" customFormat="1" s="1"/>
    <row r="1265" customFormat="1" s="1"/>
    <row r="1266" customFormat="1" s="1"/>
    <row r="1267" customFormat="1" s="1"/>
    <row r="1268" customFormat="1" s="1"/>
    <row r="1269" customFormat="1" s="1"/>
    <row r="1270" customFormat="1" s="1"/>
    <row r="1271" customFormat="1" s="1"/>
    <row r="1272" customFormat="1" s="1"/>
    <row r="1273" customFormat="1" s="1"/>
    <row r="1274" customFormat="1" s="1"/>
    <row r="1275" customFormat="1" s="1"/>
    <row r="1276" customFormat="1" s="1"/>
    <row r="1277" customFormat="1" s="1"/>
    <row r="1278" customFormat="1" s="1"/>
    <row r="1279" customFormat="1" s="1"/>
    <row r="1280" customFormat="1" s="1"/>
    <row r="1281" customFormat="1" s="1"/>
    <row r="1282" customFormat="1" s="1"/>
    <row r="1283" customFormat="1" s="1"/>
    <row r="1284" customFormat="1" s="1"/>
    <row r="1285" customFormat="1" s="1"/>
    <row r="1286" customFormat="1" s="1"/>
    <row r="1287" customFormat="1" s="1"/>
    <row r="1288" customFormat="1" s="1"/>
    <row r="1289" customFormat="1" s="1"/>
    <row r="1290" customFormat="1" s="1"/>
    <row r="1291" customFormat="1" s="1"/>
    <row r="1292" customFormat="1" s="1"/>
    <row r="1293" customFormat="1" s="1"/>
    <row r="1294" customFormat="1" s="1"/>
    <row r="1295" customFormat="1" s="1"/>
    <row r="1296" customFormat="1" s="1"/>
    <row r="1297" customFormat="1" s="1"/>
    <row r="1298" customFormat="1" s="1"/>
    <row r="1299" customFormat="1" s="1"/>
    <row r="1300" customFormat="1" s="1"/>
    <row r="1301" customFormat="1" s="1"/>
    <row r="1302" customFormat="1" s="1"/>
    <row r="1303" customFormat="1" s="1"/>
    <row r="1304" customFormat="1" s="1"/>
    <row r="1305" customFormat="1" s="1"/>
    <row r="1306" customFormat="1" s="1"/>
    <row r="1307" customFormat="1" s="1"/>
    <row r="1308" customFormat="1" s="1"/>
    <row r="1309" customFormat="1" s="1"/>
    <row r="1310" customFormat="1" s="1"/>
    <row r="1311" customFormat="1" s="1"/>
    <row r="1312" customFormat="1" s="1"/>
    <row r="1313" customFormat="1" s="1"/>
    <row r="1314" customFormat="1" s="1"/>
    <row r="1315" customFormat="1" s="1"/>
    <row r="1316" customFormat="1" s="1"/>
    <row r="1317" customFormat="1" s="1"/>
    <row r="1318" customFormat="1" s="1"/>
    <row r="1319" customFormat="1" s="1"/>
    <row r="1320" customFormat="1" s="1"/>
    <row r="1321" customFormat="1" s="1"/>
    <row r="1322" customFormat="1" s="1"/>
    <row r="1323" customFormat="1" s="1"/>
    <row r="1324" customFormat="1" s="1"/>
    <row r="1325" customFormat="1" s="1"/>
    <row r="1326" customFormat="1" s="1"/>
    <row r="1327" customFormat="1" s="1"/>
    <row r="1328" customFormat="1" s="1"/>
    <row r="1329" customFormat="1" s="1"/>
    <row r="1330" customFormat="1" s="1"/>
    <row r="1331" customFormat="1" s="1"/>
    <row r="1332" customFormat="1" s="1"/>
    <row r="1333" customFormat="1" s="1"/>
    <row r="1334" customFormat="1" s="1"/>
    <row r="1335" customFormat="1" s="1"/>
    <row r="1336" customFormat="1" s="1"/>
    <row r="1337" customFormat="1" s="1"/>
    <row r="1338" customFormat="1" s="1"/>
    <row r="1339" customFormat="1" s="1"/>
    <row r="1340" customFormat="1" s="1"/>
    <row r="1341" customFormat="1" s="1"/>
    <row r="1342" customFormat="1" s="1"/>
    <row r="1343" customFormat="1" s="1"/>
    <row r="1344" customFormat="1" s="1"/>
    <row r="1345" customFormat="1" s="1"/>
    <row r="1346" customFormat="1" s="1"/>
    <row r="1347" customFormat="1" s="1"/>
    <row r="1348" customFormat="1" s="1"/>
    <row r="1349" customFormat="1" s="1"/>
    <row r="1350" customFormat="1" s="1"/>
    <row r="1351" customFormat="1" s="1"/>
    <row r="1352" customFormat="1" s="1"/>
    <row r="1353" customFormat="1" s="1"/>
    <row r="1354" customFormat="1" s="1"/>
    <row r="1355" customFormat="1" s="1"/>
    <row r="1356" customFormat="1" s="1"/>
    <row r="1357" customFormat="1" s="1"/>
    <row r="1358" customFormat="1" s="1"/>
    <row r="1359" customFormat="1" s="1"/>
    <row r="1360" customFormat="1" s="1"/>
    <row r="1361" customFormat="1" s="1"/>
    <row r="1362" customFormat="1" s="1"/>
    <row r="1363" customFormat="1" s="1"/>
    <row r="1364" customFormat="1" s="1"/>
    <row r="1365" customFormat="1" s="1"/>
    <row r="1366" customFormat="1" s="1"/>
    <row r="1367" customFormat="1" s="1"/>
    <row r="1368" customFormat="1" s="1"/>
    <row r="1369" customFormat="1" s="1"/>
    <row r="1370" customFormat="1" s="1"/>
    <row r="1371" customFormat="1" s="1"/>
    <row r="1372" customFormat="1" s="1"/>
    <row r="1373" customFormat="1" s="1"/>
    <row r="1374" customFormat="1" s="1"/>
    <row r="1375" customFormat="1" s="1"/>
    <row r="1376" customFormat="1" s="1"/>
    <row r="1377" customFormat="1" s="1"/>
    <row r="1378" customFormat="1" s="1"/>
    <row r="1379" customFormat="1" s="1"/>
    <row r="1380" customFormat="1" s="1"/>
    <row r="1381" customFormat="1" s="1"/>
    <row r="1382" customFormat="1" s="1"/>
    <row r="1383" customFormat="1" s="1"/>
    <row r="1384" customFormat="1" s="1"/>
    <row r="1385" customFormat="1" s="1"/>
    <row r="1386" customFormat="1" s="1"/>
    <row r="1387" customFormat="1" s="1"/>
    <row r="1388" customFormat="1" s="1"/>
    <row r="1389" customFormat="1" s="1"/>
    <row r="1390" customFormat="1" s="1"/>
    <row r="1391" customFormat="1" s="1"/>
    <row r="1392" customFormat="1" s="1"/>
    <row r="1393" customFormat="1" s="1"/>
    <row r="1394" customFormat="1" s="1"/>
    <row r="1395" customFormat="1" s="1"/>
    <row r="1396" customFormat="1" s="1"/>
    <row r="1397" customFormat="1" s="1"/>
    <row r="1398" customFormat="1" s="1"/>
    <row r="1399" customFormat="1" s="1"/>
    <row r="1400" customFormat="1" s="1"/>
    <row r="1401" customFormat="1" s="1"/>
    <row r="1402" customFormat="1" s="1"/>
    <row r="1403" customFormat="1" s="1"/>
    <row r="1404" customFormat="1" s="1"/>
    <row r="1405" customFormat="1" s="1"/>
    <row r="1406" customFormat="1" s="1"/>
    <row r="1407" customFormat="1" s="1"/>
    <row r="1408" customFormat="1" s="1"/>
    <row r="1409" customFormat="1" s="1"/>
    <row r="1410" customFormat="1" s="1"/>
    <row r="1411" customFormat="1" s="1"/>
    <row r="1412" customFormat="1" s="1"/>
    <row r="1413" customFormat="1" s="1"/>
    <row r="1414" customFormat="1" s="1"/>
    <row r="1415" customFormat="1" s="1"/>
    <row r="1416" customFormat="1" s="1"/>
    <row r="1417" customFormat="1" s="1"/>
    <row r="1418" customFormat="1" s="1"/>
    <row r="1419" customFormat="1" s="1"/>
    <row r="1420" customFormat="1" s="1"/>
    <row r="1421" customFormat="1" s="1"/>
    <row r="1422" customFormat="1" s="1"/>
    <row r="1423" customFormat="1" s="1"/>
    <row r="1424" customFormat="1" s="1"/>
    <row r="1425" customFormat="1" s="1"/>
    <row r="1426" customFormat="1" s="1"/>
    <row r="1427" customFormat="1" s="1"/>
    <row r="1428" customFormat="1" s="1"/>
    <row r="1429" customFormat="1" s="1"/>
    <row r="1430" customFormat="1" s="1"/>
    <row r="1431" customFormat="1" s="1"/>
    <row r="1432" customFormat="1" s="1"/>
    <row r="1433" customFormat="1" s="1"/>
    <row r="1434" customFormat="1" s="1"/>
    <row r="1435" customFormat="1" s="1"/>
    <row r="1436" customFormat="1" s="1"/>
    <row r="1437" customFormat="1" s="1"/>
    <row r="1438" customFormat="1" s="1"/>
    <row r="1439" customFormat="1" s="1"/>
    <row r="1440" customFormat="1" s="1"/>
    <row r="1441" customFormat="1" s="1"/>
    <row r="1442" customFormat="1" s="1"/>
    <row r="1443" customFormat="1" s="1"/>
    <row r="1444" customFormat="1" s="1"/>
    <row r="1445" customFormat="1" s="1"/>
    <row r="1446" customFormat="1" s="1"/>
    <row r="1447" customFormat="1" s="1"/>
    <row r="1448" customFormat="1" s="1"/>
    <row r="1449" customFormat="1" s="1"/>
    <row r="1450" customFormat="1" s="1"/>
    <row r="1451" customFormat="1" s="1"/>
    <row r="1452" customFormat="1" s="1"/>
    <row r="1453" customFormat="1" s="1"/>
    <row r="1454" customFormat="1" s="1"/>
    <row r="1455" customFormat="1" s="1"/>
    <row r="1456" customFormat="1" s="1"/>
    <row r="1457" customFormat="1" s="1"/>
    <row r="1458" customFormat="1" s="1"/>
    <row r="1459" customFormat="1" s="1"/>
    <row r="1460" customFormat="1" s="1"/>
    <row r="1461" customFormat="1" s="1"/>
    <row r="1462" customFormat="1" s="1"/>
    <row r="1463" customFormat="1" s="1"/>
    <row r="1464" customFormat="1" s="1"/>
    <row r="1465" customFormat="1" s="1"/>
    <row r="1466" customFormat="1" s="1"/>
    <row r="1467" customFormat="1" s="1"/>
    <row r="1468" customFormat="1" s="1"/>
    <row r="1469" customFormat="1" s="1"/>
    <row r="1470" customFormat="1" s="1"/>
    <row r="1471" customFormat="1" s="1"/>
    <row r="1472" customFormat="1" s="1"/>
    <row r="1473" customFormat="1" s="1"/>
    <row r="1474" customFormat="1" s="1"/>
    <row r="1475" customFormat="1" s="1"/>
    <row r="1476" customFormat="1" s="1"/>
    <row r="1477" customFormat="1" s="1"/>
    <row r="1478" customFormat="1" s="1"/>
    <row r="1479" customFormat="1" s="1"/>
    <row r="1480" customFormat="1" s="1"/>
    <row r="1481" customFormat="1" s="1"/>
    <row r="1482" customFormat="1" s="1"/>
    <row r="1483" customFormat="1" s="1"/>
    <row r="1484" customFormat="1" s="1"/>
    <row r="1485" customFormat="1" s="1"/>
    <row r="1486" customFormat="1" s="1"/>
    <row r="1487" customFormat="1" s="1"/>
    <row r="1488" customFormat="1" s="1"/>
    <row r="1489" customFormat="1" s="1"/>
    <row r="1490" customFormat="1" s="1"/>
    <row r="1491" customFormat="1" s="1"/>
    <row r="1492" customFormat="1" s="1"/>
    <row r="1493" customFormat="1" s="1"/>
    <row r="1494" customFormat="1" s="1"/>
    <row r="1495" customFormat="1" s="1"/>
    <row r="1496" customFormat="1" s="1"/>
    <row r="1497" customFormat="1" s="1"/>
    <row r="1498" customFormat="1" s="1"/>
    <row r="1499" customFormat="1" s="1"/>
    <row r="1500" customFormat="1" s="1"/>
    <row r="1501" customFormat="1" s="1"/>
    <row r="1502" customFormat="1" s="1"/>
    <row r="1503" customFormat="1" s="1"/>
    <row r="1504" customFormat="1" s="1"/>
    <row r="1505" customFormat="1" s="1"/>
    <row r="1506" customFormat="1" s="1"/>
    <row r="1507" customFormat="1" s="1"/>
    <row r="1508" customFormat="1" s="1"/>
    <row r="1509" customFormat="1" s="1"/>
    <row r="1510" customFormat="1" s="1"/>
    <row r="1511" customFormat="1" s="1"/>
    <row r="1512" customFormat="1" s="1"/>
    <row r="1513" customFormat="1" s="1"/>
    <row r="1514" customFormat="1" s="1"/>
    <row r="1515" customFormat="1" s="1"/>
    <row r="1516" customFormat="1" s="1"/>
    <row r="1517" customFormat="1" s="1"/>
    <row r="1518" customFormat="1" s="1"/>
    <row r="1519" customFormat="1" s="1"/>
    <row r="1520" customFormat="1" s="1"/>
    <row r="1521" customFormat="1" s="1"/>
    <row r="1522" customFormat="1" s="1"/>
    <row r="1523" customFormat="1" s="1"/>
    <row r="1524" customFormat="1" s="1"/>
    <row r="1525" customFormat="1" s="1"/>
    <row r="1526" customFormat="1" s="1"/>
    <row r="1527" customFormat="1" s="1"/>
    <row r="1528" customFormat="1" s="1"/>
    <row r="1529" customFormat="1" s="1"/>
    <row r="1530" customFormat="1" s="1"/>
    <row r="1531" customFormat="1" s="1"/>
    <row r="1532" customFormat="1" s="1"/>
    <row r="1533" customFormat="1" s="1"/>
    <row r="1534" customFormat="1" s="1"/>
    <row r="1535" customFormat="1" s="1"/>
    <row r="1536" customFormat="1" s="1"/>
    <row r="1537" customFormat="1" s="1"/>
    <row r="1538" customFormat="1" s="1"/>
    <row r="1539" customFormat="1" s="1"/>
    <row r="1540" customFormat="1" s="1"/>
    <row r="1541" customFormat="1" s="1"/>
    <row r="1542" customFormat="1" s="1"/>
    <row r="1543" customFormat="1" s="1"/>
    <row r="1544" customFormat="1" s="1"/>
    <row r="1545" customFormat="1" s="1"/>
    <row r="1546" customFormat="1" s="1"/>
    <row r="1547" customFormat="1" s="1"/>
    <row r="1548" customFormat="1" s="1"/>
    <row r="1549" customFormat="1" s="1"/>
    <row r="1550" customFormat="1" s="1"/>
    <row r="1551" customFormat="1" s="1"/>
    <row r="1552" customFormat="1" s="1"/>
    <row r="1553" customFormat="1" s="1"/>
    <row r="1554" customFormat="1" s="1"/>
    <row r="1555" customFormat="1" s="1"/>
    <row r="1556" customFormat="1" s="1"/>
    <row r="1557" customFormat="1" s="1"/>
    <row r="1558" customFormat="1" s="1"/>
    <row r="1559" customFormat="1" s="1"/>
    <row r="1560" customFormat="1" s="1"/>
    <row r="1561" customFormat="1" s="1"/>
    <row r="1562" customFormat="1" s="1"/>
    <row r="1563" customFormat="1" s="1"/>
    <row r="1564" customFormat="1" s="1"/>
    <row r="1565" customFormat="1" s="1"/>
    <row r="1566" customFormat="1" s="1"/>
    <row r="1567" customFormat="1" s="1"/>
    <row r="1568" customFormat="1" s="1"/>
    <row r="1569" customFormat="1" s="1"/>
    <row r="1570" customFormat="1" s="1"/>
    <row r="1571" customFormat="1" s="1"/>
    <row r="1572" customFormat="1" s="1"/>
    <row r="1573" customFormat="1" s="1"/>
    <row r="1574" customFormat="1" s="1"/>
    <row r="1575" customFormat="1" s="1"/>
    <row r="1576" customFormat="1" s="1"/>
    <row r="1577" customFormat="1" s="1"/>
    <row r="1578" customFormat="1" s="1"/>
    <row r="1579" customFormat="1" s="1"/>
    <row r="1580" customFormat="1" s="1"/>
    <row r="1581" customFormat="1" s="1"/>
    <row r="1582" customFormat="1" s="1"/>
    <row r="1583" customFormat="1" s="1"/>
    <row r="1584" customFormat="1" s="1"/>
    <row r="1585" customFormat="1" s="1"/>
    <row r="1586" customFormat="1" s="1"/>
    <row r="1587" customFormat="1" s="1"/>
    <row r="1588" customFormat="1" s="1"/>
    <row r="1589" customFormat="1" s="1"/>
    <row r="1590" customFormat="1" s="1"/>
    <row r="1591" customFormat="1" s="1"/>
    <row r="1592" customFormat="1" s="1"/>
    <row r="1593" customFormat="1" s="1"/>
    <row r="1594" customFormat="1" s="1"/>
    <row r="1595" customFormat="1" s="1"/>
    <row r="1596" customFormat="1" s="1"/>
    <row r="1597" customFormat="1" s="1"/>
    <row r="1598" customFormat="1" s="1"/>
    <row r="1599" customFormat="1" s="1"/>
    <row r="1600" customFormat="1" s="1"/>
    <row r="1601" customFormat="1" s="1"/>
    <row r="1602" customFormat="1" s="1"/>
    <row r="1603" customFormat="1" s="1"/>
    <row r="1604" customFormat="1" s="1"/>
    <row r="1605" customFormat="1" s="1"/>
    <row r="1606" customFormat="1" s="1"/>
    <row r="1607" customFormat="1" s="1"/>
    <row r="1608" customFormat="1" s="1"/>
    <row r="1609" customFormat="1" s="1"/>
    <row r="1610" customFormat="1" s="1"/>
    <row r="1611" customFormat="1" s="1"/>
    <row r="1612" customFormat="1" s="1"/>
    <row r="1613" customFormat="1" s="1"/>
    <row r="1614" customFormat="1" s="1"/>
    <row r="1615" customFormat="1" s="1"/>
    <row r="1616" customFormat="1" s="1"/>
    <row r="1617" customFormat="1" s="1"/>
    <row r="1618" customFormat="1" s="1"/>
    <row r="1619" customFormat="1" s="1"/>
    <row r="1620" customFormat="1" s="1"/>
    <row r="1621" customFormat="1" s="1"/>
    <row r="1622" customFormat="1" s="1"/>
    <row r="1623" customFormat="1" s="1"/>
    <row r="1624" customFormat="1" s="1"/>
    <row r="1625" customFormat="1" s="1"/>
    <row r="1626" customFormat="1" s="1"/>
    <row r="1627" customFormat="1" s="1"/>
    <row r="1628" customFormat="1" s="1"/>
    <row r="1629" customFormat="1" s="1"/>
    <row r="1630" customFormat="1" s="1"/>
    <row r="1631" customFormat="1" s="1"/>
    <row r="1632" customFormat="1" s="1"/>
    <row r="1633" customFormat="1" s="1"/>
    <row r="1634" customFormat="1" s="1"/>
    <row r="1635" customFormat="1" s="1"/>
    <row r="1636" customFormat="1" s="1"/>
    <row r="1637" customFormat="1" s="1"/>
    <row r="1638" customFormat="1" s="1"/>
    <row r="1639" customFormat="1" s="1"/>
    <row r="1640" customFormat="1" s="1"/>
    <row r="1641" customFormat="1" s="1"/>
    <row r="1642" customFormat="1" s="1"/>
    <row r="1643" customFormat="1" s="1"/>
    <row r="1644" customFormat="1" s="1"/>
    <row r="1645" customFormat="1" s="1"/>
    <row r="1646" customFormat="1" s="1"/>
    <row r="1647" customFormat="1" s="1"/>
    <row r="1648" customFormat="1" s="1"/>
    <row r="1649" customFormat="1" s="1"/>
    <row r="1650" customFormat="1" s="1"/>
    <row r="1651" customFormat="1" s="1"/>
    <row r="1652" customFormat="1" s="1"/>
    <row r="1653" customFormat="1" s="1"/>
    <row r="1654" customFormat="1" s="1"/>
    <row r="1655" customFormat="1" s="1"/>
    <row r="1656" customFormat="1" s="1"/>
    <row r="1657" customFormat="1" s="1"/>
    <row r="1658" customFormat="1" s="1"/>
    <row r="1659" customFormat="1" s="1"/>
    <row r="1660" customFormat="1" s="1"/>
    <row r="1661" customFormat="1" s="1"/>
    <row r="1662" customFormat="1" s="1"/>
    <row r="1663" customFormat="1" s="1"/>
    <row r="1664" customFormat="1" s="1"/>
    <row r="1665" customFormat="1" s="1"/>
    <row r="1666" customFormat="1" s="1"/>
    <row r="1667" customFormat="1" s="1"/>
    <row r="1668" customFormat="1" s="1"/>
    <row r="1669" customFormat="1" s="1"/>
    <row r="1670" customFormat="1" s="1"/>
    <row r="1671" customFormat="1" s="1"/>
    <row r="1672" customFormat="1" s="1"/>
    <row r="1673" customFormat="1" s="1"/>
    <row r="1674" customFormat="1" s="1"/>
    <row r="1675" customFormat="1" s="1"/>
    <row r="1676" customFormat="1" s="1"/>
    <row r="1677" customFormat="1" s="1"/>
    <row r="1678" customFormat="1" s="1"/>
    <row r="1679" customFormat="1" s="1"/>
    <row r="1680" customFormat="1" s="1"/>
    <row r="1681" customFormat="1" s="1"/>
    <row r="1682" customFormat="1" s="1"/>
    <row r="1683" customFormat="1" s="1"/>
    <row r="1684" customFormat="1" s="1"/>
    <row r="1685" customFormat="1" s="1"/>
    <row r="1686" customFormat="1" s="1"/>
    <row r="1687" customFormat="1" s="1"/>
    <row r="1688" customFormat="1" s="1"/>
    <row r="1689" customFormat="1" s="1"/>
    <row r="1690" customFormat="1" s="1"/>
    <row r="1691" customFormat="1" s="1"/>
    <row r="1692" customFormat="1" s="1"/>
    <row r="1693" customFormat="1" s="1"/>
    <row r="1694" customFormat="1" s="1"/>
    <row r="1695" customFormat="1" s="1"/>
    <row r="1696" customFormat="1" s="1"/>
    <row r="1697" customFormat="1" s="1"/>
    <row r="1698" customFormat="1" s="1"/>
    <row r="1699" customFormat="1" s="1"/>
    <row r="1700" customFormat="1" s="1"/>
    <row r="1701" customFormat="1" s="1"/>
    <row r="1702" customFormat="1" s="1"/>
    <row r="1703" customFormat="1" s="1"/>
    <row r="1704" customFormat="1" s="1"/>
    <row r="1705" customFormat="1" s="1"/>
    <row r="1706" customFormat="1" s="1"/>
    <row r="1707" customFormat="1" s="1"/>
    <row r="1708" customFormat="1" s="1"/>
    <row r="1709" customFormat="1" s="1"/>
    <row r="1710" customFormat="1" s="1"/>
    <row r="1711" customFormat="1" s="1"/>
    <row r="1712" customFormat="1" s="1"/>
    <row r="1713" customFormat="1" s="1"/>
    <row r="1714" customFormat="1" s="1"/>
    <row r="1715" customFormat="1" s="1"/>
    <row r="1716" customFormat="1" s="1"/>
    <row r="1717" customFormat="1" s="1"/>
    <row r="1718" customFormat="1" s="1"/>
    <row r="1719" customFormat="1" s="1"/>
    <row r="1720" customFormat="1" s="1"/>
    <row r="1721" customFormat="1" s="1"/>
    <row r="1722" customFormat="1" s="1"/>
    <row r="1723" customFormat="1" s="1"/>
    <row r="1724" customFormat="1" s="1"/>
    <row r="1725" customFormat="1" s="1"/>
    <row r="1726" customFormat="1" s="1"/>
    <row r="1727" customFormat="1" s="1"/>
    <row r="1728" customFormat="1" s="1"/>
    <row r="1729" customFormat="1" s="1"/>
    <row r="1730" customFormat="1" s="1"/>
    <row r="1731" customFormat="1" s="1"/>
    <row r="1732" customFormat="1" s="1"/>
    <row r="1733" customFormat="1" s="1"/>
    <row r="1734" customFormat="1" s="1"/>
    <row r="1735" customFormat="1" s="1"/>
    <row r="1736" customFormat="1" s="1"/>
    <row r="1737" customFormat="1" s="1"/>
    <row r="1738" customFormat="1" s="1"/>
    <row r="1739" customFormat="1" s="1"/>
    <row r="1740" customFormat="1" s="1"/>
    <row r="1741" customFormat="1" s="1"/>
    <row r="1742" customFormat="1" s="1"/>
    <row r="1743" customFormat="1" s="1"/>
    <row r="1744" customFormat="1" s="1"/>
    <row r="1745" customFormat="1" s="1"/>
    <row r="1746" customFormat="1" s="1"/>
    <row r="1747" customFormat="1" s="1"/>
    <row r="1748" customFormat="1" s="1"/>
    <row r="1749" customFormat="1" s="1"/>
    <row r="1750" customFormat="1" s="1"/>
    <row r="1751" customFormat="1" s="1"/>
    <row r="1752" customFormat="1" s="1"/>
    <row r="1753" customFormat="1" s="1"/>
    <row r="1754" customFormat="1" s="1"/>
    <row r="1755" customFormat="1" s="1"/>
    <row r="1756" customFormat="1" s="1"/>
    <row r="1757" customFormat="1" s="1"/>
    <row r="1758" customFormat="1" s="1"/>
    <row r="1759" customFormat="1" s="1"/>
    <row r="1760" customFormat="1" s="1"/>
    <row r="1761" customFormat="1" s="1"/>
    <row r="1762" customFormat="1" s="1"/>
    <row r="1763" customFormat="1" s="1"/>
    <row r="1764" customFormat="1" s="1"/>
    <row r="1765" customFormat="1" s="1"/>
    <row r="1766" customFormat="1" s="1"/>
    <row r="1767" customFormat="1" s="1"/>
    <row r="1768" customFormat="1" s="1"/>
    <row r="1769" customFormat="1" s="1"/>
    <row r="1770" customFormat="1" s="1"/>
    <row r="1771" customFormat="1" s="1"/>
    <row r="1772" customFormat="1" s="1"/>
    <row r="1773" customFormat="1" s="1"/>
    <row r="1774" customFormat="1" s="1"/>
    <row r="1775" customFormat="1" s="1"/>
    <row r="1776" customFormat="1" s="1"/>
    <row r="1777" customFormat="1" s="1"/>
    <row r="1778" customFormat="1" s="1"/>
    <row r="1779" customFormat="1" s="1"/>
    <row r="1780" customFormat="1" s="1"/>
    <row r="1781" customFormat="1" s="1"/>
    <row r="1782" customFormat="1" s="1"/>
    <row r="1783" customFormat="1" s="1"/>
    <row r="1784" customFormat="1" s="1"/>
    <row r="1785" customFormat="1" s="1"/>
    <row r="1786" customFormat="1" s="1"/>
    <row r="1787" customFormat="1" s="1"/>
    <row r="1788" customFormat="1" s="1"/>
    <row r="1789" customFormat="1" s="1"/>
    <row r="1790" customFormat="1" s="1"/>
    <row r="1791" customFormat="1" s="1"/>
    <row r="1792" customFormat="1" s="1"/>
    <row r="1793" customFormat="1" s="1"/>
    <row r="1794" customFormat="1" s="1"/>
    <row r="1795" customFormat="1" s="1"/>
    <row r="1796" customFormat="1" s="1"/>
    <row r="1797" customFormat="1" s="1"/>
    <row r="1798" customFormat="1" s="1"/>
    <row r="1799" customFormat="1" s="1"/>
    <row r="1800" customFormat="1" s="1"/>
    <row r="1801" customFormat="1" s="1"/>
    <row r="1802" customFormat="1" s="1"/>
    <row r="1803" customFormat="1" s="1"/>
    <row r="1804" customFormat="1" s="1"/>
    <row r="1805" customFormat="1" s="1"/>
    <row r="1806" customFormat="1" s="1"/>
    <row r="1807" customFormat="1" s="1"/>
    <row r="1808" customFormat="1" s="1"/>
    <row r="1809" customFormat="1" s="1"/>
    <row r="1810" customFormat="1" s="1"/>
    <row r="1811" customFormat="1" s="1"/>
    <row r="1812" customFormat="1" s="1"/>
    <row r="1813" customFormat="1" s="1"/>
    <row r="1814" customFormat="1" s="1"/>
    <row r="1815" customFormat="1" s="1"/>
    <row r="1816" customFormat="1" s="1"/>
    <row r="1817" customFormat="1" s="1"/>
    <row r="1818" customFormat="1" s="1"/>
    <row r="1819" customFormat="1" s="1"/>
    <row r="1820" customFormat="1" s="1"/>
    <row r="1821" customFormat="1" s="1"/>
    <row r="1822" customFormat="1" s="1"/>
    <row r="1823" customFormat="1" s="1"/>
    <row r="1824" customFormat="1" s="1"/>
    <row r="1825" customFormat="1" s="1"/>
    <row r="1826" customFormat="1" s="1"/>
    <row r="1827" customFormat="1" s="1"/>
    <row r="1828" customFormat="1" s="1"/>
    <row r="1829" customFormat="1" s="1"/>
    <row r="1830" customFormat="1" s="1"/>
    <row r="1831" customFormat="1" s="1"/>
    <row r="1832" customFormat="1" s="1"/>
    <row r="1833" customFormat="1" s="1"/>
    <row r="1834" customFormat="1" s="1"/>
    <row r="1835" customFormat="1" s="1"/>
    <row r="1836" customFormat="1" s="1"/>
    <row r="1837" customFormat="1" s="1"/>
    <row r="1838" customFormat="1" s="1"/>
    <row r="1839" customFormat="1" s="1"/>
    <row r="1840" customFormat="1" s="1"/>
    <row r="1841" customFormat="1" s="1"/>
    <row r="1842" customFormat="1" s="1"/>
    <row r="1843" customFormat="1" s="1"/>
    <row r="1844" customFormat="1" s="1"/>
    <row r="1845" customFormat="1" s="1"/>
    <row r="1846" customFormat="1" s="1"/>
    <row r="1847" customFormat="1" s="1"/>
    <row r="1848" customFormat="1" s="1"/>
    <row r="1849" customFormat="1" s="1"/>
    <row r="1850" customFormat="1" s="1"/>
    <row r="1851" customFormat="1" s="1"/>
    <row r="1852" customFormat="1" s="1"/>
    <row r="1853" customFormat="1" s="1"/>
    <row r="1854" customFormat="1" s="1"/>
    <row r="1855" customFormat="1" s="1"/>
    <row r="1856" customFormat="1" s="1"/>
    <row r="1857" customFormat="1" s="1"/>
    <row r="1858" customFormat="1" s="1"/>
    <row r="1859" customFormat="1" s="1"/>
    <row r="1860" customFormat="1" s="1"/>
    <row r="1861" customFormat="1" s="1"/>
    <row r="1862" customFormat="1" s="1"/>
    <row r="1863" customFormat="1" s="1"/>
    <row r="1864" customFormat="1" s="1"/>
    <row r="1865" customFormat="1" s="1"/>
    <row r="1866" customFormat="1" s="1"/>
    <row r="1867" customFormat="1" s="1"/>
    <row r="1868" customFormat="1" s="1"/>
    <row r="1869" customFormat="1" s="1"/>
    <row r="1870" customFormat="1" s="1"/>
    <row r="1871" customFormat="1" s="1"/>
    <row r="1872" customFormat="1" s="1"/>
    <row r="1873" customFormat="1" s="1"/>
    <row r="1874" customFormat="1" s="1"/>
    <row r="1875" customFormat="1" s="1"/>
    <row r="1876" customFormat="1" s="1"/>
    <row r="1877" customFormat="1" s="1"/>
    <row r="1878" customFormat="1" s="1"/>
    <row r="1879" customFormat="1" s="1"/>
    <row r="1880" customFormat="1" s="1"/>
    <row r="1881" customFormat="1" s="1"/>
    <row r="1882" customFormat="1" s="1"/>
    <row r="1883" customFormat="1" s="1"/>
    <row r="1884" customFormat="1" s="1"/>
    <row r="1885" customFormat="1" s="1"/>
    <row r="1886" customFormat="1" s="1"/>
    <row r="1887" customFormat="1" s="1"/>
    <row r="1888" customFormat="1" s="1"/>
    <row r="1889" customFormat="1" s="1"/>
    <row r="1890" customFormat="1" s="1"/>
    <row r="1891" customFormat="1" s="1"/>
    <row r="1892" customFormat="1" s="1"/>
    <row r="1893" customFormat="1" s="1"/>
    <row r="1894" customFormat="1" s="1"/>
    <row r="1895" customFormat="1" s="1"/>
    <row r="1896" customFormat="1" s="1"/>
    <row r="1897" customFormat="1" s="1"/>
    <row r="1898" customFormat="1" s="1"/>
    <row r="1899" customFormat="1" s="1"/>
    <row r="1900" customFormat="1" s="1"/>
    <row r="1901" customFormat="1" s="1"/>
    <row r="1902" customFormat="1" s="1"/>
    <row r="1903" customFormat="1" s="1"/>
    <row r="1904" customFormat="1" s="1"/>
    <row r="1905" customFormat="1" s="1"/>
    <row r="1906" customFormat="1" s="1"/>
    <row r="1907" customFormat="1" s="1"/>
    <row r="1908" customFormat="1" s="1"/>
    <row r="1909" customFormat="1" s="1"/>
    <row r="1910" customFormat="1" s="1"/>
    <row r="1911" customFormat="1" s="1"/>
    <row r="1912" customFormat="1" s="1"/>
    <row r="1913" customFormat="1" s="1"/>
    <row r="1914" customFormat="1" s="1"/>
    <row r="1915" customFormat="1" s="1"/>
    <row r="1916" customFormat="1" s="1"/>
    <row r="1917" customFormat="1" s="1"/>
    <row r="1918" customFormat="1" s="1"/>
    <row r="1919" customFormat="1" s="1"/>
    <row r="1920" customFormat="1" s="1"/>
    <row r="1921" customFormat="1" s="1"/>
    <row r="1922" customFormat="1" s="1"/>
    <row r="1923" customFormat="1" s="1"/>
    <row r="1924" customFormat="1" s="1"/>
    <row r="1925" customFormat="1" s="1"/>
    <row r="1926" customFormat="1" s="1"/>
    <row r="1927" customFormat="1" s="1"/>
    <row r="1928" customFormat="1" s="1"/>
    <row r="1929" customFormat="1" s="1"/>
    <row r="1930" customFormat="1" s="1"/>
    <row r="1931" customFormat="1" s="1"/>
    <row r="1932" customFormat="1" s="1"/>
    <row r="1933" customFormat="1" s="1"/>
    <row r="1934" customFormat="1" s="1"/>
    <row r="1935" customFormat="1" s="1"/>
    <row r="1936" customFormat="1" s="1"/>
    <row r="1937" customFormat="1" s="1"/>
    <row r="1938" customFormat="1" s="1"/>
    <row r="1939" customFormat="1" s="1"/>
    <row r="1940" customFormat="1" s="1"/>
    <row r="1941" customFormat="1" s="1"/>
    <row r="1942" customFormat="1" s="1"/>
    <row r="1943" customFormat="1" s="1"/>
    <row r="1944" customFormat="1" s="1"/>
    <row r="1945" customFormat="1" s="1"/>
    <row r="1946" customFormat="1" s="1"/>
    <row r="1947" customFormat="1" s="1"/>
    <row r="1948" customFormat="1" s="1"/>
    <row r="1949" customFormat="1" s="1"/>
    <row r="1950" customFormat="1" s="1"/>
    <row r="1951" customFormat="1" s="1"/>
    <row r="1952" customFormat="1" s="1"/>
    <row r="1953" customFormat="1" s="1"/>
    <row r="1954" customFormat="1" s="1"/>
    <row r="1955" customFormat="1" s="1"/>
    <row r="1956" customFormat="1" s="1"/>
    <row r="1957" customFormat="1" s="1"/>
    <row r="1958" customFormat="1" s="1"/>
    <row r="1959" customFormat="1" s="1"/>
    <row r="1960" customFormat="1" s="1"/>
    <row r="1961" customFormat="1" s="1"/>
    <row r="1962" customFormat="1" s="1"/>
    <row r="1963" customFormat="1" s="1"/>
    <row r="1964" customFormat="1" s="1"/>
    <row r="1965" customFormat="1" s="1"/>
    <row r="1966" customFormat="1" s="1"/>
    <row r="1967" customFormat="1" s="1"/>
    <row r="1968" customFormat="1" s="1"/>
    <row r="1969" customFormat="1" s="1"/>
    <row r="1970" customFormat="1" s="1"/>
    <row r="1971" customFormat="1" s="1"/>
    <row r="1972" customFormat="1" s="1"/>
    <row r="1973" customFormat="1" s="1"/>
    <row r="1974" customFormat="1" s="1"/>
    <row r="1975" customFormat="1" s="1"/>
    <row r="1976" customFormat="1" s="1"/>
    <row r="1977" customFormat="1" s="1"/>
    <row r="1978" customFormat="1" s="1"/>
    <row r="1979" customFormat="1" s="1"/>
    <row r="1980" customFormat="1" s="1"/>
    <row r="1981" customFormat="1" s="1"/>
    <row r="1982" customFormat="1" s="1"/>
    <row r="1983" customFormat="1" s="1"/>
    <row r="1984" customFormat="1" s="1"/>
    <row r="1985" customFormat="1" s="1"/>
    <row r="1986" customFormat="1" s="1"/>
    <row r="1987" customFormat="1" s="1"/>
    <row r="1988" customFormat="1" s="1"/>
    <row r="1989" customFormat="1" s="1"/>
    <row r="1990" customFormat="1" s="1"/>
    <row r="1991" customFormat="1" s="1"/>
    <row r="1992" customFormat="1" s="1"/>
    <row r="1993" customFormat="1" s="1"/>
    <row r="1994" customFormat="1" s="1"/>
    <row r="1995" customFormat="1" s="1"/>
    <row r="1996" customFormat="1" s="1"/>
    <row r="1997" customFormat="1" s="1"/>
    <row r="1998" customFormat="1" s="1"/>
    <row r="1999" customFormat="1" s="1"/>
    <row r="2000" customFormat="1" s="1"/>
    <row r="2001" customFormat="1" s="1"/>
    <row r="2002" customFormat="1" s="1"/>
    <row r="2003" customFormat="1" s="1"/>
    <row r="2004" customFormat="1" s="1"/>
    <row r="2005" customFormat="1" s="1"/>
    <row r="2006" customFormat="1" s="1"/>
    <row r="2007" customFormat="1" s="1"/>
    <row r="2008" customFormat="1" s="1"/>
    <row r="2009" customFormat="1" s="1"/>
    <row r="2010" customFormat="1" s="1"/>
    <row r="2011" customFormat="1" s="1"/>
    <row r="2012" customFormat="1" s="1"/>
    <row r="2013" customFormat="1" s="1"/>
    <row r="2014" customFormat="1" s="1"/>
    <row r="2015" customFormat="1" s="1"/>
    <row r="2016" customFormat="1" s="1"/>
    <row r="2017" customFormat="1" s="1"/>
    <row r="2018" customFormat="1" s="1"/>
    <row r="2019" customFormat="1" s="1"/>
    <row r="2020" customFormat="1" s="1"/>
    <row r="2021" customFormat="1" s="1"/>
    <row r="2022" customFormat="1" s="1"/>
    <row r="2023" customFormat="1" s="1"/>
    <row r="2024" customFormat="1" s="1"/>
    <row r="2025" customFormat="1" s="1"/>
    <row r="2026" customFormat="1" s="1"/>
    <row r="2027" customFormat="1" s="1"/>
    <row r="2028" customFormat="1" s="1"/>
    <row r="2029" customFormat="1" s="1"/>
    <row r="2030" customFormat="1" s="1"/>
    <row r="2031" customFormat="1" s="1"/>
    <row r="2032" customFormat="1" s="1"/>
    <row r="2033" customFormat="1" s="1"/>
    <row r="2034" customFormat="1" s="1"/>
    <row r="2035" customFormat="1" s="1"/>
    <row r="2036" customFormat="1" s="1"/>
    <row r="2037" customFormat="1" s="1"/>
    <row r="2038" customFormat="1" s="1"/>
    <row r="2039" customFormat="1" s="1"/>
    <row r="2040" customFormat="1" s="1"/>
    <row r="2041" customFormat="1" s="1"/>
    <row r="2042" customFormat="1" s="1"/>
    <row r="2043" customFormat="1" s="1"/>
    <row r="2044" customFormat="1" s="1"/>
    <row r="2045" customFormat="1" s="1"/>
    <row r="2046" customFormat="1" s="1"/>
    <row r="2047" customFormat="1" s="1"/>
    <row r="2048" customFormat="1" s="1"/>
    <row r="2049" customFormat="1" s="1"/>
    <row r="2050" customFormat="1" s="1"/>
    <row r="2051" customFormat="1" s="1"/>
    <row r="2052" customFormat="1" s="1"/>
    <row r="2053" customFormat="1" s="1"/>
    <row r="2054" customFormat="1" s="1"/>
    <row r="2055" customFormat="1" s="1"/>
    <row r="2056" customFormat="1" s="1"/>
    <row r="2057" customFormat="1" s="1"/>
    <row r="2058" customFormat="1" s="1"/>
    <row r="2059" customFormat="1" s="1"/>
    <row r="2060" customFormat="1" s="1"/>
    <row r="2061" customFormat="1" s="1"/>
    <row r="2062" customFormat="1" s="1"/>
    <row r="2063" customFormat="1" s="1"/>
    <row r="2064" customFormat="1" s="1"/>
    <row r="2065" customFormat="1" s="1"/>
    <row r="2066" customFormat="1" s="1"/>
    <row r="2067" customFormat="1" s="1"/>
    <row r="2068" customFormat="1" s="1"/>
    <row r="2069" customFormat="1" s="1"/>
    <row r="2070" customFormat="1" s="1"/>
    <row r="2071" customFormat="1" s="1"/>
    <row r="2072" customFormat="1" s="1"/>
    <row r="2073" customFormat="1" s="1"/>
    <row r="2074" customFormat="1" s="1"/>
    <row r="2075" customFormat="1" s="1"/>
    <row r="2076" customFormat="1" s="1"/>
    <row r="2077" customFormat="1" s="1"/>
    <row r="2078" customFormat="1" s="1"/>
    <row r="2079" customFormat="1" s="1"/>
    <row r="2080" customFormat="1" s="1"/>
    <row r="2081" customFormat="1" s="1"/>
    <row r="2082" customFormat="1" s="1"/>
    <row r="2083" customFormat="1" s="1"/>
    <row r="2084" customFormat="1" s="1"/>
    <row r="2085" customFormat="1" s="1"/>
    <row r="2086" customFormat="1" s="1"/>
    <row r="2087" customFormat="1" s="1"/>
    <row r="2088" customFormat="1" s="1"/>
    <row r="2089" customFormat="1" s="1"/>
    <row r="2090" customFormat="1" s="1"/>
    <row r="2091" customFormat="1" s="1"/>
    <row r="2092" customFormat="1" s="1"/>
    <row r="2093" customFormat="1" s="1"/>
    <row r="2094" customFormat="1" s="1"/>
    <row r="2095" customFormat="1" s="1"/>
    <row r="2096" customFormat="1" s="1"/>
    <row r="2097" customFormat="1" s="1"/>
    <row r="2098" customFormat="1" s="1"/>
    <row r="2099" customFormat="1" s="1"/>
    <row r="2100" customFormat="1" s="1"/>
    <row r="2101" customFormat="1" s="1"/>
    <row r="2102" customFormat="1" s="1"/>
    <row r="2103" customFormat="1" s="1"/>
    <row r="2104" customFormat="1" s="1"/>
    <row r="2105" customFormat="1" s="1"/>
    <row r="2106" customFormat="1" s="1"/>
    <row r="2107" customFormat="1" s="1"/>
    <row r="2108" customFormat="1" s="1"/>
    <row r="2109" customFormat="1" s="1"/>
    <row r="2110" customFormat="1" s="1"/>
    <row r="2111" customFormat="1" s="1"/>
    <row r="2112" customFormat="1" s="1"/>
    <row r="2113" customFormat="1" s="1"/>
    <row r="2114" customFormat="1" s="1"/>
    <row r="2115" customFormat="1" s="1"/>
    <row r="2116" customFormat="1" s="1"/>
    <row r="2117" customFormat="1" s="1"/>
    <row r="2118" customFormat="1" s="1"/>
    <row r="2119" customFormat="1" s="1"/>
    <row r="2120" customFormat="1" s="1"/>
    <row r="2121" customFormat="1" s="1"/>
    <row r="2122" customFormat="1" s="1"/>
    <row r="2123" customFormat="1" s="1"/>
    <row r="2124" customFormat="1" s="1"/>
    <row r="2125" customFormat="1" s="1"/>
    <row r="2126" customFormat="1" s="1"/>
    <row r="2127" customFormat="1" s="1"/>
    <row r="2128" customFormat="1" s="1"/>
    <row r="2129" customFormat="1" s="1"/>
    <row r="2130" customFormat="1" s="1"/>
    <row r="2131" customFormat="1" s="1"/>
    <row r="2132" customFormat="1" s="1"/>
    <row r="2133" customFormat="1" s="1"/>
    <row r="2134" customFormat="1" s="1"/>
    <row r="2135" customFormat="1" s="1"/>
    <row r="2136" customFormat="1" s="1"/>
    <row r="2137" customFormat="1" s="1"/>
    <row r="2138" customFormat="1" s="1"/>
    <row r="2139" customFormat="1" s="1"/>
    <row r="2140" customFormat="1" s="1"/>
    <row r="2141" customFormat="1" s="1"/>
    <row r="2142" customFormat="1" s="1"/>
    <row r="2143" customFormat="1" s="1"/>
    <row r="2144" customFormat="1" s="1"/>
    <row r="2145" customFormat="1" s="1"/>
    <row r="2146" customFormat="1" s="1"/>
    <row r="2147" customFormat="1" s="1"/>
    <row r="2148" customFormat="1" s="1"/>
    <row r="2149" customFormat="1" s="1"/>
    <row r="2150" customFormat="1" s="1"/>
    <row r="2151" customFormat="1" s="1"/>
    <row r="2152" customFormat="1" s="1"/>
    <row r="2153" customFormat="1" s="1"/>
    <row r="2154" customFormat="1" s="1"/>
    <row r="2155" customFormat="1" s="1"/>
    <row r="2156" customFormat="1" s="1"/>
    <row r="2157" customFormat="1" s="1"/>
    <row r="2158" customFormat="1" s="1"/>
    <row r="2159" customFormat="1" s="1"/>
    <row r="2160" customFormat="1" s="1"/>
    <row r="2161" customFormat="1" s="1"/>
    <row r="2162" customFormat="1" s="1"/>
    <row r="2163" customFormat="1" s="1"/>
    <row r="2164" customFormat="1" s="1"/>
    <row r="2165" customFormat="1" s="1"/>
    <row r="2166" customFormat="1" s="1"/>
    <row r="2167" customFormat="1" s="1"/>
    <row r="2168" customFormat="1" s="1"/>
    <row r="2169" customFormat="1" s="1"/>
    <row r="2170" customFormat="1" s="1"/>
    <row r="2171" customFormat="1" s="1"/>
    <row r="2172" customFormat="1" s="1"/>
    <row r="2173" customFormat="1" s="1"/>
    <row r="2174" customFormat="1" s="1"/>
    <row r="2175" customFormat="1" s="1"/>
    <row r="2176" customFormat="1" s="1"/>
    <row r="2177" customFormat="1" s="1"/>
    <row r="2178" customFormat="1" s="1"/>
    <row r="2179" customFormat="1" s="1"/>
    <row r="2180" customFormat="1" s="1"/>
    <row r="2181" customFormat="1" s="1"/>
    <row r="2182" customFormat="1" s="1"/>
    <row r="2183" customFormat="1" s="1"/>
    <row r="2184" customFormat="1" s="1"/>
    <row r="2185" customFormat="1" s="1"/>
    <row r="2186" customFormat="1" s="1"/>
    <row r="2187" customFormat="1" s="1"/>
    <row r="2188" customFormat="1" s="1"/>
    <row r="2189" customFormat="1" s="1"/>
    <row r="2190" customFormat="1" s="1"/>
    <row r="2191" customFormat="1" s="1"/>
    <row r="2192" customFormat="1" s="1"/>
    <row r="2193" customFormat="1" s="1"/>
    <row r="2194" customFormat="1" s="1"/>
    <row r="2195" customFormat="1" s="1"/>
    <row r="2196" customFormat="1" s="1"/>
    <row r="2197" customFormat="1" s="1"/>
    <row r="2198" customFormat="1" s="1"/>
    <row r="2199" customFormat="1" s="1"/>
    <row r="2200" customFormat="1" s="1"/>
    <row r="2201" customFormat="1" s="1"/>
    <row r="2202" customFormat="1" s="1"/>
    <row r="2203" customFormat="1" s="1"/>
    <row r="2204" customFormat="1" s="1"/>
    <row r="2205" customFormat="1" s="1"/>
    <row r="2206" customFormat="1" s="1"/>
    <row r="2207" customFormat="1" s="1"/>
    <row r="2208" customFormat="1" s="1"/>
    <row r="2209" customFormat="1" s="1"/>
    <row r="2210" customFormat="1" s="1"/>
    <row r="2211" customFormat="1" s="1"/>
    <row r="2212" customFormat="1" s="1"/>
    <row r="2213" customFormat="1" s="1"/>
    <row r="2214" customFormat="1" s="1"/>
    <row r="2215" customFormat="1" s="1"/>
    <row r="2216" customFormat="1" s="1"/>
    <row r="2217" customFormat="1" s="1"/>
    <row r="2218" customFormat="1" s="1"/>
    <row r="2219" customFormat="1" s="1"/>
    <row r="2220" customFormat="1" s="1"/>
    <row r="2221" customFormat="1" s="1"/>
    <row r="2222" customFormat="1" s="1"/>
    <row r="2223" customFormat="1" s="1"/>
    <row r="2224" customFormat="1" s="1"/>
    <row r="2225" customFormat="1" s="1"/>
    <row r="2226" customFormat="1" s="1"/>
    <row r="2227" customFormat="1" s="1"/>
    <row r="2228" customFormat="1" s="1"/>
    <row r="2229" customFormat="1" s="1"/>
    <row r="2230" customFormat="1" s="1"/>
    <row r="2231" customFormat="1" s="1"/>
    <row r="2232" customFormat="1" s="1"/>
    <row r="2233" customFormat="1" s="1"/>
    <row r="2234" customFormat="1" s="1"/>
    <row r="2235" customFormat="1" s="1"/>
    <row r="2236" customFormat="1" s="1"/>
    <row r="2237" customFormat="1" s="1"/>
    <row r="2238" customFormat="1" s="1"/>
    <row r="2239" customFormat="1" s="1"/>
    <row r="2240" customFormat="1" s="1"/>
    <row r="2241" customFormat="1" s="1"/>
    <row r="2242" customFormat="1" s="1"/>
    <row r="2243" customFormat="1" s="1"/>
    <row r="2244" customFormat="1" s="1"/>
    <row r="2245" customFormat="1" s="1"/>
    <row r="2246" customFormat="1" s="1"/>
    <row r="2247" customFormat="1" s="1"/>
    <row r="2248" customFormat="1" s="1"/>
    <row r="2249" customFormat="1" s="1"/>
    <row r="2250" customFormat="1" s="1"/>
    <row r="2251" customFormat="1" s="1"/>
    <row r="2252" customFormat="1" s="1"/>
    <row r="2253" customFormat="1" s="1"/>
    <row r="2254" customFormat="1" s="1"/>
    <row r="2255" customFormat="1" s="1"/>
    <row r="2256" customFormat="1" s="1"/>
    <row r="2257" customFormat="1" s="1"/>
    <row r="2258" customFormat="1" s="1"/>
    <row r="2259" customFormat="1" s="1"/>
    <row r="2260" customFormat="1" s="1"/>
    <row r="2261" customFormat="1" s="1"/>
    <row r="2262" customFormat="1" s="1"/>
    <row r="2263" customFormat="1" s="1"/>
    <row r="2264" customFormat="1" s="1"/>
    <row r="2265" customFormat="1" s="1"/>
    <row r="2266" customFormat="1" s="1"/>
    <row r="2267" customFormat="1" s="1"/>
    <row r="2268" customFormat="1" s="1"/>
    <row r="2269" customFormat="1" s="1"/>
    <row r="2270" customFormat="1" s="1"/>
    <row r="2271" customFormat="1" s="1"/>
    <row r="2272" customFormat="1" s="1"/>
    <row r="2273" customFormat="1" s="1"/>
    <row r="2274" customFormat="1" s="1"/>
    <row r="2275" customFormat="1" s="1"/>
    <row r="2276" customFormat="1" s="1"/>
    <row r="2277" customFormat="1" s="1"/>
    <row r="2278" customFormat="1" s="1"/>
    <row r="2279" customFormat="1" s="1"/>
    <row r="2280" customFormat="1" s="1"/>
    <row r="2281" customFormat="1" s="1"/>
    <row r="2282" customFormat="1" s="1"/>
    <row r="2283" customFormat="1" s="1"/>
    <row r="2284" customFormat="1" s="1"/>
    <row r="2285" customFormat="1" s="1"/>
    <row r="2286" customFormat="1" s="1"/>
    <row r="2287" customFormat="1" s="1"/>
    <row r="2288" customFormat="1" s="1"/>
    <row r="2289" customFormat="1" s="1"/>
    <row r="2290" customFormat="1" s="1"/>
    <row r="2291" customFormat="1" s="1"/>
    <row r="2292" customFormat="1" s="1"/>
    <row r="2293" customFormat="1" s="1"/>
    <row r="2294" customFormat="1" s="1"/>
    <row r="2295" customFormat="1" s="1"/>
    <row r="2296" customFormat="1" s="1"/>
    <row r="2297" customFormat="1" s="1"/>
    <row r="2298" customFormat="1" s="1"/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73.42578125" bestFit="1" customWidth="1" style="1" min="1" max="1"/>
    <col width="14.140625" bestFit="1" customWidth="1" style="1" min="2" max="2"/>
    <col width="19.5703125" bestFit="1" customWidth="1" style="1" min="3" max="3"/>
    <col width="24.140625" bestFit="1" customWidth="1" style="1" min="4" max="4"/>
    <col width="21.42578125" bestFit="1" customWidth="1" style="1" min="5" max="5"/>
  </cols>
  <sheetData>
    <row r="1">
      <c r="A1" t="inlineStr">
        <is>
          <t>DATE</t>
        </is>
      </c>
      <c r="B1" s="1" t="inlineStr">
        <is>
          <t>(All)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N57"/>
  <sheetViews>
    <sheetView workbookViewId="0">
      <selection activeCell="A1" sqref="A1"/>
    </sheetView>
  </sheetViews>
  <sheetFormatPr baseColWidth="8" defaultColWidth="9.140625" defaultRowHeight="12.75"/>
  <cols>
    <col width="4.140625" bestFit="1" customWidth="1" min="1" max="1"/>
    <col width="18.140625" bestFit="1" customWidth="1" min="2" max="2"/>
    <col width="15.5703125" bestFit="1" customWidth="1" min="3" max="3"/>
    <col width="12" bestFit="1" customWidth="1" min="4" max="4"/>
    <col width="13.85546875" bestFit="1" customWidth="1" min="5" max="5"/>
    <col width="9.42578125" bestFit="1" customWidth="1" min="6" max="6"/>
    <col width="4.140625" bestFit="1" customWidth="1" min="8" max="8"/>
    <col width="15" bestFit="1" customWidth="1" min="9" max="9"/>
    <col width="15.5703125" bestFit="1" customWidth="1" min="10" max="10"/>
    <col width="12" bestFit="1" customWidth="1" min="11" max="11"/>
    <col width="13.85546875" bestFit="1" customWidth="1" min="12" max="12"/>
    <col width="9.42578125" bestFit="1" customWidth="1" min="13" max="13"/>
  </cols>
  <sheetData>
    <row r="2">
      <c r="B2" t="inlineStr">
        <is>
          <t>ALL TIME</t>
        </is>
      </c>
      <c r="I2" t="inlineStr">
        <is>
          <t>ALL TIME</t>
        </is>
      </c>
    </row>
    <row r="3">
      <c r="B3" t="inlineStr">
        <is>
          <t>Broker</t>
        </is>
      </c>
      <c r="C3" t="inlineStr">
        <is>
          <t>Volume</t>
        </is>
      </c>
      <c r="D3" t="inlineStr">
        <is>
          <t>Deal Count</t>
        </is>
      </c>
      <c r="E3" t="inlineStr">
        <is>
          <t>Avg. Size</t>
        </is>
      </c>
      <c r="F3" t="inlineStr">
        <is>
          <t>Avg. Cap</t>
        </is>
      </c>
      <c r="I3" t="inlineStr">
        <is>
          <t>Firm</t>
        </is>
      </c>
      <c r="J3" t="inlineStr">
        <is>
          <t>Volume</t>
        </is>
      </c>
      <c r="K3" t="inlineStr">
        <is>
          <t>Deal Count</t>
        </is>
      </c>
      <c r="L3" t="inlineStr">
        <is>
          <t>Avg. Size</t>
        </is>
      </c>
      <c r="M3" t="inlineStr">
        <is>
          <t>Avg. Cap</t>
        </is>
      </c>
      <c r="N3" t="inlineStr">
        <is>
          <t>Market Share</t>
        </is>
      </c>
    </row>
    <row r="4">
      <c r="A4">
        <f>A3+1</f>
        <v/>
      </c>
      <c r="B4" t="inlineStr">
        <is>
          <t>Peranich/Huffman</t>
        </is>
      </c>
      <c r="C4">
        <f>SUMIFS(Comps[SOLD PRICE],Comps[L. BROKER],"*Peranich*")+SUMIFS(Comps[SOLD PRICE],Comps[P. BROKER],"*Peranich*")</f>
        <v/>
      </c>
      <c r="D4">
        <f>COUNTIFS(Comps[L. BROKER],"*Peranich*")+COUNTIFS(Comps[P. BROKER],"*Peranich*")</f>
        <v/>
      </c>
      <c r="E4">
        <f>C4/D4</f>
        <v/>
      </c>
      <c r="F4">
        <f>AVERAGEIFS(Comps[SOLD CAP],Comps[L. BROKER],"*Peranich*")</f>
        <v/>
      </c>
      <c r="H4">
        <f>H3+1</f>
        <v/>
      </c>
      <c r="I4" t="inlineStr">
        <is>
          <t>M&amp;M</t>
        </is>
      </c>
      <c r="J4">
        <f>SUMIFS(Comps[SOLD PRICE],Comps[L. BROKER],"*M&amp;M*")+SUMIFS(Comps[SOLD PRICE],Comps[P. BROKER],"*M&amp;M*")</f>
        <v/>
      </c>
      <c r="K4">
        <f>COUNTIFS(Comps[L. BROKER],"*M&amp;M*")+COUNTIFS(Comps[P. BROKER],"*M&amp;M*")</f>
        <v/>
      </c>
      <c r="L4">
        <f>J4/K4</f>
        <v/>
      </c>
      <c r="M4">
        <f>AVERAGEIFS(Comps[SOLD CAP],Comps[L. BROKER],"*M&amp;M*")</f>
        <v/>
      </c>
      <c r="N4">
        <f>K4/Comps[[#Totals],[DATE]]</f>
        <v/>
      </c>
    </row>
    <row r="5">
      <c r="A5">
        <f>A4+1</f>
        <v/>
      </c>
      <c r="B5" t="inlineStr">
        <is>
          <t>Jay Patel</t>
        </is>
      </c>
      <c r="C5">
        <f>SUMIFS(Comps[SOLD PRICE],Comps[L. BROKER],"*Patel*")+SUMIFS(Comps[SOLD PRICE],Comps[P. BROKER],"*Patel*")</f>
        <v/>
      </c>
      <c r="D5">
        <f>COUNTIFS(Comps[L. BROKER],"*Patel*")+COUNTIFS(Comps[P. BROKER],"*patel*")</f>
        <v/>
      </c>
      <c r="E5">
        <f>C5/D5</f>
        <v/>
      </c>
      <c r="F5">
        <f>AVERAGEIFS(Comps[SOLD CAP],Comps[L. BROKER],"*Patel*")</f>
        <v/>
      </c>
      <c r="H5">
        <f>H4+1</f>
        <v/>
      </c>
      <c r="I5" t="inlineStr">
        <is>
          <t>C&amp;W</t>
        </is>
      </c>
      <c r="J5">
        <f>SUMIFS(Comps[SOLD PRICE],Comps[L. BROKER],"*C&amp;W*")+SUMIFS(Comps[SOLD PRICE],Comps[P. BROKER],"*C&amp;W*")</f>
        <v/>
      </c>
      <c r="K5">
        <f>COUNTIFS(Comps[L. BROKER],"*C&amp;W*")+COUNTIFS(Comps[P. BROKER],"*C&amp;W*")</f>
        <v/>
      </c>
      <c r="L5">
        <f>J5/K5</f>
        <v/>
      </c>
      <c r="M5">
        <f>AVERAGEIFS(Comps[SOLD CAP],Comps[L. BROKER],"*c&amp;w*")</f>
        <v/>
      </c>
      <c r="N5">
        <f>K5/Comps[[#Totals],[DATE]]</f>
        <v/>
      </c>
    </row>
    <row r="6">
      <c r="A6">
        <f>A5+1</f>
        <v/>
      </c>
      <c r="B6" t="inlineStr">
        <is>
          <t>Team Briggs</t>
        </is>
      </c>
      <c r="C6">
        <f>SUMIFS(Comps[SOLD PRICE],Comps[L. BROKER],"*Briggs*")+SUMIFS(Comps[SOLD PRICE],Comps[P. BROKER],"*Briggs*")</f>
        <v/>
      </c>
      <c r="D6">
        <f>COUNTIFS(Comps[L. BROKER],"*Briggs*")+COUNTIFS(Comps[P. BROKER],"*Briggs*")</f>
        <v/>
      </c>
      <c r="E6">
        <f>C6/D6</f>
        <v/>
      </c>
      <c r="F6">
        <f>AVERAGEIFS(Comps[SOLD CAP],Comps[L. BROKER],"*Briggs*")</f>
        <v/>
      </c>
      <c r="H6">
        <f>H5+1</f>
        <v/>
      </c>
      <c r="I6" t="inlineStr">
        <is>
          <t>SJC</t>
        </is>
      </c>
      <c r="J6">
        <f>SUMIFS(Comps[SOLD PRICE],Comps[L. BROKER],"*SJC*")+SUMIFS(Comps[SOLD PRICE],Comps[P. BROKER],"*SJC*")</f>
        <v/>
      </c>
      <c r="K6">
        <f>COUNTIFS(Comps[L. BROKER],"*SJC*")+COUNTIFS(Comps[P. BROKER],"*SJC*")</f>
        <v/>
      </c>
      <c r="L6">
        <f>J6/K6</f>
        <v/>
      </c>
      <c r="M6">
        <f>AVERAGEIFS(Comps[SOLD CAP],Comps[L. BROKER],"*sjc*")</f>
        <v/>
      </c>
      <c r="N6">
        <f>K6/Comps[[#Totals],[DATE]]</f>
        <v/>
      </c>
    </row>
    <row r="7">
      <c r="A7">
        <f>A6+1</f>
        <v/>
      </c>
      <c r="B7" t="inlineStr">
        <is>
          <t>John Glass</t>
        </is>
      </c>
      <c r="C7">
        <f>SUMIFS(Comps[SOLD PRICE],Comps[L. BROKER],"*Glass*")+SUMIFS(Comps[SOLD PRICE],Comps[P. BROKER],"*Glass*")</f>
        <v/>
      </c>
      <c r="D7">
        <f>COUNTIFS(Comps[L. BROKER],"*Glass*")+COUNTIFS(Comps[P. BROKER],"*Glass*")</f>
        <v/>
      </c>
      <c r="E7">
        <f>C7/D7</f>
        <v/>
      </c>
      <c r="F7">
        <f>AVERAGEIFS(Comps[SOLD CAP],Comps[L. BROKER],"*Glass*")</f>
        <v/>
      </c>
      <c r="H7">
        <f>H6+1</f>
        <v/>
      </c>
      <c r="I7" t="inlineStr">
        <is>
          <t>PH</t>
        </is>
      </c>
      <c r="J7">
        <f>SUMIFS(Comps[SOLD PRICE],Comps[L. BROKER],"*PH:*")+SUMIFS(Comps[SOLD PRICE],Comps[P. BROKER],"*PH:*")</f>
        <v/>
      </c>
      <c r="K7">
        <f>COUNTIFS(Comps[L. BROKER],"*PH:*")+COUNTIFS(Comps[P. BROKER],"*PH:*")</f>
        <v/>
      </c>
      <c r="L7">
        <f>J7/K7</f>
        <v/>
      </c>
      <c r="M7">
        <f>AVERAGEIFS(Comps[SOLD CAP],Comps[L. BROKER],"*ph:*")</f>
        <v/>
      </c>
      <c r="N7">
        <f>K7/Comps[[#Totals],[DATE]]</f>
        <v/>
      </c>
    </row>
    <row r="8">
      <c r="A8">
        <f>A7+1</f>
        <v/>
      </c>
      <c r="B8" t="inlineStr">
        <is>
          <t>Valerie Cook</t>
        </is>
      </c>
      <c r="C8">
        <f>SUMIFS(Comps[SOLD PRICE],Comps[L. BROKER],"*Cook*")+SUMIFS(Comps[SOLD PRICE],Comps[P. BROKER],"*Cook*")</f>
        <v/>
      </c>
      <c r="D8">
        <f>COUNTIFS(Comps[L. BROKER],"*Cook*")+COUNTIFS(Comps[P. BROKER],"*Cook*")</f>
        <v/>
      </c>
      <c r="E8">
        <f>C8/D8</f>
        <v/>
      </c>
      <c r="F8">
        <f>AVERAGEIFS(Comps[SOLD CAP],Comps[L. BROKER],"*Cook*")</f>
        <v/>
      </c>
      <c r="H8">
        <f>H7+1</f>
        <v/>
      </c>
      <c r="I8" t="inlineStr">
        <is>
          <t>CBRE</t>
        </is>
      </c>
      <c r="J8">
        <f>SUMIFS(Comps[SOLD PRICE],Comps[L. BROKER],"*cbre*")+SUMIFS(Comps[SOLD PRICE],Comps[P. BROKER],"*cbre*")</f>
        <v/>
      </c>
      <c r="K8">
        <f>COUNTIFS(Comps[L. BROKER],"*CBRE*")+COUNTIFS(Comps[P. BROKER],"*CBRE*")</f>
        <v/>
      </c>
      <c r="L8">
        <f>J8/K8</f>
        <v/>
      </c>
      <c r="M8">
        <f>AVERAGEIFS(Comps[SOLD CAP],Comps[L. BROKER],"*cbre*")</f>
        <v/>
      </c>
      <c r="N8">
        <f>K8/Comps[[#Totals],[DATE]]</f>
        <v/>
      </c>
    </row>
    <row r="9">
      <c r="A9">
        <f>A8+1</f>
        <v/>
      </c>
      <c r="B9" t="inlineStr">
        <is>
          <t>Travis Trautvetter</t>
        </is>
      </c>
      <c r="C9">
        <f>SUMIFS(Comps[SOLD PRICE],Comps[L. BROKER],"*Traut*")+SUMIFS(Comps[SOLD PRICE],Comps[P. BROKER],"*Traut*")</f>
        <v/>
      </c>
      <c r="D9">
        <f>COUNTIFS(Comps[L. BROKER],"*Traut*")+COUNTIFS(Comps[P. BROKER],"*Traut*")</f>
        <v/>
      </c>
      <c r="E9">
        <f>C9/D9</f>
        <v/>
      </c>
      <c r="F9">
        <f>AVERAGEIFS(Comps[SOLD CAP],Comps[L. BROKER],"*Traut*")</f>
        <v/>
      </c>
      <c r="H9">
        <f>H8+1</f>
        <v/>
      </c>
      <c r="I9" t="inlineStr">
        <is>
          <t>Matthews</t>
        </is>
      </c>
      <c r="J9">
        <f>SUMIFS(Comps[SOLD PRICE],Comps[L. BROKER],"*Matthews*")+SUMIFS(Comps[SOLD PRICE],Comps[P. BROKER],"*Matthews*")</f>
        <v/>
      </c>
      <c r="K9">
        <f>COUNTIFS(Comps[L. BROKER],"*Matthews*")+COUNTIFS(Comps[P. BROKER],"*Matthews*")</f>
        <v/>
      </c>
      <c r="L9">
        <f>J9/K9</f>
        <v/>
      </c>
      <c r="M9">
        <f>AVERAGEIFS(Comps[SOLD CAP],Comps[L. BROKER],"*matthews*")</f>
        <v/>
      </c>
      <c r="N9">
        <f>K9/Comps[[#Totals],[DATE]]</f>
        <v/>
      </c>
    </row>
    <row r="10">
      <c r="A10">
        <f>A9+1</f>
        <v/>
      </c>
      <c r="B10" t="inlineStr">
        <is>
          <t>Hoover</t>
        </is>
      </c>
      <c r="C10">
        <f>SUMIFS(Comps[SOLD PRICE],Comps[L. BROKER],"*Hoover*")+SUMIFS(Comps[SOLD PRICE],Comps[P. BROKER],"*Hoover*")</f>
        <v/>
      </c>
      <c r="D10">
        <f>COUNTIFS(Comps[L. BROKER],"*Hoover*")+COUNTIFS(Comps[P. BROKER],"*Hoover*")</f>
        <v/>
      </c>
      <c r="E10">
        <f>C10/D10</f>
        <v/>
      </c>
      <c r="F10">
        <f>AVERAGEIFS(Comps[SOLD CAP],Comps[L. BROKER],"*Hoover*")</f>
        <v/>
      </c>
      <c r="H10">
        <f>H9+1</f>
        <v/>
      </c>
      <c r="I10" t="inlineStr">
        <is>
          <t>Colliers</t>
        </is>
      </c>
      <c r="J10">
        <f>SUMIFS(Comps[SOLD PRICE],Comps[L. BROKER],"*Colliers*")+SUMIFS(Comps[SOLD PRICE],Comps[P. BROKER],"*Colliers*")</f>
        <v/>
      </c>
      <c r="K10">
        <f>COUNTIFS(Comps[L. BROKER],"*Colliers*")+COUNTIFS(Comps[P. BROKER],"*Colliers*")</f>
        <v/>
      </c>
      <c r="L10">
        <f>J10/K10</f>
        <v/>
      </c>
      <c r="M10">
        <f>AVERAGEIFS(Comps[SOLD CAP],Comps[L. BROKER],"*colliers*")</f>
        <v/>
      </c>
      <c r="N10">
        <f>K10/Comps[[#Totals],[DATE]]</f>
        <v/>
      </c>
    </row>
    <row r="11">
      <c r="A11">
        <f>A10+1</f>
        <v/>
      </c>
      <c r="B11" t="inlineStr">
        <is>
          <t>Moreno</t>
        </is>
      </c>
      <c r="C11">
        <f>SUMIFS(Comps[SOLD PRICE],Comps[L. BROKER],"*Moreno*")+SUMIFS(Comps[SOLD PRICE],Comps[P. BROKER],"*Moreno*")</f>
        <v/>
      </c>
      <c r="D11">
        <f>COUNTIFS(Comps[L. BROKER],"*Moreno*")+COUNTIFS(Comps[P. BROKER],"*Moreno*")</f>
        <v/>
      </c>
      <c r="E11">
        <f>C11/D11</f>
        <v/>
      </c>
      <c r="F11">
        <f>AVERAGEIFS(Comps[SOLD CAP],Comps[L. BROKER],"*Moreno*")</f>
        <v/>
      </c>
      <c r="H11">
        <f>H10+1</f>
        <v/>
      </c>
      <c r="I11" t="inlineStr">
        <is>
          <t>JLL</t>
        </is>
      </c>
      <c r="J11">
        <f>SUMIFS(Comps[SOLD PRICE],Comps[L. BROKER],"*JLL*")+SUMIFS(Comps[SOLD PRICE],Comps[P. BROKER],"*JLL*")</f>
        <v/>
      </c>
      <c r="K11">
        <f>COUNTIFS(Comps[L. BROKER],"*JLL*")+COUNTIFS(Comps[P. BROKER],"*JLL*")</f>
        <v/>
      </c>
      <c r="L11">
        <f>J11/K11</f>
        <v/>
      </c>
      <c r="M11">
        <f>AVERAGEIFS(Comps[SOLD CAP],Comps[L. BROKER],"*JLL*")</f>
        <v/>
      </c>
      <c r="N11">
        <f>K11/Comps[[#Totals],[DATE]]</f>
        <v/>
      </c>
    </row>
    <row r="12">
      <c r="A12">
        <f>A11+1</f>
        <v/>
      </c>
      <c r="B12" t="inlineStr">
        <is>
          <t>Jason Lesley</t>
        </is>
      </c>
      <c r="C12">
        <f>SUMIFS(Comps[SOLD PRICE],Comps[L. BROKER],"*lesley*")+SUMIFS(Comps[SOLD PRICE],Comps[P. BROKER],"*lesley*")</f>
        <v/>
      </c>
      <c r="D12">
        <f>COUNTIFS(Comps[L. BROKER],"*lesley*")+COUNTIFS(Comps[P. BROKER],"*lesley*")</f>
        <v/>
      </c>
      <c r="E12">
        <f>C12/D12</f>
        <v/>
      </c>
      <c r="F12">
        <f>AVERAGEIFS(Comps[SOLD CAP],Comps[L. BROKER],"*lesley*")</f>
        <v/>
      </c>
      <c r="H12">
        <f>H11+1</f>
        <v/>
      </c>
      <c r="I12" t="inlineStr">
        <is>
          <t>SVN</t>
        </is>
      </c>
      <c r="J12">
        <f>SUMIFS(Comps[SOLD PRICE],Comps[L. BROKER],"*SVN*")+SUMIFS(Comps[SOLD PRICE],Comps[P. BROKER],"*SVN*")</f>
        <v/>
      </c>
      <c r="K12">
        <f>COUNTIFS(Comps[L. BROKER],"*SVN*")+COUNTIFS(Comps[P. BROKER],"*SVN*")</f>
        <v/>
      </c>
      <c r="L12">
        <f>J12/K12</f>
        <v/>
      </c>
      <c r="M12">
        <f>AVERAGEIFS(Comps[SOLD CAP],Comps[L. BROKER],"*svn*")</f>
        <v/>
      </c>
      <c r="N12">
        <f>K12/Comps[[#Totals],[DATE]]</f>
        <v/>
      </c>
    </row>
    <row r="13">
      <c r="A13">
        <f>A12+1</f>
        <v/>
      </c>
      <c r="B13" t="inlineStr">
        <is>
          <t>Alvin Mansour</t>
        </is>
      </c>
      <c r="C13">
        <f>SUMIFS(Comps[SOLD PRICE],Comps[L. BROKER],"*mansour*")+SUMIFS(Comps[SOLD PRICE],Comps[P. BROKER],"*mansour*")</f>
        <v/>
      </c>
      <c r="D13">
        <f>COUNTIFS(Comps[L. BROKER],"*mansour*")+COUNTIFS(Comps[P. BROKER],"*mansour*")</f>
        <v/>
      </c>
      <c r="E13">
        <f>C13/D13</f>
        <v/>
      </c>
      <c r="F13">
        <f>AVERAGEIFS(Comps[SOLD CAP],Comps[L. BROKER],"*mansour*")</f>
        <v/>
      </c>
      <c r="H13">
        <f>H12+1</f>
        <v/>
      </c>
      <c r="I13" t="inlineStr">
        <is>
          <t>Sands</t>
        </is>
      </c>
      <c r="J13">
        <f>SUMIFS(Comps[SOLD PRICE],Comps[L. BROKER],"*SIG*")+SUMIFS(Comps[SOLD PRICE],Comps[P. BROKER],"*SIG*")</f>
        <v/>
      </c>
      <c r="K13">
        <f>COUNTIFS(Comps[L. BROKER],"*SIG*")+COUNTIFS(Comps[P. BROKER],"*SIG*")</f>
        <v/>
      </c>
      <c r="L13">
        <f>J13/K13</f>
        <v/>
      </c>
      <c r="M13">
        <f>AVERAGEIFS(Comps[SOLD CAP],Comps[L. BROKER],"*SIG*")</f>
        <v/>
      </c>
      <c r="N13">
        <f>K13/Comps[[#Totals],[DATE]]</f>
        <v/>
      </c>
    </row>
    <row r="14">
      <c r="A14">
        <f>A13+1</f>
        <v/>
      </c>
      <c r="B14" t="inlineStr">
        <is>
          <t>Grady Liu</t>
        </is>
      </c>
      <c r="C14">
        <f>SUMIFS(Comps[SOLD PRICE],Comps[L. BROKER],"*Liu*")+SUMIFS(Comps[SOLD PRICE],Comps[P. BROKER],"*Liu*")</f>
        <v/>
      </c>
      <c r="D14">
        <f>COUNTIFS(Comps[L. BROKER],"*Liu*")+COUNTIFS(Comps[P. BROKER],"*Liu*")</f>
        <v/>
      </c>
      <c r="E14">
        <f>C14/D14</f>
        <v/>
      </c>
      <c r="F14">
        <f>AVERAGEIFS(Comps[SOLD CAP],Comps[L. BROKER],"*Liu*")</f>
        <v/>
      </c>
      <c r="H14">
        <f>H13+1</f>
        <v/>
      </c>
      <c r="I14" t="inlineStr">
        <is>
          <t>Avison Young</t>
        </is>
      </c>
      <c r="J14">
        <f>SUMIFS(Comps[SOLD PRICE],Comps[L. BROKER],"*AY;*")+SUMIFS(Comps[SOLD PRICE],Comps[P. BROKER],"*AY;*")</f>
        <v/>
      </c>
      <c r="K14">
        <f>COUNTIFS(Comps[L. BROKER],"*AY;*")+COUNTIFS(Comps[P. BROKER],"*AY;*")</f>
        <v/>
      </c>
      <c r="L14">
        <f>J14/K14</f>
        <v/>
      </c>
      <c r="M14">
        <f>AVERAGEIFS(Comps[SOLD CAP],Comps[L. BROKER],"*AY;*")</f>
        <v/>
      </c>
      <c r="N14">
        <f>K14/Comps[[#Totals],[DATE]]</f>
        <v/>
      </c>
    </row>
    <row r="15">
      <c r="A15">
        <f>A14+1</f>
        <v/>
      </c>
      <c r="B15" t="inlineStr">
        <is>
          <t>Keith Kropfl</t>
        </is>
      </c>
      <c r="C15">
        <f>SUMIFS(Comps[SOLD PRICE],Comps[L. BROKER],"*Kropfl*")+SUMIFS(Comps[SOLD PRICE],Comps[P. BROKER],"*Kropfl*")</f>
        <v/>
      </c>
      <c r="D15">
        <f>COUNTIFS(Comps[L. BROKER],"*Kropfl*")+COUNTIFS(Comps[P. BROKER],"*Kropfl*")</f>
        <v/>
      </c>
      <c r="E15">
        <f>C15/D15</f>
        <v/>
      </c>
      <c r="F15">
        <f>AVERAGEIFS(Comps[SOLD CAP],Comps[L. BROKER],"*Kropfl*")</f>
        <v/>
      </c>
      <c r="H15">
        <f>H14+1</f>
        <v/>
      </c>
      <c r="I15" t="inlineStr">
        <is>
          <t>Capital Pacific</t>
        </is>
      </c>
      <c r="J15">
        <f>SUMIFS(Comps[SOLD PRICE],Comps[L. BROKER],"*CP;*")+SUMIFS(Comps[SOLD PRICE],Comps[P. BROKER],"*CP;*")</f>
        <v/>
      </c>
      <c r="K15">
        <f>COUNTIFS(Comps[L. BROKER],"*cp;*")+COUNTIFS(Comps[P. BROKER],"*cp;*")</f>
        <v/>
      </c>
      <c r="L15">
        <f>J15/K15</f>
        <v/>
      </c>
      <c r="M15">
        <f>AVERAGEIFS(Comps[SOLD CAP],Comps[L. BROKER],"*cp;*")</f>
        <v/>
      </c>
      <c r="N15">
        <f>K15/Comps[[#Totals],[DATE]]</f>
        <v/>
      </c>
    </row>
    <row r="16">
      <c r="A16">
        <f>A15+1</f>
        <v/>
      </c>
      <c r="B16" t="inlineStr">
        <is>
          <t>Josh Snyder</t>
        </is>
      </c>
      <c r="C16">
        <f>SUMIFS(Comps[SOLD PRICE],Comps[L. BROKER],"*Snyder*")+SUMIFS(Comps[SOLD PRICE],Comps[P. BROKER],"*Snyder*")</f>
        <v/>
      </c>
      <c r="D16">
        <f>COUNTIFS(Comps[L. BROKER],"*Snyder*")+COUNTIFS(Comps[P. BROKER],"*Snyder*")</f>
        <v/>
      </c>
      <c r="E16">
        <f>C16/D16</f>
        <v/>
      </c>
      <c r="F16">
        <f>AVERAGEIFS(Comps[SOLD CAP],Comps[L. BROKER],"*snyder*")</f>
        <v/>
      </c>
      <c r="H16">
        <f>H15+1</f>
        <v/>
      </c>
      <c r="I16" t="inlineStr">
        <is>
          <t>SRS</t>
        </is>
      </c>
      <c r="J16">
        <f>SUMIFS(Comps[SOLD PRICE],Comps[L. BROKER],"*SRS*")+SUMIFS(Comps[SOLD PRICE],Comps[P. BROKER],"*SRS*")</f>
        <v/>
      </c>
      <c r="K16">
        <f>COUNTIFS(Comps[L. BROKER],"*srs*")+COUNTIFS(Comps[P. BROKER],"*srs*")</f>
        <v/>
      </c>
      <c r="L16">
        <f>J16/K16</f>
        <v/>
      </c>
      <c r="M16">
        <f>AVERAGEIFS(Comps[SOLD CAP],Comps[L. BROKER],"*srs*")</f>
        <v/>
      </c>
      <c r="N16">
        <f>K16/Comps[[#Totals],[DATE]]</f>
        <v/>
      </c>
    </row>
    <row r="17">
      <c r="A17">
        <f>A16+1</f>
        <v/>
      </c>
      <c r="B17" t="inlineStr">
        <is>
          <t>Bryan Webb</t>
        </is>
      </c>
      <c r="C17">
        <f>SUMIFS(Comps[SOLD PRICE],Comps[L. BROKER],"*Webb*")+SUMIFS(Comps[SOLD PRICE],Comps[P. BROKER],"*webb*")</f>
        <v/>
      </c>
      <c r="D17">
        <f>COUNTIFS(Comps[L. BROKER],"*webb*")+COUNTIFS(Comps[P. BROKER],"*webb*")</f>
        <v/>
      </c>
      <c r="E17">
        <f>C17/D17</f>
        <v/>
      </c>
      <c r="F17">
        <f>AVERAGEIFS(Comps[SOLD CAP],Comps[L. BROKER],"*webb*")</f>
        <v/>
      </c>
      <c r="H17">
        <f>H16+1</f>
        <v/>
      </c>
      <c r="I17" t="inlineStr">
        <is>
          <t>Boulder</t>
        </is>
      </c>
      <c r="J17">
        <f>SUMIFS(Comps[SOLD PRICE],Comps[L. BROKER],"*Boulder*")+SUMIFS(Comps[SOLD PRICE],Comps[P. BROKER],"*Boulder*")</f>
        <v/>
      </c>
      <c r="K17">
        <f>COUNTIFS(Comps[L. BROKER],"*Boulder*")+COUNTIFS(Comps[P. BROKER],"*Boulder*")</f>
        <v/>
      </c>
      <c r="L17">
        <f>J17/K17</f>
        <v/>
      </c>
      <c r="M17">
        <f>AVERAGEIFS(Comps[SOLD CAP],Comps[L. BROKER],"*Boulder*")</f>
        <v/>
      </c>
      <c r="N17">
        <f>K17/Comps[[#Totals],[DATE]]</f>
        <v/>
      </c>
    </row>
    <row r="18">
      <c r="A18">
        <f>A17+1</f>
        <v/>
      </c>
      <c r="B18" t="inlineStr">
        <is>
          <t>Guillermo Olaiz</t>
        </is>
      </c>
      <c r="C18">
        <f>SUMIFS(Comps[SOLD PRICE],Comps[L. BROKER],"*Olaiz*")+SUMIFS(Comps[SOLD PRICE],Comps[P. BROKER],"*Olaiz*")</f>
        <v/>
      </c>
      <c r="D18">
        <f>COUNTIFS(Comps[L. BROKER],"*olaiz*")+COUNTIFS(Comps[P. BROKER],"*olaiz*")</f>
        <v/>
      </c>
      <c r="E18">
        <f>C18/D18</f>
        <v/>
      </c>
      <c r="F18">
        <f>AVERAGEIFS(Comps[SOLD CAP],Comps[L. BROKER],"*oliaz*")</f>
        <v/>
      </c>
    </row>
    <row r="19">
      <c r="A19">
        <f>A18+1</f>
        <v/>
      </c>
      <c r="B19" t="inlineStr">
        <is>
          <t>Jared Meyers</t>
        </is>
      </c>
      <c r="C19">
        <f>SUMIFS(Comps[SOLD PRICE],Comps[L. BROKER],"*Meyers*")+SUMIFS(Comps[SOLD PRICE],Comps[P. BROKER],"*Meyers*")</f>
        <v/>
      </c>
      <c r="D19">
        <f>COUNTIFS(Comps[L. BROKER],"*Meyers*")+COUNTIFS(Comps[P. BROKER],"*Meyers*")</f>
        <v/>
      </c>
      <c r="E19">
        <f>C19/D19</f>
        <v/>
      </c>
      <c r="F19">
        <f>AVERAGEIFS(Comps[SOLD CAP],Comps[L. BROKER],"*Meyers*")</f>
        <v/>
      </c>
    </row>
    <row r="21">
      <c r="B21" t="inlineStr">
        <is>
          <t>TTM</t>
        </is>
      </c>
      <c r="C21" t="n">
        <v>45565</v>
      </c>
      <c r="D21">
        <f>C21-366</f>
        <v/>
      </c>
      <c r="I21" t="inlineStr">
        <is>
          <t>TTM</t>
        </is>
      </c>
      <c r="J21">
        <f>C21</f>
        <v/>
      </c>
      <c r="K21">
        <f>J21-(365.25)</f>
        <v/>
      </c>
    </row>
    <row r="22">
      <c r="B22" t="inlineStr">
        <is>
          <t>Broker</t>
        </is>
      </c>
      <c r="C22" t="inlineStr">
        <is>
          <t>Volume</t>
        </is>
      </c>
      <c r="D22" t="inlineStr">
        <is>
          <t>Deal Count</t>
        </is>
      </c>
      <c r="E22" t="inlineStr">
        <is>
          <t>Avg. Size</t>
        </is>
      </c>
      <c r="F22" t="inlineStr">
        <is>
          <t>Avg. Cap</t>
        </is>
      </c>
      <c r="I22" t="inlineStr">
        <is>
          <t>Firm</t>
        </is>
      </c>
      <c r="J22" t="inlineStr">
        <is>
          <t>Volume</t>
        </is>
      </c>
      <c r="K22" t="inlineStr">
        <is>
          <t>Deal Count</t>
        </is>
      </c>
      <c r="L22" t="inlineStr">
        <is>
          <t>Avg. Size</t>
        </is>
      </c>
      <c r="M22" t="inlineStr">
        <is>
          <t>Avg. Cap</t>
        </is>
      </c>
      <c r="N22" t="inlineStr">
        <is>
          <t>Market Share</t>
        </is>
      </c>
    </row>
    <row r="23">
      <c r="A23">
        <f>A22+1</f>
        <v/>
      </c>
      <c r="B23" t="inlineStr">
        <is>
          <t>Team Briggs</t>
        </is>
      </c>
      <c r="C23">
        <f>SUMIFS(Comps[SOLD PRICE],Comps[L. BROKER],"*Briggs*",Comps[DATE],"&gt;="&amp;$D$21,Comps[DATE],"&lt;="&amp;$C$21)+SUMIFS(Comps[SOLD PRICE],Comps[P. BROKER],"*Briggs*",Comps[DATE],"&gt;="&amp;$D$21,Comps[DATE],"&lt;="&amp;$C$21)</f>
        <v/>
      </c>
      <c r="D23">
        <f>COUNTIFS(Comps[L. BROKER],"*Briggs*",Comps[DATE],"&gt;="&amp;$D$21,Comps[DATE],"&lt;="&amp;$C$21)+COUNTIFS(Comps[P. BROKER],"*Briggs*",Comps[DATE],"&gt;="&amp;$D$21,Comps[DATE],"&lt;="&amp;$C$21)</f>
        <v/>
      </c>
      <c r="E23">
        <f>C23/D23</f>
        <v/>
      </c>
      <c r="F23">
        <f>AVERAGEIFS(Comps[SOLD CAP],Comps[L. BROKER],"*Briggs*",Comps[DATE],"&gt;="&amp;$D$21,Comps[DATE],"&lt;="&amp;$C$21)</f>
        <v/>
      </c>
      <c r="H23">
        <f>H22+1</f>
        <v/>
      </c>
      <c r="I23" t="inlineStr">
        <is>
          <t>M&amp;M</t>
        </is>
      </c>
      <c r="J23">
        <f>SUMIFS(Comps[SOLD PRICE],Comps[L. BROKER],"*M&amp;M*",Comps[DATE],"&gt;="&amp;$K$21,Comps[DATE],"&lt;="&amp;$J$21)+SUMIFS(Comps[SOLD PRICE],Comps[P. BROKER],"*M&amp;M*",Comps[DATE],"&gt;="&amp;$K$21,Comps[DATE],"&lt;="&amp;$J$21)</f>
        <v/>
      </c>
      <c r="K23">
        <f>COUNTIFS(Comps[L. BROKER],"*M&amp;M*",Comps[DATE],"&gt;="&amp;$K$21,Comps[DATE],"&lt;="&amp;$J$21)+COUNTIFS(Comps[P. BROKER],"*M&amp;M*",Comps[DATE],"&gt;="&amp;$K$21,Comps[DATE],"&lt;="&amp;$J$21)</f>
        <v/>
      </c>
      <c r="L23">
        <f>J23/K23</f>
        <v/>
      </c>
      <c r="M23">
        <f>AVERAGEIFS(Comps[SOLD CAP],Comps[L. BROKER],"*M&amp;M*",Comps[DATE],"&gt;="&amp;$K$21,Comps[DATE],"&lt;="&amp;$J$21)</f>
        <v/>
      </c>
      <c r="N23">
        <f>K23/COUNTIFS(Comps[DATE],"&lt;="&amp;$J$21,Comps[DATE],"&gt;"&amp;$K$21)</f>
        <v/>
      </c>
    </row>
    <row r="24">
      <c r="A24">
        <f>A23+1</f>
        <v/>
      </c>
      <c r="B24" t="inlineStr">
        <is>
          <t>John Glass</t>
        </is>
      </c>
      <c r="C24">
        <f>SUMIFS(Comps[SOLD PRICE],Comps[L. BROKER],"*Glass*",Comps[DATE],"&gt;="&amp;$D$21,Comps[DATE],"&lt;="&amp;$C$21)+SUMIFS(Comps[SOLD PRICE],Comps[P. BROKER],"*Glass*",Comps[DATE],"&gt;="&amp;$D$21,Comps[DATE],"&lt;="&amp;$C$21)</f>
        <v/>
      </c>
      <c r="D24">
        <f>COUNTIFS(Comps[L. BROKER],"*Glass*",Comps[DATE],"&gt;="&amp;$D$21,Comps[DATE],"&lt;="&amp;$C$21)+COUNTIFS(Comps[P. BROKER],"*Glass*",Comps[DATE],"&gt;="&amp;$D$21,Comps[DATE],"&lt;="&amp;$C$21)</f>
        <v/>
      </c>
      <c r="E24">
        <f>C24/D24</f>
        <v/>
      </c>
      <c r="F24">
        <f>AVERAGEIFS(Comps[SOLD CAP],Comps[L. BROKER],"*Glass*",Comps[DATE],"&gt;="&amp;$D$21,Comps[DATE],"&lt;="&amp;$C$21)</f>
        <v/>
      </c>
      <c r="H24">
        <f>H23+1</f>
        <v/>
      </c>
      <c r="I24" t="inlineStr">
        <is>
          <t>SJC</t>
        </is>
      </c>
      <c r="J24">
        <f>SUMIFS(Comps[SOLD PRICE],Comps[L. BROKER],"*SJC*",Comps[DATE],"&gt;="&amp;$K$21,Comps[DATE],"&lt;="&amp;$J$21)+SUMIFS(Comps[SOLD PRICE],Comps[P. BROKER],"*SJC*",Comps[DATE],"&gt;="&amp;$K$21,Comps[DATE],"&lt;="&amp;$J$21)</f>
        <v/>
      </c>
      <c r="K24">
        <f>COUNTIFS(Comps[L. BROKER],"*SJC*",Comps[DATE],"&gt;="&amp;$K$21,Comps[DATE],"&lt;="&amp;$J$21)+COUNTIFS(Comps[P. BROKER],"*SJC*",Comps[DATE],"&gt;="&amp;$K$21,Comps[DATE],"&lt;="&amp;$J$21)</f>
        <v/>
      </c>
      <c r="L24">
        <f>J24/K24</f>
        <v/>
      </c>
      <c r="M24">
        <f>AVERAGEIFS(Comps[SOLD CAP],Comps[L. BROKER],"*sjc*",Comps[DATE],"&gt;="&amp;$K$21,Comps[DATE],"&lt;="&amp;$J$21)</f>
        <v/>
      </c>
      <c r="N24">
        <f>K24/COUNTIFS(Comps[DATE],"&lt;="&amp;$J$21,Comps[DATE],"&gt;"&amp;$K$21)</f>
        <v/>
      </c>
    </row>
    <row r="25">
      <c r="A25">
        <f>A24+1</f>
        <v/>
      </c>
      <c r="B25" t="inlineStr">
        <is>
          <t>Peranich/Huffman</t>
        </is>
      </c>
      <c r="C25">
        <f>SUMIFS(Comps[SOLD PRICE],Comps[L. BROKER],"*Peranich*",Comps[DATE],"&gt;="&amp;$D$21,Comps[DATE],"&lt;="&amp;$C$21)+SUMIFS(Comps[SOLD PRICE],Comps[P. BROKER],"*Peranich*",Comps[DATE],"&gt;="&amp;$D$21,Comps[DATE],"&lt;="&amp;$C$21)</f>
        <v/>
      </c>
      <c r="D25">
        <f>COUNTIFS(Comps[L. BROKER],"*Peranich*",Comps[DATE],"&gt;="&amp;$D$21,Comps[DATE],"&lt;="&amp;$C$21)+COUNTIFS(Comps[P. BROKER],"*Peranich*",Comps[DATE],"&gt;="&amp;$D$21,Comps[DATE],"&lt;="&amp;$C$21)</f>
        <v/>
      </c>
      <c r="E25">
        <f>C25/D25</f>
        <v/>
      </c>
      <c r="F25">
        <f>AVERAGEIFS(Comps[SOLD CAP],Comps[L. BROKER],"*Peranich*",Comps[DATE],"&gt;="&amp;$D$21,Comps[DATE],"&lt;="&amp;$C$21)</f>
        <v/>
      </c>
      <c r="H25">
        <f>H24+1</f>
        <v/>
      </c>
      <c r="I25" t="inlineStr">
        <is>
          <t>C&amp;W</t>
        </is>
      </c>
      <c r="J25">
        <f>SUMIFS(Comps[SOLD PRICE],Comps[L. BROKER],"*C&amp;W*",Comps[DATE],"&gt;="&amp;$K$21,Comps[DATE],"&lt;="&amp;$J$21)+SUMIFS(Comps[SOLD PRICE],Comps[P. BROKER],"*C&amp;W*",Comps[DATE],"&gt;="&amp;$K$21,Comps[DATE],"&lt;="&amp;$J$21)</f>
        <v/>
      </c>
      <c r="K25">
        <f>COUNTIFS(Comps[L. BROKER],"*C&amp;W*",Comps[DATE],"&gt;="&amp;$K$21,Comps[DATE],"&lt;="&amp;$J$21)+COUNTIFS(Comps[P. BROKER],"*C&amp;W*",Comps[DATE],"&gt;="&amp;$K$21,Comps[DATE],"&lt;="&amp;$J$21)</f>
        <v/>
      </c>
      <c r="L25">
        <f>J25/K25</f>
        <v/>
      </c>
      <c r="M25">
        <f>AVERAGEIFS(Comps[SOLD CAP],Comps[L. BROKER],"*c&amp;w*",Comps[DATE],"&gt;="&amp;$K$21,Comps[DATE],"&lt;="&amp;$J$21)</f>
        <v/>
      </c>
      <c r="N25">
        <f>K25/COUNTIFS(Comps[DATE],"&lt;="&amp;$J$21,Comps[DATE],"&gt;"&amp;$K$21)</f>
        <v/>
      </c>
    </row>
    <row r="26">
      <c r="A26">
        <f>A25+1</f>
        <v/>
      </c>
      <c r="B26" t="inlineStr">
        <is>
          <t>Valerie Cook</t>
        </is>
      </c>
      <c r="C26">
        <f>SUMIFS(Comps[SOLD PRICE],Comps[L. BROKER],"*Cook*",Comps[DATE],"&gt;="&amp;$D$21,Comps[DATE],"&lt;="&amp;$C$21)+SUMIFS(Comps[SOLD PRICE],Comps[P. BROKER],"*Cook*",Comps[DATE],"&gt;="&amp;$D$21,Comps[DATE],"&lt;="&amp;$C$21)</f>
        <v/>
      </c>
      <c r="D26">
        <f>COUNTIFS(Comps[L. BROKER],"*Cook*",Comps[DATE],"&gt;="&amp;$D$21,Comps[DATE],"&lt;="&amp;$C$21)+COUNTIFS(Comps[P. BROKER],"*Cook*",Comps[DATE],"&gt;="&amp;$D$21,Comps[DATE],"&lt;="&amp;$C$21)</f>
        <v/>
      </c>
      <c r="E26">
        <f>C26/D26</f>
        <v/>
      </c>
      <c r="F26">
        <f>AVERAGEIFS(Comps[SOLD CAP],Comps[L. BROKER],"*Cook*",Comps[DATE],"&gt;="&amp;$D$21,Comps[DATE],"&lt;="&amp;$C$21)</f>
        <v/>
      </c>
      <c r="H26">
        <f>H25+1</f>
        <v/>
      </c>
      <c r="I26" t="inlineStr">
        <is>
          <t>PH</t>
        </is>
      </c>
      <c r="J26">
        <f>SUMIFS(Comps[SOLD PRICE],Comps[L. BROKER],"*PH:*",Comps[DATE],"&gt;="&amp;$K$21,Comps[DATE],"&lt;="&amp;$J$21)+SUMIFS(Comps[SOLD PRICE],Comps[P. BROKER],"*PH:*",Comps[DATE],"&gt;="&amp;$K$21,Comps[DATE],"&lt;="&amp;$J$21)</f>
        <v/>
      </c>
      <c r="K26">
        <f>COUNTIFS(Comps[L. BROKER],"*PH:*",Comps[DATE],"&gt;="&amp;$K$21,Comps[DATE],"&lt;="&amp;$J$21)+COUNTIFS(Comps[P. BROKER],"*PH:*",Comps[DATE],"&gt;="&amp;$K$21,Comps[DATE],"&lt;="&amp;$J$21)</f>
        <v/>
      </c>
      <c r="L26">
        <f>J26/K26</f>
        <v/>
      </c>
      <c r="M26">
        <f>AVERAGEIFS(Comps[SOLD CAP],Comps[L. BROKER],"*ph:*",Comps[DATE],"&gt;="&amp;$K$21,Comps[DATE],"&lt;="&amp;$J$21)</f>
        <v/>
      </c>
      <c r="N26">
        <f>K26/COUNTIFS(Comps[DATE],"&lt;="&amp;$J$21,Comps[DATE],"&gt;"&amp;$K$21)</f>
        <v/>
      </c>
    </row>
    <row r="27">
      <c r="A27">
        <f>A26+1</f>
        <v/>
      </c>
      <c r="B27" t="inlineStr">
        <is>
          <t>Jay Patel</t>
        </is>
      </c>
      <c r="C27">
        <f>SUMIFS(Comps[SOLD PRICE],Comps[L. BROKER],"*Patel*",Comps[DATE],"&gt;="&amp;$D$21,Comps[DATE],"&lt;="&amp;$C$21)+SUMIFS(Comps[SOLD PRICE],Comps[P. BROKER],"*Patel*",Comps[DATE],"&gt;="&amp;$D$21,Comps[DATE],"&lt;="&amp;$C$21)</f>
        <v/>
      </c>
      <c r="D27">
        <f>COUNTIFS(Comps[L. BROKER],"*Patel*",Comps[DATE],"&gt;="&amp;$D$21,Comps[DATE],"&lt;="&amp;$C$21)+COUNTIFS(Comps[P. BROKER],"*patel*",Comps[DATE],"&gt;="&amp;$D$21,Comps[DATE],"&lt;="&amp;$C$21)</f>
        <v/>
      </c>
      <c r="E27">
        <f>C27/D27</f>
        <v/>
      </c>
      <c r="F27">
        <f>AVERAGEIFS(Comps[SOLD CAP],Comps[L. BROKER],"*Patel*",Comps[DATE],"&gt;="&amp;$D$21,Comps[DATE],"&lt;="&amp;$C$21)</f>
        <v/>
      </c>
      <c r="H27">
        <f>H26+1</f>
        <v/>
      </c>
      <c r="I27" t="inlineStr">
        <is>
          <t>Colliers</t>
        </is>
      </c>
      <c r="J27">
        <f>SUMIFS(Comps[SOLD PRICE],Comps[L. BROKER],"*Colliers*",Comps[DATE],"&gt;="&amp;$K$21,Comps[DATE],"&lt;="&amp;$J$21)+SUMIFS(Comps[SOLD PRICE],Comps[P. BROKER],"*Colliers*",Comps[DATE],"&gt;="&amp;$K$21,Comps[DATE],"&lt;="&amp;$J$21)</f>
        <v/>
      </c>
      <c r="K27">
        <f>COUNTIFS(Comps[L. BROKER],"*Colliers*",Comps[DATE],"&gt;="&amp;$K$21,Comps[DATE],"&lt;="&amp;$J$21)+COUNTIFS(Comps[P. BROKER],"*Colliers*",Comps[DATE],"&gt;="&amp;$K$21,Comps[DATE],"&lt;="&amp;$J$21)</f>
        <v/>
      </c>
      <c r="L27">
        <f>J27/K27</f>
        <v/>
      </c>
      <c r="M27">
        <f>AVERAGEIFS(Comps[SOLD CAP],Comps[L. BROKER],"*colliers*",Comps[DATE],"&gt;="&amp;$K$21,Comps[DATE],"&lt;="&amp;$J$21)</f>
        <v/>
      </c>
      <c r="N27">
        <f>K27/COUNTIFS(Comps[DATE],"&lt;="&amp;$J$21,Comps[DATE],"&gt;"&amp;$K$21)</f>
        <v/>
      </c>
    </row>
    <row r="28">
      <c r="A28">
        <f>A27+1</f>
        <v/>
      </c>
      <c r="B28" t="inlineStr">
        <is>
          <t>Bryan Webb</t>
        </is>
      </c>
      <c r="C28">
        <f>SUMIFS(Comps[SOLD PRICE],Comps[L. BROKER],"*Webb*",Comps[DATE],"&gt;="&amp;$D$21,Comps[DATE],"&lt;="&amp;$C$21)+SUMIFS(Comps[SOLD PRICE],Comps[P. BROKER],"*Webb*",Comps[DATE],"&gt;="&amp;$D$21,Comps[DATE],"&lt;="&amp;$C$21)</f>
        <v/>
      </c>
      <c r="D28">
        <f>COUNTIFS(Comps[L. BROKER],"*webb*",Comps[DATE],"&gt;="&amp;$D$21,Comps[DATE],"&lt;="&amp;$C$21)+COUNTIFS(Comps[P. BROKER],"*webb*",Comps[DATE],"&gt;="&amp;$D$21,Comps[DATE],"&lt;="&amp;$C$21)</f>
        <v/>
      </c>
      <c r="E28">
        <f>C28/D28</f>
        <v/>
      </c>
      <c r="F28">
        <f>AVERAGEIFS(Comps[SOLD CAP],Comps[L. BROKER],"*webb*",Comps[DATE],"&gt;="&amp;$D$21,Comps[DATE],"&lt;="&amp;$C$21)</f>
        <v/>
      </c>
      <c r="H28">
        <f>H27+1</f>
        <v/>
      </c>
      <c r="I28" t="inlineStr">
        <is>
          <t>Matthews</t>
        </is>
      </c>
      <c r="J28">
        <f>SUMIFS(Comps[SOLD PRICE],Comps[L. BROKER],"*Matthews*",Comps[DATE],"&gt;="&amp;$K$21,Comps[DATE],"&lt;="&amp;$J$21)+SUMIFS(Comps[SOLD PRICE],Comps[P. BROKER],"*Matthews*",Comps[DATE],"&gt;="&amp;$K$21,Comps[DATE],"&lt;="&amp;$J$21)</f>
        <v/>
      </c>
      <c r="K28">
        <f>COUNTIFS(Comps[L. BROKER],"*Matthews*",Comps[DATE],"&gt;="&amp;$K$21,Comps[DATE],"&lt;="&amp;$J$21)+COUNTIFS(Comps[P. BROKER],"*Matthews*",Comps[DATE],"&gt;="&amp;$K$21,Comps[DATE],"&lt;="&amp;$J$21)</f>
        <v/>
      </c>
      <c r="L28">
        <f>J28/K28</f>
        <v/>
      </c>
      <c r="M28">
        <f>AVERAGEIFS(Comps[SOLD CAP],Comps[L. BROKER],"*matthews*",Comps[DATE],"&gt;="&amp;$K$21,Comps[DATE],"&lt;="&amp;$J$21)</f>
        <v/>
      </c>
      <c r="N28">
        <f>K28/COUNTIFS(Comps[DATE],"&lt;="&amp;$J$21,Comps[DATE],"&gt;"&amp;$K$21)</f>
        <v/>
      </c>
    </row>
    <row r="29">
      <c r="A29">
        <f>A28+1</f>
        <v/>
      </c>
      <c r="B29" t="inlineStr">
        <is>
          <t>Moreno</t>
        </is>
      </c>
      <c r="C29">
        <f>SUMIFS(Comps[SOLD PRICE],Comps[L. BROKER],"*Moreno*",Comps[DATE],"&gt;="&amp;$D$21,Comps[DATE],"&lt;="&amp;$C$21)+SUMIFS(Comps[SOLD PRICE],Comps[P. BROKER],"*Moreno*",Comps[DATE],"&gt;="&amp;$D$21,Comps[DATE],"&lt;="&amp;$C$21)</f>
        <v/>
      </c>
      <c r="D29">
        <f>COUNTIFS(Comps[L. BROKER],"*Moreno*",Comps[DATE],"&gt;="&amp;$D$21,Comps[DATE],"&lt;="&amp;$C$21)+COUNTIFS(Comps[P. BROKER],"*Moreno*",Comps[DATE],"&gt;="&amp;$D$21,Comps[DATE],"&lt;="&amp;$C$21)</f>
        <v/>
      </c>
      <c r="E29">
        <f>C29/D29</f>
        <v/>
      </c>
      <c r="F29">
        <f>AVERAGEIFS(Comps[SOLD CAP],Comps[L. BROKER],"*Moreno*",Comps[DATE],"&gt;="&amp;$D$21,Comps[DATE],"&lt;="&amp;$C$21)</f>
        <v/>
      </c>
      <c r="H29">
        <f>H28+1</f>
        <v/>
      </c>
      <c r="I29" t="inlineStr">
        <is>
          <t>CBRE</t>
        </is>
      </c>
      <c r="J29">
        <f>SUMIFS(Comps[SOLD PRICE],Comps[L. BROKER],"*cbre*",Comps[DATE],"&gt;="&amp;$K$21,Comps[DATE],"&lt;="&amp;$J$21)+SUMIFS(Comps[SOLD PRICE],Comps[P. BROKER],"*cbre*",Comps[DATE],"&gt;="&amp;$K$21,Comps[DATE],"&lt;="&amp;$J$21)</f>
        <v/>
      </c>
      <c r="K29">
        <f>COUNTIFS(Comps[L. BROKER],"*CBRE*",Comps[DATE],"&gt;="&amp;$K$21,Comps[DATE],"&lt;="&amp;$J$21)+COUNTIFS(Comps[P. BROKER],"*CBRE*",Comps[DATE],"&gt;="&amp;$K$21,Comps[DATE],"&lt;="&amp;$J$21)</f>
        <v/>
      </c>
      <c r="L29">
        <f>J29/K29</f>
        <v/>
      </c>
      <c r="M29">
        <f>AVERAGEIFS(Comps[SOLD CAP],Comps[L. BROKER],"*cbre*",Comps[DATE],"&gt;="&amp;$K$21,Comps[DATE],"&lt;="&amp;$J$21)</f>
        <v/>
      </c>
      <c r="N29">
        <f>K29/COUNTIFS(Comps[DATE],"&lt;="&amp;$J$21,Comps[DATE],"&gt;"&amp;$K$21)</f>
        <v/>
      </c>
    </row>
    <row r="30">
      <c r="A30">
        <f>A29+1</f>
        <v/>
      </c>
      <c r="B30" t="inlineStr">
        <is>
          <t>Alvin Mansour</t>
        </is>
      </c>
      <c r="C30">
        <f>SUMIFS(Comps[SOLD PRICE],Comps[L. BROKER],"*mansour*",Comps[DATE],"&gt;="&amp;$D$21,Comps[DATE],"&lt;="&amp;$C$21)+SUMIFS(Comps[SOLD PRICE],Comps[P. BROKER],"*mansour*",Comps[DATE],"&gt;="&amp;$D$21,Comps[DATE],"&lt;="&amp;$C$21)</f>
        <v/>
      </c>
      <c r="D30">
        <f>COUNTIFS(Comps[L. BROKER],"*mansour*",Comps[DATE],"&gt;="&amp;$D$21,Comps[DATE],"&lt;="&amp;$C$21)+COUNTIFS(Comps[P. BROKER],"*mansour*",Comps[DATE],"&gt;="&amp;$D$21,Comps[DATE],"&lt;="&amp;$C$21)</f>
        <v/>
      </c>
      <c r="E30">
        <f>C30/D30</f>
        <v/>
      </c>
      <c r="F30">
        <f>AVERAGEIFS(Comps[SOLD CAP],Comps[L. BROKER],"*mansour*",Comps[DATE],"&gt;="&amp;$D$21,Comps[DATE],"&lt;="&amp;$C$21)</f>
        <v/>
      </c>
      <c r="H30">
        <f>H29+1</f>
        <v/>
      </c>
      <c r="I30" t="inlineStr">
        <is>
          <t>SVN</t>
        </is>
      </c>
      <c r="J30">
        <f>SUMIFS(Comps[SOLD PRICE],Comps[L. BROKER],"*SVN*",Comps[DATE],"&gt;="&amp;$K$21,Comps[DATE],"&lt;="&amp;$J$21)+SUMIFS(Comps[SOLD PRICE],Comps[P. BROKER],"*SVN*",Comps[DATE],"&gt;="&amp;$K$21,Comps[DATE],"&lt;="&amp;$J$21)</f>
        <v/>
      </c>
      <c r="K30">
        <f>COUNTIFS(Comps[L. BROKER],"*SVN*",Comps[DATE],"&gt;="&amp;$K$21,Comps[DATE],"&lt;="&amp;$J$21)+COUNTIFS(Comps[P. BROKER],"*SVN*",Comps[DATE],"&gt;="&amp;$K$21,Comps[DATE],"&lt;="&amp;$J$21)</f>
        <v/>
      </c>
      <c r="L30">
        <f>J30/K30</f>
        <v/>
      </c>
      <c r="M30">
        <f>AVERAGEIFS(Comps[SOLD CAP],Comps[L. BROKER],"*svn*",Comps[DATE],"&gt;="&amp;$K$21,Comps[DATE],"&lt;="&amp;$J$21)</f>
        <v/>
      </c>
      <c r="N30">
        <f>K30/COUNTIFS(Comps[DATE],"&lt;="&amp;$J$21,Comps[DATE],"&gt;"&amp;$K$21)</f>
        <v/>
      </c>
    </row>
    <row r="31">
      <c r="A31">
        <f>A30+1</f>
        <v/>
      </c>
      <c r="B31" t="inlineStr">
        <is>
          <t>Josh Snyder</t>
        </is>
      </c>
      <c r="C31">
        <f>SUMIFS(Comps[SOLD PRICE],Comps[L. BROKER],"*Snyder*",Comps[DATE],"&gt;="&amp;$D$21,Comps[DATE],"&lt;="&amp;$C$21)+SUMIFS(Comps[SOLD PRICE],Comps[P. BROKER],"*Snyder*",Comps[DATE],"&gt;="&amp;$D$21,Comps[DATE],"&lt;="&amp;$C$21)</f>
        <v/>
      </c>
      <c r="D31">
        <f>COUNTIFS(Comps[L. BROKER],"*Snyder*",Comps[DATE],"&gt;="&amp;$D$21,Comps[DATE],"&lt;="&amp;$C$21)+COUNTIFS(Comps[P. BROKER],"*Snyder*",Comps[DATE],"&gt;="&amp;$D$21,Comps[DATE],"&lt;="&amp;$C$21)</f>
        <v/>
      </c>
      <c r="E31">
        <f>C31/D31</f>
        <v/>
      </c>
      <c r="F31">
        <f>AVERAGEIFS(Comps[SOLD CAP],Comps[L. BROKER],"*Snyder*",Comps[DATE],"&gt;="&amp;$D$21,Comps[DATE],"&lt;="&amp;$C$21)</f>
        <v/>
      </c>
      <c r="H31">
        <f>H30+1</f>
        <v/>
      </c>
      <c r="I31" t="inlineStr">
        <is>
          <t>SRS</t>
        </is>
      </c>
      <c r="J31">
        <f>SUMIFS(Comps[SOLD PRICE],Comps[L. BROKER],"*srs*",Comps[DATE],"&gt;="&amp;$K$21,Comps[DATE],"&lt;="&amp;$J$21)+SUMIFS(Comps[SOLD PRICE],Comps[P. BROKER],"*srs*",Comps[DATE],"&gt;="&amp;$K$21,Comps[DATE],"&lt;="&amp;$J$21)</f>
        <v/>
      </c>
      <c r="K31">
        <f>COUNTIFS(Comps[L. BROKER],"*srs*",Comps[DATE],"&gt;="&amp;$K$21,Comps[DATE],"&lt;="&amp;$J$21)+COUNTIFS(Comps[P. BROKER],"*srs*",Comps[DATE],"&gt;="&amp;$K$21,Comps[DATE],"&lt;="&amp;$J$21)</f>
        <v/>
      </c>
      <c r="L31">
        <f>J31/K31</f>
        <v/>
      </c>
      <c r="M31">
        <f>AVERAGEIFS(Comps[SOLD CAP],Comps[L. BROKER],"*srs*",Comps[DATE],"&gt;="&amp;$K$21,Comps[DATE],"&lt;="&amp;$J$21)</f>
        <v/>
      </c>
      <c r="N31">
        <f>K31/COUNTIFS(Comps[DATE],"&lt;="&amp;$J$21,Comps[DATE],"&gt;"&amp;$K$21)</f>
        <v/>
      </c>
    </row>
    <row r="32">
      <c r="A32">
        <f>A31+1</f>
        <v/>
      </c>
      <c r="B32" t="inlineStr">
        <is>
          <t>Travis Trautvetter</t>
        </is>
      </c>
      <c r="C32">
        <f>SUMIFS(Comps[SOLD PRICE],Comps[L. BROKER],"*Traut*",Comps[DATE],"&gt;="&amp;$D$21,Comps[DATE],"&lt;="&amp;$C$21)+SUMIFS(Comps[SOLD PRICE],Comps[P. BROKER],"*Traut*",Comps[DATE],"&gt;="&amp;$D$21,Comps[DATE],"&lt;="&amp;$C$21)</f>
        <v/>
      </c>
      <c r="D32">
        <f>COUNTIFS(Comps[L. BROKER],"*Traut*",Comps[DATE],"&gt;="&amp;$D$21,Comps[DATE],"&lt;="&amp;$C$21)+COUNTIFS(Comps[P. BROKER],"*Traut*",Comps[DATE],"&gt;="&amp;$D$21,Comps[DATE],"&lt;="&amp;$C$21)</f>
        <v/>
      </c>
      <c r="E32">
        <f>C32/D32</f>
        <v/>
      </c>
      <c r="F32">
        <f>AVERAGEIFS(Comps[SOLD CAP],Comps[L. BROKER],"*Traut*",Comps[DATE],"&gt;="&amp;$D$21,Comps[DATE],"&lt;="&amp;$C$21)</f>
        <v/>
      </c>
      <c r="H32">
        <f>H31+1</f>
        <v/>
      </c>
      <c r="I32" t="inlineStr">
        <is>
          <t>Capital Pacific</t>
        </is>
      </c>
      <c r="J32">
        <f>SUMIFS(Comps[SOLD PRICE],Comps[L. BROKER],"*cp;*",Comps[DATE],"&gt;="&amp;$K$21,Comps[DATE],"&lt;="&amp;$J$21)+SUMIFS(Comps[SOLD PRICE],Comps[P. BROKER],"*cp;*",Comps[DATE],"&gt;="&amp;$K$21,Comps[DATE],"&lt;="&amp;$J$21)</f>
        <v/>
      </c>
      <c r="K32">
        <f>COUNTIFS(Comps[L. BROKER],"*cp;*",Comps[DATE],"&gt;="&amp;$K$21,Comps[DATE],"&lt;="&amp;$J$21)+COUNTIFS(Comps[P. BROKER],"*cp;*",Comps[DATE],"&gt;="&amp;$K$21,Comps[DATE],"&lt;="&amp;$J$21)</f>
        <v/>
      </c>
      <c r="L32">
        <f>J32/K32</f>
        <v/>
      </c>
      <c r="M32">
        <f>AVERAGEIFS(Comps[SOLD CAP],Comps[L. BROKER],"*cp;*",Comps[DATE],"&gt;="&amp;$K$21,Comps[DATE],"&lt;="&amp;$J$21)</f>
        <v/>
      </c>
      <c r="N32">
        <f>K32/COUNTIFS(Comps[DATE],"&lt;="&amp;$J$21,Comps[DATE],"&gt;"&amp;$K$21)</f>
        <v/>
      </c>
    </row>
    <row r="33">
      <c r="A33">
        <f>A32+1</f>
        <v/>
      </c>
      <c r="B33" t="inlineStr">
        <is>
          <t>Keith Kropfl</t>
        </is>
      </c>
      <c r="C33">
        <f>SUMIFS(Comps[SOLD PRICE],Comps[L. BROKER],"*Kropfl*",Comps[DATE],"&gt;="&amp;$D$21,Comps[DATE],"&lt;="&amp;$C$21)+SUMIFS(Comps[SOLD PRICE],Comps[P. BROKER],"*Kropfl*",Comps[DATE],"&gt;="&amp;$D$21,Comps[DATE],"&lt;="&amp;$C$21)</f>
        <v/>
      </c>
      <c r="D33">
        <f>COUNTIFS(Comps[L. BROKER],"*Kropfl*",Comps[DATE],"&gt;="&amp;$D$21,Comps[DATE],"&lt;="&amp;$C$21)+COUNTIFS(Comps[P. BROKER],"*Kropfl*",Comps[DATE],"&gt;="&amp;$D$21,Comps[DATE],"&lt;="&amp;$C$21)</f>
        <v/>
      </c>
      <c r="E33">
        <f>C33/D33</f>
        <v/>
      </c>
      <c r="F33">
        <f>AVERAGEIFS(Comps[SOLD CAP],Comps[L. BROKER],"*Kropfl*",Comps[DATE],"&gt;="&amp;$D$21,Comps[DATE],"&lt;="&amp;$C$21)</f>
        <v/>
      </c>
      <c r="H33">
        <f>H32+1</f>
        <v/>
      </c>
      <c r="I33" t="inlineStr">
        <is>
          <t>JLL</t>
        </is>
      </c>
      <c r="J33">
        <f>SUMIFS(Comps[SOLD PRICE],Comps[L. BROKER],"*JLL*",Comps[DATE],"&gt;="&amp;$K$21,Comps[DATE],"&lt;="&amp;$J$21)+SUMIFS(Comps[SOLD PRICE],Comps[P. BROKER],"*JLL*",Comps[DATE],"&gt;="&amp;$K$21,Comps[DATE],"&lt;="&amp;$J$21)</f>
        <v/>
      </c>
      <c r="K33">
        <f>COUNTIFS(Comps[L. BROKER],"*JLL*",Comps[DATE],"&gt;="&amp;$K$21,Comps[DATE],"&lt;="&amp;$J$21)+COUNTIFS(Comps[P. BROKER],"*JLL*",Comps[DATE],"&gt;="&amp;$K$21,Comps[DATE],"&lt;="&amp;$J$21)</f>
        <v/>
      </c>
      <c r="L33">
        <f>J33/K33</f>
        <v/>
      </c>
      <c r="M33">
        <f>AVERAGEIFS(Comps[SOLD CAP],Comps[L. BROKER],"*JLL*",Comps[DATE],"&gt;="&amp;$K$21,Comps[DATE],"&lt;="&amp;$J$21)</f>
        <v/>
      </c>
      <c r="N33">
        <f>K33/COUNTIFS(Comps[DATE],"&lt;="&amp;$J$21,Comps[DATE],"&gt;"&amp;$K$21)</f>
        <v/>
      </c>
    </row>
    <row r="34">
      <c r="A34">
        <f>A33+1</f>
        <v/>
      </c>
      <c r="B34" t="inlineStr">
        <is>
          <t>Jared Meyers</t>
        </is>
      </c>
      <c r="C34">
        <f>SUMIFS(Comps[SOLD PRICE],Comps[L. BROKER],"*Meyers*",Comps[DATE],"&gt;="&amp;$D$21,Comps[DATE],"&lt;="&amp;$C$21)+SUMIFS(Comps[SOLD PRICE],Comps[P. BROKER],"*Meyers*",Comps[DATE],"&gt;="&amp;$D$21,Comps[DATE],"&lt;="&amp;$C$21)</f>
        <v/>
      </c>
      <c r="D34">
        <f>COUNTIFS(Comps[L. BROKER],"*Meyers*",Comps[DATE],"&gt;="&amp;$D$21,Comps[DATE],"&lt;="&amp;$C$21)+COUNTIFS(Comps[P. BROKER],"*Meyers*",Comps[DATE],"&gt;="&amp;$D$21,Comps[DATE],"&lt;="&amp;$C$21)</f>
        <v/>
      </c>
      <c r="E34">
        <f>C34/D34</f>
        <v/>
      </c>
      <c r="F34">
        <f>AVERAGEIFS(Comps[SOLD CAP],Comps[L. BROKER],"*Meyers*",Comps[DATE],"&gt;="&amp;$D$21,Comps[DATE],"&lt;="&amp;$C$21)</f>
        <v/>
      </c>
      <c r="H34">
        <f>H33+1</f>
        <v/>
      </c>
      <c r="I34" t="inlineStr">
        <is>
          <t>Sands</t>
        </is>
      </c>
      <c r="J34">
        <f>SUMIFS(Comps[SOLD PRICE],Comps[L. BROKER],"*SIG*",Comps[DATE],"&gt;="&amp;$K$21,Comps[DATE],"&lt;="&amp;$J$21)+SUMIFS(Comps[SOLD PRICE],Comps[P. BROKER],"*SIG*",Comps[DATE],"&gt;="&amp;$K$21,Comps[DATE],"&lt;="&amp;$J$21)</f>
        <v/>
      </c>
      <c r="K34">
        <f>COUNTIFS(Comps[L. BROKER],"*SIG*",Comps[DATE],"&gt;="&amp;$K$21,Comps[DATE],"&lt;="&amp;$J$21)+COUNTIFS(Comps[P. BROKER],"*SIG*",Comps[DATE],"&gt;="&amp;$K$21,Comps[DATE],"&lt;="&amp;$J$21)</f>
        <v/>
      </c>
      <c r="L34">
        <f>J34/K34</f>
        <v/>
      </c>
      <c r="M34">
        <f>AVERAGEIFS(Comps[SOLD CAP],Comps[L. BROKER],"*SIG*",Comps[DATE],"&gt;="&amp;$K$21,Comps[DATE],"&lt;="&amp;$J$21)</f>
        <v/>
      </c>
      <c r="N34">
        <f>K34/COUNTIFS(Comps[DATE],"&lt;="&amp;$J$21,Comps[DATE],"&gt;"&amp;$K$21)</f>
        <v/>
      </c>
    </row>
    <row r="35">
      <c r="A35">
        <f>A34+1</f>
        <v/>
      </c>
      <c r="B35" t="inlineStr">
        <is>
          <t>Jason Lesley</t>
        </is>
      </c>
      <c r="C35">
        <f>SUMIFS(Comps[SOLD PRICE],Comps[L. BROKER],"*lesley*",Comps[DATE],"&gt;="&amp;$D$21,Comps[DATE],"&lt;="&amp;$C$21)+SUMIFS(Comps[SOLD PRICE],Comps[P. BROKER],"*lesley*",Comps[DATE],"&gt;="&amp;$D$21,Comps[DATE],"&lt;="&amp;$C$21)</f>
        <v/>
      </c>
      <c r="D35">
        <f>COUNTIFS(Comps[L. BROKER],"*lesley*",Comps[DATE],"&gt;="&amp;$D$21,Comps[DATE],"&lt;="&amp;$C$21)+COUNTIFS(Comps[P. BROKER],"*lesley*",Comps[DATE],"&gt;="&amp;$D$21,Comps[DATE],"&lt;="&amp;$C$21)</f>
        <v/>
      </c>
      <c r="E35">
        <f>C35/D35</f>
        <v/>
      </c>
      <c r="F35">
        <f>AVERAGEIFS(Comps[SOLD CAP],Comps[L. BROKER],"*lesley*",Comps[DATE],"&gt;="&amp;$D$21,Comps[DATE],"&lt;="&amp;$C$21)</f>
        <v/>
      </c>
      <c r="H35">
        <f>H34+1</f>
        <v/>
      </c>
      <c r="I35" t="inlineStr">
        <is>
          <t>Avison Young</t>
        </is>
      </c>
      <c r="J35">
        <f>SUMIFS(Comps[SOLD PRICE],Comps[L. BROKER],"*AY;*",Comps[DATE],"&gt;="&amp;$K$21,Comps[DATE],"&lt;="&amp;$J$21)+SUMIFS(Comps[SOLD PRICE],Comps[P. BROKER],"*AY;*",Comps[DATE],"&gt;="&amp;$K$21,Comps[DATE],"&lt;="&amp;$J$21)</f>
        <v/>
      </c>
      <c r="K35">
        <f>COUNTIFS(Comps[L. BROKER],"*AY;*",Comps[DATE],"&gt;="&amp;$K$21,Comps[DATE],"&lt;="&amp;$J$21)+COUNTIFS(Comps[P. BROKER],"*AY;*",Comps[DATE],"&gt;="&amp;$K$21,Comps[DATE],"&lt;="&amp;$J$21)</f>
        <v/>
      </c>
      <c r="L35">
        <f>J35/K35</f>
        <v/>
      </c>
      <c r="M35">
        <f>AVERAGEIFS(Comps[SOLD CAP],Comps[L. BROKER],"*AY;*",Comps[DATE],"&gt;="&amp;$K$21,Comps[DATE],"&lt;="&amp;$J$21)</f>
        <v/>
      </c>
      <c r="N35">
        <f>K35/COUNTIFS(Comps[DATE],"&lt;="&amp;$J$21,Comps[DATE],"&gt;"&amp;$K$21)</f>
        <v/>
      </c>
    </row>
    <row r="36">
      <c r="A36">
        <f>A35+1</f>
        <v/>
      </c>
      <c r="B36" t="inlineStr">
        <is>
          <t>Hoover</t>
        </is>
      </c>
      <c r="C36">
        <f>SUMIFS(Comps[SOLD PRICE],Comps[L. BROKER],"*Hoover*",Comps[DATE],"&gt;="&amp;$D$21,Comps[DATE],"&lt;="&amp;$C$21)+SUMIFS(Comps[SOLD PRICE],Comps[P. BROKER],"*Hoover*",Comps[DATE],"&gt;="&amp;$D$21,Comps[DATE],"&lt;="&amp;$C$21)</f>
        <v/>
      </c>
      <c r="D36">
        <f>COUNTIFS(Comps[L. BROKER],"*Hoover*",Comps[DATE],"&gt;="&amp;$D$21,Comps[DATE],"&lt;="&amp;$C$21)+COUNTIFS(Comps[P. BROKER],"*Hoover*",Comps[DATE],"&gt;="&amp;$D$21,Comps[DATE],"&lt;="&amp;$C$21)</f>
        <v/>
      </c>
      <c r="E36">
        <f>C36/D36</f>
        <v/>
      </c>
      <c r="F36">
        <f>AVERAGEIFS(Comps[SOLD CAP],Comps[L. BROKER],"*Hoover*",Comps[DATE],"&gt;="&amp;$D$21,Comps[DATE],"&lt;="&amp;$C$21)</f>
        <v/>
      </c>
      <c r="H36">
        <f>H35+1</f>
        <v/>
      </c>
      <c r="I36" t="inlineStr">
        <is>
          <t>Boulder</t>
        </is>
      </c>
      <c r="J36">
        <f>SUMIFS(Comps[SOLD PRICE],Comps[L. BROKER],"*Boulder*",Comps[DATE],"&gt;="&amp;$K$21,Comps[DATE],"&lt;="&amp;$J$21)+SUMIFS(Comps[SOLD PRICE],Comps[P. BROKER],"*Boulder*",Comps[DATE],"&gt;="&amp;$K$21,Comps[DATE],"&lt;="&amp;$J$21)</f>
        <v/>
      </c>
      <c r="K36">
        <f>COUNTIFS(Comps[L. BROKER],"*Boulder*",Comps[DATE],"&gt;="&amp;$K$21,Comps[DATE],"&lt;="&amp;$J$21)+COUNTIFS(Comps[P. BROKER],"*Boulder*",Comps[DATE],"&gt;="&amp;$K$21,Comps[DATE],"&lt;="&amp;$J$21)</f>
        <v/>
      </c>
      <c r="L36">
        <f>J36/K36</f>
        <v/>
      </c>
      <c r="M36">
        <f>AVERAGEIFS(Comps[SOLD CAP],Comps[L. BROKER],"*Boulder*",Comps[DATE],"&gt;="&amp;$K$21,Comps[DATE],"&lt;="&amp;$J$21)</f>
        <v/>
      </c>
      <c r="N36">
        <f>K36/COUNTIFS(Comps[DATE],"&lt;="&amp;$J$21,Comps[DATE],"&gt;"&amp;$K$21)</f>
        <v/>
      </c>
    </row>
    <row r="37">
      <c r="A37">
        <f>A36+1</f>
        <v/>
      </c>
      <c r="B37" t="inlineStr">
        <is>
          <t>Grady Liu</t>
        </is>
      </c>
      <c r="C37">
        <f>SUMIFS(Comps[SOLD PRICE],Comps[L. BROKER],"*Liu*",Comps[DATE],"&gt;="&amp;$D$21,Comps[DATE],"&lt;="&amp;$C$21)+SUMIFS(Comps[SOLD PRICE],Comps[P. BROKER],"*Liu*",Comps[DATE],"&gt;="&amp;$D$21,Comps[DATE],"&lt;="&amp;$C$21)</f>
        <v/>
      </c>
      <c r="D37">
        <f>COUNTIFS(Comps[L. BROKER],"*Liu*",Comps[DATE],"&gt;="&amp;$D$21,Comps[DATE],"&lt;="&amp;$C$21)+COUNTIFS(Comps[P. BROKER],"*Liu*",Comps[DATE],"&gt;="&amp;$D$21,Comps[DATE],"&lt;="&amp;$C$21)</f>
        <v/>
      </c>
      <c r="E37">
        <f>C37/D37</f>
        <v/>
      </c>
      <c r="F37">
        <f>AVERAGEIFS(Comps[SOLD CAP],Comps[L. BROKER],"*Liu*",Comps[DATE],"&gt;="&amp;$D$21,Comps[DATE],"&lt;="&amp;$C$21)</f>
        <v/>
      </c>
    </row>
    <row r="38">
      <c r="A38">
        <f>A37+1</f>
        <v/>
      </c>
      <c r="B38" t="inlineStr">
        <is>
          <t>Guillermo Olaiz</t>
        </is>
      </c>
      <c r="C38">
        <f>SUMIFS(Comps[SOLD PRICE],Comps[L. BROKER],"*olaiz*",Comps[DATE],"&gt;="&amp;$D$21,Comps[DATE],"&lt;="&amp;$C$21)+SUMIFS(Comps[SOLD PRICE],Comps[P. BROKER],"*olaiz*",Comps[DATE],"&gt;="&amp;$D$21,Comps[DATE],"&lt;="&amp;$C$21)</f>
        <v/>
      </c>
      <c r="D38">
        <f>COUNTIFS(Comps[L. BROKER],"*olaiz*",Comps[DATE],"&gt;="&amp;$D$21,Comps[DATE],"&lt;="&amp;$C$21)+COUNTIFS(Comps[P. BROKER],"*olaiz*",Comps[DATE],"&gt;="&amp;$D$21,Comps[DATE],"&lt;="&amp;$C$21)</f>
        <v/>
      </c>
      <c r="E38">
        <f>C38/D38</f>
        <v/>
      </c>
      <c r="F38">
        <f>AVERAGEIFS(Comps[SOLD CAP],Comps[L. BROKER],"*olaiz*",Comps[DATE],"&gt;="&amp;$D$21,Comps[DATE],"&lt;="&amp;$C$21)</f>
        <v/>
      </c>
    </row>
    <row r="40">
      <c r="B40" t="inlineStr">
        <is>
          <t>ON MARKET</t>
        </is>
      </c>
      <c r="I40" t="inlineStr">
        <is>
          <t>ON MARKET</t>
        </is>
      </c>
    </row>
    <row r="41">
      <c r="B41" t="inlineStr">
        <is>
          <t>Broker</t>
        </is>
      </c>
      <c r="C41" t="inlineStr">
        <is>
          <t>Volume</t>
        </is>
      </c>
      <c r="D41" t="inlineStr">
        <is>
          <t>Deal Count</t>
        </is>
      </c>
      <c r="E41" t="inlineStr">
        <is>
          <t>Avg. Size</t>
        </is>
      </c>
      <c r="F41" t="inlineStr">
        <is>
          <t>Avg. Cap</t>
        </is>
      </c>
      <c r="I41" t="inlineStr">
        <is>
          <t>Firm</t>
        </is>
      </c>
      <c r="J41" t="inlineStr">
        <is>
          <t>Volume</t>
        </is>
      </c>
      <c r="K41" t="inlineStr">
        <is>
          <t>Deal Count</t>
        </is>
      </c>
      <c r="L41" t="inlineStr">
        <is>
          <t>Avg. Size</t>
        </is>
      </c>
      <c r="M41" t="inlineStr">
        <is>
          <t>Avg. Cap</t>
        </is>
      </c>
      <c r="N41" t="inlineStr">
        <is>
          <t>Market Share</t>
        </is>
      </c>
    </row>
    <row r="42">
      <c r="A42">
        <f>A41+1</f>
        <v/>
      </c>
      <c r="B42" t="inlineStr">
        <is>
          <t>Scott Briggs</t>
        </is>
      </c>
      <c r="C42">
        <f>SUMIFS(Available[INITIAL PRICE],Available[L. BROKER],"*Briggs*")</f>
        <v/>
      </c>
      <c r="D42">
        <f>COUNTIFS(Available[L. BROKER],"*Briggs*")</f>
        <v/>
      </c>
      <c r="E42">
        <f>C42/D42</f>
        <v/>
      </c>
      <c r="F42">
        <f>AVERAGEIFS(Available[INITIAL CAP],Available[L. BROKER],"*Briggs*")</f>
        <v/>
      </c>
      <c r="H42">
        <f>H41+1</f>
        <v/>
      </c>
      <c r="I42" t="inlineStr">
        <is>
          <t>M&amp;M</t>
        </is>
      </c>
      <c r="J42">
        <f>SUMIFS(Available[INITIAL PRICE],Available[L. BROKER],"*M&amp;M*")</f>
        <v/>
      </c>
      <c r="K42">
        <f>COUNTIFS(Available[L. BROKER],"*M&amp;M*")</f>
        <v/>
      </c>
      <c r="L42">
        <f>J42/K42</f>
        <v/>
      </c>
      <c r="M42">
        <f>AVERAGEIFS(Available[INITIAL CAP],Available[L. BROKER],"*M&amp;M*")</f>
        <v/>
      </c>
      <c r="N42">
        <f>K42/Available[[#Totals],[ON MARKET]]</f>
        <v/>
      </c>
    </row>
    <row r="43">
      <c r="A43">
        <f>A42+1</f>
        <v/>
      </c>
      <c r="B43" t="inlineStr">
        <is>
          <t>Jay Patel</t>
        </is>
      </c>
      <c r="C43">
        <f>SUMIFS(Available[INITIAL PRICE],Available[L. BROKER],"*Patel*")</f>
        <v/>
      </c>
      <c r="D43">
        <f>COUNTIFS(Available[L. BROKER],"*Patel*")</f>
        <v/>
      </c>
      <c r="E43">
        <f>C43/D43</f>
        <v/>
      </c>
      <c r="F43">
        <f>AVERAGEIFS(Available[INITIAL CAP],Available[L. BROKER],"*Patel*")</f>
        <v/>
      </c>
      <c r="H43">
        <f>H42+1</f>
        <v/>
      </c>
      <c r="I43" t="inlineStr">
        <is>
          <t>SJC</t>
        </is>
      </c>
      <c r="J43">
        <f>SUMIFS(Available[INITIAL PRICE],Available[L. BROKER],"*SJC*")</f>
        <v/>
      </c>
      <c r="K43">
        <f>COUNTIFS(Available[L. BROKER],"*SJC*")</f>
        <v/>
      </c>
      <c r="L43">
        <f>J43/K43</f>
        <v/>
      </c>
      <c r="M43">
        <f>AVERAGEIFS(Available[INITIAL CAP],Available[L. BROKER],"*SJC*")</f>
        <v/>
      </c>
      <c r="N43">
        <f>K43/Available[[#Totals],[ON MARKET]]</f>
        <v/>
      </c>
    </row>
    <row r="44">
      <c r="A44">
        <f>A43+1</f>
        <v/>
      </c>
      <c r="B44" t="inlineStr">
        <is>
          <t>Peranich/Huffman</t>
        </is>
      </c>
      <c r="C44">
        <f>SUMIFS(Available[INITIAL PRICE],Available[L. BROKER],"*Peranich*")</f>
        <v/>
      </c>
      <c r="D44">
        <f>COUNTIFS(Available[L. BROKER],"*Peranich*")</f>
        <v/>
      </c>
      <c r="E44">
        <f>C44/D44</f>
        <v/>
      </c>
      <c r="F44">
        <f>AVERAGEIFS(Available[INITIAL CAP],Available[L. BROKER],"*Peranich*")</f>
        <v/>
      </c>
      <c r="H44">
        <f>H43+1</f>
        <v/>
      </c>
      <c r="I44" t="inlineStr">
        <is>
          <t>Matthews</t>
        </is>
      </c>
      <c r="J44">
        <f>SUMIFS(Available[INITIAL PRICE],Available[L. BROKER],"*Matthews*")</f>
        <v/>
      </c>
      <c r="K44">
        <f>COUNTIFS(Available[L. BROKER],"*Matthews*")</f>
        <v/>
      </c>
      <c r="L44">
        <f>J44/K44</f>
        <v/>
      </c>
      <c r="M44">
        <f>AVERAGEIFS(Available[INITIAL CAP],Available[L. BROKER],"*Matthews*")</f>
        <v/>
      </c>
      <c r="N44">
        <f>K44/Available[[#Totals],[ON MARKET]]</f>
        <v/>
      </c>
    </row>
    <row r="45">
      <c r="A45">
        <f>A44+1</f>
        <v/>
      </c>
      <c r="B45" t="inlineStr">
        <is>
          <t>John Glass</t>
        </is>
      </c>
      <c r="C45">
        <f>SUMIFS(Available[INITIAL PRICE],Available[L. BROKER],"*Glass*")</f>
        <v/>
      </c>
      <c r="D45">
        <f>COUNTIFS(Available[L. BROKER],"*Glass*")</f>
        <v/>
      </c>
      <c r="E45">
        <f>C45/D45</f>
        <v/>
      </c>
      <c r="F45">
        <f>AVERAGEIFS(Available[INITIAL CAP],Available[L. BROKER],"*Glass*")</f>
        <v/>
      </c>
      <c r="H45">
        <f>H44+1</f>
        <v/>
      </c>
      <c r="I45" t="inlineStr">
        <is>
          <t>SRS</t>
        </is>
      </c>
      <c r="J45">
        <f>SUMIFS(Available[INITIAL PRICE],Available[L. BROKER],"*srs*")</f>
        <v/>
      </c>
      <c r="K45">
        <f>COUNTIFS(Available[L. BROKER],"*srs*")</f>
        <v/>
      </c>
      <c r="L45">
        <f>J45/K45</f>
        <v/>
      </c>
      <c r="M45">
        <f>AVERAGEIFS(Available[INITIAL CAP],Available[L. BROKER],"*srs*")</f>
        <v/>
      </c>
      <c r="N45">
        <f>K45/Available[[#Totals],[ON MARKET]]</f>
        <v/>
      </c>
    </row>
    <row r="46">
      <c r="A46">
        <f>A45+1</f>
        <v/>
      </c>
      <c r="B46" t="inlineStr">
        <is>
          <t>Bryan Webb</t>
        </is>
      </c>
      <c r="C46">
        <f>SUMIFS(Available[INITIAL PRICE],Available[L. BROKER],"*webb*")</f>
        <v/>
      </c>
      <c r="D46">
        <f>COUNTIFS(Available[L. BROKER],"*webb*")</f>
        <v/>
      </c>
      <c r="E46">
        <f>C46/D46</f>
        <v/>
      </c>
      <c r="F46">
        <f>AVERAGEIFS(Available[INITIAL CAP],Available[L. BROKER],"*webb*")</f>
        <v/>
      </c>
      <c r="H46">
        <f>H45+1</f>
        <v/>
      </c>
      <c r="I46" t="inlineStr">
        <is>
          <t>Colliers</t>
        </is>
      </c>
      <c r="J46">
        <f>SUMIFS(Available[INITIAL PRICE],Available[L. BROKER],"*Colliers*")</f>
        <v/>
      </c>
      <c r="K46">
        <f>COUNTIFS(Available[L. BROKER],"*Colliers*")</f>
        <v/>
      </c>
      <c r="L46">
        <f>J46/K46</f>
        <v/>
      </c>
      <c r="M46">
        <f>AVERAGEIFS(Available[INITIAL CAP],Available[L. BROKER],"*Colliers*")</f>
        <v/>
      </c>
      <c r="N46">
        <f>K46/Available[[#Totals],[ON MARKET]]</f>
        <v/>
      </c>
    </row>
    <row r="47">
      <c r="A47">
        <f>A46+1</f>
        <v/>
      </c>
      <c r="B47" t="inlineStr">
        <is>
          <t>Alvin Mansour</t>
        </is>
      </c>
      <c r="C47">
        <f>SUMIFS(Available[INITIAL PRICE],Available[L. BROKER],"*mansour*")</f>
        <v/>
      </c>
      <c r="D47">
        <f>COUNTIFS(Available[L. BROKER],"*mansour*")</f>
        <v/>
      </c>
      <c r="E47">
        <f>C47/D47</f>
        <v/>
      </c>
      <c r="F47">
        <f>AVERAGEIFS(Available[INITIAL CAP],Available[L. BROKER],"*mansour*")</f>
        <v/>
      </c>
      <c r="H47">
        <f>H46+1</f>
        <v/>
      </c>
      <c r="I47" t="inlineStr">
        <is>
          <t>PH</t>
        </is>
      </c>
      <c r="J47">
        <f>SUMIFS(Available[INITIAL PRICE],Available[L. BROKER],"*PH:*")</f>
        <v/>
      </c>
      <c r="K47">
        <f>COUNTIFS(Available[L. BROKER],"*PH:*")</f>
        <v/>
      </c>
      <c r="L47">
        <f>J47/K47</f>
        <v/>
      </c>
      <c r="M47">
        <f>AVERAGEIFS(Available[INITIAL CAP],Available[L. BROKER],"*PH*")</f>
        <v/>
      </c>
      <c r="N47">
        <f>K47/Available[[#Totals],[ON MARKET]]</f>
        <v/>
      </c>
    </row>
    <row r="48">
      <c r="A48">
        <f>A47+1</f>
        <v/>
      </c>
      <c r="B48" t="inlineStr">
        <is>
          <t>Hoover</t>
        </is>
      </c>
      <c r="C48">
        <f>SUMIFS(Available[INITIAL PRICE],Available[L. BROKER],"*Hoover*")</f>
        <v/>
      </c>
      <c r="D48">
        <f>COUNTIFS(Available[L. BROKER],"*Hoover*")</f>
        <v/>
      </c>
      <c r="E48">
        <f>C48/D48</f>
        <v/>
      </c>
      <c r="F48">
        <f>AVERAGEIFS(Available[INITIAL CAP],Available[L. BROKER],"*Hoover*")</f>
        <v/>
      </c>
      <c r="H48">
        <f>H47+1</f>
        <v/>
      </c>
      <c r="I48" t="inlineStr">
        <is>
          <t>Capital Pacific</t>
        </is>
      </c>
      <c r="J48">
        <f>SUMIFS(Available[INITIAL PRICE],Available[L. BROKER],"*cp;*")</f>
        <v/>
      </c>
      <c r="K48">
        <f>COUNTIFS(Available[L. BROKER],"*cp;*")</f>
        <v/>
      </c>
      <c r="L48">
        <f>J48/K48</f>
        <v/>
      </c>
      <c r="M48">
        <f>AVERAGEIFS(Available[INITIAL CAP],Available[L. BROKER],"*cp;*")</f>
        <v/>
      </c>
      <c r="N48">
        <f>K48/Available[[#Totals],[ON MARKET]]</f>
        <v/>
      </c>
    </row>
    <row r="49">
      <c r="A49">
        <f>A48+1</f>
        <v/>
      </c>
      <c r="B49" t="inlineStr">
        <is>
          <t>Jason Lesley</t>
        </is>
      </c>
      <c r="C49">
        <f>SUMIFS(Available[INITIAL PRICE],Available[L. BROKER],"*lesley*")</f>
        <v/>
      </c>
      <c r="D49">
        <f>COUNTIFS(Available[L. BROKER],"*Lesley*")</f>
        <v/>
      </c>
      <c r="E49">
        <f>C49/D49</f>
        <v/>
      </c>
      <c r="F49">
        <f>AVERAGEIFS(Available[INITIAL CAP],Available[L. BROKER],"*Lesley*")</f>
        <v/>
      </c>
      <c r="H49">
        <f>H48+1</f>
        <v/>
      </c>
      <c r="I49" t="inlineStr">
        <is>
          <t>C&amp;W</t>
        </is>
      </c>
      <c r="J49">
        <f>SUMIFS(Available[INITIAL PRICE],Available[L. BROKER],"*C&amp;W*")</f>
        <v/>
      </c>
      <c r="K49">
        <f>COUNTIFS(Available[L. BROKER],"*C&amp;W*")</f>
        <v/>
      </c>
      <c r="L49">
        <f>J49/K49</f>
        <v/>
      </c>
      <c r="M49">
        <f>AVERAGEIFS(Available[INITIAL CAP],Available[L. BROKER],"*C&amp;W*")</f>
        <v/>
      </c>
      <c r="N49">
        <f>K49/Available[[#Totals],[ON MARKET]]</f>
        <v/>
      </c>
    </row>
    <row r="50">
      <c r="A50">
        <f>A49+1</f>
        <v/>
      </c>
      <c r="B50" t="inlineStr">
        <is>
          <t>Travis Trautvetter</t>
        </is>
      </c>
      <c r="C50">
        <f>SUMIFS(Available[INITIAL PRICE],Available[L. BROKER],"*Traut*")</f>
        <v/>
      </c>
      <c r="D50">
        <f>COUNTIFS(Available[L. BROKER],"*Traut*")</f>
        <v/>
      </c>
      <c r="E50">
        <f>C50/D50</f>
        <v/>
      </c>
      <c r="F50">
        <f>AVERAGEIFS(Available[INITIAL CAP],Available[L. BROKER],"*Traut*")</f>
        <v/>
      </c>
      <c r="H50">
        <f>H49+1</f>
        <v/>
      </c>
      <c r="I50" t="inlineStr">
        <is>
          <t>Sands</t>
        </is>
      </c>
      <c r="J50">
        <f>SUMIFS(Available[INITIAL PRICE],Available[L. BROKER],"*SIG*")</f>
        <v/>
      </c>
      <c r="K50">
        <f>COUNTIFS(Available[L. BROKER],"*SIG*")</f>
        <v/>
      </c>
      <c r="L50">
        <f>J50/K50</f>
        <v/>
      </c>
      <c r="M50">
        <f>AVERAGEIFS(Available[INITIAL CAP],Available[L. BROKER],"*Sands*")</f>
        <v/>
      </c>
      <c r="N50">
        <f>K50/Available[[#Totals],[ON MARKET]]</f>
        <v/>
      </c>
    </row>
    <row r="51">
      <c r="A51">
        <f>A50+1</f>
        <v/>
      </c>
      <c r="B51" t="inlineStr">
        <is>
          <t>Moreno</t>
        </is>
      </c>
      <c r="C51">
        <f>SUMIFS(Available[INITIAL PRICE],Available[L. BROKER],"*Moreno*")</f>
        <v/>
      </c>
      <c r="D51">
        <f>COUNTIFS(Available[L. BROKER],"*Moreno*")</f>
        <v/>
      </c>
      <c r="E51">
        <f>C51/D51</f>
        <v/>
      </c>
      <c r="F51">
        <f>AVERAGEIFS(Available[INITIAL CAP],Available[L. BROKER],"*Moreno*")</f>
        <v/>
      </c>
      <c r="H51">
        <f>H50+1</f>
        <v/>
      </c>
      <c r="I51" t="inlineStr">
        <is>
          <t>CBRE</t>
        </is>
      </c>
      <c r="J51">
        <f>SUMIFS(Available[INITIAL PRICE],Available[L. BROKER],"*CBRE*")</f>
        <v/>
      </c>
      <c r="K51">
        <f>COUNTIFS(Available[L. BROKER],"*CBRE*")</f>
        <v/>
      </c>
      <c r="L51">
        <f>J51/K51</f>
        <v/>
      </c>
      <c r="M51">
        <f>AVERAGEIFS(Available[INITIAL CAP],Available[L. BROKER],"*CBRE*")</f>
        <v/>
      </c>
      <c r="N51">
        <f>K51/Available[[#Totals],[ON MARKET]]</f>
        <v/>
      </c>
    </row>
    <row r="52">
      <c r="A52">
        <f>A51+1</f>
        <v/>
      </c>
      <c r="B52" t="inlineStr">
        <is>
          <t>Valerie Cook</t>
        </is>
      </c>
      <c r="C52">
        <f>SUMIFS(Available[INITIAL PRICE],Available[L. BROKER],"*Cook*")</f>
        <v/>
      </c>
      <c r="D52">
        <f>COUNTIFS(Available[L. BROKER],"*Cook*")</f>
        <v/>
      </c>
      <c r="E52">
        <f>C52/D52</f>
        <v/>
      </c>
      <c r="F52">
        <f>AVERAGEIFS(Available[INITIAL CAP],Available[L. BROKER],"*Cook*")</f>
        <v/>
      </c>
      <c r="H52">
        <f>H51+1</f>
        <v/>
      </c>
      <c r="I52" t="inlineStr">
        <is>
          <t>SVN</t>
        </is>
      </c>
      <c r="J52">
        <f>SUMIFS(Available[INITIAL PRICE],Available[L. BROKER],"*SVN*")</f>
        <v/>
      </c>
      <c r="K52">
        <f>COUNTIFS(Available[L. BROKER],"*SVN*")</f>
        <v/>
      </c>
      <c r="L52">
        <f>J52/K52</f>
        <v/>
      </c>
      <c r="M52">
        <f>AVERAGEIFS(Available[INITIAL CAP],Available[L. BROKER],"*SVN*")</f>
        <v/>
      </c>
      <c r="N52">
        <f>K52/Available[[#Totals],[ON MARKET]]</f>
        <v/>
      </c>
    </row>
    <row r="53">
      <c r="A53">
        <f>A52+1</f>
        <v/>
      </c>
      <c r="B53" t="inlineStr">
        <is>
          <t>Keith Kropfl</t>
        </is>
      </c>
      <c r="C53">
        <f>SUMIFS(Available[INITIAL PRICE],Available[L. BROKER],"*Kropfl*")</f>
        <v/>
      </c>
      <c r="D53">
        <f>COUNTIFS(Available[L. BROKER],"*Kropfl*")</f>
        <v/>
      </c>
      <c r="E53">
        <f>C53/D53</f>
        <v/>
      </c>
      <c r="F53">
        <f>AVERAGEIFS(Available[INITIAL CAP],Available[L. BROKER],"*Kropfl*")</f>
        <v/>
      </c>
      <c r="H53">
        <f>H52+1</f>
        <v/>
      </c>
      <c r="I53" t="inlineStr">
        <is>
          <t>JLL</t>
        </is>
      </c>
      <c r="J53">
        <f>SUMIFS(Available[INITIAL PRICE],Available[L. BROKER],"*JLL*")</f>
        <v/>
      </c>
      <c r="K53">
        <f>COUNTIFS(Available[L. BROKER],"*JLL*")</f>
        <v/>
      </c>
      <c r="L53">
        <f>J53/K53</f>
        <v/>
      </c>
      <c r="M53">
        <f>AVERAGEIFS(Available[INITIAL CAP],Available[L. BROKER],"*JLL*")</f>
        <v/>
      </c>
      <c r="N53">
        <f>K53/Available[[#Totals],[ON MARKET]]</f>
        <v/>
      </c>
    </row>
    <row r="54">
      <c r="A54">
        <f>A53+1</f>
        <v/>
      </c>
      <c r="B54" t="inlineStr">
        <is>
          <t>Jared Meyers</t>
        </is>
      </c>
      <c r="C54">
        <f>SUMIFS(Available[INITIAL PRICE],Available[L. BROKER],"*Meyers*")</f>
        <v/>
      </c>
      <c r="D54">
        <f>COUNTIFS(Available[L. BROKER],"*Meyers*")</f>
        <v/>
      </c>
      <c r="E54">
        <f>C54/D54</f>
        <v/>
      </c>
      <c r="F54">
        <f>AVERAGEIFS(Available[INITIAL CAP],Available[L. BROKER],"*Meyers*")</f>
        <v/>
      </c>
      <c r="H54">
        <f>H53+1</f>
        <v/>
      </c>
      <c r="I54" t="inlineStr">
        <is>
          <t>Boulder</t>
        </is>
      </c>
      <c r="J54">
        <f>SUMIFS(Available[INITIAL PRICE],Available[L. BROKER],"*Boulder*")</f>
        <v/>
      </c>
      <c r="K54">
        <f>COUNTIFS(Available[L. BROKER],"*Boulder*")</f>
        <v/>
      </c>
      <c r="L54">
        <f>J54/K54</f>
        <v/>
      </c>
      <c r="M54">
        <f>AVERAGEIFS(Available[INITIAL CAP],Available[L. BROKER],"*Boulder*")</f>
        <v/>
      </c>
      <c r="N54">
        <f>K54/Available[[#Totals],[ON MARKET]]</f>
        <v/>
      </c>
    </row>
    <row r="55">
      <c r="A55">
        <f>A54+1</f>
        <v/>
      </c>
      <c r="B55" t="inlineStr">
        <is>
          <t>Grady Liu</t>
        </is>
      </c>
      <c r="C55">
        <f>SUMIFS(Available[INITIAL PRICE],Available[L. BROKER],"*Liu*")</f>
        <v/>
      </c>
      <c r="D55">
        <f>COUNTIFS(Available[L. BROKER],"*Liu*")</f>
        <v/>
      </c>
      <c r="E55">
        <f>C55/D55</f>
        <v/>
      </c>
      <c r="F55">
        <f>AVERAGEIFS(Available[INITIAL CAP],Available[L. BROKER],"*Liu*")</f>
        <v/>
      </c>
      <c r="H55">
        <f>H54+1</f>
        <v/>
      </c>
      <c r="I55" t="inlineStr">
        <is>
          <t>Avison Young</t>
        </is>
      </c>
      <c r="J55">
        <f>SUMIFS(Available[INITIAL PRICE],Available[L. BROKER],"*AY;*")</f>
        <v/>
      </c>
      <c r="K55">
        <f>COUNTIFS(Available[L. BROKER],"*AY;*")</f>
        <v/>
      </c>
      <c r="L55">
        <f>J55/K55</f>
        <v/>
      </c>
      <c r="M55">
        <f>AVERAGEIFS(Available[INITIAL CAP],Available[L. BROKER],"*AY;*")</f>
        <v/>
      </c>
      <c r="N55">
        <f>K55/Available[[#Totals],[ON MARKET]]</f>
        <v/>
      </c>
    </row>
    <row r="56">
      <c r="A56">
        <f>A55+1</f>
        <v/>
      </c>
      <c r="B56" t="inlineStr">
        <is>
          <t>Josh Snyder</t>
        </is>
      </c>
      <c r="C56">
        <f>SUMIFS(Available[INITIAL PRICE],Available[L. BROKER],"*Snyder*")</f>
        <v/>
      </c>
      <c r="D56">
        <f>COUNTIFS(Available[L. BROKER],"*Snyder*")</f>
        <v/>
      </c>
      <c r="E56">
        <f>C56/D56</f>
        <v/>
      </c>
      <c r="F56">
        <f>AVERAGEIFS(Available[INITIAL CAP],Available[L. BROKER],"*Snyder*")</f>
        <v/>
      </c>
    </row>
    <row r="57">
      <c r="A57">
        <f>A56+1</f>
        <v/>
      </c>
      <c r="B57" t="inlineStr">
        <is>
          <t>Guillermo Olaiz</t>
        </is>
      </c>
      <c r="C57">
        <f>SUMIFS(Available[INITIAL PRICE],Available[L. BROKER],"*Olaiz*")</f>
        <v/>
      </c>
      <c r="D57">
        <f>COUNTIFS(Available[L. BROKER],"*Olaiz*")</f>
        <v/>
      </c>
      <c r="E57">
        <f>C57/D57</f>
        <v/>
      </c>
      <c r="F57">
        <f>AVERAGEIFS(Available[INITIAL CAP],Available[L. BROKER],"*Olaiz*")</f>
        <v/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A2"/>
  <sheetViews>
    <sheetView workbookViewId="0">
      <selection activeCell="A1" sqref="A1"/>
    </sheetView>
  </sheetViews>
  <sheetFormatPr baseColWidth="8" defaultRowHeight="15"/>
  <cols>
    <col width="57.42578125" bestFit="1" customWidth="1" style="1" min="2" max="2"/>
    <col width="29.5703125" bestFit="1" customWidth="1" style="1" min="3" max="3"/>
    <col width="17.85546875" bestFit="1" customWidth="1" style="1" min="4" max="4"/>
    <col width="8.7109375" customWidth="1" style="1" min="5" max="5"/>
    <col width="8.28515625" customWidth="1" style="1" min="6" max="6"/>
    <col width="12" bestFit="1" customWidth="1" style="1" min="7" max="7"/>
    <col width="7.85546875" bestFit="1" customWidth="1" style="1" min="8" max="8"/>
    <col width="10.5703125" customWidth="1" style="1" min="9" max="9"/>
    <col width="11.140625" customWidth="1" style="1" min="10" max="10"/>
    <col width="8" bestFit="1" customWidth="1" style="1" min="11" max="11"/>
    <col width="8.42578125" customWidth="1" style="1" min="12" max="12"/>
    <col width="19.42578125" bestFit="1" customWidth="1" style="1" min="13" max="13"/>
    <col width="35.28515625" bestFit="1" customWidth="1" style="1" min="14" max="14"/>
    <col width="20.7109375" customWidth="1" style="1" min="15" max="15"/>
    <col width="28.85546875" bestFit="1" customWidth="1" style="1" min="16" max="16"/>
    <col width="39.85546875" bestFit="1" customWidth="1" style="1" min="17" max="17"/>
    <col width="13.7109375" customWidth="1" style="1" min="18" max="18"/>
    <col width="15" customWidth="1" style="1" min="19" max="19"/>
    <col width="13.42578125" customWidth="1" style="1" min="20" max="20"/>
    <col width="13.28515625" customWidth="1" style="1" min="21" max="21"/>
    <col width="11.42578125" customWidth="1" style="1" min="22" max="22"/>
    <col width="12.7109375" customWidth="1" style="1" min="23" max="23"/>
    <col width="14.28515625" customWidth="1" style="1" min="24" max="24"/>
    <col width="7.85546875" customWidth="1" style="1" min="25" max="25"/>
    <col width="103.42578125" customWidth="1" style="1" min="26" max="26"/>
  </cols>
  <sheetData>
    <row r="2" ht="22.5" customHeight="1" thickBot="1">
      <c r="B2" t="inlineStr">
        <is>
          <t>TENANT</t>
        </is>
      </c>
      <c r="C2" t="inlineStr">
        <is>
          <t>ADDRESS</t>
        </is>
      </c>
      <c r="D2" t="inlineStr">
        <is>
          <t>CITY</t>
        </is>
      </c>
      <c r="E2" t="inlineStr">
        <is>
          <t>STATE</t>
        </is>
      </c>
      <c r="F2" t="inlineStr">
        <is>
          <t>LAND</t>
        </is>
      </c>
      <c r="G2" t="inlineStr">
        <is>
          <t>BUILT</t>
        </is>
      </c>
      <c r="H2" t="inlineStr">
        <is>
          <t>RBA</t>
        </is>
      </c>
      <c r="I2" t="inlineStr">
        <is>
          <t>RENT</t>
        </is>
      </c>
      <c r="J2" t="inlineStr">
        <is>
          <t>RENT/SF</t>
        </is>
      </c>
      <c r="K2" t="inlineStr">
        <is>
          <t>EXP</t>
        </is>
      </c>
      <c r="L2" t="inlineStr">
        <is>
          <t>TERM</t>
        </is>
      </c>
      <c r="M2" t="inlineStr">
        <is>
          <t>EXPENSES</t>
        </is>
      </c>
      <c r="N2" t="inlineStr">
        <is>
          <t>BUMPS</t>
        </is>
      </c>
      <c r="O2" t="inlineStr">
        <is>
          <t>RENEWAL OPTIONS</t>
        </is>
      </c>
      <c r="P2" t="inlineStr">
        <is>
          <t>SELLER</t>
        </is>
      </c>
      <c r="Q2" t="inlineStr">
        <is>
          <t>L. BROKER</t>
        </is>
      </c>
      <c r="R2" t="inlineStr">
        <is>
          <t>DEVELOPER</t>
        </is>
      </c>
      <c r="S2" t="inlineStr">
        <is>
          <t>INITIAL PRICE</t>
        </is>
      </c>
      <c r="T2" t="inlineStr">
        <is>
          <t>INITIAL CAP</t>
        </is>
      </c>
      <c r="U2" t="inlineStr">
        <is>
          <t>LAST PRICE</t>
        </is>
      </c>
      <c r="V2" t="inlineStr">
        <is>
          <t>LAST CAP</t>
        </is>
      </c>
      <c r="W2" t="inlineStr">
        <is>
          <t>PRICE CHG</t>
        </is>
      </c>
      <c r="X2" t="inlineStr">
        <is>
          <t>ON MARKET</t>
        </is>
      </c>
      <c r="Y2" t="inlineStr">
        <is>
          <t>DOM</t>
        </is>
      </c>
      <c r="Z2" t="inlineStr">
        <is>
          <t>Notes</t>
        </is>
      </c>
      <c r="AA2" t="inlineStr">
        <is>
          <t>Column1</t>
        </is>
      </c>
    </row>
    <row r="3" ht="18.75" customHeight="1"/>
    <row r="4" ht="18.75" customHeight="1"/>
    <row r="5" ht="18.75" customHeight="1"/>
    <row r="6" ht="18.75" customHeight="1"/>
    <row r="7" ht="18.75" customHeight="1"/>
    <row r="8" ht="18.75" customHeight="1"/>
    <row r="9" ht="18.75" customHeight="1"/>
    <row r="10" ht="18.75" customHeight="1"/>
    <row r="11" ht="18.75" customHeight="1"/>
    <row r="12" ht="18.75" customHeight="1"/>
    <row r="13" ht="18.75" customHeight="1"/>
    <row r="14" ht="18.75" customHeight="1"/>
    <row r="15" ht="18.75" customHeight="1"/>
    <row r="1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2.75" customHeight="1"/>
    <row r="163" ht="15" customHeight="1"/>
    <row r="164" ht="15" customHeight="1"/>
    <row r="165" ht="15" customHeight="1"/>
    <row r="166" ht="15" customHeight="1"/>
    <row r="167" ht="12.7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2.75" customHeight="1"/>
    <row r="176" ht="15" customHeight="1"/>
    <row r="177" ht="12.7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2.75" customHeight="1"/>
    <row r="193" ht="15" customHeight="1"/>
    <row r="194" ht="12.7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2.7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2.7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2.7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8.75" customHeight="1"/>
    <row r="243" ht="18.75" customHeight="1"/>
    <row r="244" ht="18.75" customHeight="1"/>
    <row r="245" ht="18.75" customHeight="1"/>
    <row r="246" ht="15" customHeight="1"/>
    <row r="247" ht="18.75" customHeight="1"/>
    <row r="248" ht="18.75" customHeight="1"/>
    <row r="249" ht="18.7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</sheetData>
  <conditionalFormatting sqref="C43:C51">
    <cfRule type="duplicateValues" priority="7" dxfId="0"/>
    <cfRule type="duplicateValues" priority="8" dxfId="0"/>
    <cfRule type="duplicateValues" priority="9" dxfId="0"/>
  </conditionalFormatting>
  <conditionalFormatting sqref="C44">
    <cfRule type="duplicateValues" priority="1" dxfId="0"/>
    <cfRule type="duplicateValues" priority="2" dxfId="0"/>
    <cfRule type="duplicateValues" priority="3" dxfId="0"/>
  </conditionalFormatting>
  <conditionalFormatting sqref="C53:C57">
    <cfRule type="duplicateValues" priority="22" dxfId="0"/>
    <cfRule type="duplicateValues" priority="23" dxfId="0"/>
    <cfRule type="duplicateValues" priority="24" dxfId="0"/>
  </conditionalFormatting>
  <conditionalFormatting sqref="C54">
    <cfRule type="duplicateValues" priority="10" dxfId="0"/>
    <cfRule type="duplicateValues" priority="11" dxfId="0"/>
    <cfRule type="duplicateValues" priority="12" dxfId="0"/>
  </conditionalFormatting>
  <conditionalFormatting sqref="C55">
    <cfRule type="duplicateValues" priority="13" dxfId="0"/>
    <cfRule type="duplicateValues" priority="14" dxfId="0"/>
    <cfRule type="duplicateValues" priority="15" dxfId="0"/>
  </conditionalFormatting>
  <conditionalFormatting sqref="C57">
    <cfRule type="duplicateValues" priority="16" dxfId="0"/>
    <cfRule type="duplicateValues" priority="17" dxfId="0"/>
    <cfRule type="duplicateValues" priority="18" dxfId="0"/>
  </conditionalFormatting>
  <conditionalFormatting sqref="C58">
    <cfRule type="duplicateValues" priority="19" dxfId="0"/>
    <cfRule type="duplicateValues" priority="20" dxfId="0"/>
    <cfRule type="duplicateValues" priority="21" dxfId="0"/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Sarah Martin</dc:creator>
  <dcterms:created xmlns:dcterms="http://purl.org/dc/terms/" xmlns:xsi="http://www.w3.org/2001/XMLSchema-instance" xsi:type="dcterms:W3CDTF">2014-02-26T18:57:33Z</dcterms:created>
  <dcterms:modified xmlns:dcterms="http://purl.org/dc/terms/" xmlns:xsi="http://www.w3.org/2001/XMLSchema-instance" xsi:type="dcterms:W3CDTF">2026-05-04T21:11:55Z</dcterms:modified>
  <cp:lastModifiedBy>Kelly Largent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0x0101002063442239F02840831034F7AD67E0F6</vt:lpwstr>
  </property>
  <property name="Order" fmtid="{D5CDD505-2E9C-101B-9397-08002B2CF9AE}" pid="3">
    <vt:r8 xmlns:vt="http://schemas.openxmlformats.org/officeDocument/2006/docPropsVTypes">144000</vt:r8>
  </property>
  <property name="MediaServiceImageTags" fmtid="{D5CDD505-2E9C-101B-9397-08002B2CF9AE}" pid="4">
    <vt:lpwstr xmlns:vt="http://schemas.openxmlformats.org/officeDocument/2006/docPropsVTypes"/>
  </property>
</Properties>
</file>