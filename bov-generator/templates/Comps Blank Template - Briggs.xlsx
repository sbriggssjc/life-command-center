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On Market" sheetId="3" state="visible" r:id="rId3"/>
    <sheet xmlns:r="http://schemas.openxmlformats.org/officeDocument/2006/relationships" name="Sold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\$#,##0.00"/>
    <numFmt numFmtId="166" formatCode="mm/dd/yyyy"/>
    <numFmt numFmtId="167" formatCode="0.0"/>
    <numFmt numFmtId="168" formatCode="$#,##0"/>
    <numFmt numFmtId="169" formatCode="$#,##0.00"/>
    <numFmt numFmtId="170" formatCode="#,##0&quot; bps&quot;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 Light"/>
      <charset val="1"/>
      <family val="0"/>
      <b val="1"/>
      <color rgb="FF003DA5"/>
      <sz val="24"/>
    </font>
    <font>
      <name val="Calibri"/>
      <charset val="1"/>
      <family val="0"/>
      <color rgb="FF6A748C"/>
      <sz val="11"/>
    </font>
    <font>
      <name val="Calibri Light"/>
      <charset val="1"/>
      <family val="0"/>
      <b val="1"/>
      <color rgb="FF003DA5"/>
      <sz val="12"/>
    </font>
    <font>
      <name val="Calibri"/>
      <charset val="1"/>
      <family val="0"/>
      <color rgb="FF191919"/>
      <sz val="10"/>
    </font>
    <font>
      <name val="Calibri"/>
      <charset val="1"/>
      <family val="0"/>
      <color rgb="FF666666"/>
      <sz val="9"/>
    </font>
    <font>
      <name val="Calibri Light"/>
      <charset val="1"/>
      <family val="0"/>
      <b val="1"/>
      <color rgb="FF003DA5"/>
      <sz val="18"/>
    </font>
    <font>
      <name val="Calibri"/>
      <charset val="1"/>
      <family val="0"/>
      <color rgb="FF666666"/>
      <sz val="10"/>
    </font>
    <font>
      <name val="Calibri Light"/>
      <charset val="1"/>
      <family val="0"/>
      <b val="1"/>
      <color rgb="FFFFFFFF"/>
      <sz val="10"/>
    </font>
    <font>
      <name val="Calibri Light"/>
      <charset val="1"/>
      <family val="0"/>
      <b val="1"/>
      <color rgb="FF003DA5"/>
      <sz val="14"/>
    </font>
    <font>
      <name val="Calibri Light"/>
      <charset val="1"/>
      <family val="0"/>
      <b val="1"/>
      <color rgb="FFCCE4F5"/>
      <sz val="10"/>
    </font>
    <font>
      <name val="Calibri"/>
      <charset val="1"/>
      <family val="0"/>
      <i val="1"/>
      <color rgb="FF6A748C"/>
      <sz val="10"/>
    </font>
    <font>
      <name val="Calibri"/>
      <charset val="1"/>
      <family val="0"/>
      <b val="1"/>
      <color rgb="FF003DA5"/>
      <sz val="10"/>
    </font>
    <font>
      <name val="Calibri"/>
      <b val="1"/>
      <color rgb="FF191919"/>
      <sz val="10"/>
    </font>
  </fonts>
  <fills count="7">
    <fill>
      <patternFill/>
    </fill>
    <fill>
      <patternFill patternType="gray125"/>
    </fill>
    <fill>
      <patternFill patternType="solid">
        <fgColor rgb="FF003DA5"/>
        <bgColor rgb="FF333399"/>
      </patternFill>
    </fill>
    <fill>
      <patternFill patternType="solid">
        <fgColor rgb="FFFFFFFF"/>
        <bgColor rgb="FFFFFFCC"/>
      </patternFill>
    </fill>
    <fill>
      <patternFill patternType="solid">
        <fgColor rgb="FFE0E8F4"/>
        <bgColor rgb="FFD9E2F3"/>
      </patternFill>
    </fill>
    <fill>
      <patternFill patternType="solid">
        <fgColor rgb="FFD9E2F3"/>
        <bgColor rgb="FFE0E8F4"/>
      </patternFill>
    </fill>
    <fill>
      <patternFill patternType="solid">
        <fgColor rgb="FFD6E4F5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3DA5"/>
      </bottom>
      <diagonal/>
    </border>
    <border>
      <left/>
      <right/>
      <top style="medium">
        <color rgb="FF003DA5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3" fontId="14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left" vertical="center"/>
    </xf>
    <xf numFmtId="3" fontId="7" fillId="3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left" vertical="center"/>
    </xf>
    <xf numFmtId="165" fontId="14" fillId="3" borderId="0" applyAlignment="1" pivotButton="0" quotePrefix="0" xfId="0">
      <alignment horizontal="left" vertical="center"/>
    </xf>
    <xf numFmtId="166" fontId="7" fillId="3" borderId="0" applyAlignment="1" pivotButton="0" quotePrefix="0" xfId="0">
      <alignment horizontal="left" vertical="center"/>
    </xf>
    <xf numFmtId="3" fontId="14" fillId="3" borderId="0" applyAlignment="1" pivotButton="0" quotePrefix="0" xfId="0">
      <alignment horizontal="left" vertical="center"/>
    </xf>
    <xf numFmtId="167" fontId="14" fillId="3" borderId="0" applyAlignment="1" pivotButton="0" quotePrefix="0" xfId="0">
      <alignment horizontal="left" vertical="center"/>
    </xf>
    <xf numFmtId="10" fontId="14" fillId="3" borderId="0" applyAlignment="1" pivotButton="0" quotePrefix="0" xfId="0">
      <alignment horizontal="left" vertical="center"/>
    </xf>
    <xf numFmtId="1" fontId="7" fillId="3" borderId="0" applyAlignment="1" pivotButton="0" quotePrefix="0" xfId="0">
      <alignment horizontal="left" vertical="center"/>
    </xf>
    <xf numFmtId="3" fontId="14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left" vertical="center"/>
    </xf>
    <xf numFmtId="3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left" vertical="center"/>
    </xf>
    <xf numFmtId="165" fontId="14" fillId="4" borderId="0" applyAlignment="1" pivotButton="0" quotePrefix="0" xfId="0">
      <alignment horizontal="left" vertical="center"/>
    </xf>
    <xf numFmtId="166" fontId="7" fillId="4" borderId="0" applyAlignment="1" pivotButton="0" quotePrefix="0" xfId="0">
      <alignment horizontal="left" vertical="center"/>
    </xf>
    <xf numFmtId="3" fontId="14" fillId="4" borderId="0" applyAlignment="1" pivotButton="0" quotePrefix="0" xfId="0">
      <alignment horizontal="left" vertical="center"/>
    </xf>
    <xf numFmtId="167" fontId="14" fillId="4" borderId="0" applyAlignment="1" pivotButton="0" quotePrefix="0" xfId="0">
      <alignment horizontal="left" vertical="center"/>
    </xf>
    <xf numFmtId="10" fontId="14" fillId="4" borderId="0" applyAlignment="1" pivotButton="0" quotePrefix="0" xfId="0">
      <alignment horizontal="left" vertical="center"/>
    </xf>
    <xf numFmtId="1" fontId="7" fillId="4" borderId="0" applyAlignment="1" pivotButton="0" quotePrefix="0" xfId="0">
      <alignment horizontal="left" vertical="center"/>
    </xf>
    <xf numFmtId="0" fontId="15" fillId="5" borderId="2" applyAlignment="1" pivotButton="0" quotePrefix="0" xfId="0">
      <alignment horizontal="center" vertical="center"/>
    </xf>
    <xf numFmtId="49" fontId="15" fillId="5" borderId="2" applyAlignment="1" pivotButton="0" quotePrefix="0" xfId="0">
      <alignment horizontal="center" vertical="center"/>
    </xf>
    <xf numFmtId="3" fontId="15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165" fontId="15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3" fontId="7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center" vertical="center"/>
    </xf>
    <xf numFmtId="166" fontId="7" fillId="3" borderId="0" applyAlignment="1" pivotButton="0" quotePrefix="0" xfId="0">
      <alignment horizontal="center" vertical="center"/>
    </xf>
    <xf numFmtId="167" fontId="7" fillId="3" borderId="0" applyAlignment="1" pivotButton="0" quotePrefix="0" xfId="0">
      <alignment horizontal="center" vertical="center"/>
    </xf>
    <xf numFmtId="168" fontId="7" fillId="3" borderId="0" applyAlignment="1" pivotButton="0" quotePrefix="0" xfId="0">
      <alignment horizontal="center" vertical="center"/>
    </xf>
    <xf numFmtId="169" fontId="7" fillId="3" borderId="0" applyAlignment="1" pivotButton="0" quotePrefix="0" xfId="0">
      <alignment horizontal="center" vertical="center"/>
    </xf>
    <xf numFmtId="10" fontId="7" fillId="3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3" fontId="7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center" vertical="center"/>
    </xf>
    <xf numFmtId="167" fontId="7" fillId="4" borderId="0" applyAlignment="1" pivotButton="0" quotePrefix="0" xfId="0">
      <alignment horizontal="center" vertical="center"/>
    </xf>
    <xf numFmtId="168" fontId="7" fillId="4" borderId="0" applyAlignment="1" pivotButton="0" quotePrefix="0" xfId="0">
      <alignment horizontal="center" vertical="center"/>
    </xf>
    <xf numFmtId="169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49" fontId="16" fillId="6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center" vertical="center"/>
    </xf>
    <xf numFmtId="3" fontId="16" fillId="6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165" fontId="15" fillId="5" borderId="2" applyAlignment="1" pivotButton="0" quotePrefix="0" xfId="0">
      <alignment horizontal="center" vertical="center"/>
    </xf>
    <xf numFmtId="167" fontId="16" fillId="6" borderId="2" applyAlignment="1" pivotButton="0" quotePrefix="0" xfId="0">
      <alignment horizontal="center" vertical="center"/>
    </xf>
    <xf numFmtId="168" fontId="16" fillId="6" borderId="2" applyAlignment="1" pivotButton="0" quotePrefix="0" xfId="0">
      <alignment horizontal="center" vertical="center"/>
    </xf>
    <xf numFmtId="169" fontId="16" fillId="6" borderId="2" applyAlignment="1" pivotButton="0" quotePrefix="0" xfId="0">
      <alignment horizontal="center" vertical="center"/>
    </xf>
    <xf numFmtId="10" fontId="16" fillId="6" borderId="2" applyAlignment="1" pivotButton="0" quotePrefix="0" xfId="0">
      <alignment horizontal="center" vertical="center"/>
    </xf>
    <xf numFmtId="0" fontId="0" fillId="6" borderId="0" pivotButton="0" quotePrefix="0" xfId="0"/>
    <xf numFmtId="1" fontId="16" fillId="6" borderId="0" applyAlignment="1" pivotButton="0" quotePrefix="0" xfId="0">
      <alignment horizontal="center" vertical="center"/>
    </xf>
    <xf numFmtId="170" fontId="7" fillId="3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170" fontId="7" fillId="4" borderId="0" applyAlignment="1" pivotButton="0" quotePrefix="0" xfId="0">
      <alignment horizontal="center" vertical="center"/>
    </xf>
    <xf numFmtId="170" fontId="16" fillId="6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66666"/>
      <rgbColor rgb="FF9999FF"/>
      <rgbColor rgb="FF993366"/>
      <rgbColor rgb="FFFFFFCC"/>
      <rgbColor rgb="FFE0E8F4"/>
      <rgbColor rgb="FF660066"/>
      <rgbColor rgb="FFFF8080"/>
      <rgbColor rgb="FF0066CC"/>
      <rgbColor rgb="FFCCE4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748C"/>
      <rgbColor rgb="FF969696"/>
      <rgbColor rgb="FF003DA5"/>
      <rgbColor rgb="FF339966"/>
      <rgbColor rgb="FF191919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theme" Target="theme/theme1.xml"/><Relationship Id="rId5" Type="http://schemas.openxmlformats.org/officeDocument/2006/relationships/styles" Target="styles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90" customWidth="1" style="45" min="2" max="2"/>
  </cols>
  <sheetData>
    <row r="1" ht="12" customHeight="1" s="46"/>
    <row r="2" ht="36" customHeight="1" s="46">
      <c r="B2" s="47" t="inlineStr">
        <is>
          <t>Briggs CRE — Sales Comps</t>
        </is>
      </c>
    </row>
    <row r="3" ht="18" customHeight="1" s="46">
      <c r="B3" s="48" t="inlineStr">
        <is>
          <t>Northmarq Investment Sales  ·  Standard Template v3  ·  July 2026</t>
        </is>
      </c>
    </row>
    <row r="4" ht="6" customHeight="1" s="46">
      <c r="B4" s="49" t="n"/>
    </row>
    <row r="5" ht="7.5" customHeight="1" s="46"/>
    <row r="6" ht="21.75" customHeight="1" s="46">
      <c r="B6" s="50" t="inlineStr">
        <is>
          <t>ABOUT THIS TEMPLATE</t>
        </is>
      </c>
    </row>
    <row r="7" ht="15" customHeight="1" s="46">
      <c r="B7" s="51" t="inlineStr">
        <is>
          <t xml:space="preserve">    · Use this workbook to track and analyze comparable sales properties.</t>
        </is>
      </c>
    </row>
    <row r="8" ht="15" customHeight="1" s="46">
      <c r="B8" s="51" t="inlineStr">
        <is>
          <t xml:space="preserve">    · Two data sheets are included: On Market (active listings) and Sold (closed transactions).</t>
        </is>
      </c>
    </row>
    <row r="9" ht="15" customHeight="1" s="46">
      <c r="B9" s="51" t="inlineStr">
        <is>
          <t xml:space="preserve">    · Formula-protected columns calculate automatically — do not overwrite them.</t>
        </is>
      </c>
    </row>
    <row r="10" ht="7.5" customHeight="1" s="46"/>
    <row r="11" ht="21.75" customHeight="1" s="46">
      <c r="B11" s="50" t="inlineStr">
        <is>
          <t>TABS INCLUDED</t>
        </is>
      </c>
    </row>
    <row r="12" ht="15" customHeight="1" s="46">
      <c r="B12" s="51" t="inlineStr">
        <is>
          <t xml:space="preserve">    · Cover  —  This page — instructions and data entry rules</t>
        </is>
      </c>
    </row>
    <row r="13" ht="15" customHeight="1" s="46">
      <c r="B13" s="51" t="inlineStr">
        <is>
          <t xml:space="preserve">    · Index  —  Tab listing and workbook guide</t>
        </is>
      </c>
    </row>
    <row r="14" ht="15" customHeight="1" s="46">
      <c r="B14" s="51" t="inlineStr">
        <is>
          <t xml:space="preserve">    · On Market  —  Active listings — comparable properties currently for sale</t>
        </is>
      </c>
    </row>
    <row r="15" ht="15" customHeight="1" s="46">
      <c r="B15" s="51" t="inlineStr">
        <is>
          <t xml:space="preserve">    · Sold  —  Closed transactions — comparable sales with verified pricing</t>
        </is>
      </c>
    </row>
    <row r="16" ht="7.5" customHeight="1" s="46"/>
    <row r="17" ht="21.75" customHeight="1" s="46">
      <c r="B17" s="50" t="inlineStr">
        <is>
          <t>DATA ENTRY RULES</t>
        </is>
      </c>
    </row>
    <row r="18" ht="15" customHeight="1" s="46">
      <c r="B18" s="51" t="inlineStr">
        <is>
          <t xml:space="preserve">    · Rents and NOI: always enter as ANNUAL figures (monthly × 12). Never enter per-SF.</t>
        </is>
      </c>
    </row>
    <row r="19" ht="15" customHeight="1" s="46">
      <c r="B19" s="51" t="inlineStr">
        <is>
          <t xml:space="preserve">    · Dates: enter as true Excel dates formatted MM/DD/YYYY. Never enter as text strings.</t>
        </is>
      </c>
    </row>
    <row r="20" ht="15" customHeight="1" s="46">
      <c r="B20" s="51" t="inlineStr">
        <is>
          <t xml:space="preserve">    · If only month/year is known: use the 1st of the month as a placeholder and add a note.</t>
        </is>
      </c>
    </row>
    <row r="21" ht="15" customHeight="1" s="46">
      <c r="B21" s="51" t="inlineStr">
        <is>
          <t xml:space="preserve">    · Addresses: enter full street address. Do not abbreviate city or state.</t>
        </is>
      </c>
    </row>
    <row r="22" ht="15" customHeight="1" s="46">
      <c r="B22" s="51" t="inlineStr">
        <is>
          <t xml:space="preserve">    · Sort the Sold sheet by Sale Date descending after data entry.</t>
        </is>
      </c>
    </row>
    <row r="23" ht="15" customHeight="1" s="46">
      <c r="B23" s="51" t="inlineStr">
        <is>
          <t xml:space="preserve">    · Save outputs to: Projects/[PropertyName]/Output/[Address]_SalesComps_[YYYYMM].xlsx</t>
        </is>
      </c>
    </row>
    <row r="24" ht="7.5" customHeight="1" s="46"/>
    <row r="25" ht="21.75" customHeight="1" s="46">
      <c r="B25" s="50" t="inlineStr">
        <is>
          <t>FORMULA-PROTECTED COLUMNS — DO NOT OVERWRITE</t>
        </is>
      </c>
    </row>
    <row r="26" ht="15" customHeight="1" s="46">
      <c r="B26" s="51" t="inlineStr">
        <is>
          <t xml:space="preserve">    · PRICE/SF — List Price or Sale Price ÷ RBA. Auto-calculated. Do not overwrite.</t>
        </is>
      </c>
    </row>
    <row r="27" ht="15" customHeight="1" s="46">
      <c r="B27" s="51" t="inlineStr">
        <is>
          <t xml:space="preserve">    · DOM — Days on Market (Sale Date − List Date, or Today − List Date). Auto-calculated.</t>
        </is>
      </c>
    </row>
    <row r="28" ht="15" customHeight="1" s="46">
      <c r="B28" s="51" t="inlineStr">
        <is>
          <t xml:space="preserve">    · TERM (YRS) — Lease Expiration − Lease Start in years. Auto-calculated.</t>
        </is>
      </c>
    </row>
    <row r="29" ht="15" customHeight="1" s="46">
      <c r="B29" s="51" t="inlineStr">
        <is>
          <t xml:space="preserve">    · RENT/SF — Annual NOI ÷ RBA. Auto-calculated.</t>
        </is>
      </c>
    </row>
    <row r="30" ht="15" customHeight="1" s="46">
      <c r="B30" s="51" t="inlineStr">
        <is>
          <t xml:space="preserve">    · CAP RATE — Annual NOI ÷ Sale Price (Sold) or List Price (On Market). Auto-calculated.</t>
        </is>
      </c>
    </row>
    <row r="31" ht="15.75" customHeight="1" s="46"/>
    <row r="32" ht="13.5" customHeight="1" s="46">
      <c r="B32" s="52" t="inlineStr">
        <is>
          <t>Prepared by: Scott Briggs · Northmarq</t>
        </is>
      </c>
    </row>
    <row r="33" ht="13.5" customHeight="1" s="46">
      <c r="B33" s="52" t="inlineStr">
        <is>
          <t>Briggs CRE / Northmarq · Investment Sales · Standard Template v3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32" customWidth="1" style="45" min="2" max="2"/>
    <col width="55" customWidth="1" style="45" min="3" max="3"/>
    <col width="20" customWidth="1" style="45" min="4" max="4"/>
  </cols>
  <sheetData>
    <row r="1" ht="12" customHeight="1" s="46"/>
    <row r="2" ht="30" customHeight="1" s="46">
      <c r="B2" s="53" t="inlineStr">
        <is>
          <t>Briggs CRE — Sales Comps — Index</t>
        </is>
      </c>
    </row>
    <row r="3" ht="13.5" customHeight="1" s="46">
      <c r="B3" s="54" t="inlineStr">
        <is>
          <t>Tab listing and description of contents</t>
        </is>
      </c>
    </row>
    <row r="4" ht="7.5" customHeight="1" s="46"/>
    <row r="5" ht="21.75" customHeight="1" s="46">
      <c r="B5" s="55" t="inlineStr">
        <is>
          <t>TAB NAME</t>
        </is>
      </c>
      <c r="C5" s="55" t="inlineStr">
        <is>
          <t>DESCRIPTION</t>
        </is>
      </c>
      <c r="D5" s="55" t="inlineStr">
        <is>
          <t>PURPOSE</t>
        </is>
      </c>
    </row>
    <row r="6" ht="18" customHeight="1" s="46">
      <c r="B6" s="56" t="inlineStr">
        <is>
          <t>Cover</t>
        </is>
      </c>
      <c r="C6" s="56" t="inlineStr">
        <is>
          <t>Instructions and data entry rules</t>
        </is>
      </c>
      <c r="D6" s="56" t="inlineStr">
        <is>
          <t>Reference</t>
        </is>
      </c>
    </row>
    <row r="7" ht="18" customHeight="1" s="46">
      <c r="B7" s="57" t="inlineStr">
        <is>
          <t>Index</t>
        </is>
      </c>
      <c r="C7" s="57" t="inlineStr">
        <is>
          <t>Tab listing</t>
        </is>
      </c>
      <c r="D7" s="57" t="inlineStr">
        <is>
          <t>Navigation</t>
        </is>
      </c>
    </row>
    <row r="8" ht="18" customHeight="1" s="46">
      <c r="B8" s="56" t="inlineStr">
        <is>
          <t>On Market</t>
        </is>
      </c>
      <c r="C8" s="56" t="inlineStr">
        <is>
          <t>Active comparable listings — enter CoStar data</t>
        </is>
      </c>
      <c r="D8" s="56" t="inlineStr">
        <is>
          <t>Input / Analysis</t>
        </is>
      </c>
    </row>
    <row r="9" ht="18" customHeight="1" s="46">
      <c r="B9" s="57" t="inlineStr">
        <is>
          <t>Sold</t>
        </is>
      </c>
      <c r="C9" s="57" t="inlineStr">
        <is>
          <t>Closed comparable sales — enter CoStar data</t>
        </is>
      </c>
      <c r="D9" s="57" t="inlineStr">
        <is>
          <t>Input / Analysis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003DA5"/>
    <outlinePr summaryBelow="1" summaryRight="1"/>
    <pageSetUpPr fitToPage="0"/>
  </sheetPr>
  <dimension ref="A2:AN1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30" customWidth="1" style="45" min="2" max="2"/>
    <col width="25" customWidth="1" style="45" min="3" max="3"/>
    <col width="14" customWidth="1" style="45" min="4" max="4"/>
    <col width="6" customWidth="1" style="45" min="5" max="5"/>
    <col width="11" customWidth="1" style="45" min="6" max="6"/>
    <col width="20" customWidth="1" style="45" min="7" max="7"/>
    <col width="11" customWidth="1" style="45" min="8" max="8"/>
    <col width="12" customWidth="1" style="45" min="9" max="9"/>
    <col width="9" customWidth="1" style="45" min="10" max="10"/>
    <col width="13" customWidth="1" style="45" min="11" max="11"/>
    <col width="10" customWidth="1" style="45" min="12" max="12"/>
    <col width="13" customWidth="1" style="45" min="13" max="14"/>
    <col width="10" customWidth="1" style="46" min="14" max="14"/>
    <col width="9" customWidth="1" style="45" min="15" max="15"/>
    <col width="13" customWidth="1" style="45" min="16" max="16"/>
    <col width="10" customWidth="1" style="45" min="17" max="19"/>
    <col width="9" customWidth="1" style="46" min="18" max="18"/>
    <col width="10" customWidth="1" style="46" min="19" max="19"/>
    <col width="12" customWidth="1" style="45" min="20" max="20"/>
    <col width="8" customWidth="1" style="45" min="21" max="21"/>
    <col width="10" customWidth="1" style="46" min="22" max="22"/>
    <col width="10" customWidth="1" style="46" min="23" max="23"/>
    <col width="9" customWidth="1" style="46" min="24" max="24"/>
    <col width="18" customWidth="1" style="46" min="25" max="25"/>
    <col width="35" customWidth="1" style="46" min="26" max="26"/>
  </cols>
  <sheetData>
    <row r="1" ht="12" customHeight="1" s="46"/>
    <row r="2" ht="25.5" customHeight="1" s="46">
      <c r="A2" s="58" t="inlineStr">
        <is>
          <t>Briggs CRE — Sales Comps · On Market</t>
        </is>
      </c>
    </row>
    <row r="3" ht="13.5" customHeight="1" s="46">
      <c r="A3" s="52" t="inlineStr">
        <is>
          <t>Source: CoStar / Salesforce · Shaded columns are formula-protected — do not overwrite · TERM = remaining term (as of today)</t>
        </is>
      </c>
    </row>
    <row r="4" ht="7.5" customHeight="1" s="46"/>
    <row r="5" ht="21.75" customHeight="1" s="46">
      <c r="A5" s="59" t="inlineStr">
        <is>
          <t>#</t>
        </is>
      </c>
      <c r="B5" s="59" t="inlineStr">
        <is>
          <t>PROPERTY NAME</t>
        </is>
      </c>
      <c r="C5" s="59" t="inlineStr">
        <is>
          <t>ADDRESS</t>
        </is>
      </c>
      <c r="D5" s="59" t="inlineStr">
        <is>
          <t>CITY</t>
        </is>
      </c>
      <c r="E5" s="59" t="inlineStr">
        <is>
          <t>ST</t>
        </is>
      </c>
      <c r="F5" s="59" t="inlineStr">
        <is>
          <t>RBA (SF)</t>
        </is>
      </c>
      <c r="G5" s="59" t="inlineStr">
        <is>
          <t>TENANT</t>
        </is>
      </c>
      <c r="H5" s="59" t="inlineStr">
        <is>
          <t>LEASE TYPE</t>
        </is>
      </c>
      <c r="I5" s="59" t="inlineStr">
        <is>
          <t>LEASE EXP</t>
        </is>
      </c>
      <c r="J5" s="59" t="inlineStr">
        <is>
          <t>TERM (YRS)</t>
        </is>
      </c>
      <c r="K5" s="59" t="inlineStr">
        <is>
          <t>ANNUAL NOI</t>
        </is>
      </c>
      <c r="L5" s="59" t="inlineStr">
        <is>
          <t>RENT/SF</t>
        </is>
      </c>
      <c r="M5" s="59" t="inlineStr">
        <is>
          <t>INIT PRICE</t>
        </is>
      </c>
      <c r="N5" s="59" t="inlineStr">
        <is>
          <t>INIT $/SF</t>
        </is>
      </c>
      <c r="O5" s="59" t="inlineStr">
        <is>
          <t>INIT CAP</t>
        </is>
      </c>
      <c r="P5" s="59" t="inlineStr">
        <is>
          <t>CUR PRICE</t>
        </is>
      </c>
      <c r="Q5" s="59" t="inlineStr">
        <is>
          <t>CUR $/SF</t>
        </is>
      </c>
      <c r="R5" s="59" t="inlineStr">
        <is>
          <t>CUR CAP</t>
        </is>
      </c>
      <c r="S5" s="59" t="inlineStr">
        <is>
          <t>PRICE ADJ</t>
        </is>
      </c>
      <c r="T5" s="59" t="inlineStr">
        <is>
          <t>LIST DATE</t>
        </is>
      </c>
      <c r="U5" s="59" t="inlineStr">
        <is>
          <t>DOM</t>
        </is>
      </c>
      <c r="V5" s="59" t="inlineStr">
        <is>
          <t>BUMPS</t>
        </is>
      </c>
      <c r="W5" s="59" t="inlineStr">
        <is>
          <t>OPTIONS</t>
        </is>
      </c>
      <c r="X5" s="59" t="inlineStr">
        <is>
          <t>YR BUILT</t>
        </is>
      </c>
      <c r="Y5" s="59" t="inlineStr">
        <is>
          <t>SUBMARKET</t>
        </is>
      </c>
      <c r="Z5" s="59" t="inlineStr">
        <is>
          <t>NOTES</t>
        </is>
      </c>
    </row>
    <row r="6" ht="15" customHeight="1" s="46">
      <c r="A6" s="60">
        <f>IFERROR(ROW()-5,"")</f>
        <v/>
      </c>
      <c r="B6" s="61" t="n"/>
      <c r="C6" s="61" t="n"/>
      <c r="D6" s="61" t="n"/>
      <c r="E6" s="61" t="n"/>
      <c r="F6" s="60" t="n"/>
      <c r="G6" s="61" t="n"/>
      <c r="H6" s="61" t="n"/>
      <c r="I6" s="62" t="n"/>
      <c r="J6" s="63">
        <f>IFERROR(IF($I6="","",($I6-TODAY())/365.25),"")</f>
        <v/>
      </c>
      <c r="K6" s="64" t="n"/>
      <c r="L6" s="65">
        <f>IFERROR(IF(OR($K6="",$F6=""),"",$K6/$F6),"")</f>
        <v/>
      </c>
      <c r="M6" s="64" t="n"/>
      <c r="N6" s="64">
        <f>IFERROR(IF(OR($M6="",$F6=""),"",$M6/$F6),"")</f>
        <v/>
      </c>
      <c r="O6" s="66">
        <f>IFERROR(IF(OR($K6="",$M6=""),"",$K6/$M6),"")</f>
        <v/>
      </c>
      <c r="P6" s="64" t="n"/>
      <c r="Q6" s="64">
        <f>IFERROR(IF(OR($P6="",$F6=""),"",$P6/$F6),"")</f>
        <v/>
      </c>
      <c r="R6" s="66">
        <f>IFERROR(IF(OR($K6="",$P6=""),"",$K6/$P6),"")</f>
        <v/>
      </c>
      <c r="S6" s="61">
        <f>IFERROR(IF(OR($P6="",$M6=""),"",IF($P6=$M6,"No","Yes")),"")</f>
        <v/>
      </c>
      <c r="T6" s="62" t="n"/>
      <c r="U6" s="60">
        <f>IFERROR(IF($T6="","",TODAY()-$T6),"")</f>
        <v/>
      </c>
      <c r="V6" s="67" t="n"/>
      <c r="W6" s="67" t="n"/>
      <c r="X6" s="68" t="n"/>
      <c r="Y6" s="67" t="n"/>
      <c r="Z6" s="67" t="n"/>
    </row>
    <row r="7" ht="15" customHeight="1" s="46">
      <c r="A7" s="69">
        <f>IFERROR(ROW()-5,"")</f>
        <v/>
      </c>
      <c r="B7" s="70" t="n"/>
      <c r="C7" s="70" t="n"/>
      <c r="D7" s="70" t="n"/>
      <c r="E7" s="70" t="n"/>
      <c r="F7" s="69" t="n"/>
      <c r="G7" s="70" t="n"/>
      <c r="H7" s="70" t="n"/>
      <c r="I7" s="71" t="n"/>
      <c r="J7" s="72">
        <f>IFERROR(IF($I7="","",($I7-TODAY())/365.25),"")</f>
        <v/>
      </c>
      <c r="K7" s="73" t="n"/>
      <c r="L7" s="74">
        <f>IFERROR(IF(OR($K7="",$F7=""),"",$K7/$F7),"")</f>
        <v/>
      </c>
      <c r="M7" s="73" t="n"/>
      <c r="N7" s="73">
        <f>IFERROR(IF(OR($M7="",$F7=""),"",$M7/$F7),"")</f>
        <v/>
      </c>
      <c r="O7" s="75">
        <f>IFERROR(IF(OR($K7="",$M7=""),"",$K7/$M7),"")</f>
        <v/>
      </c>
      <c r="P7" s="73" t="n"/>
      <c r="Q7" s="73">
        <f>IFERROR(IF(OR($P7="",$F7=""),"",$P7/$F7),"")</f>
        <v/>
      </c>
      <c r="R7" s="75">
        <f>IFERROR(IF(OR($K7="",$P7=""),"",$K7/$P7),"")</f>
        <v/>
      </c>
      <c r="S7" s="70">
        <f>IFERROR(IF(OR($P7="",$M7=""),"",IF($P7=$M7,"No","Yes")),"")</f>
        <v/>
      </c>
      <c r="T7" s="71" t="n"/>
      <c r="U7" s="69">
        <f>IFERROR(IF($T7="","",TODAY()-$T7),"")</f>
        <v/>
      </c>
      <c r="V7" s="67" t="n"/>
      <c r="W7" s="67" t="n"/>
      <c r="X7" s="68" t="n"/>
      <c r="Y7" s="67" t="n"/>
      <c r="Z7" s="67" t="n"/>
    </row>
    <row r="8" ht="15" customHeight="1" s="46">
      <c r="A8" s="60">
        <f>IFERROR(ROW()-5,"")</f>
        <v/>
      </c>
      <c r="B8" s="61" t="n"/>
      <c r="C8" s="61" t="n"/>
      <c r="D8" s="61" t="n"/>
      <c r="E8" s="61" t="n"/>
      <c r="F8" s="60" t="n"/>
      <c r="G8" s="61" t="n"/>
      <c r="H8" s="61" t="n"/>
      <c r="I8" s="62" t="n"/>
      <c r="J8" s="63">
        <f>IFERROR(IF($I8="","",($I8-TODAY())/365.25),"")</f>
        <v/>
      </c>
      <c r="K8" s="64" t="n"/>
      <c r="L8" s="65">
        <f>IFERROR(IF(OR($K8="",$F8=""),"",$K8/$F8),"")</f>
        <v/>
      </c>
      <c r="M8" s="64" t="n"/>
      <c r="N8" s="64">
        <f>IFERROR(IF(OR($M8="",$F8=""),"",$M8/$F8),"")</f>
        <v/>
      </c>
      <c r="O8" s="66">
        <f>IFERROR(IF(OR($K8="",$M8=""),"",$K8/$M8),"")</f>
        <v/>
      </c>
      <c r="P8" s="64" t="n"/>
      <c r="Q8" s="64">
        <f>IFERROR(IF(OR($P8="",$F8=""),"",$P8/$F8),"")</f>
        <v/>
      </c>
      <c r="R8" s="66">
        <f>IFERROR(IF(OR($K8="",$P8=""),"",$K8/$P8),"")</f>
        <v/>
      </c>
      <c r="S8" s="61">
        <f>IFERROR(IF(OR($P8="",$M8=""),"",IF($P8=$M8,"No","Yes")),"")</f>
        <v/>
      </c>
      <c r="T8" s="62" t="n"/>
      <c r="U8" s="60">
        <f>IFERROR(IF($T8="","",TODAY()-$T8),"")</f>
        <v/>
      </c>
      <c r="V8" s="67" t="n"/>
      <c r="W8" s="67" t="n"/>
      <c r="X8" s="68" t="n"/>
      <c r="Y8" s="67" t="n"/>
      <c r="Z8" s="67" t="n"/>
    </row>
    <row r="9" ht="15" customHeight="1" s="46">
      <c r="A9" s="69">
        <f>IFERROR(ROW()-5,"")</f>
        <v/>
      </c>
      <c r="B9" s="70" t="n"/>
      <c r="C9" s="70" t="n"/>
      <c r="D9" s="70" t="n"/>
      <c r="E9" s="70" t="n"/>
      <c r="F9" s="69" t="n"/>
      <c r="G9" s="70" t="n"/>
      <c r="H9" s="70" t="n"/>
      <c r="I9" s="71" t="n"/>
      <c r="J9" s="72">
        <f>IFERROR(IF($I9="","",($I9-TODAY())/365.25),"")</f>
        <v/>
      </c>
      <c r="K9" s="73" t="n"/>
      <c r="L9" s="74">
        <f>IFERROR(IF(OR($K9="",$F9=""),"",$K9/$F9),"")</f>
        <v/>
      </c>
      <c r="M9" s="73" t="n"/>
      <c r="N9" s="73">
        <f>IFERROR(IF(OR($M9="",$F9=""),"",$M9/$F9),"")</f>
        <v/>
      </c>
      <c r="O9" s="75">
        <f>IFERROR(IF(OR($K9="",$M9=""),"",$K9/$M9),"")</f>
        <v/>
      </c>
      <c r="P9" s="73" t="n"/>
      <c r="Q9" s="73">
        <f>IFERROR(IF(OR($P9="",$F9=""),"",$P9/$F9),"")</f>
        <v/>
      </c>
      <c r="R9" s="75">
        <f>IFERROR(IF(OR($K9="",$P9=""),"",$K9/$P9),"")</f>
        <v/>
      </c>
      <c r="S9" s="70">
        <f>IFERROR(IF(OR($P9="",$M9=""),"",IF($P9=$M9,"No","Yes")),"")</f>
        <v/>
      </c>
      <c r="T9" s="71" t="n"/>
      <c r="U9" s="69">
        <f>IFERROR(IF($T9="","",TODAY()-$T9),"")</f>
        <v/>
      </c>
      <c r="V9" s="67" t="n"/>
      <c r="W9" s="67" t="n"/>
      <c r="X9" s="68" t="n"/>
      <c r="Y9" s="67" t="n"/>
      <c r="Z9" s="67" t="n"/>
    </row>
    <row r="10" ht="15" customHeight="1" s="46">
      <c r="A10" s="60">
        <f>IFERROR(ROW()-5,"")</f>
        <v/>
      </c>
      <c r="B10" s="61" t="n"/>
      <c r="C10" s="61" t="n"/>
      <c r="D10" s="61" t="n"/>
      <c r="E10" s="61" t="n"/>
      <c r="F10" s="60" t="n"/>
      <c r="G10" s="61" t="n"/>
      <c r="H10" s="61" t="n"/>
      <c r="I10" s="62" t="n"/>
      <c r="J10" s="63">
        <f>IFERROR(IF($I10="","",($I10-TODAY())/365.25),"")</f>
        <v/>
      </c>
      <c r="K10" s="64" t="n"/>
      <c r="L10" s="65">
        <f>IFERROR(IF(OR($K10="",$F10=""),"",$K10/$F10),"")</f>
        <v/>
      </c>
      <c r="M10" s="64" t="n"/>
      <c r="N10" s="64">
        <f>IFERROR(IF(OR($M10="",$F10=""),"",$M10/$F10),"")</f>
        <v/>
      </c>
      <c r="O10" s="66">
        <f>IFERROR(IF(OR($K10="",$M10=""),"",$K10/$M10),"")</f>
        <v/>
      </c>
      <c r="P10" s="64" t="n"/>
      <c r="Q10" s="64">
        <f>IFERROR(IF(OR($P10="",$F10=""),"",$P10/$F10),"")</f>
        <v/>
      </c>
      <c r="R10" s="66">
        <f>IFERROR(IF(OR($K10="",$P10=""),"",$K10/$P10),"")</f>
        <v/>
      </c>
      <c r="S10" s="61">
        <f>IFERROR(IF(OR($P10="",$M10=""),"",IF($P10=$M10,"No","Yes")),"")</f>
        <v/>
      </c>
      <c r="T10" s="62" t="n"/>
      <c r="U10" s="60">
        <f>IFERROR(IF($T10="","",TODAY()-$T10),"")</f>
        <v/>
      </c>
      <c r="V10" s="67" t="n"/>
      <c r="W10" s="67" t="n"/>
      <c r="X10" s="68" t="n"/>
      <c r="Y10" s="67" t="n"/>
      <c r="Z10" s="67" t="n"/>
    </row>
    <row r="11" ht="15" customHeight="1" s="46">
      <c r="A11" s="69">
        <f>IFERROR(ROW()-5,"")</f>
        <v/>
      </c>
      <c r="B11" s="70" t="n"/>
      <c r="C11" s="70" t="n"/>
      <c r="D11" s="70" t="n"/>
      <c r="E11" s="70" t="n"/>
      <c r="F11" s="69" t="n"/>
      <c r="G11" s="70" t="n"/>
      <c r="H11" s="70" t="n"/>
      <c r="I11" s="71" t="n"/>
      <c r="J11" s="72">
        <f>IFERROR(IF($I11="","",($I11-TODAY())/365.25),"")</f>
        <v/>
      </c>
      <c r="K11" s="73" t="n"/>
      <c r="L11" s="74">
        <f>IFERROR(IF(OR($K11="",$F11=""),"",$K11/$F11),"")</f>
        <v/>
      </c>
      <c r="M11" s="73" t="n"/>
      <c r="N11" s="73">
        <f>IFERROR(IF(OR($M11="",$F11=""),"",$M11/$F11),"")</f>
        <v/>
      </c>
      <c r="O11" s="75">
        <f>IFERROR(IF(OR($K11="",$M11=""),"",$K11/$M11),"")</f>
        <v/>
      </c>
      <c r="P11" s="73" t="n"/>
      <c r="Q11" s="73">
        <f>IFERROR(IF(OR($P11="",$F11=""),"",$P11/$F11),"")</f>
        <v/>
      </c>
      <c r="R11" s="75">
        <f>IFERROR(IF(OR($K11="",$P11=""),"",$K11/$P11),"")</f>
        <v/>
      </c>
      <c r="S11" s="70">
        <f>IFERROR(IF(OR($P11="",$M11=""),"",IF($P11=$M11,"No","Yes")),"")</f>
        <v/>
      </c>
      <c r="T11" s="71" t="n"/>
      <c r="U11" s="69">
        <f>IFERROR(IF($T11="","",TODAY()-$T11),"")</f>
        <v/>
      </c>
      <c r="V11" s="67" t="n"/>
      <c r="W11" s="67" t="n"/>
      <c r="X11" s="68" t="n"/>
      <c r="Y11" s="67" t="n"/>
      <c r="Z11" s="67" t="n"/>
    </row>
    <row r="12" ht="15" customHeight="1" s="46">
      <c r="A12" s="60">
        <f>IFERROR(ROW()-5,"")</f>
        <v/>
      </c>
      <c r="B12" s="61" t="n"/>
      <c r="C12" s="61" t="n"/>
      <c r="D12" s="61" t="n"/>
      <c r="E12" s="61" t="n"/>
      <c r="F12" s="60" t="n"/>
      <c r="G12" s="61" t="n"/>
      <c r="H12" s="61" t="n"/>
      <c r="I12" s="62" t="n"/>
      <c r="J12" s="63">
        <f>IFERROR(IF($I12="","",($I12-TODAY())/365.25),"")</f>
        <v/>
      </c>
      <c r="K12" s="64" t="n"/>
      <c r="L12" s="65">
        <f>IFERROR(IF(OR($K12="",$F12=""),"",$K12/$F12),"")</f>
        <v/>
      </c>
      <c r="M12" s="64" t="n"/>
      <c r="N12" s="64">
        <f>IFERROR(IF(OR($M12="",$F12=""),"",$M12/$F12),"")</f>
        <v/>
      </c>
      <c r="O12" s="66">
        <f>IFERROR(IF(OR($K12="",$M12=""),"",$K12/$M12),"")</f>
        <v/>
      </c>
      <c r="P12" s="64" t="n"/>
      <c r="Q12" s="64">
        <f>IFERROR(IF(OR($P12="",$F12=""),"",$P12/$F12),"")</f>
        <v/>
      </c>
      <c r="R12" s="66">
        <f>IFERROR(IF(OR($K12="",$P12=""),"",$K12/$P12),"")</f>
        <v/>
      </c>
      <c r="S12" s="61">
        <f>IFERROR(IF(OR($P12="",$M12=""),"",IF($P12=$M12,"No","Yes")),"")</f>
        <v/>
      </c>
      <c r="T12" s="62" t="n"/>
      <c r="U12" s="60">
        <f>IFERROR(IF($T12="","",TODAY()-$T12),"")</f>
        <v/>
      </c>
      <c r="V12" s="67" t="n"/>
      <c r="W12" s="67" t="n"/>
      <c r="X12" s="68" t="n"/>
      <c r="Y12" s="67" t="n"/>
      <c r="Z12" s="67" t="n"/>
    </row>
    <row r="13" ht="15" customHeight="1" s="46">
      <c r="A13" s="69">
        <f>IFERROR(ROW()-5,"")</f>
        <v/>
      </c>
      <c r="B13" s="70" t="n"/>
      <c r="C13" s="70" t="n"/>
      <c r="D13" s="70" t="n"/>
      <c r="E13" s="70" t="n"/>
      <c r="F13" s="69" t="n"/>
      <c r="G13" s="70" t="n"/>
      <c r="H13" s="70" t="n"/>
      <c r="I13" s="71" t="n"/>
      <c r="J13" s="72">
        <f>IFERROR(IF($I13="","",($I13-TODAY())/365.25),"")</f>
        <v/>
      </c>
      <c r="K13" s="73" t="n"/>
      <c r="L13" s="74">
        <f>IFERROR(IF(OR($K13="",$F13=""),"",$K13/$F13),"")</f>
        <v/>
      </c>
      <c r="M13" s="73" t="n"/>
      <c r="N13" s="73">
        <f>IFERROR(IF(OR($M13="",$F13=""),"",$M13/$F13),"")</f>
        <v/>
      </c>
      <c r="O13" s="75">
        <f>IFERROR(IF(OR($K13="",$M13=""),"",$K13/$M13),"")</f>
        <v/>
      </c>
      <c r="P13" s="73" t="n"/>
      <c r="Q13" s="73">
        <f>IFERROR(IF(OR($P13="",$F13=""),"",$P13/$F13),"")</f>
        <v/>
      </c>
      <c r="R13" s="75">
        <f>IFERROR(IF(OR($K13="",$P13=""),"",$K13/$P13),"")</f>
        <v/>
      </c>
      <c r="S13" s="70">
        <f>IFERROR(IF(OR($P13="",$M13=""),"",IF($P13=$M13,"No","Yes")),"")</f>
        <v/>
      </c>
      <c r="T13" s="71" t="n"/>
      <c r="U13" s="69">
        <f>IFERROR(IF($T13="","",TODAY()-$T13),"")</f>
        <v/>
      </c>
      <c r="V13" s="67" t="n"/>
      <c r="W13" s="67" t="n"/>
      <c r="X13" s="68" t="n"/>
      <c r="Y13" s="67" t="n"/>
      <c r="Z13" s="67" t="n"/>
    </row>
    <row r="14" ht="15" customHeight="1" s="46">
      <c r="A14" s="60">
        <f>IFERROR(ROW()-5,"")</f>
        <v/>
      </c>
      <c r="B14" s="61" t="n"/>
      <c r="C14" s="61" t="n"/>
      <c r="D14" s="61" t="n"/>
      <c r="E14" s="61" t="n"/>
      <c r="F14" s="60" t="n"/>
      <c r="G14" s="61" t="n"/>
      <c r="H14" s="61" t="n"/>
      <c r="I14" s="62" t="n"/>
      <c r="J14" s="63">
        <f>IFERROR(IF($I14="","",($I14-TODAY())/365.25),"")</f>
        <v/>
      </c>
      <c r="K14" s="64" t="n"/>
      <c r="L14" s="65">
        <f>IFERROR(IF(OR($K14="",$F14=""),"",$K14/$F14),"")</f>
        <v/>
      </c>
      <c r="M14" s="64" t="n"/>
      <c r="N14" s="64">
        <f>IFERROR(IF(OR($M14="",$F14=""),"",$M14/$F14),"")</f>
        <v/>
      </c>
      <c r="O14" s="66">
        <f>IFERROR(IF(OR($K14="",$M14=""),"",$K14/$M14),"")</f>
        <v/>
      </c>
      <c r="P14" s="64" t="n"/>
      <c r="Q14" s="64">
        <f>IFERROR(IF(OR($P14="",$F14=""),"",$P14/$F14),"")</f>
        <v/>
      </c>
      <c r="R14" s="66">
        <f>IFERROR(IF(OR($K14="",$P14=""),"",$K14/$P14),"")</f>
        <v/>
      </c>
      <c r="S14" s="61">
        <f>IFERROR(IF(OR($P14="",$M14=""),"",IF($P14=$M14,"No","Yes")),"")</f>
        <v/>
      </c>
      <c r="T14" s="62" t="n"/>
      <c r="U14" s="60">
        <f>IFERROR(IF($T14="","",TODAY()-$T14),"")</f>
        <v/>
      </c>
      <c r="V14" s="67" t="n"/>
      <c r="W14" s="67" t="n"/>
      <c r="X14" s="68" t="n"/>
      <c r="Y14" s="67" t="n"/>
      <c r="Z14" s="67" t="n"/>
    </row>
    <row r="15" ht="15" customHeight="1" s="46">
      <c r="A15" s="69">
        <f>IFERROR(ROW()-5,"")</f>
        <v/>
      </c>
      <c r="B15" s="70" t="n"/>
      <c r="C15" s="70" t="n"/>
      <c r="D15" s="70" t="n"/>
      <c r="E15" s="70" t="n"/>
      <c r="F15" s="69" t="n"/>
      <c r="G15" s="70" t="n"/>
      <c r="H15" s="70" t="n"/>
      <c r="I15" s="71" t="n"/>
      <c r="J15" s="72">
        <f>IFERROR(IF($I15="","",($I15-TODAY())/365.25),"")</f>
        <v/>
      </c>
      <c r="K15" s="73" t="n"/>
      <c r="L15" s="74">
        <f>IFERROR(IF(OR($K15="",$F15=""),"",$K15/$F15),"")</f>
        <v/>
      </c>
      <c r="M15" s="73" t="n"/>
      <c r="N15" s="73">
        <f>IFERROR(IF(OR($M15="",$F15=""),"",$M15/$F15),"")</f>
        <v/>
      </c>
      <c r="O15" s="75">
        <f>IFERROR(IF(OR($K15="",$M15=""),"",$K15/$M15),"")</f>
        <v/>
      </c>
      <c r="P15" s="73" t="n"/>
      <c r="Q15" s="73">
        <f>IFERROR(IF(OR($P15="",$F15=""),"",$P15/$F15),"")</f>
        <v/>
      </c>
      <c r="R15" s="75">
        <f>IFERROR(IF(OR($K15="",$P15=""),"",$K15/$P15),"")</f>
        <v/>
      </c>
      <c r="S15" s="70">
        <f>IFERROR(IF(OR($P15="",$M15=""),"",IF($P15=$M15,"No","Yes")),"")</f>
        <v/>
      </c>
      <c r="T15" s="71" t="n"/>
      <c r="U15" s="69">
        <f>IFERROR(IF($T15="","",TODAY()-$T15),"")</f>
        <v/>
      </c>
      <c r="V15" s="67" t="n"/>
      <c r="W15" s="67" t="n"/>
      <c r="X15" s="68" t="n"/>
      <c r="Y15" s="67" t="n"/>
      <c r="Z15" s="67" t="n"/>
    </row>
    <row r="16" ht="15" customHeight="1" s="46">
      <c r="A16" s="60">
        <f>IFERROR(ROW()-5,"")</f>
        <v/>
      </c>
      <c r="B16" s="61" t="n"/>
      <c r="C16" s="61" t="n"/>
      <c r="D16" s="61" t="n"/>
      <c r="E16" s="61" t="n"/>
      <c r="F16" s="60" t="n"/>
      <c r="G16" s="61" t="n"/>
      <c r="H16" s="61" t="n"/>
      <c r="I16" s="62" t="n"/>
      <c r="J16" s="63">
        <f>IFERROR(IF($I16="","",($I16-TODAY())/365.25),"")</f>
        <v/>
      </c>
      <c r="K16" s="64" t="n"/>
      <c r="L16" s="65">
        <f>IFERROR(IF(OR($K16="",$F16=""),"",$K16/$F16),"")</f>
        <v/>
      </c>
      <c r="M16" s="64" t="n"/>
      <c r="N16" s="64">
        <f>IFERROR(IF(OR($M16="",$F16=""),"",$M16/$F16),"")</f>
        <v/>
      </c>
      <c r="O16" s="66">
        <f>IFERROR(IF(OR($K16="",$M16=""),"",$K16/$M16),"")</f>
        <v/>
      </c>
      <c r="P16" s="64" t="n"/>
      <c r="Q16" s="64">
        <f>IFERROR(IF(OR($P16="",$F16=""),"",$P16/$F16),"")</f>
        <v/>
      </c>
      <c r="R16" s="66">
        <f>IFERROR(IF(OR($K16="",$P16=""),"",$K16/$P16),"")</f>
        <v/>
      </c>
      <c r="S16" s="61">
        <f>IFERROR(IF(OR($P16="",$M16=""),"",IF($P16=$M16,"No","Yes")),"")</f>
        <v/>
      </c>
      <c r="T16" s="62" t="n"/>
      <c r="U16" s="60">
        <f>IFERROR(IF($T16="","",TODAY()-$T16),"")</f>
        <v/>
      </c>
      <c r="V16" s="67" t="n"/>
      <c r="W16" s="67" t="n"/>
      <c r="X16" s="68" t="n"/>
      <c r="Y16" s="67" t="n"/>
      <c r="Z16" s="67" t="n"/>
    </row>
    <row r="17" ht="15" customHeight="1" s="46">
      <c r="A17" s="69">
        <f>IFERROR(ROW()-5,"")</f>
        <v/>
      </c>
      <c r="B17" s="70" t="n"/>
      <c r="C17" s="70" t="n"/>
      <c r="D17" s="70" t="n"/>
      <c r="E17" s="70" t="n"/>
      <c r="F17" s="69" t="n"/>
      <c r="G17" s="70" t="n"/>
      <c r="H17" s="70" t="n"/>
      <c r="I17" s="71" t="n"/>
      <c r="J17" s="72">
        <f>IFERROR(IF($I17="","",($I17-TODAY())/365.25),"")</f>
        <v/>
      </c>
      <c r="K17" s="73" t="n"/>
      <c r="L17" s="74">
        <f>IFERROR(IF(OR($K17="",$F17=""),"",$K17/$F17),"")</f>
        <v/>
      </c>
      <c r="M17" s="73" t="n"/>
      <c r="N17" s="73">
        <f>IFERROR(IF(OR($M17="",$F17=""),"",$M17/$F17),"")</f>
        <v/>
      </c>
      <c r="O17" s="75">
        <f>IFERROR(IF(OR($K17="",$M17=""),"",$K17/$M17),"")</f>
        <v/>
      </c>
      <c r="P17" s="73" t="n"/>
      <c r="Q17" s="73">
        <f>IFERROR(IF(OR($P17="",$F17=""),"",$P17/$F17),"")</f>
        <v/>
      </c>
      <c r="R17" s="75">
        <f>IFERROR(IF(OR($K17="",$P17=""),"",$K17/$P17),"")</f>
        <v/>
      </c>
      <c r="S17" s="70">
        <f>IFERROR(IF(OR($P17="",$M17=""),"",IF($P17=$M17,"No","Yes")),"")</f>
        <v/>
      </c>
      <c r="T17" s="71" t="n"/>
      <c r="U17" s="69">
        <f>IFERROR(IF($T17="","",TODAY()-$T17),"")</f>
        <v/>
      </c>
      <c r="V17" s="67" t="n"/>
      <c r="W17" s="67" t="n"/>
      <c r="X17" s="68" t="n"/>
      <c r="Y17" s="67" t="n"/>
      <c r="Z17" s="67" t="n"/>
    </row>
    <row r="18" ht="15" customHeight="1" s="46">
      <c r="A18" s="60">
        <f>IFERROR(ROW()-5,"")</f>
        <v/>
      </c>
      <c r="B18" s="61" t="n"/>
      <c r="C18" s="61" t="n"/>
      <c r="D18" s="61" t="n"/>
      <c r="E18" s="61" t="n"/>
      <c r="F18" s="60" t="n"/>
      <c r="G18" s="61" t="n"/>
      <c r="H18" s="61" t="n"/>
      <c r="I18" s="62" t="n"/>
      <c r="J18" s="63">
        <f>IFERROR(IF($I18="","",($I18-TODAY())/365.25),"")</f>
        <v/>
      </c>
      <c r="K18" s="64" t="n"/>
      <c r="L18" s="65">
        <f>IFERROR(IF(OR($K18="",$F18=""),"",$K18/$F18),"")</f>
        <v/>
      </c>
      <c r="M18" s="64" t="n"/>
      <c r="N18" s="64">
        <f>IFERROR(IF(OR($M18="",$F18=""),"",$M18/$F18),"")</f>
        <v/>
      </c>
      <c r="O18" s="66">
        <f>IFERROR(IF(OR($K18="",$M18=""),"",$K18/$M18),"")</f>
        <v/>
      </c>
      <c r="P18" s="64" t="n"/>
      <c r="Q18" s="64">
        <f>IFERROR(IF(OR($P18="",$F18=""),"",$P18/$F18),"")</f>
        <v/>
      </c>
      <c r="R18" s="66">
        <f>IFERROR(IF(OR($K18="",$P18=""),"",$K18/$P18),"")</f>
        <v/>
      </c>
      <c r="S18" s="61">
        <f>IFERROR(IF(OR($P18="",$M18=""),"",IF($P18=$M18,"No","Yes")),"")</f>
        <v/>
      </c>
      <c r="T18" s="62" t="n"/>
      <c r="U18" s="60">
        <f>IFERROR(IF($T18="","",TODAY()-$T18),"")</f>
        <v/>
      </c>
      <c r="V18" s="67" t="n"/>
      <c r="W18" s="67" t="n"/>
      <c r="X18" s="68" t="n"/>
      <c r="Y18" s="67" t="n"/>
      <c r="Z18" s="67" t="n"/>
    </row>
    <row r="19" ht="15" customHeight="1" s="46">
      <c r="A19" s="69">
        <f>IFERROR(ROW()-5,"")</f>
        <v/>
      </c>
      <c r="B19" s="70" t="n"/>
      <c r="C19" s="70" t="n"/>
      <c r="D19" s="70" t="n"/>
      <c r="E19" s="70" t="n"/>
      <c r="F19" s="69" t="n"/>
      <c r="G19" s="70" t="n"/>
      <c r="H19" s="70" t="n"/>
      <c r="I19" s="71" t="n"/>
      <c r="J19" s="72">
        <f>IFERROR(IF($I19="","",($I19-TODAY())/365.25),"")</f>
        <v/>
      </c>
      <c r="K19" s="73" t="n"/>
      <c r="L19" s="74">
        <f>IFERROR(IF(OR($K19="",$F19=""),"",$K19/$F19),"")</f>
        <v/>
      </c>
      <c r="M19" s="73" t="n"/>
      <c r="N19" s="73">
        <f>IFERROR(IF(OR($M19="",$F19=""),"",$M19/$F19),"")</f>
        <v/>
      </c>
      <c r="O19" s="75">
        <f>IFERROR(IF(OR($K19="",$M19=""),"",$K19/$M19),"")</f>
        <v/>
      </c>
      <c r="P19" s="73" t="n"/>
      <c r="Q19" s="73">
        <f>IFERROR(IF(OR($P19="",$F19=""),"",$P19/$F19),"")</f>
        <v/>
      </c>
      <c r="R19" s="75">
        <f>IFERROR(IF(OR($K19="",$P19=""),"",$K19/$P19),"")</f>
        <v/>
      </c>
      <c r="S19" s="70">
        <f>IFERROR(IF(OR($P19="",$M19=""),"",IF($P19=$M19,"No","Yes")),"")</f>
        <v/>
      </c>
      <c r="T19" s="71" t="n"/>
      <c r="U19" s="69">
        <f>IFERROR(IF($T19="","",TODAY()-$T19),"")</f>
        <v/>
      </c>
      <c r="V19" s="67" t="n"/>
      <c r="W19" s="67" t="n"/>
      <c r="X19" s="68" t="n"/>
      <c r="Y19" s="67" t="n"/>
      <c r="Z19" s="67" t="n"/>
    </row>
    <row r="20" ht="15" customHeight="1" s="46">
      <c r="A20" s="60">
        <f>IFERROR(ROW()-5,"")</f>
        <v/>
      </c>
      <c r="B20" s="61" t="n"/>
      <c r="C20" s="61" t="n"/>
      <c r="D20" s="61" t="n"/>
      <c r="E20" s="61" t="n"/>
      <c r="F20" s="60" t="n"/>
      <c r="G20" s="61" t="n"/>
      <c r="H20" s="61" t="n"/>
      <c r="I20" s="62" t="n"/>
      <c r="J20" s="63">
        <f>IFERROR(IF($I20="","",($I20-TODAY())/365.25),"")</f>
        <v/>
      </c>
      <c r="K20" s="64" t="n"/>
      <c r="L20" s="65">
        <f>IFERROR(IF(OR($K20="",$F20=""),"",$K20/$F20),"")</f>
        <v/>
      </c>
      <c r="M20" s="64" t="n"/>
      <c r="N20" s="64">
        <f>IFERROR(IF(OR($M20="",$F20=""),"",$M20/$F20),"")</f>
        <v/>
      </c>
      <c r="O20" s="66">
        <f>IFERROR(IF(OR($K20="",$M20=""),"",$K20/$M20),"")</f>
        <v/>
      </c>
      <c r="P20" s="64" t="n"/>
      <c r="Q20" s="64">
        <f>IFERROR(IF(OR($P20="",$F20=""),"",$P20/$F20),"")</f>
        <v/>
      </c>
      <c r="R20" s="66">
        <f>IFERROR(IF(OR($K20="",$P20=""),"",$K20/$P20),"")</f>
        <v/>
      </c>
      <c r="S20" s="61">
        <f>IFERROR(IF(OR($P20="",$M20=""),"",IF($P20=$M20,"No","Yes")),"")</f>
        <v/>
      </c>
      <c r="T20" s="62" t="n"/>
      <c r="U20" s="60">
        <f>IFERROR(IF($T20="","",TODAY()-$T20),"")</f>
        <v/>
      </c>
      <c r="V20" s="67" t="n"/>
      <c r="W20" s="67" t="n"/>
      <c r="X20" s="68" t="n"/>
      <c r="Y20" s="67" t="n"/>
      <c r="Z20" s="67" t="n"/>
    </row>
    <row r="21" ht="15" customHeight="1" s="46">
      <c r="A21" s="69">
        <f>IFERROR(ROW()-5,"")</f>
        <v/>
      </c>
      <c r="B21" s="70" t="n"/>
      <c r="C21" s="70" t="n"/>
      <c r="D21" s="70" t="n"/>
      <c r="E21" s="70" t="n"/>
      <c r="F21" s="69" t="n"/>
      <c r="G21" s="70" t="n"/>
      <c r="H21" s="70" t="n"/>
      <c r="I21" s="71" t="n"/>
      <c r="J21" s="72">
        <f>IFERROR(IF($I21="","",($I21-TODAY())/365.25),"")</f>
        <v/>
      </c>
      <c r="K21" s="73" t="n"/>
      <c r="L21" s="74">
        <f>IFERROR(IF(OR($K21="",$F21=""),"",$K21/$F21),"")</f>
        <v/>
      </c>
      <c r="M21" s="73" t="n"/>
      <c r="N21" s="73">
        <f>IFERROR(IF(OR($M21="",$F21=""),"",$M21/$F21),"")</f>
        <v/>
      </c>
      <c r="O21" s="75">
        <f>IFERROR(IF(OR($K21="",$M21=""),"",$K21/$M21),"")</f>
        <v/>
      </c>
      <c r="P21" s="73" t="n"/>
      <c r="Q21" s="73">
        <f>IFERROR(IF(OR($P21="",$F21=""),"",$P21/$F21),"")</f>
        <v/>
      </c>
      <c r="R21" s="75">
        <f>IFERROR(IF(OR($K21="",$P21=""),"",$K21/$P21),"")</f>
        <v/>
      </c>
      <c r="S21" s="70">
        <f>IFERROR(IF(OR($P21="",$M21=""),"",IF($P21=$M21,"No","Yes")),"")</f>
        <v/>
      </c>
      <c r="T21" s="71" t="n"/>
      <c r="U21" s="69">
        <f>IFERROR(IF($T21="","",TODAY()-$T21),"")</f>
        <v/>
      </c>
      <c r="V21" s="67" t="n"/>
      <c r="W21" s="67" t="n"/>
      <c r="X21" s="68" t="n"/>
      <c r="Y21" s="67" t="n"/>
      <c r="Z21" s="67" t="n"/>
    </row>
    <row r="22" ht="15" customHeight="1" s="46">
      <c r="A22" s="60">
        <f>IFERROR(ROW()-5,"")</f>
        <v/>
      </c>
      <c r="B22" s="61" t="n"/>
      <c r="C22" s="61" t="n"/>
      <c r="D22" s="61" t="n"/>
      <c r="E22" s="61" t="n"/>
      <c r="F22" s="60" t="n"/>
      <c r="G22" s="61" t="n"/>
      <c r="H22" s="61" t="n"/>
      <c r="I22" s="62" t="n"/>
      <c r="J22" s="63">
        <f>IFERROR(IF($I22="","",($I22-TODAY())/365.25),"")</f>
        <v/>
      </c>
      <c r="K22" s="64" t="n"/>
      <c r="L22" s="65">
        <f>IFERROR(IF(OR($K22="",$F22=""),"",$K22/$F22),"")</f>
        <v/>
      </c>
      <c r="M22" s="64" t="n"/>
      <c r="N22" s="64">
        <f>IFERROR(IF(OR($M22="",$F22=""),"",$M22/$F22),"")</f>
        <v/>
      </c>
      <c r="O22" s="66">
        <f>IFERROR(IF(OR($K22="",$M22=""),"",$K22/$M22),"")</f>
        <v/>
      </c>
      <c r="P22" s="64" t="n"/>
      <c r="Q22" s="64">
        <f>IFERROR(IF(OR($P22="",$F22=""),"",$P22/$F22),"")</f>
        <v/>
      </c>
      <c r="R22" s="66">
        <f>IFERROR(IF(OR($K22="",$P22=""),"",$K22/$P22),"")</f>
        <v/>
      </c>
      <c r="S22" s="61">
        <f>IFERROR(IF(OR($P22="",$M22=""),"",IF($P22=$M22,"No","Yes")),"")</f>
        <v/>
      </c>
      <c r="T22" s="62" t="n"/>
      <c r="U22" s="60">
        <f>IFERROR(IF($T22="","",TODAY()-$T22),"")</f>
        <v/>
      </c>
      <c r="V22" s="67" t="n"/>
      <c r="W22" s="67" t="n"/>
      <c r="X22" s="68" t="n"/>
      <c r="Y22" s="67" t="n"/>
      <c r="Z22" s="67" t="n"/>
    </row>
    <row r="23" ht="15" customHeight="1" s="46">
      <c r="A23" s="69">
        <f>IFERROR(ROW()-5,"")</f>
        <v/>
      </c>
      <c r="B23" s="70" t="n"/>
      <c r="C23" s="70" t="n"/>
      <c r="D23" s="70" t="n"/>
      <c r="E23" s="70" t="n"/>
      <c r="F23" s="69" t="n"/>
      <c r="G23" s="70" t="n"/>
      <c r="H23" s="70" t="n"/>
      <c r="I23" s="71" t="n"/>
      <c r="J23" s="72">
        <f>IFERROR(IF($I23="","",($I23-TODAY())/365.25),"")</f>
        <v/>
      </c>
      <c r="K23" s="73" t="n"/>
      <c r="L23" s="74">
        <f>IFERROR(IF(OR($K23="",$F23=""),"",$K23/$F23),"")</f>
        <v/>
      </c>
      <c r="M23" s="73" t="n"/>
      <c r="N23" s="73">
        <f>IFERROR(IF(OR($M23="",$F23=""),"",$M23/$F23),"")</f>
        <v/>
      </c>
      <c r="O23" s="75">
        <f>IFERROR(IF(OR($K23="",$M23=""),"",$K23/$M23),"")</f>
        <v/>
      </c>
      <c r="P23" s="73" t="n"/>
      <c r="Q23" s="73">
        <f>IFERROR(IF(OR($P23="",$F23=""),"",$P23/$F23),"")</f>
        <v/>
      </c>
      <c r="R23" s="75">
        <f>IFERROR(IF(OR($K23="",$P23=""),"",$K23/$P23),"")</f>
        <v/>
      </c>
      <c r="S23" s="70">
        <f>IFERROR(IF(OR($P23="",$M23=""),"",IF($P23=$M23,"No","Yes")),"")</f>
        <v/>
      </c>
      <c r="T23" s="71" t="n"/>
      <c r="U23" s="69">
        <f>IFERROR(IF($T23="","",TODAY()-$T23),"")</f>
        <v/>
      </c>
      <c r="V23" s="67" t="n"/>
      <c r="W23" s="67" t="n"/>
      <c r="X23" s="68" t="n"/>
      <c r="Y23" s="67" t="n"/>
      <c r="Z23" s="67" t="n"/>
    </row>
    <row r="24" ht="15" customHeight="1" s="46">
      <c r="A24" s="60">
        <f>IFERROR(ROW()-5,"")</f>
        <v/>
      </c>
      <c r="B24" s="61" t="n"/>
      <c r="C24" s="61" t="n"/>
      <c r="D24" s="61" t="n"/>
      <c r="E24" s="61" t="n"/>
      <c r="F24" s="60" t="n"/>
      <c r="G24" s="61" t="n"/>
      <c r="H24" s="61" t="n"/>
      <c r="I24" s="62" t="n"/>
      <c r="J24" s="63">
        <f>IFERROR(IF($I24="","",($I24-TODAY())/365.25),"")</f>
        <v/>
      </c>
      <c r="K24" s="64" t="n"/>
      <c r="L24" s="65">
        <f>IFERROR(IF(OR($K24="",$F24=""),"",$K24/$F24),"")</f>
        <v/>
      </c>
      <c r="M24" s="64" t="n"/>
      <c r="N24" s="64">
        <f>IFERROR(IF(OR($M24="",$F24=""),"",$M24/$F24),"")</f>
        <v/>
      </c>
      <c r="O24" s="66">
        <f>IFERROR(IF(OR($K24="",$M24=""),"",$K24/$M24),"")</f>
        <v/>
      </c>
      <c r="P24" s="64" t="n"/>
      <c r="Q24" s="64">
        <f>IFERROR(IF(OR($P24="",$F24=""),"",$P24/$F24),"")</f>
        <v/>
      </c>
      <c r="R24" s="66">
        <f>IFERROR(IF(OR($K24="",$P24=""),"",$K24/$P24),"")</f>
        <v/>
      </c>
      <c r="S24" s="61">
        <f>IFERROR(IF(OR($P24="",$M24=""),"",IF($P24=$M24,"No","Yes")),"")</f>
        <v/>
      </c>
      <c r="T24" s="62" t="n"/>
      <c r="U24" s="60">
        <f>IFERROR(IF($T24="","",TODAY()-$T24),"")</f>
        <v/>
      </c>
      <c r="V24" s="67" t="n"/>
      <c r="W24" s="67" t="n"/>
      <c r="X24" s="68" t="n"/>
      <c r="Y24" s="67" t="n"/>
      <c r="Z24" s="67" t="n"/>
    </row>
    <row r="25" ht="15" customHeight="1" s="46">
      <c r="A25" s="69">
        <f>IFERROR(ROW()-5,"")</f>
        <v/>
      </c>
      <c r="B25" s="70" t="n"/>
      <c r="C25" s="70" t="n"/>
      <c r="D25" s="70" t="n"/>
      <c r="E25" s="70" t="n"/>
      <c r="F25" s="69" t="n"/>
      <c r="G25" s="70" t="n"/>
      <c r="H25" s="70" t="n"/>
      <c r="I25" s="71" t="n"/>
      <c r="J25" s="72">
        <f>IFERROR(IF($I25="","",($I25-TODAY())/365.25),"")</f>
        <v/>
      </c>
      <c r="K25" s="73" t="n"/>
      <c r="L25" s="74">
        <f>IFERROR(IF(OR($K25="",$F25=""),"",$K25/$F25),"")</f>
        <v/>
      </c>
      <c r="M25" s="73" t="n"/>
      <c r="N25" s="73">
        <f>IFERROR(IF(OR($M25="",$F25=""),"",$M25/$F25),"")</f>
        <v/>
      </c>
      <c r="O25" s="75">
        <f>IFERROR(IF(OR($K25="",$M25=""),"",$K25/$M25),"")</f>
        <v/>
      </c>
      <c r="P25" s="73" t="n"/>
      <c r="Q25" s="73">
        <f>IFERROR(IF(OR($P25="",$F25=""),"",$P25/$F25),"")</f>
        <v/>
      </c>
      <c r="R25" s="75">
        <f>IFERROR(IF(OR($K25="",$P25=""),"",$K25/$P25),"")</f>
        <v/>
      </c>
      <c r="S25" s="70">
        <f>IFERROR(IF(OR($P25="",$M25=""),"",IF($P25=$M25,"No","Yes")),"")</f>
        <v/>
      </c>
      <c r="T25" s="71" t="n"/>
      <c r="U25" s="69">
        <f>IFERROR(IF($T25="","",TODAY()-$T25),"")</f>
        <v/>
      </c>
      <c r="V25" s="67" t="n"/>
      <c r="W25" s="67" t="n"/>
      <c r="X25" s="68" t="n"/>
      <c r="Y25" s="67" t="n"/>
      <c r="Z25" s="67" t="n"/>
    </row>
    <row r="26" ht="15" customHeight="1" s="46">
      <c r="A26" s="60">
        <f>IFERROR(ROW()-5,"")</f>
        <v/>
      </c>
      <c r="B26" s="61" t="n"/>
      <c r="C26" s="61" t="n"/>
      <c r="D26" s="61" t="n"/>
      <c r="E26" s="61" t="n"/>
      <c r="F26" s="60" t="n"/>
      <c r="G26" s="61" t="n"/>
      <c r="H26" s="61" t="n"/>
      <c r="I26" s="62" t="n"/>
      <c r="J26" s="63">
        <f>IFERROR(IF($I26="","",($I26-TODAY())/365.25),"")</f>
        <v/>
      </c>
      <c r="K26" s="64" t="n"/>
      <c r="L26" s="65">
        <f>IFERROR(IF(OR($K26="",$F26=""),"",$K26/$F26),"")</f>
        <v/>
      </c>
      <c r="M26" s="64" t="n"/>
      <c r="N26" s="64">
        <f>IFERROR(IF(OR($M26="",$F26=""),"",$M26/$F26),"")</f>
        <v/>
      </c>
      <c r="O26" s="66">
        <f>IFERROR(IF(OR($K26="",$M26=""),"",$K26/$M26),"")</f>
        <v/>
      </c>
      <c r="P26" s="64" t="n"/>
      <c r="Q26" s="64">
        <f>IFERROR(IF(OR($P26="",$F26=""),"",$P26/$F26),"")</f>
        <v/>
      </c>
      <c r="R26" s="66">
        <f>IFERROR(IF(OR($K26="",$P26=""),"",$K26/$P26),"")</f>
        <v/>
      </c>
      <c r="S26" s="61">
        <f>IFERROR(IF(OR($P26="",$M26=""),"",IF($P26=$M26,"No","Yes")),"")</f>
        <v/>
      </c>
      <c r="T26" s="62" t="n"/>
      <c r="U26" s="60">
        <f>IFERROR(IF($T26="","",TODAY()-$T26),"")</f>
        <v/>
      </c>
      <c r="V26" s="67" t="n"/>
      <c r="W26" s="67" t="n"/>
      <c r="X26" s="68" t="n"/>
      <c r="Y26" s="67" t="n"/>
      <c r="Z26" s="67" t="n"/>
    </row>
    <row r="27" ht="15" customHeight="1" s="46">
      <c r="A27" s="69">
        <f>IFERROR(ROW()-5,"")</f>
        <v/>
      </c>
      <c r="B27" s="70" t="n"/>
      <c r="C27" s="70" t="n"/>
      <c r="D27" s="70" t="n"/>
      <c r="E27" s="70" t="n"/>
      <c r="F27" s="69" t="n"/>
      <c r="G27" s="70" t="n"/>
      <c r="H27" s="70" t="n"/>
      <c r="I27" s="71" t="n"/>
      <c r="J27" s="72">
        <f>IFERROR(IF($I27="","",($I27-TODAY())/365.25),"")</f>
        <v/>
      </c>
      <c r="K27" s="73" t="n"/>
      <c r="L27" s="74">
        <f>IFERROR(IF(OR($K27="",$F27=""),"",$K27/$F27),"")</f>
        <v/>
      </c>
      <c r="M27" s="73" t="n"/>
      <c r="N27" s="73">
        <f>IFERROR(IF(OR($M27="",$F27=""),"",$M27/$F27),"")</f>
        <v/>
      </c>
      <c r="O27" s="75">
        <f>IFERROR(IF(OR($K27="",$M27=""),"",$K27/$M27),"")</f>
        <v/>
      </c>
      <c r="P27" s="73" t="n"/>
      <c r="Q27" s="73">
        <f>IFERROR(IF(OR($P27="",$F27=""),"",$P27/$F27),"")</f>
        <v/>
      </c>
      <c r="R27" s="75">
        <f>IFERROR(IF(OR($K27="",$P27=""),"",$K27/$P27),"")</f>
        <v/>
      </c>
      <c r="S27" s="70">
        <f>IFERROR(IF(OR($P27="",$M27=""),"",IF($P27=$M27,"No","Yes")),"")</f>
        <v/>
      </c>
      <c r="T27" s="71" t="n"/>
      <c r="U27" s="69">
        <f>IFERROR(IF($T27="","",TODAY()-$T27),"")</f>
        <v/>
      </c>
      <c r="V27" s="67" t="n"/>
      <c r="W27" s="67" t="n"/>
      <c r="X27" s="68" t="n"/>
      <c r="Y27" s="67" t="n"/>
      <c r="Z27" s="67" t="n"/>
    </row>
    <row r="28" ht="15" customHeight="1" s="46">
      <c r="A28" s="60">
        <f>IFERROR(ROW()-5,"")</f>
        <v/>
      </c>
      <c r="B28" s="61" t="n"/>
      <c r="C28" s="61" t="n"/>
      <c r="D28" s="61" t="n"/>
      <c r="E28" s="61" t="n"/>
      <c r="F28" s="60" t="n"/>
      <c r="G28" s="61" t="n"/>
      <c r="H28" s="61" t="n"/>
      <c r="I28" s="62" t="n"/>
      <c r="J28" s="63">
        <f>IFERROR(IF($I28="","",($I28-TODAY())/365.25),"")</f>
        <v/>
      </c>
      <c r="K28" s="64" t="n"/>
      <c r="L28" s="65">
        <f>IFERROR(IF(OR($K28="",$F28=""),"",$K28/$F28),"")</f>
        <v/>
      </c>
      <c r="M28" s="64" t="n"/>
      <c r="N28" s="64">
        <f>IFERROR(IF(OR($M28="",$F28=""),"",$M28/$F28),"")</f>
        <v/>
      </c>
      <c r="O28" s="66">
        <f>IFERROR(IF(OR($K28="",$M28=""),"",$K28/$M28),"")</f>
        <v/>
      </c>
      <c r="P28" s="64" t="n"/>
      <c r="Q28" s="64">
        <f>IFERROR(IF(OR($P28="",$F28=""),"",$P28/$F28),"")</f>
        <v/>
      </c>
      <c r="R28" s="66">
        <f>IFERROR(IF(OR($K28="",$P28=""),"",$K28/$P28),"")</f>
        <v/>
      </c>
      <c r="S28" s="61">
        <f>IFERROR(IF(OR($P28="",$M28=""),"",IF($P28=$M28,"No","Yes")),"")</f>
        <v/>
      </c>
      <c r="T28" s="62" t="n"/>
      <c r="U28" s="60">
        <f>IFERROR(IF($T28="","",TODAY()-$T28),"")</f>
        <v/>
      </c>
      <c r="V28" s="67" t="n"/>
      <c r="W28" s="67" t="n"/>
      <c r="X28" s="68" t="n"/>
      <c r="Y28" s="67" t="n"/>
      <c r="Z28" s="67" t="n"/>
    </row>
    <row r="29" ht="15" customHeight="1" s="46">
      <c r="A29" s="69">
        <f>IFERROR(ROW()-5,"")</f>
        <v/>
      </c>
      <c r="B29" s="70" t="n"/>
      <c r="C29" s="70" t="n"/>
      <c r="D29" s="70" t="n"/>
      <c r="E29" s="70" t="n"/>
      <c r="F29" s="69" t="n"/>
      <c r="G29" s="70" t="n"/>
      <c r="H29" s="70" t="n"/>
      <c r="I29" s="71" t="n"/>
      <c r="J29" s="72">
        <f>IFERROR(IF($I29="","",($I29-TODAY())/365.25),"")</f>
        <v/>
      </c>
      <c r="K29" s="73" t="n"/>
      <c r="L29" s="74">
        <f>IFERROR(IF(OR($K29="",$F29=""),"",$K29/$F29),"")</f>
        <v/>
      </c>
      <c r="M29" s="73" t="n"/>
      <c r="N29" s="73">
        <f>IFERROR(IF(OR($M29="",$F29=""),"",$M29/$F29),"")</f>
        <v/>
      </c>
      <c r="O29" s="75">
        <f>IFERROR(IF(OR($K29="",$M29=""),"",$K29/$M29),"")</f>
        <v/>
      </c>
      <c r="P29" s="73" t="n"/>
      <c r="Q29" s="73">
        <f>IFERROR(IF(OR($P29="",$F29=""),"",$P29/$F29),"")</f>
        <v/>
      </c>
      <c r="R29" s="75">
        <f>IFERROR(IF(OR($K29="",$P29=""),"",$K29/$P29),"")</f>
        <v/>
      </c>
      <c r="S29" s="70">
        <f>IFERROR(IF(OR($P29="",$M29=""),"",IF($P29=$M29,"No","Yes")),"")</f>
        <v/>
      </c>
      <c r="T29" s="71" t="n"/>
      <c r="U29" s="69">
        <f>IFERROR(IF($T29="","",TODAY()-$T29),"")</f>
        <v/>
      </c>
      <c r="V29" s="67" t="n"/>
      <c r="W29" s="67" t="n"/>
      <c r="X29" s="68" t="n"/>
      <c r="Y29" s="67" t="n"/>
      <c r="Z29" s="67" t="n"/>
    </row>
    <row r="30" ht="15" customHeight="1" s="46">
      <c r="A30" s="60">
        <f>IFERROR(ROW()-5,"")</f>
        <v/>
      </c>
      <c r="B30" s="61" t="n"/>
      <c r="C30" s="61" t="n"/>
      <c r="D30" s="61" t="n"/>
      <c r="E30" s="61" t="n"/>
      <c r="F30" s="60" t="n"/>
      <c r="G30" s="61" t="n"/>
      <c r="H30" s="61" t="n"/>
      <c r="I30" s="62" t="n"/>
      <c r="J30" s="63">
        <f>IFERROR(IF($I30="","",($I30-TODAY())/365.25),"")</f>
        <v/>
      </c>
      <c r="K30" s="64" t="n"/>
      <c r="L30" s="65">
        <f>IFERROR(IF(OR($K30="",$F30=""),"",$K30/$F30),"")</f>
        <v/>
      </c>
      <c r="M30" s="64" t="n"/>
      <c r="N30" s="64">
        <f>IFERROR(IF(OR($M30="",$F30=""),"",$M30/$F30),"")</f>
        <v/>
      </c>
      <c r="O30" s="66">
        <f>IFERROR(IF(OR($K30="",$M30=""),"",$K30/$M30),"")</f>
        <v/>
      </c>
      <c r="P30" s="64" t="n"/>
      <c r="Q30" s="64">
        <f>IFERROR(IF(OR($P30="",$F30=""),"",$P30/$F30),"")</f>
        <v/>
      </c>
      <c r="R30" s="66">
        <f>IFERROR(IF(OR($K30="",$P30=""),"",$K30/$P30),"")</f>
        <v/>
      </c>
      <c r="S30" s="61">
        <f>IFERROR(IF(OR($P30="",$M30=""),"",IF($P30=$M30,"No","Yes")),"")</f>
        <v/>
      </c>
      <c r="T30" s="62" t="n"/>
      <c r="U30" s="60">
        <f>IFERROR(IF($T30="","",TODAY()-$T30),"")</f>
        <v/>
      </c>
      <c r="V30" s="67" t="n"/>
      <c r="W30" s="67" t="n"/>
      <c r="X30" s="68" t="n"/>
      <c r="Y30" s="67" t="n"/>
      <c r="Z30" s="67" t="n"/>
    </row>
    <row r="31" ht="15" customHeight="1" s="46">
      <c r="A31" s="69">
        <f>IFERROR(ROW()-5,"")</f>
        <v/>
      </c>
      <c r="B31" s="70" t="n"/>
      <c r="C31" s="70" t="n"/>
      <c r="D31" s="70" t="n"/>
      <c r="E31" s="70" t="n"/>
      <c r="F31" s="69" t="n"/>
      <c r="G31" s="70" t="n"/>
      <c r="H31" s="70" t="n"/>
      <c r="I31" s="71" t="n"/>
      <c r="J31" s="72">
        <f>IFERROR(IF($I31="","",($I31-TODAY())/365.25),"")</f>
        <v/>
      </c>
      <c r="K31" s="73" t="n"/>
      <c r="L31" s="74">
        <f>IFERROR(IF(OR($K31="",$F31=""),"",$K31/$F31),"")</f>
        <v/>
      </c>
      <c r="M31" s="73" t="n"/>
      <c r="N31" s="73">
        <f>IFERROR(IF(OR($M31="",$F31=""),"",$M31/$F31),"")</f>
        <v/>
      </c>
      <c r="O31" s="75">
        <f>IFERROR(IF(OR($K31="",$M31=""),"",$K31/$M31),"")</f>
        <v/>
      </c>
      <c r="P31" s="73" t="n"/>
      <c r="Q31" s="73">
        <f>IFERROR(IF(OR($P31="",$F31=""),"",$P31/$F31),"")</f>
        <v/>
      </c>
      <c r="R31" s="75">
        <f>IFERROR(IF(OR($K31="",$P31=""),"",$K31/$P31),"")</f>
        <v/>
      </c>
      <c r="S31" s="70">
        <f>IFERROR(IF(OR($P31="",$M31=""),"",IF($P31=$M31,"No","Yes")),"")</f>
        <v/>
      </c>
      <c r="T31" s="71" t="n"/>
      <c r="U31" s="69">
        <f>IFERROR(IF($T31="","",TODAY()-$T31),"")</f>
        <v/>
      </c>
      <c r="V31" s="67" t="n"/>
      <c r="W31" s="67" t="n"/>
      <c r="X31" s="68" t="n"/>
      <c r="Y31" s="67" t="n"/>
      <c r="Z31" s="67" t="n"/>
    </row>
    <row r="32" ht="15" customHeight="1" s="46">
      <c r="A32" s="60">
        <f>IFERROR(ROW()-5,"")</f>
        <v/>
      </c>
      <c r="B32" s="61" t="n"/>
      <c r="C32" s="61" t="n"/>
      <c r="D32" s="61" t="n"/>
      <c r="E32" s="61" t="n"/>
      <c r="F32" s="60" t="n"/>
      <c r="G32" s="61" t="n"/>
      <c r="H32" s="61" t="n"/>
      <c r="I32" s="62" t="n"/>
      <c r="J32" s="63">
        <f>IFERROR(IF($I32="","",($I32-TODAY())/365.25),"")</f>
        <v/>
      </c>
      <c r="K32" s="64" t="n"/>
      <c r="L32" s="65">
        <f>IFERROR(IF(OR($K32="",$F32=""),"",$K32/$F32),"")</f>
        <v/>
      </c>
      <c r="M32" s="64" t="n"/>
      <c r="N32" s="64">
        <f>IFERROR(IF(OR($M32="",$F32=""),"",$M32/$F32),"")</f>
        <v/>
      </c>
      <c r="O32" s="66">
        <f>IFERROR(IF(OR($K32="",$M32=""),"",$K32/$M32),"")</f>
        <v/>
      </c>
      <c r="P32" s="64" t="n"/>
      <c r="Q32" s="64">
        <f>IFERROR(IF(OR($P32="",$F32=""),"",$P32/$F32),"")</f>
        <v/>
      </c>
      <c r="R32" s="66">
        <f>IFERROR(IF(OR($K32="",$P32=""),"",$K32/$P32),"")</f>
        <v/>
      </c>
      <c r="S32" s="61">
        <f>IFERROR(IF(OR($P32="",$M32=""),"",IF($P32=$M32,"No","Yes")),"")</f>
        <v/>
      </c>
      <c r="T32" s="62" t="n"/>
      <c r="U32" s="60">
        <f>IFERROR(IF($T32="","",TODAY()-$T32),"")</f>
        <v/>
      </c>
      <c r="V32" s="67" t="n"/>
      <c r="W32" s="67" t="n"/>
      <c r="X32" s="68" t="n"/>
      <c r="Y32" s="67" t="n"/>
      <c r="Z32" s="67" t="n"/>
    </row>
    <row r="33" ht="15" customHeight="1" s="46">
      <c r="A33" s="69">
        <f>IFERROR(ROW()-5,"")</f>
        <v/>
      </c>
      <c r="B33" s="70" t="n"/>
      <c r="C33" s="70" t="n"/>
      <c r="D33" s="70" t="n"/>
      <c r="E33" s="70" t="n"/>
      <c r="F33" s="69" t="n"/>
      <c r="G33" s="70" t="n"/>
      <c r="H33" s="70" t="n"/>
      <c r="I33" s="71" t="n"/>
      <c r="J33" s="72">
        <f>IFERROR(IF($I33="","",($I33-TODAY())/365.25),"")</f>
        <v/>
      </c>
      <c r="K33" s="73" t="n"/>
      <c r="L33" s="74">
        <f>IFERROR(IF(OR($K33="",$F33=""),"",$K33/$F33),"")</f>
        <v/>
      </c>
      <c r="M33" s="73" t="n"/>
      <c r="N33" s="73">
        <f>IFERROR(IF(OR($M33="",$F33=""),"",$M33/$F33),"")</f>
        <v/>
      </c>
      <c r="O33" s="75">
        <f>IFERROR(IF(OR($K33="",$M33=""),"",$K33/$M33),"")</f>
        <v/>
      </c>
      <c r="P33" s="73" t="n"/>
      <c r="Q33" s="73">
        <f>IFERROR(IF(OR($P33="",$F33=""),"",$P33/$F33),"")</f>
        <v/>
      </c>
      <c r="R33" s="75">
        <f>IFERROR(IF(OR($K33="",$P33=""),"",$K33/$P33),"")</f>
        <v/>
      </c>
      <c r="S33" s="70">
        <f>IFERROR(IF(OR($P33="",$M33=""),"",IF($P33=$M33,"No","Yes")),"")</f>
        <v/>
      </c>
      <c r="T33" s="71" t="n"/>
      <c r="U33" s="69">
        <f>IFERROR(IF($T33="","",TODAY()-$T33),"")</f>
        <v/>
      </c>
      <c r="V33" s="67" t="n"/>
      <c r="W33" s="67" t="n"/>
      <c r="X33" s="68" t="n"/>
      <c r="Y33" s="67" t="n"/>
      <c r="Z33" s="67" t="n"/>
    </row>
    <row r="34" ht="15" customHeight="1" s="46">
      <c r="A34" s="60">
        <f>IFERROR(ROW()-5,"")</f>
        <v/>
      </c>
      <c r="B34" s="61" t="n"/>
      <c r="C34" s="61" t="n"/>
      <c r="D34" s="61" t="n"/>
      <c r="E34" s="61" t="n"/>
      <c r="F34" s="60" t="n"/>
      <c r="G34" s="61" t="n"/>
      <c r="H34" s="61" t="n"/>
      <c r="I34" s="62" t="n"/>
      <c r="J34" s="63">
        <f>IFERROR(IF($I34="","",($I34-TODAY())/365.25),"")</f>
        <v/>
      </c>
      <c r="K34" s="64" t="n"/>
      <c r="L34" s="65">
        <f>IFERROR(IF(OR($K34="",$F34=""),"",$K34/$F34),"")</f>
        <v/>
      </c>
      <c r="M34" s="64" t="n"/>
      <c r="N34" s="64">
        <f>IFERROR(IF(OR($M34="",$F34=""),"",$M34/$F34),"")</f>
        <v/>
      </c>
      <c r="O34" s="66">
        <f>IFERROR(IF(OR($K34="",$M34=""),"",$K34/$M34),"")</f>
        <v/>
      </c>
      <c r="P34" s="64" t="n"/>
      <c r="Q34" s="64">
        <f>IFERROR(IF(OR($P34="",$F34=""),"",$P34/$F34),"")</f>
        <v/>
      </c>
      <c r="R34" s="66">
        <f>IFERROR(IF(OR($K34="",$P34=""),"",$K34/$P34),"")</f>
        <v/>
      </c>
      <c r="S34" s="61">
        <f>IFERROR(IF(OR($P34="",$M34=""),"",IF($P34=$M34,"No","Yes")),"")</f>
        <v/>
      </c>
      <c r="T34" s="62" t="n"/>
      <c r="U34" s="60">
        <f>IFERROR(IF($T34="","",TODAY()-$T34),"")</f>
        <v/>
      </c>
      <c r="V34" s="67" t="n"/>
      <c r="W34" s="67" t="n"/>
      <c r="X34" s="68" t="n"/>
      <c r="Y34" s="67" t="n"/>
      <c r="Z34" s="67" t="n"/>
    </row>
    <row r="35" ht="15" customHeight="1" s="46">
      <c r="A35" s="69">
        <f>IFERROR(ROW()-5,"")</f>
        <v/>
      </c>
      <c r="B35" s="70" t="n"/>
      <c r="C35" s="70" t="n"/>
      <c r="D35" s="70" t="n"/>
      <c r="E35" s="70" t="n"/>
      <c r="F35" s="69" t="n"/>
      <c r="G35" s="70" t="n"/>
      <c r="H35" s="70" t="n"/>
      <c r="I35" s="71" t="n"/>
      <c r="J35" s="72">
        <f>IFERROR(IF($I35="","",($I35-TODAY())/365.25),"")</f>
        <v/>
      </c>
      <c r="K35" s="73" t="n"/>
      <c r="L35" s="74">
        <f>IFERROR(IF(OR($K35="",$F35=""),"",$K35/$F35),"")</f>
        <v/>
      </c>
      <c r="M35" s="73" t="n"/>
      <c r="N35" s="73">
        <f>IFERROR(IF(OR($M35="",$F35=""),"",$M35/$F35),"")</f>
        <v/>
      </c>
      <c r="O35" s="75">
        <f>IFERROR(IF(OR($K35="",$M35=""),"",$K35/$M35),"")</f>
        <v/>
      </c>
      <c r="P35" s="73" t="n"/>
      <c r="Q35" s="73">
        <f>IFERROR(IF(OR($P35="",$F35=""),"",$P35/$F35),"")</f>
        <v/>
      </c>
      <c r="R35" s="75">
        <f>IFERROR(IF(OR($K35="",$P35=""),"",$K35/$P35),"")</f>
        <v/>
      </c>
      <c r="S35" s="70">
        <f>IFERROR(IF(OR($P35="",$M35=""),"",IF($P35=$M35,"No","Yes")),"")</f>
        <v/>
      </c>
      <c r="T35" s="71" t="n"/>
      <c r="U35" s="69">
        <f>IFERROR(IF($T35="","",TODAY()-$T35),"")</f>
        <v/>
      </c>
      <c r="V35" s="67" t="n"/>
      <c r="W35" s="67" t="n"/>
      <c r="X35" s="68" t="n"/>
      <c r="Y35" s="67" t="n"/>
      <c r="Z35" s="67" t="n"/>
    </row>
    <row r="36" ht="15" customHeight="1" s="46">
      <c r="A36" s="60">
        <f>IFERROR(ROW()-5,"")</f>
        <v/>
      </c>
      <c r="B36" s="61" t="n"/>
      <c r="C36" s="61" t="n"/>
      <c r="D36" s="61" t="n"/>
      <c r="E36" s="61" t="n"/>
      <c r="F36" s="60" t="n"/>
      <c r="G36" s="61" t="n"/>
      <c r="H36" s="61" t="n"/>
      <c r="I36" s="62" t="n"/>
      <c r="J36" s="63">
        <f>IFERROR(IF($I36="","",($I36-TODAY())/365.25),"")</f>
        <v/>
      </c>
      <c r="K36" s="64" t="n"/>
      <c r="L36" s="65">
        <f>IFERROR(IF(OR($K36="",$F36=""),"",$K36/$F36),"")</f>
        <v/>
      </c>
      <c r="M36" s="64" t="n"/>
      <c r="N36" s="64">
        <f>IFERROR(IF(OR($M36="",$F36=""),"",$M36/$F36),"")</f>
        <v/>
      </c>
      <c r="O36" s="66">
        <f>IFERROR(IF(OR($K36="",$M36=""),"",$K36/$M36),"")</f>
        <v/>
      </c>
      <c r="P36" s="64" t="n"/>
      <c r="Q36" s="64">
        <f>IFERROR(IF(OR($P36="",$F36=""),"",$P36/$F36),"")</f>
        <v/>
      </c>
      <c r="R36" s="66">
        <f>IFERROR(IF(OR($K36="",$P36=""),"",$K36/$P36),"")</f>
        <v/>
      </c>
      <c r="S36" s="61">
        <f>IFERROR(IF(OR($P36="",$M36=""),"",IF($P36=$M36,"No","Yes")),"")</f>
        <v/>
      </c>
      <c r="T36" s="62" t="n"/>
      <c r="U36" s="60">
        <f>IFERROR(IF($T36="","",TODAY()-$T36),"")</f>
        <v/>
      </c>
      <c r="V36" s="67" t="n"/>
      <c r="W36" s="67" t="n"/>
      <c r="X36" s="68" t="n"/>
      <c r="Y36" s="67" t="n"/>
      <c r="Z36" s="67" t="n"/>
    </row>
    <row r="37" ht="15" customHeight="1" s="46">
      <c r="A37" s="69">
        <f>IFERROR(ROW()-5,"")</f>
        <v/>
      </c>
      <c r="B37" s="70" t="n"/>
      <c r="C37" s="70" t="n"/>
      <c r="D37" s="70" t="n"/>
      <c r="E37" s="70" t="n"/>
      <c r="F37" s="69" t="n"/>
      <c r="G37" s="70" t="n"/>
      <c r="H37" s="70" t="n"/>
      <c r="I37" s="71" t="n"/>
      <c r="J37" s="72">
        <f>IFERROR(IF($I37="","",($I37-TODAY())/365.25),"")</f>
        <v/>
      </c>
      <c r="K37" s="73" t="n"/>
      <c r="L37" s="74">
        <f>IFERROR(IF(OR($K37="",$F37=""),"",$K37/$F37),"")</f>
        <v/>
      </c>
      <c r="M37" s="73" t="n"/>
      <c r="N37" s="73">
        <f>IFERROR(IF(OR($M37="",$F37=""),"",$M37/$F37),"")</f>
        <v/>
      </c>
      <c r="O37" s="75">
        <f>IFERROR(IF(OR($K37="",$M37=""),"",$K37/$M37),"")</f>
        <v/>
      </c>
      <c r="P37" s="73" t="n"/>
      <c r="Q37" s="73">
        <f>IFERROR(IF(OR($P37="",$F37=""),"",$P37/$F37),"")</f>
        <v/>
      </c>
      <c r="R37" s="75">
        <f>IFERROR(IF(OR($K37="",$P37=""),"",$K37/$P37),"")</f>
        <v/>
      </c>
      <c r="S37" s="70">
        <f>IFERROR(IF(OR($P37="",$M37=""),"",IF($P37=$M37,"No","Yes")),"")</f>
        <v/>
      </c>
      <c r="T37" s="71" t="n"/>
      <c r="U37" s="69">
        <f>IFERROR(IF($T37="","",TODAY()-$T37),"")</f>
        <v/>
      </c>
      <c r="V37" s="67" t="n"/>
      <c r="W37" s="67" t="n"/>
      <c r="X37" s="68" t="n"/>
      <c r="Y37" s="67" t="n"/>
      <c r="Z37" s="67" t="n"/>
    </row>
    <row r="38" ht="15" customHeight="1" s="46">
      <c r="A38" s="60">
        <f>IFERROR(ROW()-5,"")</f>
        <v/>
      </c>
      <c r="B38" s="61" t="n"/>
      <c r="C38" s="61" t="n"/>
      <c r="D38" s="61" t="n"/>
      <c r="E38" s="61" t="n"/>
      <c r="F38" s="60" t="n"/>
      <c r="G38" s="61" t="n"/>
      <c r="H38" s="61" t="n"/>
      <c r="I38" s="62" t="n"/>
      <c r="J38" s="63">
        <f>IFERROR(IF($I38="","",($I38-TODAY())/365.25),"")</f>
        <v/>
      </c>
      <c r="K38" s="64" t="n"/>
      <c r="L38" s="65">
        <f>IFERROR(IF(OR($K38="",$F38=""),"",$K38/$F38),"")</f>
        <v/>
      </c>
      <c r="M38" s="64" t="n"/>
      <c r="N38" s="64">
        <f>IFERROR(IF(OR($M38="",$F38=""),"",$M38/$F38),"")</f>
        <v/>
      </c>
      <c r="O38" s="66">
        <f>IFERROR(IF(OR($K38="",$M38=""),"",$K38/$M38),"")</f>
        <v/>
      </c>
      <c r="P38" s="64" t="n"/>
      <c r="Q38" s="64">
        <f>IFERROR(IF(OR($P38="",$F38=""),"",$P38/$F38),"")</f>
        <v/>
      </c>
      <c r="R38" s="66">
        <f>IFERROR(IF(OR($K38="",$P38=""),"",$K38/$P38),"")</f>
        <v/>
      </c>
      <c r="S38" s="61">
        <f>IFERROR(IF(OR($P38="",$M38=""),"",IF($P38=$M38,"No","Yes")),"")</f>
        <v/>
      </c>
      <c r="T38" s="62" t="n"/>
      <c r="U38" s="60">
        <f>IFERROR(IF($T38="","",TODAY()-$T38),"")</f>
        <v/>
      </c>
      <c r="V38" s="67" t="n"/>
      <c r="W38" s="67" t="n"/>
      <c r="X38" s="68" t="n"/>
      <c r="Y38" s="67" t="n"/>
      <c r="Z38" s="67" t="n"/>
    </row>
    <row r="39" ht="15" customHeight="1" s="46">
      <c r="A39" s="69">
        <f>IFERROR(ROW()-5,"")</f>
        <v/>
      </c>
      <c r="B39" s="70" t="n"/>
      <c r="C39" s="70" t="n"/>
      <c r="D39" s="70" t="n"/>
      <c r="E39" s="70" t="n"/>
      <c r="F39" s="69" t="n"/>
      <c r="G39" s="70" t="n"/>
      <c r="H39" s="70" t="n"/>
      <c r="I39" s="71" t="n"/>
      <c r="J39" s="72">
        <f>IFERROR(IF($I39="","",($I39-TODAY())/365.25),"")</f>
        <v/>
      </c>
      <c r="K39" s="73" t="n"/>
      <c r="L39" s="74">
        <f>IFERROR(IF(OR($K39="",$F39=""),"",$K39/$F39),"")</f>
        <v/>
      </c>
      <c r="M39" s="73" t="n"/>
      <c r="N39" s="73">
        <f>IFERROR(IF(OR($M39="",$F39=""),"",$M39/$F39),"")</f>
        <v/>
      </c>
      <c r="O39" s="75">
        <f>IFERROR(IF(OR($K39="",$M39=""),"",$K39/$M39),"")</f>
        <v/>
      </c>
      <c r="P39" s="73" t="n"/>
      <c r="Q39" s="73">
        <f>IFERROR(IF(OR($P39="",$F39=""),"",$P39/$F39),"")</f>
        <v/>
      </c>
      <c r="R39" s="75">
        <f>IFERROR(IF(OR($K39="",$P39=""),"",$K39/$P39),"")</f>
        <v/>
      </c>
      <c r="S39" s="70">
        <f>IFERROR(IF(OR($P39="",$M39=""),"",IF($P39=$M39,"No","Yes")),"")</f>
        <v/>
      </c>
      <c r="T39" s="71" t="n"/>
      <c r="U39" s="69">
        <f>IFERROR(IF($T39="","",TODAY()-$T39),"")</f>
        <v/>
      </c>
      <c r="V39" s="67" t="n"/>
      <c r="W39" s="67" t="n"/>
      <c r="X39" s="68" t="n"/>
      <c r="Y39" s="67" t="n"/>
      <c r="Z39" s="67" t="n"/>
    </row>
    <row r="40" ht="15" customHeight="1" s="46">
      <c r="A40" s="60">
        <f>IFERROR(ROW()-5,"")</f>
        <v/>
      </c>
      <c r="B40" s="61" t="n"/>
      <c r="C40" s="61" t="n"/>
      <c r="D40" s="61" t="n"/>
      <c r="E40" s="61" t="n"/>
      <c r="F40" s="60" t="n"/>
      <c r="G40" s="61" t="n"/>
      <c r="H40" s="61" t="n"/>
      <c r="I40" s="62" t="n"/>
      <c r="J40" s="63">
        <f>IFERROR(IF($I40="","",($I40-TODAY())/365.25),"")</f>
        <v/>
      </c>
      <c r="K40" s="64" t="n"/>
      <c r="L40" s="65">
        <f>IFERROR(IF(OR($K40="",$F40=""),"",$K40/$F40),"")</f>
        <v/>
      </c>
      <c r="M40" s="64" t="n"/>
      <c r="N40" s="64">
        <f>IFERROR(IF(OR($M40="",$F40=""),"",$M40/$F40),"")</f>
        <v/>
      </c>
      <c r="O40" s="66">
        <f>IFERROR(IF(OR($K40="",$M40=""),"",$K40/$M40),"")</f>
        <v/>
      </c>
      <c r="P40" s="64" t="n"/>
      <c r="Q40" s="64">
        <f>IFERROR(IF(OR($P40="",$F40=""),"",$P40/$F40),"")</f>
        <v/>
      </c>
      <c r="R40" s="66">
        <f>IFERROR(IF(OR($K40="",$P40=""),"",$K40/$P40),"")</f>
        <v/>
      </c>
      <c r="S40" s="61">
        <f>IFERROR(IF(OR($P40="",$M40=""),"",IF($P40=$M40,"No","Yes")),"")</f>
        <v/>
      </c>
      <c r="T40" s="62" t="n"/>
      <c r="U40" s="60">
        <f>IFERROR(IF($T40="","",TODAY()-$T40),"")</f>
        <v/>
      </c>
      <c r="V40" s="67" t="n"/>
      <c r="W40" s="67" t="n"/>
      <c r="X40" s="68" t="n"/>
      <c r="Y40" s="67" t="n"/>
      <c r="Z40" s="67" t="n"/>
    </row>
    <row r="41" ht="15" customHeight="1" s="46">
      <c r="A41" s="69">
        <f>IFERROR(ROW()-5,"")</f>
        <v/>
      </c>
      <c r="B41" s="70" t="n"/>
      <c r="C41" s="70" t="n"/>
      <c r="D41" s="70" t="n"/>
      <c r="E41" s="70" t="n"/>
      <c r="F41" s="69" t="n"/>
      <c r="G41" s="70" t="n"/>
      <c r="H41" s="70" t="n"/>
      <c r="I41" s="71" t="n"/>
      <c r="J41" s="72">
        <f>IFERROR(IF($I41="","",($I41-TODAY())/365.25),"")</f>
        <v/>
      </c>
      <c r="K41" s="73" t="n"/>
      <c r="L41" s="74">
        <f>IFERROR(IF(OR($K41="",$F41=""),"",$K41/$F41),"")</f>
        <v/>
      </c>
      <c r="M41" s="73" t="n"/>
      <c r="N41" s="73">
        <f>IFERROR(IF(OR($M41="",$F41=""),"",$M41/$F41),"")</f>
        <v/>
      </c>
      <c r="O41" s="75">
        <f>IFERROR(IF(OR($K41="",$M41=""),"",$K41/$M41),"")</f>
        <v/>
      </c>
      <c r="P41" s="73" t="n"/>
      <c r="Q41" s="73">
        <f>IFERROR(IF(OR($P41="",$F41=""),"",$P41/$F41),"")</f>
        <v/>
      </c>
      <c r="R41" s="75">
        <f>IFERROR(IF(OR($K41="",$P41=""),"",$K41/$P41),"")</f>
        <v/>
      </c>
      <c r="S41" s="70">
        <f>IFERROR(IF(OR($P41="",$M41=""),"",IF($P41=$M41,"No","Yes")),"")</f>
        <v/>
      </c>
      <c r="T41" s="71" t="n"/>
      <c r="U41" s="69">
        <f>IFERROR(IF($T41="","",TODAY()-$T41),"")</f>
        <v/>
      </c>
      <c r="V41" s="67" t="n"/>
      <c r="W41" s="67" t="n"/>
      <c r="X41" s="68" t="n"/>
      <c r="Y41" s="67" t="n"/>
      <c r="Z41" s="67" t="n"/>
    </row>
    <row r="42" ht="15" customHeight="1" s="46">
      <c r="A42" s="60">
        <f>IFERROR(ROW()-5,"")</f>
        <v/>
      </c>
      <c r="B42" s="61" t="n"/>
      <c r="C42" s="61" t="n"/>
      <c r="D42" s="61" t="n"/>
      <c r="E42" s="61" t="n"/>
      <c r="F42" s="60" t="n"/>
      <c r="G42" s="61" t="n"/>
      <c r="H42" s="61" t="n"/>
      <c r="I42" s="62" t="n"/>
      <c r="J42" s="63">
        <f>IFERROR(IF($I42="","",($I42-TODAY())/365.25),"")</f>
        <v/>
      </c>
      <c r="K42" s="64" t="n"/>
      <c r="L42" s="65">
        <f>IFERROR(IF(OR($K42="",$F42=""),"",$K42/$F42),"")</f>
        <v/>
      </c>
      <c r="M42" s="64" t="n"/>
      <c r="N42" s="64">
        <f>IFERROR(IF(OR($M42="",$F42=""),"",$M42/$F42),"")</f>
        <v/>
      </c>
      <c r="O42" s="66">
        <f>IFERROR(IF(OR($K42="",$M42=""),"",$K42/$M42),"")</f>
        <v/>
      </c>
      <c r="P42" s="64" t="n"/>
      <c r="Q42" s="64">
        <f>IFERROR(IF(OR($P42="",$F42=""),"",$P42/$F42),"")</f>
        <v/>
      </c>
      <c r="R42" s="66">
        <f>IFERROR(IF(OR($K42="",$P42=""),"",$K42/$P42),"")</f>
        <v/>
      </c>
      <c r="S42" s="61">
        <f>IFERROR(IF(OR($P42="",$M42=""),"",IF($P42=$M42,"No","Yes")),"")</f>
        <v/>
      </c>
      <c r="T42" s="62" t="n"/>
      <c r="U42" s="60">
        <f>IFERROR(IF($T42="","",TODAY()-$T42),"")</f>
        <v/>
      </c>
      <c r="V42" s="67" t="n"/>
      <c r="W42" s="67" t="n"/>
      <c r="X42" s="68" t="n"/>
      <c r="Y42" s="67" t="n"/>
      <c r="Z42" s="67" t="n"/>
    </row>
    <row r="43" ht="15" customHeight="1" s="46">
      <c r="A43" s="69">
        <f>IFERROR(ROW()-5,"")</f>
        <v/>
      </c>
      <c r="B43" s="70" t="n"/>
      <c r="C43" s="70" t="n"/>
      <c r="D43" s="70" t="n"/>
      <c r="E43" s="70" t="n"/>
      <c r="F43" s="69" t="n"/>
      <c r="G43" s="70" t="n"/>
      <c r="H43" s="70" t="n"/>
      <c r="I43" s="71" t="n"/>
      <c r="J43" s="72">
        <f>IFERROR(IF($I43="","",($I43-TODAY())/365.25),"")</f>
        <v/>
      </c>
      <c r="K43" s="73" t="n"/>
      <c r="L43" s="74">
        <f>IFERROR(IF(OR($K43="",$F43=""),"",$K43/$F43),"")</f>
        <v/>
      </c>
      <c r="M43" s="73" t="n"/>
      <c r="N43" s="73">
        <f>IFERROR(IF(OR($M43="",$F43=""),"",$M43/$F43),"")</f>
        <v/>
      </c>
      <c r="O43" s="75">
        <f>IFERROR(IF(OR($K43="",$M43=""),"",$K43/$M43),"")</f>
        <v/>
      </c>
      <c r="P43" s="73" t="n"/>
      <c r="Q43" s="73">
        <f>IFERROR(IF(OR($P43="",$F43=""),"",$P43/$F43),"")</f>
        <v/>
      </c>
      <c r="R43" s="75">
        <f>IFERROR(IF(OR($K43="",$P43=""),"",$K43/$P43),"")</f>
        <v/>
      </c>
      <c r="S43" s="70">
        <f>IFERROR(IF(OR($P43="",$M43=""),"",IF($P43=$M43,"No","Yes")),"")</f>
        <v/>
      </c>
      <c r="T43" s="71" t="n"/>
      <c r="U43" s="69">
        <f>IFERROR(IF($T43="","",TODAY()-$T43),"")</f>
        <v/>
      </c>
      <c r="V43" s="67" t="n"/>
      <c r="W43" s="67" t="n"/>
      <c r="X43" s="68" t="n"/>
      <c r="Y43" s="67" t="n"/>
      <c r="Z43" s="67" t="n"/>
    </row>
    <row r="44" ht="15" customHeight="1" s="46">
      <c r="A44" s="60">
        <f>IFERROR(ROW()-5,"")</f>
        <v/>
      </c>
      <c r="B44" s="61" t="n"/>
      <c r="C44" s="61" t="n"/>
      <c r="D44" s="61" t="n"/>
      <c r="E44" s="61" t="n"/>
      <c r="F44" s="60" t="n"/>
      <c r="G44" s="61" t="n"/>
      <c r="H44" s="61" t="n"/>
      <c r="I44" s="62" t="n"/>
      <c r="J44" s="63">
        <f>IFERROR(IF($I44="","",($I44-TODAY())/365.25),"")</f>
        <v/>
      </c>
      <c r="K44" s="64" t="n"/>
      <c r="L44" s="65">
        <f>IFERROR(IF(OR($K44="",$F44=""),"",$K44/$F44),"")</f>
        <v/>
      </c>
      <c r="M44" s="64" t="n"/>
      <c r="N44" s="64">
        <f>IFERROR(IF(OR($M44="",$F44=""),"",$M44/$F44),"")</f>
        <v/>
      </c>
      <c r="O44" s="66">
        <f>IFERROR(IF(OR($K44="",$M44=""),"",$K44/$M44),"")</f>
        <v/>
      </c>
      <c r="P44" s="64" t="n"/>
      <c r="Q44" s="64">
        <f>IFERROR(IF(OR($P44="",$F44=""),"",$P44/$F44),"")</f>
        <v/>
      </c>
      <c r="R44" s="66">
        <f>IFERROR(IF(OR($K44="",$P44=""),"",$K44/$P44),"")</f>
        <v/>
      </c>
      <c r="S44" s="61">
        <f>IFERROR(IF(OR($P44="",$M44=""),"",IF($P44=$M44,"No","Yes")),"")</f>
        <v/>
      </c>
      <c r="T44" s="62" t="n"/>
      <c r="U44" s="60">
        <f>IFERROR(IF($T44="","",TODAY()-$T44),"")</f>
        <v/>
      </c>
      <c r="V44" s="67" t="n"/>
      <c r="W44" s="67" t="n"/>
      <c r="X44" s="68" t="n"/>
      <c r="Y44" s="67" t="n"/>
      <c r="Z44" s="67" t="n"/>
    </row>
    <row r="45" ht="15" customHeight="1" s="46">
      <c r="A45" s="69">
        <f>IFERROR(ROW()-5,"")</f>
        <v/>
      </c>
      <c r="B45" s="70" t="n"/>
      <c r="C45" s="70" t="n"/>
      <c r="D45" s="70" t="n"/>
      <c r="E45" s="70" t="n"/>
      <c r="F45" s="69" t="n"/>
      <c r="G45" s="70" t="n"/>
      <c r="H45" s="70" t="n"/>
      <c r="I45" s="71" t="n"/>
      <c r="J45" s="72">
        <f>IFERROR(IF($I45="","",($I45-TODAY())/365.25),"")</f>
        <v/>
      </c>
      <c r="K45" s="73" t="n"/>
      <c r="L45" s="74">
        <f>IFERROR(IF(OR($K45="",$F45=""),"",$K45/$F45),"")</f>
        <v/>
      </c>
      <c r="M45" s="73" t="n"/>
      <c r="N45" s="73">
        <f>IFERROR(IF(OR($M45="",$F45=""),"",$M45/$F45),"")</f>
        <v/>
      </c>
      <c r="O45" s="75">
        <f>IFERROR(IF(OR($K45="",$M45=""),"",$K45/$M45),"")</f>
        <v/>
      </c>
      <c r="P45" s="73" t="n"/>
      <c r="Q45" s="73">
        <f>IFERROR(IF(OR($P45="",$F45=""),"",$P45/$F45),"")</f>
        <v/>
      </c>
      <c r="R45" s="75">
        <f>IFERROR(IF(OR($K45="",$P45=""),"",$K45/$P45),"")</f>
        <v/>
      </c>
      <c r="S45" s="70">
        <f>IFERROR(IF(OR($P45="",$M45=""),"",IF($P45=$M45,"No","Yes")),"")</f>
        <v/>
      </c>
      <c r="T45" s="71" t="n"/>
      <c r="U45" s="69">
        <f>IFERROR(IF($T45="","",TODAY()-$T45),"")</f>
        <v/>
      </c>
      <c r="V45" s="67" t="n"/>
      <c r="W45" s="67" t="n"/>
      <c r="X45" s="68" t="n"/>
      <c r="Y45" s="67" t="n"/>
      <c r="Z45" s="67" t="n"/>
    </row>
    <row r="46" ht="15" customHeight="1" s="46">
      <c r="A46" s="60">
        <f>IFERROR(ROW()-5,"")</f>
        <v/>
      </c>
      <c r="B46" s="61" t="n"/>
      <c r="C46" s="61" t="n"/>
      <c r="D46" s="61" t="n"/>
      <c r="E46" s="61" t="n"/>
      <c r="F46" s="60" t="n"/>
      <c r="G46" s="61" t="n"/>
      <c r="H46" s="61" t="n"/>
      <c r="I46" s="62" t="n"/>
      <c r="J46" s="63">
        <f>IFERROR(IF($I46="","",($I46-TODAY())/365.25),"")</f>
        <v/>
      </c>
      <c r="K46" s="64" t="n"/>
      <c r="L46" s="65">
        <f>IFERROR(IF(OR($K46="",$F46=""),"",$K46/$F46),"")</f>
        <v/>
      </c>
      <c r="M46" s="64" t="n"/>
      <c r="N46" s="64">
        <f>IFERROR(IF(OR($M46="",$F46=""),"",$M46/$F46),"")</f>
        <v/>
      </c>
      <c r="O46" s="66">
        <f>IFERROR(IF(OR($K46="",$M46=""),"",$K46/$M46),"")</f>
        <v/>
      </c>
      <c r="P46" s="64" t="n"/>
      <c r="Q46" s="64">
        <f>IFERROR(IF(OR($P46="",$F46=""),"",$P46/$F46),"")</f>
        <v/>
      </c>
      <c r="R46" s="66">
        <f>IFERROR(IF(OR($K46="",$P46=""),"",$K46/$P46),"")</f>
        <v/>
      </c>
      <c r="S46" s="61">
        <f>IFERROR(IF(OR($P46="",$M46=""),"",IF($P46=$M46,"No","Yes")),"")</f>
        <v/>
      </c>
      <c r="T46" s="62" t="n"/>
      <c r="U46" s="60">
        <f>IFERROR(IF($T46="","",TODAY()-$T46),"")</f>
        <v/>
      </c>
      <c r="V46" s="67" t="n"/>
      <c r="W46" s="67" t="n"/>
      <c r="X46" s="68" t="n"/>
      <c r="Y46" s="67" t="n"/>
      <c r="Z46" s="67" t="n"/>
    </row>
    <row r="47" ht="15" customHeight="1" s="46">
      <c r="A47" s="69">
        <f>IFERROR(ROW()-5,"")</f>
        <v/>
      </c>
      <c r="B47" s="70" t="n"/>
      <c r="C47" s="70" t="n"/>
      <c r="D47" s="70" t="n"/>
      <c r="E47" s="70" t="n"/>
      <c r="F47" s="69" t="n"/>
      <c r="G47" s="70" t="n"/>
      <c r="H47" s="70" t="n"/>
      <c r="I47" s="71" t="n"/>
      <c r="J47" s="72">
        <f>IFERROR(IF($I47="","",($I47-TODAY())/365.25),"")</f>
        <v/>
      </c>
      <c r="K47" s="73" t="n"/>
      <c r="L47" s="74">
        <f>IFERROR(IF(OR($K47="",$F47=""),"",$K47/$F47),"")</f>
        <v/>
      </c>
      <c r="M47" s="73" t="n"/>
      <c r="N47" s="73">
        <f>IFERROR(IF(OR($M47="",$F47=""),"",$M47/$F47),"")</f>
        <v/>
      </c>
      <c r="O47" s="75">
        <f>IFERROR(IF(OR($K47="",$M47=""),"",$K47/$M47),"")</f>
        <v/>
      </c>
      <c r="P47" s="73" t="n"/>
      <c r="Q47" s="73">
        <f>IFERROR(IF(OR($P47="",$F47=""),"",$P47/$F47),"")</f>
        <v/>
      </c>
      <c r="R47" s="75">
        <f>IFERROR(IF(OR($K47="",$P47=""),"",$K47/$P47),"")</f>
        <v/>
      </c>
      <c r="S47" s="70">
        <f>IFERROR(IF(OR($P47="",$M47=""),"",IF($P47=$M47,"No","Yes")),"")</f>
        <v/>
      </c>
      <c r="T47" s="71" t="n"/>
      <c r="U47" s="69">
        <f>IFERROR(IF($T47="","",TODAY()-$T47),"")</f>
        <v/>
      </c>
      <c r="V47" s="67" t="n"/>
      <c r="W47" s="67" t="n"/>
      <c r="X47" s="68" t="n"/>
      <c r="Y47" s="67" t="n"/>
      <c r="Z47" s="67" t="n"/>
    </row>
    <row r="48" ht="15" customHeight="1" s="46">
      <c r="A48" s="60">
        <f>IFERROR(ROW()-5,"")</f>
        <v/>
      </c>
      <c r="B48" s="61" t="n"/>
      <c r="C48" s="61" t="n"/>
      <c r="D48" s="61" t="n"/>
      <c r="E48" s="61" t="n"/>
      <c r="F48" s="60" t="n"/>
      <c r="G48" s="61" t="n"/>
      <c r="H48" s="61" t="n"/>
      <c r="I48" s="62" t="n"/>
      <c r="J48" s="63">
        <f>IFERROR(IF($I48="","",($I48-TODAY())/365.25),"")</f>
        <v/>
      </c>
      <c r="K48" s="64" t="n"/>
      <c r="L48" s="65">
        <f>IFERROR(IF(OR($K48="",$F48=""),"",$K48/$F48),"")</f>
        <v/>
      </c>
      <c r="M48" s="64" t="n"/>
      <c r="N48" s="64">
        <f>IFERROR(IF(OR($M48="",$F48=""),"",$M48/$F48),"")</f>
        <v/>
      </c>
      <c r="O48" s="66">
        <f>IFERROR(IF(OR($K48="",$M48=""),"",$K48/$M48),"")</f>
        <v/>
      </c>
      <c r="P48" s="64" t="n"/>
      <c r="Q48" s="64">
        <f>IFERROR(IF(OR($P48="",$F48=""),"",$P48/$F48),"")</f>
        <v/>
      </c>
      <c r="R48" s="66">
        <f>IFERROR(IF(OR($K48="",$P48=""),"",$K48/$P48),"")</f>
        <v/>
      </c>
      <c r="S48" s="61">
        <f>IFERROR(IF(OR($P48="",$M48=""),"",IF($P48=$M48,"No","Yes")),"")</f>
        <v/>
      </c>
      <c r="T48" s="62" t="n"/>
      <c r="U48" s="60">
        <f>IFERROR(IF($T48="","",TODAY()-$T48),"")</f>
        <v/>
      </c>
      <c r="V48" s="67" t="n"/>
      <c r="W48" s="67" t="n"/>
      <c r="X48" s="68" t="n"/>
      <c r="Y48" s="67" t="n"/>
      <c r="Z48" s="67" t="n"/>
    </row>
    <row r="49" ht="15" customHeight="1" s="46">
      <c r="A49" s="69">
        <f>IFERROR(ROW()-5,"")</f>
        <v/>
      </c>
      <c r="B49" s="70" t="n"/>
      <c r="C49" s="70" t="n"/>
      <c r="D49" s="70" t="n"/>
      <c r="E49" s="70" t="n"/>
      <c r="F49" s="69" t="n"/>
      <c r="G49" s="70" t="n"/>
      <c r="H49" s="70" t="n"/>
      <c r="I49" s="71" t="n"/>
      <c r="J49" s="72">
        <f>IFERROR(IF($I49="","",($I49-TODAY())/365.25),"")</f>
        <v/>
      </c>
      <c r="K49" s="73" t="n"/>
      <c r="L49" s="74">
        <f>IFERROR(IF(OR($K49="",$F49=""),"",$K49/$F49),"")</f>
        <v/>
      </c>
      <c r="M49" s="73" t="n"/>
      <c r="N49" s="73">
        <f>IFERROR(IF(OR($M49="",$F49=""),"",$M49/$F49),"")</f>
        <v/>
      </c>
      <c r="O49" s="75">
        <f>IFERROR(IF(OR($K49="",$M49=""),"",$K49/$M49),"")</f>
        <v/>
      </c>
      <c r="P49" s="73" t="n"/>
      <c r="Q49" s="73">
        <f>IFERROR(IF(OR($P49="",$F49=""),"",$P49/$F49),"")</f>
        <v/>
      </c>
      <c r="R49" s="75">
        <f>IFERROR(IF(OR($K49="",$P49=""),"",$K49/$P49),"")</f>
        <v/>
      </c>
      <c r="S49" s="70">
        <f>IFERROR(IF(OR($P49="",$M49=""),"",IF($P49=$M49,"No","Yes")),"")</f>
        <v/>
      </c>
      <c r="T49" s="71" t="n"/>
      <c r="U49" s="69">
        <f>IFERROR(IF($T49="","",TODAY()-$T49),"")</f>
        <v/>
      </c>
      <c r="V49" s="67" t="n"/>
      <c r="W49" s="67" t="n"/>
      <c r="X49" s="68" t="n"/>
      <c r="Y49" s="67" t="n"/>
      <c r="Z49" s="67" t="n"/>
    </row>
    <row r="50" ht="15" customHeight="1" s="46">
      <c r="A50" s="60">
        <f>IFERROR(ROW()-5,"")</f>
        <v/>
      </c>
      <c r="B50" s="61" t="n"/>
      <c r="C50" s="61" t="n"/>
      <c r="D50" s="61" t="n"/>
      <c r="E50" s="61" t="n"/>
      <c r="F50" s="60" t="n"/>
      <c r="G50" s="61" t="n"/>
      <c r="H50" s="61" t="n"/>
      <c r="I50" s="62" t="n"/>
      <c r="J50" s="63">
        <f>IFERROR(IF($I50="","",($I50-TODAY())/365.25),"")</f>
        <v/>
      </c>
      <c r="K50" s="64" t="n"/>
      <c r="L50" s="65">
        <f>IFERROR(IF(OR($K50="",$F50=""),"",$K50/$F50),"")</f>
        <v/>
      </c>
      <c r="M50" s="64" t="n"/>
      <c r="N50" s="64">
        <f>IFERROR(IF(OR($M50="",$F50=""),"",$M50/$F50),"")</f>
        <v/>
      </c>
      <c r="O50" s="66">
        <f>IFERROR(IF(OR($K50="",$M50=""),"",$K50/$M50),"")</f>
        <v/>
      </c>
      <c r="P50" s="64" t="n"/>
      <c r="Q50" s="64">
        <f>IFERROR(IF(OR($P50="",$F50=""),"",$P50/$F50),"")</f>
        <v/>
      </c>
      <c r="R50" s="66">
        <f>IFERROR(IF(OR($K50="",$P50=""),"",$K50/$P50),"")</f>
        <v/>
      </c>
      <c r="S50" s="61">
        <f>IFERROR(IF(OR($P50="",$M50=""),"",IF($P50=$M50,"No","Yes")),"")</f>
        <v/>
      </c>
      <c r="T50" s="62" t="n"/>
      <c r="U50" s="60">
        <f>IFERROR(IF($T50="","",TODAY()-$T50),"")</f>
        <v/>
      </c>
      <c r="V50" s="67" t="n"/>
      <c r="W50" s="67" t="n"/>
      <c r="X50" s="68" t="n"/>
      <c r="Y50" s="67" t="n"/>
      <c r="Z50" s="67" t="n"/>
    </row>
    <row r="51" ht="15" customHeight="1" s="46">
      <c r="A51" s="69">
        <f>IFERROR(ROW()-5,"")</f>
        <v/>
      </c>
      <c r="B51" s="70" t="n"/>
      <c r="C51" s="70" t="n"/>
      <c r="D51" s="70" t="n"/>
      <c r="E51" s="70" t="n"/>
      <c r="F51" s="69" t="n"/>
      <c r="G51" s="70" t="n"/>
      <c r="H51" s="70" t="n"/>
      <c r="I51" s="71" t="n"/>
      <c r="J51" s="72">
        <f>IFERROR(IF($I51="","",($I51-TODAY())/365.25),"")</f>
        <v/>
      </c>
      <c r="K51" s="73" t="n"/>
      <c r="L51" s="74">
        <f>IFERROR(IF(OR($K51="",$F51=""),"",$K51/$F51),"")</f>
        <v/>
      </c>
      <c r="M51" s="73" t="n"/>
      <c r="N51" s="73">
        <f>IFERROR(IF(OR($M51="",$F51=""),"",$M51/$F51),"")</f>
        <v/>
      </c>
      <c r="O51" s="75">
        <f>IFERROR(IF(OR($K51="",$M51=""),"",$K51/$M51),"")</f>
        <v/>
      </c>
      <c r="P51" s="73" t="n"/>
      <c r="Q51" s="73">
        <f>IFERROR(IF(OR($P51="",$F51=""),"",$P51/$F51),"")</f>
        <v/>
      </c>
      <c r="R51" s="75">
        <f>IFERROR(IF(OR($K51="",$P51=""),"",$K51/$P51),"")</f>
        <v/>
      </c>
      <c r="S51" s="70">
        <f>IFERROR(IF(OR($P51="",$M51=""),"",IF($P51=$M51,"No","Yes")),"")</f>
        <v/>
      </c>
      <c r="T51" s="71" t="n"/>
      <c r="U51" s="69">
        <f>IFERROR(IF($T51="","",TODAY()-$T51),"")</f>
        <v/>
      </c>
      <c r="V51" s="67" t="n"/>
      <c r="W51" s="67" t="n"/>
      <c r="X51" s="68" t="n"/>
      <c r="Y51" s="67" t="n"/>
      <c r="Z51" s="67" t="n"/>
    </row>
    <row r="52" ht="15" customHeight="1" s="46">
      <c r="A52" s="60">
        <f>IFERROR(ROW()-5,"")</f>
        <v/>
      </c>
      <c r="B52" s="61" t="n"/>
      <c r="C52" s="61" t="n"/>
      <c r="D52" s="61" t="n"/>
      <c r="E52" s="61" t="n"/>
      <c r="F52" s="60" t="n"/>
      <c r="G52" s="61" t="n"/>
      <c r="H52" s="61" t="n"/>
      <c r="I52" s="62" t="n"/>
      <c r="J52" s="63">
        <f>IFERROR(IF($I52="","",($I52-TODAY())/365.25),"")</f>
        <v/>
      </c>
      <c r="K52" s="64" t="n"/>
      <c r="L52" s="65">
        <f>IFERROR(IF(OR($K52="",$F52=""),"",$K52/$F52),"")</f>
        <v/>
      </c>
      <c r="M52" s="64" t="n"/>
      <c r="N52" s="64">
        <f>IFERROR(IF(OR($M52="",$F52=""),"",$M52/$F52),"")</f>
        <v/>
      </c>
      <c r="O52" s="66">
        <f>IFERROR(IF(OR($K52="",$M52=""),"",$K52/$M52),"")</f>
        <v/>
      </c>
      <c r="P52" s="64" t="n"/>
      <c r="Q52" s="64">
        <f>IFERROR(IF(OR($P52="",$F52=""),"",$P52/$F52),"")</f>
        <v/>
      </c>
      <c r="R52" s="66">
        <f>IFERROR(IF(OR($K52="",$P52=""),"",$K52/$P52),"")</f>
        <v/>
      </c>
      <c r="S52" s="61">
        <f>IFERROR(IF(OR($P52="",$M52=""),"",IF($P52=$M52,"No","Yes")),"")</f>
        <v/>
      </c>
      <c r="T52" s="62" t="n"/>
      <c r="U52" s="60">
        <f>IFERROR(IF($T52="","",TODAY()-$T52),"")</f>
        <v/>
      </c>
      <c r="V52" s="67" t="n"/>
      <c r="W52" s="67" t="n"/>
      <c r="X52" s="68" t="n"/>
      <c r="Y52" s="67" t="n"/>
      <c r="Z52" s="67" t="n"/>
    </row>
    <row r="53" ht="15" customHeight="1" s="46">
      <c r="A53" s="69">
        <f>IFERROR(ROW()-5,"")</f>
        <v/>
      </c>
      <c r="B53" s="70" t="n"/>
      <c r="C53" s="70" t="n"/>
      <c r="D53" s="70" t="n"/>
      <c r="E53" s="70" t="n"/>
      <c r="F53" s="69" t="n"/>
      <c r="G53" s="70" t="n"/>
      <c r="H53" s="70" t="n"/>
      <c r="I53" s="71" t="n"/>
      <c r="J53" s="72">
        <f>IFERROR(IF($I53="","",($I53-TODAY())/365.25),"")</f>
        <v/>
      </c>
      <c r="K53" s="73" t="n"/>
      <c r="L53" s="74">
        <f>IFERROR(IF(OR($K53="",$F53=""),"",$K53/$F53),"")</f>
        <v/>
      </c>
      <c r="M53" s="73" t="n"/>
      <c r="N53" s="73">
        <f>IFERROR(IF(OR($M53="",$F53=""),"",$M53/$F53),"")</f>
        <v/>
      </c>
      <c r="O53" s="75">
        <f>IFERROR(IF(OR($K53="",$M53=""),"",$K53/$M53),"")</f>
        <v/>
      </c>
      <c r="P53" s="73" t="n"/>
      <c r="Q53" s="73">
        <f>IFERROR(IF(OR($P53="",$F53=""),"",$P53/$F53),"")</f>
        <v/>
      </c>
      <c r="R53" s="75">
        <f>IFERROR(IF(OR($K53="",$P53=""),"",$K53/$P53),"")</f>
        <v/>
      </c>
      <c r="S53" s="70">
        <f>IFERROR(IF(OR($P53="",$M53=""),"",IF($P53=$M53,"No","Yes")),"")</f>
        <v/>
      </c>
      <c r="T53" s="71" t="n"/>
      <c r="U53" s="69">
        <f>IFERROR(IF($T53="","",TODAY()-$T53),"")</f>
        <v/>
      </c>
      <c r="V53" s="67" t="n"/>
      <c r="W53" s="67" t="n"/>
      <c r="X53" s="68" t="n"/>
      <c r="Y53" s="67" t="n"/>
      <c r="Z53" s="67" t="n"/>
    </row>
    <row r="54" ht="15" customHeight="1" s="46">
      <c r="A54" s="60">
        <f>IFERROR(ROW()-5,"")</f>
        <v/>
      </c>
      <c r="B54" s="61" t="n"/>
      <c r="C54" s="61" t="n"/>
      <c r="D54" s="61" t="n"/>
      <c r="E54" s="61" t="n"/>
      <c r="F54" s="60" t="n"/>
      <c r="G54" s="61" t="n"/>
      <c r="H54" s="61" t="n"/>
      <c r="I54" s="62" t="n"/>
      <c r="J54" s="63">
        <f>IFERROR(IF($I54="","",($I54-TODAY())/365.25),"")</f>
        <v/>
      </c>
      <c r="K54" s="64" t="n"/>
      <c r="L54" s="65">
        <f>IFERROR(IF(OR($K54="",$F54=""),"",$K54/$F54),"")</f>
        <v/>
      </c>
      <c r="M54" s="64" t="n"/>
      <c r="N54" s="64">
        <f>IFERROR(IF(OR($M54="",$F54=""),"",$M54/$F54),"")</f>
        <v/>
      </c>
      <c r="O54" s="66">
        <f>IFERROR(IF(OR($K54="",$M54=""),"",$K54/$M54),"")</f>
        <v/>
      </c>
      <c r="P54" s="64" t="n"/>
      <c r="Q54" s="64">
        <f>IFERROR(IF(OR($P54="",$F54=""),"",$P54/$F54),"")</f>
        <v/>
      </c>
      <c r="R54" s="66">
        <f>IFERROR(IF(OR($K54="",$P54=""),"",$K54/$P54),"")</f>
        <v/>
      </c>
      <c r="S54" s="61">
        <f>IFERROR(IF(OR($P54="",$M54=""),"",IF($P54=$M54,"No","Yes")),"")</f>
        <v/>
      </c>
      <c r="T54" s="62" t="n"/>
      <c r="U54" s="60">
        <f>IFERROR(IF($T54="","",TODAY()-$T54),"")</f>
        <v/>
      </c>
      <c r="V54" s="67" t="n"/>
      <c r="W54" s="67" t="n"/>
      <c r="X54" s="68" t="n"/>
      <c r="Y54" s="67" t="n"/>
      <c r="Z54" s="67" t="n"/>
    </row>
    <row r="55" ht="15" customHeight="1" s="46">
      <c r="A55" s="69">
        <f>IFERROR(ROW()-5,"")</f>
        <v/>
      </c>
      <c r="B55" s="70" t="n"/>
      <c r="C55" s="70" t="n"/>
      <c r="D55" s="70" t="n"/>
      <c r="E55" s="70" t="n"/>
      <c r="F55" s="69" t="n"/>
      <c r="G55" s="70" t="n"/>
      <c r="H55" s="70" t="n"/>
      <c r="I55" s="71" t="n"/>
      <c r="J55" s="72">
        <f>IFERROR(IF($I55="","",($I55-TODAY())/365.25),"")</f>
        <v/>
      </c>
      <c r="K55" s="73" t="n"/>
      <c r="L55" s="74">
        <f>IFERROR(IF(OR($K55="",$F55=""),"",$K55/$F55),"")</f>
        <v/>
      </c>
      <c r="M55" s="73" t="n"/>
      <c r="N55" s="73">
        <f>IFERROR(IF(OR($M55="",$F55=""),"",$M55/$F55),"")</f>
        <v/>
      </c>
      <c r="O55" s="75">
        <f>IFERROR(IF(OR($K55="",$M55=""),"",$K55/$M55),"")</f>
        <v/>
      </c>
      <c r="P55" s="73" t="n"/>
      <c r="Q55" s="73">
        <f>IFERROR(IF(OR($P55="",$F55=""),"",$P55/$F55),"")</f>
        <v/>
      </c>
      <c r="R55" s="75">
        <f>IFERROR(IF(OR($K55="",$P55=""),"",$K55/$P55),"")</f>
        <v/>
      </c>
      <c r="S55" s="70">
        <f>IFERROR(IF(OR($P55="",$M55=""),"",IF($P55=$M55,"No","Yes")),"")</f>
        <v/>
      </c>
      <c r="T55" s="71" t="n"/>
      <c r="U55" s="69">
        <f>IFERROR(IF($T55="","",TODAY()-$T55),"")</f>
        <v/>
      </c>
      <c r="V55" s="67" t="n"/>
      <c r="W55" s="67" t="n"/>
      <c r="X55" s="68" t="n"/>
      <c r="Y55" s="67" t="n"/>
      <c r="Z55" s="67" t="n"/>
    </row>
    <row r="56" ht="15" customHeight="1" s="46">
      <c r="A56" s="60">
        <f>IFERROR(ROW()-5,"")</f>
        <v/>
      </c>
      <c r="B56" s="61" t="n"/>
      <c r="C56" s="61" t="n"/>
      <c r="D56" s="61" t="n"/>
      <c r="E56" s="61" t="n"/>
      <c r="F56" s="60" t="n"/>
      <c r="G56" s="61" t="n"/>
      <c r="H56" s="61" t="n"/>
      <c r="I56" s="62" t="n"/>
      <c r="J56" s="63">
        <f>IFERROR(IF($I56="","",($I56-TODAY())/365.25),"")</f>
        <v/>
      </c>
      <c r="K56" s="64" t="n"/>
      <c r="L56" s="65">
        <f>IFERROR(IF(OR($K56="",$F56=""),"",$K56/$F56),"")</f>
        <v/>
      </c>
      <c r="M56" s="64" t="n"/>
      <c r="N56" s="64">
        <f>IFERROR(IF(OR($M56="",$F56=""),"",$M56/$F56),"")</f>
        <v/>
      </c>
      <c r="O56" s="66">
        <f>IFERROR(IF(OR($K56="",$M56=""),"",$K56/$M56),"")</f>
        <v/>
      </c>
      <c r="P56" s="64" t="n"/>
      <c r="Q56" s="64">
        <f>IFERROR(IF(OR($P56="",$F56=""),"",$P56/$F56),"")</f>
        <v/>
      </c>
      <c r="R56" s="66">
        <f>IFERROR(IF(OR($K56="",$P56=""),"",$K56/$P56),"")</f>
        <v/>
      </c>
      <c r="S56" s="61">
        <f>IFERROR(IF(OR($P56="",$M56=""),"",IF($P56=$M56,"No","Yes")),"")</f>
        <v/>
      </c>
      <c r="T56" s="62" t="n"/>
      <c r="U56" s="60">
        <f>IFERROR(IF($T56="","",TODAY()-$T56),"")</f>
        <v/>
      </c>
      <c r="V56" s="67" t="n"/>
      <c r="W56" s="67" t="n"/>
      <c r="X56" s="68" t="n"/>
      <c r="Y56" s="67" t="n"/>
      <c r="Z56" s="67" t="n"/>
    </row>
    <row r="57" ht="15" customHeight="1" s="46">
      <c r="A57" s="69">
        <f>IFERROR(ROW()-5,"")</f>
        <v/>
      </c>
      <c r="B57" s="70" t="n"/>
      <c r="C57" s="70" t="n"/>
      <c r="D57" s="70" t="n"/>
      <c r="E57" s="70" t="n"/>
      <c r="F57" s="69" t="n"/>
      <c r="G57" s="70" t="n"/>
      <c r="H57" s="70" t="n"/>
      <c r="I57" s="71" t="n"/>
      <c r="J57" s="72">
        <f>IFERROR(IF($I57="","",($I57-TODAY())/365.25),"")</f>
        <v/>
      </c>
      <c r="K57" s="73" t="n"/>
      <c r="L57" s="74">
        <f>IFERROR(IF(OR($K57="",$F57=""),"",$K57/$F57),"")</f>
        <v/>
      </c>
      <c r="M57" s="73" t="n"/>
      <c r="N57" s="73">
        <f>IFERROR(IF(OR($M57="",$F57=""),"",$M57/$F57),"")</f>
        <v/>
      </c>
      <c r="O57" s="75">
        <f>IFERROR(IF(OR($K57="",$M57=""),"",$K57/$M57),"")</f>
        <v/>
      </c>
      <c r="P57" s="73" t="n"/>
      <c r="Q57" s="73">
        <f>IFERROR(IF(OR($P57="",$F57=""),"",$P57/$F57),"")</f>
        <v/>
      </c>
      <c r="R57" s="75">
        <f>IFERROR(IF(OR($K57="",$P57=""),"",$K57/$P57),"")</f>
        <v/>
      </c>
      <c r="S57" s="70">
        <f>IFERROR(IF(OR($P57="",$M57=""),"",IF($P57=$M57,"No","Yes")),"")</f>
        <v/>
      </c>
      <c r="T57" s="71" t="n"/>
      <c r="U57" s="69">
        <f>IFERROR(IF($T57="","",TODAY()-$T57),"")</f>
        <v/>
      </c>
      <c r="V57" s="67" t="n"/>
      <c r="W57" s="67" t="n"/>
      <c r="X57" s="68" t="n"/>
      <c r="Y57" s="67" t="n"/>
      <c r="Z57" s="67" t="n"/>
    </row>
    <row r="58" ht="15" customHeight="1" s="46">
      <c r="A58" s="60">
        <f>IFERROR(ROW()-5,"")</f>
        <v/>
      </c>
      <c r="B58" s="61" t="n"/>
      <c r="C58" s="61" t="n"/>
      <c r="D58" s="61" t="n"/>
      <c r="E58" s="61" t="n"/>
      <c r="F58" s="60" t="n"/>
      <c r="G58" s="61" t="n"/>
      <c r="H58" s="61" t="n"/>
      <c r="I58" s="62" t="n"/>
      <c r="J58" s="63">
        <f>IFERROR(IF($I58="","",($I58-TODAY())/365.25),"")</f>
        <v/>
      </c>
      <c r="K58" s="64" t="n"/>
      <c r="L58" s="65">
        <f>IFERROR(IF(OR($K58="",$F58=""),"",$K58/$F58),"")</f>
        <v/>
      </c>
      <c r="M58" s="64" t="n"/>
      <c r="N58" s="64">
        <f>IFERROR(IF(OR($M58="",$F58=""),"",$M58/$F58),"")</f>
        <v/>
      </c>
      <c r="O58" s="66">
        <f>IFERROR(IF(OR($K58="",$M58=""),"",$K58/$M58),"")</f>
        <v/>
      </c>
      <c r="P58" s="64" t="n"/>
      <c r="Q58" s="64">
        <f>IFERROR(IF(OR($P58="",$F58=""),"",$P58/$F58),"")</f>
        <v/>
      </c>
      <c r="R58" s="66">
        <f>IFERROR(IF(OR($K58="",$P58=""),"",$K58/$P58),"")</f>
        <v/>
      </c>
      <c r="S58" s="61">
        <f>IFERROR(IF(OR($P58="",$M58=""),"",IF($P58=$M58,"No","Yes")),"")</f>
        <v/>
      </c>
      <c r="T58" s="62" t="n"/>
      <c r="U58" s="60">
        <f>IFERROR(IF($T58="","",TODAY()-$T58),"")</f>
        <v/>
      </c>
      <c r="V58" s="67" t="n"/>
      <c r="W58" s="67" t="n"/>
      <c r="X58" s="68" t="n"/>
      <c r="Y58" s="67" t="n"/>
      <c r="Z58" s="67" t="n"/>
    </row>
    <row r="59" ht="15" customHeight="1" s="46">
      <c r="A59" s="69">
        <f>IFERROR(ROW()-5,"")</f>
        <v/>
      </c>
      <c r="B59" s="70" t="n"/>
      <c r="C59" s="70" t="n"/>
      <c r="D59" s="70" t="n"/>
      <c r="E59" s="70" t="n"/>
      <c r="F59" s="69" t="n"/>
      <c r="G59" s="70" t="n"/>
      <c r="H59" s="70" t="n"/>
      <c r="I59" s="71" t="n"/>
      <c r="J59" s="72">
        <f>IFERROR(IF($I59="","",($I59-TODAY())/365.25),"")</f>
        <v/>
      </c>
      <c r="K59" s="73" t="n"/>
      <c r="L59" s="74">
        <f>IFERROR(IF(OR($K59="",$F59=""),"",$K59/$F59),"")</f>
        <v/>
      </c>
      <c r="M59" s="73" t="n"/>
      <c r="N59" s="73">
        <f>IFERROR(IF(OR($M59="",$F59=""),"",$M59/$F59),"")</f>
        <v/>
      </c>
      <c r="O59" s="75">
        <f>IFERROR(IF(OR($K59="",$M59=""),"",$K59/$M59),"")</f>
        <v/>
      </c>
      <c r="P59" s="73" t="n"/>
      <c r="Q59" s="73">
        <f>IFERROR(IF(OR($P59="",$F59=""),"",$P59/$F59),"")</f>
        <v/>
      </c>
      <c r="R59" s="75">
        <f>IFERROR(IF(OR($K59="",$P59=""),"",$K59/$P59),"")</f>
        <v/>
      </c>
      <c r="S59" s="70">
        <f>IFERROR(IF(OR($P59="",$M59=""),"",IF($P59=$M59,"No","Yes")),"")</f>
        <v/>
      </c>
      <c r="T59" s="71" t="n"/>
      <c r="U59" s="69">
        <f>IFERROR(IF($T59="","",TODAY()-$T59),"")</f>
        <v/>
      </c>
      <c r="V59" s="67" t="n"/>
      <c r="W59" s="67" t="n"/>
      <c r="X59" s="68" t="n"/>
      <c r="Y59" s="67" t="n"/>
      <c r="Z59" s="67" t="n"/>
    </row>
    <row r="60" ht="15" customHeight="1" s="46">
      <c r="A60" s="60">
        <f>IFERROR(ROW()-5,"")</f>
        <v/>
      </c>
      <c r="B60" s="61" t="n"/>
      <c r="C60" s="61" t="n"/>
      <c r="D60" s="61" t="n"/>
      <c r="E60" s="61" t="n"/>
      <c r="F60" s="60" t="n"/>
      <c r="G60" s="61" t="n"/>
      <c r="H60" s="61" t="n"/>
      <c r="I60" s="62" t="n"/>
      <c r="J60" s="63">
        <f>IFERROR(IF($I60="","",($I60-TODAY())/365.25),"")</f>
        <v/>
      </c>
      <c r="K60" s="64" t="n"/>
      <c r="L60" s="65">
        <f>IFERROR(IF(OR($K60="",$F60=""),"",$K60/$F60),"")</f>
        <v/>
      </c>
      <c r="M60" s="64" t="n"/>
      <c r="N60" s="64">
        <f>IFERROR(IF(OR($M60="",$F60=""),"",$M60/$F60),"")</f>
        <v/>
      </c>
      <c r="O60" s="66">
        <f>IFERROR(IF(OR($K60="",$M60=""),"",$K60/$M60),"")</f>
        <v/>
      </c>
      <c r="P60" s="64" t="n"/>
      <c r="Q60" s="64">
        <f>IFERROR(IF(OR($P60="",$F60=""),"",$P60/$F60),"")</f>
        <v/>
      </c>
      <c r="R60" s="66">
        <f>IFERROR(IF(OR($K60="",$P60=""),"",$K60/$P60),"")</f>
        <v/>
      </c>
      <c r="S60" s="61">
        <f>IFERROR(IF(OR($P60="",$M60=""),"",IF($P60=$M60,"No","Yes")),"")</f>
        <v/>
      </c>
      <c r="T60" s="62" t="n"/>
      <c r="U60" s="60">
        <f>IFERROR(IF($T60="","",TODAY()-$T60),"")</f>
        <v/>
      </c>
      <c r="V60" s="67" t="n"/>
      <c r="W60" s="67" t="n"/>
      <c r="X60" s="68" t="n"/>
      <c r="Y60" s="67" t="n"/>
      <c r="Z60" s="67" t="n"/>
    </row>
    <row r="61" ht="15" customHeight="1" s="46">
      <c r="A61" s="69">
        <f>IFERROR(ROW()-5,"")</f>
        <v/>
      </c>
      <c r="B61" s="70" t="n"/>
      <c r="C61" s="70" t="n"/>
      <c r="D61" s="70" t="n"/>
      <c r="E61" s="70" t="n"/>
      <c r="F61" s="69" t="n"/>
      <c r="G61" s="70" t="n"/>
      <c r="H61" s="70" t="n"/>
      <c r="I61" s="71" t="n"/>
      <c r="J61" s="72">
        <f>IFERROR(IF($I61="","",($I61-TODAY())/365.25),"")</f>
        <v/>
      </c>
      <c r="K61" s="73" t="n"/>
      <c r="L61" s="74">
        <f>IFERROR(IF(OR($K61="",$F61=""),"",$K61/$F61),"")</f>
        <v/>
      </c>
      <c r="M61" s="73" t="n"/>
      <c r="N61" s="73">
        <f>IFERROR(IF(OR($M61="",$F61=""),"",$M61/$F61),"")</f>
        <v/>
      </c>
      <c r="O61" s="75">
        <f>IFERROR(IF(OR($K61="",$M61=""),"",$K61/$M61),"")</f>
        <v/>
      </c>
      <c r="P61" s="73" t="n"/>
      <c r="Q61" s="73">
        <f>IFERROR(IF(OR($P61="",$F61=""),"",$P61/$F61),"")</f>
        <v/>
      </c>
      <c r="R61" s="75">
        <f>IFERROR(IF(OR($K61="",$P61=""),"",$K61/$P61),"")</f>
        <v/>
      </c>
      <c r="S61" s="70">
        <f>IFERROR(IF(OR($P61="",$M61=""),"",IF($P61=$M61,"No","Yes")),"")</f>
        <v/>
      </c>
      <c r="T61" s="71" t="n"/>
      <c r="U61" s="69">
        <f>IFERROR(IF($T61="","",TODAY()-$T61),"")</f>
        <v/>
      </c>
      <c r="V61" s="67" t="n"/>
      <c r="W61" s="67" t="n"/>
      <c r="X61" s="68" t="n"/>
      <c r="Y61" s="67" t="n"/>
      <c r="Z61" s="67" t="n"/>
    </row>
    <row r="62" ht="15" customHeight="1" s="46">
      <c r="A62" s="60">
        <f>IFERROR(ROW()-5,"")</f>
        <v/>
      </c>
      <c r="B62" s="61" t="n"/>
      <c r="C62" s="61" t="n"/>
      <c r="D62" s="61" t="n"/>
      <c r="E62" s="61" t="n"/>
      <c r="F62" s="60" t="n"/>
      <c r="G62" s="61" t="n"/>
      <c r="H62" s="61" t="n"/>
      <c r="I62" s="62" t="n"/>
      <c r="J62" s="63">
        <f>IFERROR(IF($I62="","",($I62-TODAY())/365.25),"")</f>
        <v/>
      </c>
      <c r="K62" s="64" t="n"/>
      <c r="L62" s="65">
        <f>IFERROR(IF(OR($K62="",$F62=""),"",$K62/$F62),"")</f>
        <v/>
      </c>
      <c r="M62" s="64" t="n"/>
      <c r="N62" s="64">
        <f>IFERROR(IF(OR($M62="",$F62=""),"",$M62/$F62),"")</f>
        <v/>
      </c>
      <c r="O62" s="66">
        <f>IFERROR(IF(OR($K62="",$M62=""),"",$K62/$M62),"")</f>
        <v/>
      </c>
      <c r="P62" s="64" t="n"/>
      <c r="Q62" s="64">
        <f>IFERROR(IF(OR($P62="",$F62=""),"",$P62/$F62),"")</f>
        <v/>
      </c>
      <c r="R62" s="66">
        <f>IFERROR(IF(OR($K62="",$P62=""),"",$K62/$P62),"")</f>
        <v/>
      </c>
      <c r="S62" s="61">
        <f>IFERROR(IF(OR($P62="",$M62=""),"",IF($P62=$M62,"No","Yes")),"")</f>
        <v/>
      </c>
      <c r="T62" s="62" t="n"/>
      <c r="U62" s="60">
        <f>IFERROR(IF($T62="","",TODAY()-$T62),"")</f>
        <v/>
      </c>
      <c r="V62" s="67" t="n"/>
      <c r="W62" s="67" t="n"/>
      <c r="X62" s="68" t="n"/>
      <c r="Y62" s="67" t="n"/>
      <c r="Z62" s="67" t="n"/>
    </row>
    <row r="63" ht="15" customHeight="1" s="46">
      <c r="A63" s="69">
        <f>IFERROR(ROW()-5,"")</f>
        <v/>
      </c>
      <c r="B63" s="70" t="n"/>
      <c r="C63" s="70" t="n"/>
      <c r="D63" s="70" t="n"/>
      <c r="E63" s="70" t="n"/>
      <c r="F63" s="69" t="n"/>
      <c r="G63" s="70" t="n"/>
      <c r="H63" s="70" t="n"/>
      <c r="I63" s="71" t="n"/>
      <c r="J63" s="72">
        <f>IFERROR(IF($I63="","",($I63-TODAY())/365.25),"")</f>
        <v/>
      </c>
      <c r="K63" s="73" t="n"/>
      <c r="L63" s="74">
        <f>IFERROR(IF(OR($K63="",$F63=""),"",$K63/$F63),"")</f>
        <v/>
      </c>
      <c r="M63" s="73" t="n"/>
      <c r="N63" s="73">
        <f>IFERROR(IF(OR($M63="",$F63=""),"",$M63/$F63),"")</f>
        <v/>
      </c>
      <c r="O63" s="75">
        <f>IFERROR(IF(OR($K63="",$M63=""),"",$K63/$M63),"")</f>
        <v/>
      </c>
      <c r="P63" s="73" t="n"/>
      <c r="Q63" s="73">
        <f>IFERROR(IF(OR($P63="",$F63=""),"",$P63/$F63),"")</f>
        <v/>
      </c>
      <c r="R63" s="75">
        <f>IFERROR(IF(OR($K63="",$P63=""),"",$K63/$P63),"")</f>
        <v/>
      </c>
      <c r="S63" s="70">
        <f>IFERROR(IF(OR($P63="",$M63=""),"",IF($P63=$M63,"No","Yes")),"")</f>
        <v/>
      </c>
      <c r="T63" s="71" t="n"/>
      <c r="U63" s="69">
        <f>IFERROR(IF($T63="","",TODAY()-$T63),"")</f>
        <v/>
      </c>
      <c r="V63" s="67" t="n"/>
      <c r="W63" s="67" t="n"/>
      <c r="X63" s="68" t="n"/>
      <c r="Y63" s="67" t="n"/>
      <c r="Z63" s="67" t="n"/>
    </row>
    <row r="64" ht="15" customHeight="1" s="46">
      <c r="A64" s="60">
        <f>IFERROR(ROW()-5,"")</f>
        <v/>
      </c>
      <c r="B64" s="61" t="n"/>
      <c r="C64" s="61" t="n"/>
      <c r="D64" s="61" t="n"/>
      <c r="E64" s="61" t="n"/>
      <c r="F64" s="60" t="n"/>
      <c r="G64" s="61" t="n"/>
      <c r="H64" s="61" t="n"/>
      <c r="I64" s="62" t="n"/>
      <c r="J64" s="63">
        <f>IFERROR(IF($I64="","",($I64-TODAY())/365.25),"")</f>
        <v/>
      </c>
      <c r="K64" s="64" t="n"/>
      <c r="L64" s="65">
        <f>IFERROR(IF(OR($K64="",$F64=""),"",$K64/$F64),"")</f>
        <v/>
      </c>
      <c r="M64" s="64" t="n"/>
      <c r="N64" s="64">
        <f>IFERROR(IF(OR($M64="",$F64=""),"",$M64/$F64),"")</f>
        <v/>
      </c>
      <c r="O64" s="66">
        <f>IFERROR(IF(OR($K64="",$M64=""),"",$K64/$M64),"")</f>
        <v/>
      </c>
      <c r="P64" s="64" t="n"/>
      <c r="Q64" s="64">
        <f>IFERROR(IF(OR($P64="",$F64=""),"",$P64/$F64),"")</f>
        <v/>
      </c>
      <c r="R64" s="66">
        <f>IFERROR(IF(OR($K64="",$P64=""),"",$K64/$P64),"")</f>
        <v/>
      </c>
      <c r="S64" s="61">
        <f>IFERROR(IF(OR($P64="",$M64=""),"",IF($P64=$M64,"No","Yes")),"")</f>
        <v/>
      </c>
      <c r="T64" s="62" t="n"/>
      <c r="U64" s="60">
        <f>IFERROR(IF($T64="","",TODAY()-$T64),"")</f>
        <v/>
      </c>
      <c r="V64" s="67" t="n"/>
      <c r="W64" s="67" t="n"/>
      <c r="X64" s="68" t="n"/>
      <c r="Y64" s="67" t="n"/>
      <c r="Z64" s="67" t="n"/>
    </row>
    <row r="65" ht="15" customHeight="1" s="46">
      <c r="A65" s="69">
        <f>IFERROR(ROW()-5,"")</f>
        <v/>
      </c>
      <c r="B65" s="70" t="n"/>
      <c r="C65" s="70" t="n"/>
      <c r="D65" s="70" t="n"/>
      <c r="E65" s="70" t="n"/>
      <c r="F65" s="69" t="n"/>
      <c r="G65" s="70" t="n"/>
      <c r="H65" s="70" t="n"/>
      <c r="I65" s="71" t="n"/>
      <c r="J65" s="72">
        <f>IFERROR(IF($I65="","",($I65-TODAY())/365.25),"")</f>
        <v/>
      </c>
      <c r="K65" s="73" t="n"/>
      <c r="L65" s="74">
        <f>IFERROR(IF(OR($K65="",$F65=""),"",$K65/$F65),"")</f>
        <v/>
      </c>
      <c r="M65" s="73" t="n"/>
      <c r="N65" s="73">
        <f>IFERROR(IF(OR($M65="",$F65=""),"",$M65/$F65),"")</f>
        <v/>
      </c>
      <c r="O65" s="75">
        <f>IFERROR(IF(OR($K65="",$M65=""),"",$K65/$M65),"")</f>
        <v/>
      </c>
      <c r="P65" s="73" t="n"/>
      <c r="Q65" s="73">
        <f>IFERROR(IF(OR($P65="",$F65=""),"",$P65/$F65),"")</f>
        <v/>
      </c>
      <c r="R65" s="75">
        <f>IFERROR(IF(OR($K65="",$P65=""),"",$K65/$P65),"")</f>
        <v/>
      </c>
      <c r="S65" s="70">
        <f>IFERROR(IF(OR($P65="",$M65=""),"",IF($P65=$M65,"No","Yes")),"")</f>
        <v/>
      </c>
      <c r="T65" s="71" t="n"/>
      <c r="U65" s="69">
        <f>IFERROR(IF($T65="","",TODAY()-$T65),"")</f>
        <v/>
      </c>
      <c r="V65" s="67" t="n"/>
      <c r="W65" s="67" t="n"/>
      <c r="X65" s="68" t="n"/>
      <c r="Y65" s="67" t="n"/>
      <c r="Z65" s="67" t="n"/>
    </row>
    <row r="66" ht="15" customHeight="1" s="46">
      <c r="A66" s="60">
        <f>IFERROR(ROW()-5,"")</f>
        <v/>
      </c>
      <c r="B66" s="61" t="n"/>
      <c r="C66" s="61" t="n"/>
      <c r="D66" s="61" t="n"/>
      <c r="E66" s="61" t="n"/>
      <c r="F66" s="60" t="n"/>
      <c r="G66" s="61" t="n"/>
      <c r="H66" s="61" t="n"/>
      <c r="I66" s="62" t="n"/>
      <c r="J66" s="63">
        <f>IFERROR(IF($I66="","",($I66-TODAY())/365.25),"")</f>
        <v/>
      </c>
      <c r="K66" s="64" t="n"/>
      <c r="L66" s="65">
        <f>IFERROR(IF(OR($K66="",$F66=""),"",$K66/$F66),"")</f>
        <v/>
      </c>
      <c r="M66" s="64" t="n"/>
      <c r="N66" s="64">
        <f>IFERROR(IF(OR($M66="",$F66=""),"",$M66/$F66),"")</f>
        <v/>
      </c>
      <c r="O66" s="66">
        <f>IFERROR(IF(OR($K66="",$M66=""),"",$K66/$M66),"")</f>
        <v/>
      </c>
      <c r="P66" s="64" t="n"/>
      <c r="Q66" s="64">
        <f>IFERROR(IF(OR($P66="",$F66=""),"",$P66/$F66),"")</f>
        <v/>
      </c>
      <c r="R66" s="66">
        <f>IFERROR(IF(OR($K66="",$P66=""),"",$K66/$P66),"")</f>
        <v/>
      </c>
      <c r="S66" s="61">
        <f>IFERROR(IF(OR($P66="",$M66=""),"",IF($P66=$M66,"No","Yes")),"")</f>
        <v/>
      </c>
      <c r="T66" s="62" t="n"/>
      <c r="U66" s="60">
        <f>IFERROR(IF($T66="","",TODAY()-$T66),"")</f>
        <v/>
      </c>
      <c r="V66" s="67" t="n"/>
      <c r="W66" s="67" t="n"/>
      <c r="X66" s="68" t="n"/>
      <c r="Y66" s="67" t="n"/>
      <c r="Z66" s="67" t="n"/>
    </row>
    <row r="67" ht="15" customHeight="1" s="46">
      <c r="A67" s="69">
        <f>IFERROR(ROW()-5,"")</f>
        <v/>
      </c>
      <c r="B67" s="70" t="n"/>
      <c r="C67" s="70" t="n"/>
      <c r="D67" s="70" t="n"/>
      <c r="E67" s="70" t="n"/>
      <c r="F67" s="69" t="n"/>
      <c r="G67" s="70" t="n"/>
      <c r="H67" s="70" t="n"/>
      <c r="I67" s="71" t="n"/>
      <c r="J67" s="72">
        <f>IFERROR(IF($I67="","",($I67-TODAY())/365.25),"")</f>
        <v/>
      </c>
      <c r="K67" s="73" t="n"/>
      <c r="L67" s="74">
        <f>IFERROR(IF(OR($K67="",$F67=""),"",$K67/$F67),"")</f>
        <v/>
      </c>
      <c r="M67" s="73" t="n"/>
      <c r="N67" s="73">
        <f>IFERROR(IF(OR($M67="",$F67=""),"",$M67/$F67),"")</f>
        <v/>
      </c>
      <c r="O67" s="75">
        <f>IFERROR(IF(OR($K67="",$M67=""),"",$K67/$M67),"")</f>
        <v/>
      </c>
      <c r="P67" s="73" t="n"/>
      <c r="Q67" s="73">
        <f>IFERROR(IF(OR($P67="",$F67=""),"",$P67/$F67),"")</f>
        <v/>
      </c>
      <c r="R67" s="75">
        <f>IFERROR(IF(OR($K67="",$P67=""),"",$K67/$P67),"")</f>
        <v/>
      </c>
      <c r="S67" s="70">
        <f>IFERROR(IF(OR($P67="",$M67=""),"",IF($P67=$M67,"No","Yes")),"")</f>
        <v/>
      </c>
      <c r="T67" s="71" t="n"/>
      <c r="U67" s="69">
        <f>IFERROR(IF($T67="","",TODAY()-$T67),"")</f>
        <v/>
      </c>
      <c r="V67" s="67" t="n"/>
      <c r="W67" s="67" t="n"/>
      <c r="X67" s="68" t="n"/>
      <c r="Y67" s="67" t="n"/>
      <c r="Z67" s="67" t="n"/>
    </row>
    <row r="68" ht="15" customHeight="1" s="46">
      <c r="A68" s="60">
        <f>IFERROR(ROW()-5,"")</f>
        <v/>
      </c>
      <c r="B68" s="61" t="n"/>
      <c r="C68" s="61" t="n"/>
      <c r="D68" s="61" t="n"/>
      <c r="E68" s="61" t="n"/>
      <c r="F68" s="60" t="n"/>
      <c r="G68" s="61" t="n"/>
      <c r="H68" s="61" t="n"/>
      <c r="I68" s="62" t="n"/>
      <c r="J68" s="63">
        <f>IFERROR(IF($I68="","",($I68-TODAY())/365.25),"")</f>
        <v/>
      </c>
      <c r="K68" s="64" t="n"/>
      <c r="L68" s="65">
        <f>IFERROR(IF(OR($K68="",$F68=""),"",$K68/$F68),"")</f>
        <v/>
      </c>
      <c r="M68" s="64" t="n"/>
      <c r="N68" s="64">
        <f>IFERROR(IF(OR($M68="",$F68=""),"",$M68/$F68),"")</f>
        <v/>
      </c>
      <c r="O68" s="66">
        <f>IFERROR(IF(OR($K68="",$M68=""),"",$K68/$M68),"")</f>
        <v/>
      </c>
      <c r="P68" s="64" t="n"/>
      <c r="Q68" s="64">
        <f>IFERROR(IF(OR($P68="",$F68=""),"",$P68/$F68),"")</f>
        <v/>
      </c>
      <c r="R68" s="66">
        <f>IFERROR(IF(OR($K68="",$P68=""),"",$K68/$P68),"")</f>
        <v/>
      </c>
      <c r="S68" s="61">
        <f>IFERROR(IF(OR($P68="",$M68=""),"",IF($P68=$M68,"No","Yes")),"")</f>
        <v/>
      </c>
      <c r="T68" s="62" t="n"/>
      <c r="U68" s="60">
        <f>IFERROR(IF($T68="","",TODAY()-$T68),"")</f>
        <v/>
      </c>
      <c r="V68" s="67" t="n"/>
      <c r="W68" s="67" t="n"/>
      <c r="X68" s="68" t="n"/>
      <c r="Y68" s="67" t="n"/>
      <c r="Z68" s="67" t="n"/>
    </row>
    <row r="69" ht="15" customHeight="1" s="46">
      <c r="A69" s="69">
        <f>IFERROR(ROW()-5,"")</f>
        <v/>
      </c>
      <c r="B69" s="70" t="n"/>
      <c r="C69" s="70" t="n"/>
      <c r="D69" s="70" t="n"/>
      <c r="E69" s="70" t="n"/>
      <c r="F69" s="69" t="n"/>
      <c r="G69" s="70" t="n"/>
      <c r="H69" s="70" t="n"/>
      <c r="I69" s="71" t="n"/>
      <c r="J69" s="72">
        <f>IFERROR(IF($I69="","",($I69-TODAY())/365.25),"")</f>
        <v/>
      </c>
      <c r="K69" s="73" t="n"/>
      <c r="L69" s="74">
        <f>IFERROR(IF(OR($K69="",$F69=""),"",$K69/$F69),"")</f>
        <v/>
      </c>
      <c r="M69" s="73" t="n"/>
      <c r="N69" s="73">
        <f>IFERROR(IF(OR($M69="",$F69=""),"",$M69/$F69),"")</f>
        <v/>
      </c>
      <c r="O69" s="75">
        <f>IFERROR(IF(OR($K69="",$M69=""),"",$K69/$M69),"")</f>
        <v/>
      </c>
      <c r="P69" s="73" t="n"/>
      <c r="Q69" s="73">
        <f>IFERROR(IF(OR($P69="",$F69=""),"",$P69/$F69),"")</f>
        <v/>
      </c>
      <c r="R69" s="75">
        <f>IFERROR(IF(OR($K69="",$P69=""),"",$K69/$P69),"")</f>
        <v/>
      </c>
      <c r="S69" s="70">
        <f>IFERROR(IF(OR($P69="",$M69=""),"",IF($P69=$M69,"No","Yes")),"")</f>
        <v/>
      </c>
      <c r="T69" s="71" t="n"/>
      <c r="U69" s="69">
        <f>IFERROR(IF($T69="","",TODAY()-$T69),"")</f>
        <v/>
      </c>
      <c r="V69" s="67" t="n"/>
      <c r="W69" s="67" t="n"/>
      <c r="X69" s="68" t="n"/>
      <c r="Y69" s="67" t="n"/>
      <c r="Z69" s="67" t="n"/>
    </row>
    <row r="70" ht="15" customHeight="1" s="46">
      <c r="A70" s="60">
        <f>IFERROR(ROW()-5,"")</f>
        <v/>
      </c>
      <c r="B70" s="61" t="n"/>
      <c r="C70" s="61" t="n"/>
      <c r="D70" s="61" t="n"/>
      <c r="E70" s="61" t="n"/>
      <c r="F70" s="60" t="n"/>
      <c r="G70" s="61" t="n"/>
      <c r="H70" s="61" t="n"/>
      <c r="I70" s="62" t="n"/>
      <c r="J70" s="63">
        <f>IFERROR(IF($I70="","",($I70-TODAY())/365.25),"")</f>
        <v/>
      </c>
      <c r="K70" s="64" t="n"/>
      <c r="L70" s="65">
        <f>IFERROR(IF(OR($K70="",$F70=""),"",$K70/$F70),"")</f>
        <v/>
      </c>
      <c r="M70" s="64" t="n"/>
      <c r="N70" s="64">
        <f>IFERROR(IF(OR($M70="",$F70=""),"",$M70/$F70),"")</f>
        <v/>
      </c>
      <c r="O70" s="66">
        <f>IFERROR(IF(OR($K70="",$M70=""),"",$K70/$M70),"")</f>
        <v/>
      </c>
      <c r="P70" s="64" t="n"/>
      <c r="Q70" s="64">
        <f>IFERROR(IF(OR($P70="",$F70=""),"",$P70/$F70),"")</f>
        <v/>
      </c>
      <c r="R70" s="66">
        <f>IFERROR(IF(OR($K70="",$P70=""),"",$K70/$P70),"")</f>
        <v/>
      </c>
      <c r="S70" s="61">
        <f>IFERROR(IF(OR($P70="",$M70=""),"",IF($P70=$M70,"No","Yes")),"")</f>
        <v/>
      </c>
      <c r="T70" s="62" t="n"/>
      <c r="U70" s="60">
        <f>IFERROR(IF($T70="","",TODAY()-$T70),"")</f>
        <v/>
      </c>
      <c r="V70" s="67" t="n"/>
      <c r="W70" s="67" t="n"/>
      <c r="X70" s="68" t="n"/>
      <c r="Y70" s="67" t="n"/>
      <c r="Z70" s="67" t="n"/>
    </row>
    <row r="71" ht="15" customHeight="1" s="46">
      <c r="A71" s="69">
        <f>IFERROR(ROW()-5,"")</f>
        <v/>
      </c>
      <c r="B71" s="70" t="n"/>
      <c r="C71" s="70" t="n"/>
      <c r="D71" s="70" t="n"/>
      <c r="E71" s="70" t="n"/>
      <c r="F71" s="69" t="n"/>
      <c r="G71" s="70" t="n"/>
      <c r="H71" s="70" t="n"/>
      <c r="I71" s="71" t="n"/>
      <c r="J71" s="72">
        <f>IFERROR(IF($I71="","",($I71-TODAY())/365.25),"")</f>
        <v/>
      </c>
      <c r="K71" s="73" t="n"/>
      <c r="L71" s="74">
        <f>IFERROR(IF(OR($K71="",$F71=""),"",$K71/$F71),"")</f>
        <v/>
      </c>
      <c r="M71" s="73" t="n"/>
      <c r="N71" s="73">
        <f>IFERROR(IF(OR($M71="",$F71=""),"",$M71/$F71),"")</f>
        <v/>
      </c>
      <c r="O71" s="75">
        <f>IFERROR(IF(OR($K71="",$M71=""),"",$K71/$M71),"")</f>
        <v/>
      </c>
      <c r="P71" s="73" t="n"/>
      <c r="Q71" s="73">
        <f>IFERROR(IF(OR($P71="",$F71=""),"",$P71/$F71),"")</f>
        <v/>
      </c>
      <c r="R71" s="75">
        <f>IFERROR(IF(OR($K71="",$P71=""),"",$K71/$P71),"")</f>
        <v/>
      </c>
      <c r="S71" s="70">
        <f>IFERROR(IF(OR($P71="",$M71=""),"",IF($P71=$M71,"No","Yes")),"")</f>
        <v/>
      </c>
      <c r="T71" s="71" t="n"/>
      <c r="U71" s="69">
        <f>IFERROR(IF($T71="","",TODAY()-$T71),"")</f>
        <v/>
      </c>
      <c r="V71" s="67" t="n"/>
      <c r="W71" s="67" t="n"/>
      <c r="X71" s="68" t="n"/>
      <c r="Y71" s="67" t="n"/>
      <c r="Z71" s="67" t="n"/>
    </row>
    <row r="72" ht="15" customHeight="1" s="46">
      <c r="A72" s="60">
        <f>IFERROR(ROW()-5,"")</f>
        <v/>
      </c>
      <c r="B72" s="61" t="n"/>
      <c r="C72" s="61" t="n"/>
      <c r="D72" s="61" t="n"/>
      <c r="E72" s="61" t="n"/>
      <c r="F72" s="60" t="n"/>
      <c r="G72" s="61" t="n"/>
      <c r="H72" s="61" t="n"/>
      <c r="I72" s="62" t="n"/>
      <c r="J72" s="63">
        <f>IFERROR(IF($I72="","",($I72-TODAY())/365.25),"")</f>
        <v/>
      </c>
      <c r="K72" s="64" t="n"/>
      <c r="L72" s="65">
        <f>IFERROR(IF(OR($K72="",$F72=""),"",$K72/$F72),"")</f>
        <v/>
      </c>
      <c r="M72" s="64" t="n"/>
      <c r="N72" s="64">
        <f>IFERROR(IF(OR($M72="",$F72=""),"",$M72/$F72),"")</f>
        <v/>
      </c>
      <c r="O72" s="66">
        <f>IFERROR(IF(OR($K72="",$M72=""),"",$K72/$M72),"")</f>
        <v/>
      </c>
      <c r="P72" s="64" t="n"/>
      <c r="Q72" s="64">
        <f>IFERROR(IF(OR($P72="",$F72=""),"",$P72/$F72),"")</f>
        <v/>
      </c>
      <c r="R72" s="66">
        <f>IFERROR(IF(OR($K72="",$P72=""),"",$K72/$P72),"")</f>
        <v/>
      </c>
      <c r="S72" s="61">
        <f>IFERROR(IF(OR($P72="",$M72=""),"",IF($P72=$M72,"No","Yes")),"")</f>
        <v/>
      </c>
      <c r="T72" s="62" t="n"/>
      <c r="U72" s="60">
        <f>IFERROR(IF($T72="","",TODAY()-$T72),"")</f>
        <v/>
      </c>
      <c r="V72" s="67" t="n"/>
      <c r="W72" s="67" t="n"/>
      <c r="X72" s="68" t="n"/>
      <c r="Y72" s="67" t="n"/>
      <c r="Z72" s="67" t="n"/>
    </row>
    <row r="73" ht="15" customHeight="1" s="46">
      <c r="A73" s="69">
        <f>IFERROR(ROW()-5,"")</f>
        <v/>
      </c>
      <c r="B73" s="70" t="n"/>
      <c r="C73" s="70" t="n"/>
      <c r="D73" s="70" t="n"/>
      <c r="E73" s="70" t="n"/>
      <c r="F73" s="69" t="n"/>
      <c r="G73" s="70" t="n"/>
      <c r="H73" s="70" t="n"/>
      <c r="I73" s="71" t="n"/>
      <c r="J73" s="72">
        <f>IFERROR(IF($I73="","",($I73-TODAY())/365.25),"")</f>
        <v/>
      </c>
      <c r="K73" s="73" t="n"/>
      <c r="L73" s="74">
        <f>IFERROR(IF(OR($K73="",$F73=""),"",$K73/$F73),"")</f>
        <v/>
      </c>
      <c r="M73" s="73" t="n"/>
      <c r="N73" s="73">
        <f>IFERROR(IF(OR($M73="",$F73=""),"",$M73/$F73),"")</f>
        <v/>
      </c>
      <c r="O73" s="75">
        <f>IFERROR(IF(OR($K73="",$M73=""),"",$K73/$M73),"")</f>
        <v/>
      </c>
      <c r="P73" s="73" t="n"/>
      <c r="Q73" s="73">
        <f>IFERROR(IF(OR($P73="",$F73=""),"",$P73/$F73),"")</f>
        <v/>
      </c>
      <c r="R73" s="75">
        <f>IFERROR(IF(OR($K73="",$P73=""),"",$K73/$P73),"")</f>
        <v/>
      </c>
      <c r="S73" s="70">
        <f>IFERROR(IF(OR($P73="",$M73=""),"",IF($P73=$M73,"No","Yes")),"")</f>
        <v/>
      </c>
      <c r="T73" s="71" t="n"/>
      <c r="U73" s="69">
        <f>IFERROR(IF($T73="","",TODAY()-$T73),"")</f>
        <v/>
      </c>
      <c r="V73" s="67" t="n"/>
      <c r="W73" s="67" t="n"/>
      <c r="X73" s="68" t="n"/>
      <c r="Y73" s="67" t="n"/>
      <c r="Z73" s="67" t="n"/>
    </row>
    <row r="74" ht="15" customHeight="1" s="46">
      <c r="A74" s="60">
        <f>IFERROR(ROW()-5,"")</f>
        <v/>
      </c>
      <c r="B74" s="61" t="n"/>
      <c r="C74" s="61" t="n"/>
      <c r="D74" s="61" t="n"/>
      <c r="E74" s="61" t="n"/>
      <c r="F74" s="60" t="n"/>
      <c r="G74" s="61" t="n"/>
      <c r="H74" s="61" t="n"/>
      <c r="I74" s="62" t="n"/>
      <c r="J74" s="63">
        <f>IFERROR(IF($I74="","",($I74-TODAY())/365.25),"")</f>
        <v/>
      </c>
      <c r="K74" s="64" t="n"/>
      <c r="L74" s="65">
        <f>IFERROR(IF(OR($K74="",$F74=""),"",$K74/$F74),"")</f>
        <v/>
      </c>
      <c r="M74" s="64" t="n"/>
      <c r="N74" s="64">
        <f>IFERROR(IF(OR($M74="",$F74=""),"",$M74/$F74),"")</f>
        <v/>
      </c>
      <c r="O74" s="66">
        <f>IFERROR(IF(OR($K74="",$M74=""),"",$K74/$M74),"")</f>
        <v/>
      </c>
      <c r="P74" s="64" t="n"/>
      <c r="Q74" s="64">
        <f>IFERROR(IF(OR($P74="",$F74=""),"",$P74/$F74),"")</f>
        <v/>
      </c>
      <c r="R74" s="66">
        <f>IFERROR(IF(OR($K74="",$P74=""),"",$K74/$P74),"")</f>
        <v/>
      </c>
      <c r="S74" s="61">
        <f>IFERROR(IF(OR($P74="",$M74=""),"",IF($P74=$M74,"No","Yes")),"")</f>
        <v/>
      </c>
      <c r="T74" s="62" t="n"/>
      <c r="U74" s="60">
        <f>IFERROR(IF($T74="","",TODAY()-$T74),"")</f>
        <v/>
      </c>
      <c r="V74" s="67" t="n"/>
      <c r="W74" s="67" t="n"/>
      <c r="X74" s="68" t="n"/>
      <c r="Y74" s="67" t="n"/>
      <c r="Z74" s="67" t="n"/>
    </row>
    <row r="75" ht="15" customHeight="1" s="46">
      <c r="A75" s="69">
        <f>IFERROR(ROW()-5,"")</f>
        <v/>
      </c>
      <c r="B75" s="70" t="n"/>
      <c r="C75" s="70" t="n"/>
      <c r="D75" s="70" t="n"/>
      <c r="E75" s="70" t="n"/>
      <c r="F75" s="69" t="n"/>
      <c r="G75" s="70" t="n"/>
      <c r="H75" s="70" t="n"/>
      <c r="I75" s="71" t="n"/>
      <c r="J75" s="72">
        <f>IFERROR(IF($I75="","",($I75-TODAY())/365.25),"")</f>
        <v/>
      </c>
      <c r="K75" s="73" t="n"/>
      <c r="L75" s="74">
        <f>IFERROR(IF(OR($K75="",$F75=""),"",$K75/$F75),"")</f>
        <v/>
      </c>
      <c r="M75" s="73" t="n"/>
      <c r="N75" s="73">
        <f>IFERROR(IF(OR($M75="",$F75=""),"",$M75/$F75),"")</f>
        <v/>
      </c>
      <c r="O75" s="75">
        <f>IFERROR(IF(OR($K75="",$M75=""),"",$K75/$M75),"")</f>
        <v/>
      </c>
      <c r="P75" s="73" t="n"/>
      <c r="Q75" s="73">
        <f>IFERROR(IF(OR($P75="",$F75=""),"",$P75/$F75),"")</f>
        <v/>
      </c>
      <c r="R75" s="75">
        <f>IFERROR(IF(OR($K75="",$P75=""),"",$K75/$P75),"")</f>
        <v/>
      </c>
      <c r="S75" s="70">
        <f>IFERROR(IF(OR($P75="",$M75=""),"",IF($P75=$M75,"No","Yes")),"")</f>
        <v/>
      </c>
      <c r="T75" s="71" t="n"/>
      <c r="U75" s="69">
        <f>IFERROR(IF($T75="","",TODAY()-$T75),"")</f>
        <v/>
      </c>
      <c r="V75" s="67" t="n"/>
      <c r="W75" s="67" t="n"/>
      <c r="X75" s="68" t="n"/>
      <c r="Y75" s="67" t="n"/>
      <c r="Z75" s="67" t="n"/>
    </row>
    <row r="76" ht="15" customHeight="1" s="46">
      <c r="A76" s="60">
        <f>IFERROR(ROW()-5,"")</f>
        <v/>
      </c>
      <c r="B76" s="61" t="n"/>
      <c r="C76" s="61" t="n"/>
      <c r="D76" s="61" t="n"/>
      <c r="E76" s="61" t="n"/>
      <c r="F76" s="60" t="n"/>
      <c r="G76" s="61" t="n"/>
      <c r="H76" s="61" t="n"/>
      <c r="I76" s="62" t="n"/>
      <c r="J76" s="63">
        <f>IFERROR(IF($I76="","",($I76-TODAY())/365.25),"")</f>
        <v/>
      </c>
      <c r="K76" s="64" t="n"/>
      <c r="L76" s="65">
        <f>IFERROR(IF(OR($K76="",$F76=""),"",$K76/$F76),"")</f>
        <v/>
      </c>
      <c r="M76" s="64" t="n"/>
      <c r="N76" s="64">
        <f>IFERROR(IF(OR($M76="",$F76=""),"",$M76/$F76),"")</f>
        <v/>
      </c>
      <c r="O76" s="66">
        <f>IFERROR(IF(OR($K76="",$M76=""),"",$K76/$M76),"")</f>
        <v/>
      </c>
      <c r="P76" s="64" t="n"/>
      <c r="Q76" s="64">
        <f>IFERROR(IF(OR($P76="",$F76=""),"",$P76/$F76),"")</f>
        <v/>
      </c>
      <c r="R76" s="66">
        <f>IFERROR(IF(OR($K76="",$P76=""),"",$K76/$P76),"")</f>
        <v/>
      </c>
      <c r="S76" s="61">
        <f>IFERROR(IF(OR($P76="",$M76=""),"",IF($P76=$M76,"No","Yes")),"")</f>
        <v/>
      </c>
      <c r="T76" s="62" t="n"/>
      <c r="U76" s="60">
        <f>IFERROR(IF($T76="","",TODAY()-$T76),"")</f>
        <v/>
      </c>
      <c r="V76" s="67" t="n"/>
      <c r="W76" s="67" t="n"/>
      <c r="X76" s="68" t="n"/>
      <c r="Y76" s="67" t="n"/>
      <c r="Z76" s="67" t="n"/>
    </row>
    <row r="77" ht="15" customHeight="1" s="46">
      <c r="A77" s="69">
        <f>IFERROR(ROW()-5,"")</f>
        <v/>
      </c>
      <c r="B77" s="70" t="n"/>
      <c r="C77" s="70" t="n"/>
      <c r="D77" s="70" t="n"/>
      <c r="E77" s="70" t="n"/>
      <c r="F77" s="69" t="n"/>
      <c r="G77" s="70" t="n"/>
      <c r="H77" s="70" t="n"/>
      <c r="I77" s="71" t="n"/>
      <c r="J77" s="72">
        <f>IFERROR(IF($I77="","",($I77-TODAY())/365.25),"")</f>
        <v/>
      </c>
      <c r="K77" s="73" t="n"/>
      <c r="L77" s="74">
        <f>IFERROR(IF(OR($K77="",$F77=""),"",$K77/$F77),"")</f>
        <v/>
      </c>
      <c r="M77" s="73" t="n"/>
      <c r="N77" s="73">
        <f>IFERROR(IF(OR($M77="",$F77=""),"",$M77/$F77),"")</f>
        <v/>
      </c>
      <c r="O77" s="75">
        <f>IFERROR(IF(OR($K77="",$M77=""),"",$K77/$M77),"")</f>
        <v/>
      </c>
      <c r="P77" s="73" t="n"/>
      <c r="Q77" s="73">
        <f>IFERROR(IF(OR($P77="",$F77=""),"",$P77/$F77),"")</f>
        <v/>
      </c>
      <c r="R77" s="75">
        <f>IFERROR(IF(OR($K77="",$P77=""),"",$K77/$P77),"")</f>
        <v/>
      </c>
      <c r="S77" s="70">
        <f>IFERROR(IF(OR($P77="",$M77=""),"",IF($P77=$M77,"No","Yes")),"")</f>
        <v/>
      </c>
      <c r="T77" s="71" t="n"/>
      <c r="U77" s="69">
        <f>IFERROR(IF($T77="","",TODAY()-$T77),"")</f>
        <v/>
      </c>
      <c r="V77" s="67" t="n"/>
      <c r="W77" s="67" t="n"/>
      <c r="X77" s="68" t="n"/>
      <c r="Y77" s="67" t="n"/>
      <c r="Z77" s="67" t="n"/>
    </row>
    <row r="78" ht="15" customHeight="1" s="46">
      <c r="A78" s="60">
        <f>IFERROR(ROW()-5,"")</f>
        <v/>
      </c>
      <c r="B78" s="61" t="n"/>
      <c r="C78" s="61" t="n"/>
      <c r="D78" s="61" t="n"/>
      <c r="E78" s="61" t="n"/>
      <c r="F78" s="60" t="n"/>
      <c r="G78" s="61" t="n"/>
      <c r="H78" s="61" t="n"/>
      <c r="I78" s="62" t="n"/>
      <c r="J78" s="63">
        <f>IFERROR(IF($I78="","",($I78-TODAY())/365.25),"")</f>
        <v/>
      </c>
      <c r="K78" s="64" t="n"/>
      <c r="L78" s="65">
        <f>IFERROR(IF(OR($K78="",$F78=""),"",$K78/$F78),"")</f>
        <v/>
      </c>
      <c r="M78" s="64" t="n"/>
      <c r="N78" s="64">
        <f>IFERROR(IF(OR($M78="",$F78=""),"",$M78/$F78),"")</f>
        <v/>
      </c>
      <c r="O78" s="66">
        <f>IFERROR(IF(OR($K78="",$M78=""),"",$K78/$M78),"")</f>
        <v/>
      </c>
      <c r="P78" s="64" t="n"/>
      <c r="Q78" s="64">
        <f>IFERROR(IF(OR($P78="",$F78=""),"",$P78/$F78),"")</f>
        <v/>
      </c>
      <c r="R78" s="66">
        <f>IFERROR(IF(OR($K78="",$P78=""),"",$K78/$P78),"")</f>
        <v/>
      </c>
      <c r="S78" s="61">
        <f>IFERROR(IF(OR($P78="",$M78=""),"",IF($P78=$M78,"No","Yes")),"")</f>
        <v/>
      </c>
      <c r="T78" s="62" t="n"/>
      <c r="U78" s="60">
        <f>IFERROR(IF($T78="","",TODAY()-$T78),"")</f>
        <v/>
      </c>
      <c r="V78" s="67" t="n"/>
      <c r="W78" s="67" t="n"/>
      <c r="X78" s="68" t="n"/>
      <c r="Y78" s="67" t="n"/>
      <c r="Z78" s="67" t="n"/>
    </row>
    <row r="79" ht="15" customHeight="1" s="46">
      <c r="A79" s="69">
        <f>IFERROR(ROW()-5,"")</f>
        <v/>
      </c>
      <c r="B79" s="70" t="n"/>
      <c r="C79" s="70" t="n"/>
      <c r="D79" s="70" t="n"/>
      <c r="E79" s="70" t="n"/>
      <c r="F79" s="69" t="n"/>
      <c r="G79" s="70" t="n"/>
      <c r="H79" s="70" t="n"/>
      <c r="I79" s="71" t="n"/>
      <c r="J79" s="72">
        <f>IFERROR(IF($I79="","",($I79-TODAY())/365.25),"")</f>
        <v/>
      </c>
      <c r="K79" s="73" t="n"/>
      <c r="L79" s="74">
        <f>IFERROR(IF(OR($K79="",$F79=""),"",$K79/$F79),"")</f>
        <v/>
      </c>
      <c r="M79" s="73" t="n"/>
      <c r="N79" s="73">
        <f>IFERROR(IF(OR($M79="",$F79=""),"",$M79/$F79),"")</f>
        <v/>
      </c>
      <c r="O79" s="75">
        <f>IFERROR(IF(OR($K79="",$M79=""),"",$K79/$M79),"")</f>
        <v/>
      </c>
      <c r="P79" s="73" t="n"/>
      <c r="Q79" s="73">
        <f>IFERROR(IF(OR($P79="",$F79=""),"",$P79/$F79),"")</f>
        <v/>
      </c>
      <c r="R79" s="75">
        <f>IFERROR(IF(OR($K79="",$P79=""),"",$K79/$P79),"")</f>
        <v/>
      </c>
      <c r="S79" s="70">
        <f>IFERROR(IF(OR($P79="",$M79=""),"",IF($P79=$M79,"No","Yes")),"")</f>
        <v/>
      </c>
      <c r="T79" s="71" t="n"/>
      <c r="U79" s="69">
        <f>IFERROR(IF($T79="","",TODAY()-$T79),"")</f>
        <v/>
      </c>
      <c r="V79" s="67" t="n"/>
      <c r="W79" s="67" t="n"/>
      <c r="X79" s="68" t="n"/>
      <c r="Y79" s="67" t="n"/>
      <c r="Z79" s="67" t="n"/>
    </row>
    <row r="80" ht="15" customHeight="1" s="46">
      <c r="A80" s="60">
        <f>IFERROR(ROW()-5,"")</f>
        <v/>
      </c>
      <c r="B80" s="61" t="n"/>
      <c r="C80" s="61" t="n"/>
      <c r="D80" s="61" t="n"/>
      <c r="E80" s="61" t="n"/>
      <c r="F80" s="60" t="n"/>
      <c r="G80" s="61" t="n"/>
      <c r="H80" s="61" t="n"/>
      <c r="I80" s="62" t="n"/>
      <c r="J80" s="63">
        <f>IFERROR(IF($I80="","",($I80-TODAY())/365.25),"")</f>
        <v/>
      </c>
      <c r="K80" s="64" t="n"/>
      <c r="L80" s="65">
        <f>IFERROR(IF(OR($K80="",$F80=""),"",$K80/$F80),"")</f>
        <v/>
      </c>
      <c r="M80" s="64" t="n"/>
      <c r="N80" s="64">
        <f>IFERROR(IF(OR($M80="",$F80=""),"",$M80/$F80),"")</f>
        <v/>
      </c>
      <c r="O80" s="66">
        <f>IFERROR(IF(OR($K80="",$M80=""),"",$K80/$M80),"")</f>
        <v/>
      </c>
      <c r="P80" s="64" t="n"/>
      <c r="Q80" s="64">
        <f>IFERROR(IF(OR($P80="",$F80=""),"",$P80/$F80),"")</f>
        <v/>
      </c>
      <c r="R80" s="66">
        <f>IFERROR(IF(OR($K80="",$P80=""),"",$K80/$P80),"")</f>
        <v/>
      </c>
      <c r="S80" s="61">
        <f>IFERROR(IF(OR($P80="",$M80=""),"",IF($P80=$M80,"No","Yes")),"")</f>
        <v/>
      </c>
      <c r="T80" s="62" t="n"/>
      <c r="U80" s="60">
        <f>IFERROR(IF($T80="","",TODAY()-$T80),"")</f>
        <v/>
      </c>
      <c r="V80" s="67" t="n"/>
      <c r="W80" s="67" t="n"/>
      <c r="X80" s="68" t="n"/>
      <c r="Y80" s="67" t="n"/>
      <c r="Z80" s="67" t="n"/>
    </row>
    <row r="81" ht="15" customHeight="1" s="46">
      <c r="A81" s="69">
        <f>IFERROR(ROW()-5,"")</f>
        <v/>
      </c>
      <c r="B81" s="70" t="n"/>
      <c r="C81" s="70" t="n"/>
      <c r="D81" s="70" t="n"/>
      <c r="E81" s="70" t="n"/>
      <c r="F81" s="69" t="n"/>
      <c r="G81" s="70" t="n"/>
      <c r="H81" s="70" t="n"/>
      <c r="I81" s="71" t="n"/>
      <c r="J81" s="72">
        <f>IFERROR(IF($I81="","",($I81-TODAY())/365.25),"")</f>
        <v/>
      </c>
      <c r="K81" s="73" t="n"/>
      <c r="L81" s="74">
        <f>IFERROR(IF(OR($K81="",$F81=""),"",$K81/$F81),"")</f>
        <v/>
      </c>
      <c r="M81" s="73" t="n"/>
      <c r="N81" s="73">
        <f>IFERROR(IF(OR($M81="",$F81=""),"",$M81/$F81),"")</f>
        <v/>
      </c>
      <c r="O81" s="75">
        <f>IFERROR(IF(OR($K81="",$M81=""),"",$K81/$M81),"")</f>
        <v/>
      </c>
      <c r="P81" s="73" t="n"/>
      <c r="Q81" s="73">
        <f>IFERROR(IF(OR($P81="",$F81=""),"",$P81/$F81),"")</f>
        <v/>
      </c>
      <c r="R81" s="75">
        <f>IFERROR(IF(OR($K81="",$P81=""),"",$K81/$P81),"")</f>
        <v/>
      </c>
      <c r="S81" s="70">
        <f>IFERROR(IF(OR($P81="",$M81=""),"",IF($P81=$M81,"No","Yes")),"")</f>
        <v/>
      </c>
      <c r="T81" s="71" t="n"/>
      <c r="U81" s="69">
        <f>IFERROR(IF($T81="","",TODAY()-$T81),"")</f>
        <v/>
      </c>
      <c r="V81" s="67" t="n"/>
      <c r="W81" s="67" t="n"/>
      <c r="X81" s="68" t="n"/>
      <c r="Y81" s="67" t="n"/>
      <c r="Z81" s="67" t="n"/>
    </row>
    <row r="82" ht="15" customHeight="1" s="46">
      <c r="A82" s="60">
        <f>IFERROR(ROW()-5,"")</f>
        <v/>
      </c>
      <c r="B82" s="61" t="n"/>
      <c r="C82" s="61" t="n"/>
      <c r="D82" s="61" t="n"/>
      <c r="E82" s="61" t="n"/>
      <c r="F82" s="60" t="n"/>
      <c r="G82" s="61" t="n"/>
      <c r="H82" s="61" t="n"/>
      <c r="I82" s="62" t="n"/>
      <c r="J82" s="63">
        <f>IFERROR(IF($I82="","",($I82-TODAY())/365.25),"")</f>
        <v/>
      </c>
      <c r="K82" s="64" t="n"/>
      <c r="L82" s="65">
        <f>IFERROR(IF(OR($K82="",$F82=""),"",$K82/$F82),"")</f>
        <v/>
      </c>
      <c r="M82" s="64" t="n"/>
      <c r="N82" s="64">
        <f>IFERROR(IF(OR($M82="",$F82=""),"",$M82/$F82),"")</f>
        <v/>
      </c>
      <c r="O82" s="66">
        <f>IFERROR(IF(OR($K82="",$M82=""),"",$K82/$M82),"")</f>
        <v/>
      </c>
      <c r="P82" s="64" t="n"/>
      <c r="Q82" s="64">
        <f>IFERROR(IF(OR($P82="",$F82=""),"",$P82/$F82),"")</f>
        <v/>
      </c>
      <c r="R82" s="66">
        <f>IFERROR(IF(OR($K82="",$P82=""),"",$K82/$P82),"")</f>
        <v/>
      </c>
      <c r="S82" s="61">
        <f>IFERROR(IF(OR($P82="",$M82=""),"",IF($P82=$M82,"No","Yes")),"")</f>
        <v/>
      </c>
      <c r="T82" s="62" t="n"/>
      <c r="U82" s="60">
        <f>IFERROR(IF($T82="","",TODAY()-$T82),"")</f>
        <v/>
      </c>
      <c r="V82" s="67" t="n"/>
      <c r="W82" s="67" t="n"/>
      <c r="X82" s="68" t="n"/>
      <c r="Y82" s="67" t="n"/>
      <c r="Z82" s="67" t="n"/>
    </row>
    <row r="83" ht="15" customHeight="1" s="46">
      <c r="A83" s="69">
        <f>IFERROR(ROW()-5,"")</f>
        <v/>
      </c>
      <c r="B83" s="70" t="n"/>
      <c r="C83" s="70" t="n"/>
      <c r="D83" s="70" t="n"/>
      <c r="E83" s="70" t="n"/>
      <c r="F83" s="69" t="n"/>
      <c r="G83" s="70" t="n"/>
      <c r="H83" s="70" t="n"/>
      <c r="I83" s="71" t="n"/>
      <c r="J83" s="72">
        <f>IFERROR(IF($I83="","",($I83-TODAY())/365.25),"")</f>
        <v/>
      </c>
      <c r="K83" s="73" t="n"/>
      <c r="L83" s="74">
        <f>IFERROR(IF(OR($K83="",$F83=""),"",$K83/$F83),"")</f>
        <v/>
      </c>
      <c r="M83" s="73" t="n"/>
      <c r="N83" s="73">
        <f>IFERROR(IF(OR($M83="",$F83=""),"",$M83/$F83),"")</f>
        <v/>
      </c>
      <c r="O83" s="75">
        <f>IFERROR(IF(OR($K83="",$M83=""),"",$K83/$M83),"")</f>
        <v/>
      </c>
      <c r="P83" s="73" t="n"/>
      <c r="Q83" s="73">
        <f>IFERROR(IF(OR($P83="",$F83=""),"",$P83/$F83),"")</f>
        <v/>
      </c>
      <c r="R83" s="75">
        <f>IFERROR(IF(OR($K83="",$P83=""),"",$K83/$P83),"")</f>
        <v/>
      </c>
      <c r="S83" s="70">
        <f>IFERROR(IF(OR($P83="",$M83=""),"",IF($P83=$M83,"No","Yes")),"")</f>
        <v/>
      </c>
      <c r="T83" s="71" t="n"/>
      <c r="U83" s="69">
        <f>IFERROR(IF($T83="","",TODAY()-$T83),"")</f>
        <v/>
      </c>
      <c r="V83" s="67" t="n"/>
      <c r="W83" s="67" t="n"/>
      <c r="X83" s="68" t="n"/>
      <c r="Y83" s="67" t="n"/>
      <c r="Z83" s="67" t="n"/>
    </row>
    <row r="84" ht="15" customHeight="1" s="46">
      <c r="A84" s="60">
        <f>IFERROR(ROW()-5,"")</f>
        <v/>
      </c>
      <c r="B84" s="61" t="n"/>
      <c r="C84" s="61" t="n"/>
      <c r="D84" s="61" t="n"/>
      <c r="E84" s="61" t="n"/>
      <c r="F84" s="60" t="n"/>
      <c r="G84" s="61" t="n"/>
      <c r="H84" s="61" t="n"/>
      <c r="I84" s="62" t="n"/>
      <c r="J84" s="63">
        <f>IFERROR(IF($I84="","",($I84-TODAY())/365.25),"")</f>
        <v/>
      </c>
      <c r="K84" s="64" t="n"/>
      <c r="L84" s="65">
        <f>IFERROR(IF(OR($K84="",$F84=""),"",$K84/$F84),"")</f>
        <v/>
      </c>
      <c r="M84" s="64" t="n"/>
      <c r="N84" s="64">
        <f>IFERROR(IF(OR($M84="",$F84=""),"",$M84/$F84),"")</f>
        <v/>
      </c>
      <c r="O84" s="66">
        <f>IFERROR(IF(OR($K84="",$M84=""),"",$K84/$M84),"")</f>
        <v/>
      </c>
      <c r="P84" s="64" t="n"/>
      <c r="Q84" s="64">
        <f>IFERROR(IF(OR($P84="",$F84=""),"",$P84/$F84),"")</f>
        <v/>
      </c>
      <c r="R84" s="66">
        <f>IFERROR(IF(OR($K84="",$P84=""),"",$K84/$P84),"")</f>
        <v/>
      </c>
      <c r="S84" s="61">
        <f>IFERROR(IF(OR($P84="",$M84=""),"",IF($P84=$M84,"No","Yes")),"")</f>
        <v/>
      </c>
      <c r="T84" s="62" t="n"/>
      <c r="U84" s="60">
        <f>IFERROR(IF($T84="","",TODAY()-$T84),"")</f>
        <v/>
      </c>
      <c r="V84" s="67" t="n"/>
      <c r="W84" s="67" t="n"/>
      <c r="X84" s="68" t="n"/>
      <c r="Y84" s="67" t="n"/>
      <c r="Z84" s="67" t="n"/>
    </row>
    <row r="85" ht="15" customHeight="1" s="46">
      <c r="A85" s="69">
        <f>IFERROR(ROW()-5,"")</f>
        <v/>
      </c>
      <c r="B85" s="70" t="n"/>
      <c r="C85" s="70" t="n"/>
      <c r="D85" s="70" t="n"/>
      <c r="E85" s="70" t="n"/>
      <c r="F85" s="69" t="n"/>
      <c r="G85" s="70" t="n"/>
      <c r="H85" s="70" t="n"/>
      <c r="I85" s="71" t="n"/>
      <c r="J85" s="72">
        <f>IFERROR(IF($I85="","",($I85-TODAY())/365.25),"")</f>
        <v/>
      </c>
      <c r="K85" s="73" t="n"/>
      <c r="L85" s="74">
        <f>IFERROR(IF(OR($K85="",$F85=""),"",$K85/$F85),"")</f>
        <v/>
      </c>
      <c r="M85" s="73" t="n"/>
      <c r="N85" s="73">
        <f>IFERROR(IF(OR($M85="",$F85=""),"",$M85/$F85),"")</f>
        <v/>
      </c>
      <c r="O85" s="75">
        <f>IFERROR(IF(OR($K85="",$M85=""),"",$K85/$M85),"")</f>
        <v/>
      </c>
      <c r="P85" s="73" t="n"/>
      <c r="Q85" s="73">
        <f>IFERROR(IF(OR($P85="",$F85=""),"",$P85/$F85),"")</f>
        <v/>
      </c>
      <c r="R85" s="75">
        <f>IFERROR(IF(OR($K85="",$P85=""),"",$K85/$P85),"")</f>
        <v/>
      </c>
      <c r="S85" s="70">
        <f>IFERROR(IF(OR($P85="",$M85=""),"",IF($P85=$M85,"No","Yes")),"")</f>
        <v/>
      </c>
      <c r="T85" s="71" t="n"/>
      <c r="U85" s="69">
        <f>IFERROR(IF($T85="","",TODAY()-$T85),"")</f>
        <v/>
      </c>
      <c r="V85" s="67" t="n"/>
      <c r="W85" s="67" t="n"/>
      <c r="X85" s="68" t="n"/>
      <c r="Y85" s="67" t="n"/>
      <c r="Z85" s="67" t="n"/>
    </row>
    <row r="86" ht="15" customHeight="1" s="46">
      <c r="A86" s="60">
        <f>IFERROR(ROW()-5,"")</f>
        <v/>
      </c>
      <c r="B86" s="61" t="n"/>
      <c r="C86" s="61" t="n"/>
      <c r="D86" s="61" t="n"/>
      <c r="E86" s="61" t="n"/>
      <c r="F86" s="60" t="n"/>
      <c r="G86" s="61" t="n"/>
      <c r="H86" s="61" t="n"/>
      <c r="I86" s="62" t="n"/>
      <c r="J86" s="63">
        <f>IFERROR(IF($I86="","",($I86-TODAY())/365.25),"")</f>
        <v/>
      </c>
      <c r="K86" s="64" t="n"/>
      <c r="L86" s="65">
        <f>IFERROR(IF(OR($K86="",$F86=""),"",$K86/$F86),"")</f>
        <v/>
      </c>
      <c r="M86" s="64" t="n"/>
      <c r="N86" s="64">
        <f>IFERROR(IF(OR($M86="",$F86=""),"",$M86/$F86),"")</f>
        <v/>
      </c>
      <c r="O86" s="66">
        <f>IFERROR(IF(OR($K86="",$M86=""),"",$K86/$M86),"")</f>
        <v/>
      </c>
      <c r="P86" s="64" t="n"/>
      <c r="Q86" s="64">
        <f>IFERROR(IF(OR($P86="",$F86=""),"",$P86/$F86),"")</f>
        <v/>
      </c>
      <c r="R86" s="66">
        <f>IFERROR(IF(OR($K86="",$P86=""),"",$K86/$P86),"")</f>
        <v/>
      </c>
      <c r="S86" s="61">
        <f>IFERROR(IF(OR($P86="",$M86=""),"",IF($P86=$M86,"No","Yes")),"")</f>
        <v/>
      </c>
      <c r="T86" s="62" t="n"/>
      <c r="U86" s="60">
        <f>IFERROR(IF($T86="","",TODAY()-$T86),"")</f>
        <v/>
      </c>
      <c r="V86" s="67" t="n"/>
      <c r="W86" s="67" t="n"/>
      <c r="X86" s="68" t="n"/>
      <c r="Y86" s="67" t="n"/>
      <c r="Z86" s="67" t="n"/>
    </row>
    <row r="87" ht="15" customHeight="1" s="46">
      <c r="A87" s="69">
        <f>IFERROR(ROW()-5,"")</f>
        <v/>
      </c>
      <c r="B87" s="70" t="n"/>
      <c r="C87" s="70" t="n"/>
      <c r="D87" s="70" t="n"/>
      <c r="E87" s="70" t="n"/>
      <c r="F87" s="69" t="n"/>
      <c r="G87" s="70" t="n"/>
      <c r="H87" s="70" t="n"/>
      <c r="I87" s="71" t="n"/>
      <c r="J87" s="72">
        <f>IFERROR(IF($I87="","",($I87-TODAY())/365.25),"")</f>
        <v/>
      </c>
      <c r="K87" s="73" t="n"/>
      <c r="L87" s="74">
        <f>IFERROR(IF(OR($K87="",$F87=""),"",$K87/$F87),"")</f>
        <v/>
      </c>
      <c r="M87" s="73" t="n"/>
      <c r="N87" s="73">
        <f>IFERROR(IF(OR($M87="",$F87=""),"",$M87/$F87),"")</f>
        <v/>
      </c>
      <c r="O87" s="75">
        <f>IFERROR(IF(OR($K87="",$M87=""),"",$K87/$M87),"")</f>
        <v/>
      </c>
      <c r="P87" s="73" t="n"/>
      <c r="Q87" s="73">
        <f>IFERROR(IF(OR($P87="",$F87=""),"",$P87/$F87),"")</f>
        <v/>
      </c>
      <c r="R87" s="75">
        <f>IFERROR(IF(OR($K87="",$P87=""),"",$K87/$P87),"")</f>
        <v/>
      </c>
      <c r="S87" s="70">
        <f>IFERROR(IF(OR($P87="",$M87=""),"",IF($P87=$M87,"No","Yes")),"")</f>
        <v/>
      </c>
      <c r="T87" s="71" t="n"/>
      <c r="U87" s="69">
        <f>IFERROR(IF($T87="","",TODAY()-$T87),"")</f>
        <v/>
      </c>
      <c r="V87" s="67" t="n"/>
      <c r="W87" s="67" t="n"/>
      <c r="X87" s="68" t="n"/>
      <c r="Y87" s="67" t="n"/>
      <c r="Z87" s="67" t="n"/>
    </row>
    <row r="88" ht="15" customHeight="1" s="46">
      <c r="A88" s="60">
        <f>IFERROR(ROW()-5,"")</f>
        <v/>
      </c>
      <c r="B88" s="61" t="n"/>
      <c r="C88" s="61" t="n"/>
      <c r="D88" s="61" t="n"/>
      <c r="E88" s="61" t="n"/>
      <c r="F88" s="60" t="n"/>
      <c r="G88" s="61" t="n"/>
      <c r="H88" s="61" t="n"/>
      <c r="I88" s="62" t="n"/>
      <c r="J88" s="63">
        <f>IFERROR(IF($I88="","",($I88-TODAY())/365.25),"")</f>
        <v/>
      </c>
      <c r="K88" s="64" t="n"/>
      <c r="L88" s="65">
        <f>IFERROR(IF(OR($K88="",$F88=""),"",$K88/$F88),"")</f>
        <v/>
      </c>
      <c r="M88" s="64" t="n"/>
      <c r="N88" s="64">
        <f>IFERROR(IF(OR($M88="",$F88=""),"",$M88/$F88),"")</f>
        <v/>
      </c>
      <c r="O88" s="66">
        <f>IFERROR(IF(OR($K88="",$M88=""),"",$K88/$M88),"")</f>
        <v/>
      </c>
      <c r="P88" s="64" t="n"/>
      <c r="Q88" s="64">
        <f>IFERROR(IF(OR($P88="",$F88=""),"",$P88/$F88),"")</f>
        <v/>
      </c>
      <c r="R88" s="66">
        <f>IFERROR(IF(OR($K88="",$P88=""),"",$K88/$P88),"")</f>
        <v/>
      </c>
      <c r="S88" s="61">
        <f>IFERROR(IF(OR($P88="",$M88=""),"",IF($P88=$M88,"No","Yes")),"")</f>
        <v/>
      </c>
      <c r="T88" s="62" t="n"/>
      <c r="U88" s="60">
        <f>IFERROR(IF($T88="","",TODAY()-$T88),"")</f>
        <v/>
      </c>
      <c r="V88" s="67" t="n"/>
      <c r="W88" s="67" t="n"/>
      <c r="X88" s="68" t="n"/>
      <c r="Y88" s="67" t="n"/>
      <c r="Z88" s="67" t="n"/>
    </row>
    <row r="89" ht="15" customHeight="1" s="46">
      <c r="A89" s="69">
        <f>IFERROR(ROW()-5,"")</f>
        <v/>
      </c>
      <c r="B89" s="70" t="n"/>
      <c r="C89" s="70" t="n"/>
      <c r="D89" s="70" t="n"/>
      <c r="E89" s="70" t="n"/>
      <c r="F89" s="69" t="n"/>
      <c r="G89" s="70" t="n"/>
      <c r="H89" s="70" t="n"/>
      <c r="I89" s="71" t="n"/>
      <c r="J89" s="72">
        <f>IFERROR(IF($I89="","",($I89-TODAY())/365.25),"")</f>
        <v/>
      </c>
      <c r="K89" s="73" t="n"/>
      <c r="L89" s="74">
        <f>IFERROR(IF(OR($K89="",$F89=""),"",$K89/$F89),"")</f>
        <v/>
      </c>
      <c r="M89" s="73" t="n"/>
      <c r="N89" s="73">
        <f>IFERROR(IF(OR($M89="",$F89=""),"",$M89/$F89),"")</f>
        <v/>
      </c>
      <c r="O89" s="75">
        <f>IFERROR(IF(OR($K89="",$M89=""),"",$K89/$M89),"")</f>
        <v/>
      </c>
      <c r="P89" s="73" t="n"/>
      <c r="Q89" s="73">
        <f>IFERROR(IF(OR($P89="",$F89=""),"",$P89/$F89),"")</f>
        <v/>
      </c>
      <c r="R89" s="75">
        <f>IFERROR(IF(OR($K89="",$P89=""),"",$K89/$P89),"")</f>
        <v/>
      </c>
      <c r="S89" s="70">
        <f>IFERROR(IF(OR($P89="",$M89=""),"",IF($P89=$M89,"No","Yes")),"")</f>
        <v/>
      </c>
      <c r="T89" s="71" t="n"/>
      <c r="U89" s="69">
        <f>IFERROR(IF($T89="","",TODAY()-$T89),"")</f>
        <v/>
      </c>
      <c r="V89" s="67" t="n"/>
      <c r="W89" s="67" t="n"/>
      <c r="X89" s="68" t="n"/>
      <c r="Y89" s="67" t="n"/>
      <c r="Z89" s="67" t="n"/>
    </row>
    <row r="90" ht="15" customHeight="1" s="46">
      <c r="A90" s="60">
        <f>IFERROR(ROW()-5,"")</f>
        <v/>
      </c>
      <c r="B90" s="61" t="n"/>
      <c r="C90" s="61" t="n"/>
      <c r="D90" s="61" t="n"/>
      <c r="E90" s="61" t="n"/>
      <c r="F90" s="60" t="n"/>
      <c r="G90" s="61" t="n"/>
      <c r="H90" s="61" t="n"/>
      <c r="I90" s="62" t="n"/>
      <c r="J90" s="63">
        <f>IFERROR(IF($I90="","",($I90-TODAY())/365.25),"")</f>
        <v/>
      </c>
      <c r="K90" s="64" t="n"/>
      <c r="L90" s="65">
        <f>IFERROR(IF(OR($K90="",$F90=""),"",$K90/$F90),"")</f>
        <v/>
      </c>
      <c r="M90" s="64" t="n"/>
      <c r="N90" s="64">
        <f>IFERROR(IF(OR($M90="",$F90=""),"",$M90/$F90),"")</f>
        <v/>
      </c>
      <c r="O90" s="66">
        <f>IFERROR(IF(OR($K90="",$M90=""),"",$K90/$M90),"")</f>
        <v/>
      </c>
      <c r="P90" s="64" t="n"/>
      <c r="Q90" s="64">
        <f>IFERROR(IF(OR($P90="",$F90=""),"",$P90/$F90),"")</f>
        <v/>
      </c>
      <c r="R90" s="66">
        <f>IFERROR(IF(OR($K90="",$P90=""),"",$K90/$P90),"")</f>
        <v/>
      </c>
      <c r="S90" s="61">
        <f>IFERROR(IF(OR($P90="",$M90=""),"",IF($P90=$M90,"No","Yes")),"")</f>
        <v/>
      </c>
      <c r="T90" s="62" t="n"/>
      <c r="U90" s="60">
        <f>IFERROR(IF($T90="","",TODAY()-$T90),"")</f>
        <v/>
      </c>
      <c r="V90" s="67" t="n"/>
      <c r="W90" s="67" t="n"/>
      <c r="X90" s="68" t="n"/>
      <c r="Y90" s="67" t="n"/>
      <c r="Z90" s="67" t="n"/>
    </row>
    <row r="91" ht="15" customHeight="1" s="46">
      <c r="A91" s="69">
        <f>IFERROR(ROW()-5,"")</f>
        <v/>
      </c>
      <c r="B91" s="70" t="n"/>
      <c r="C91" s="70" t="n"/>
      <c r="D91" s="70" t="n"/>
      <c r="E91" s="70" t="n"/>
      <c r="F91" s="69" t="n"/>
      <c r="G91" s="70" t="n"/>
      <c r="H91" s="70" t="n"/>
      <c r="I91" s="71" t="n"/>
      <c r="J91" s="72">
        <f>IFERROR(IF($I91="","",($I91-TODAY())/365.25),"")</f>
        <v/>
      </c>
      <c r="K91" s="73" t="n"/>
      <c r="L91" s="74">
        <f>IFERROR(IF(OR($K91="",$F91=""),"",$K91/$F91),"")</f>
        <v/>
      </c>
      <c r="M91" s="73" t="n"/>
      <c r="N91" s="73">
        <f>IFERROR(IF(OR($M91="",$F91=""),"",$M91/$F91),"")</f>
        <v/>
      </c>
      <c r="O91" s="75">
        <f>IFERROR(IF(OR($K91="",$M91=""),"",$K91/$M91),"")</f>
        <v/>
      </c>
      <c r="P91" s="73" t="n"/>
      <c r="Q91" s="73">
        <f>IFERROR(IF(OR($P91="",$F91=""),"",$P91/$F91),"")</f>
        <v/>
      </c>
      <c r="R91" s="75">
        <f>IFERROR(IF(OR($K91="",$P91=""),"",$K91/$P91),"")</f>
        <v/>
      </c>
      <c r="S91" s="70">
        <f>IFERROR(IF(OR($P91="",$M91=""),"",IF($P91=$M91,"No","Yes")),"")</f>
        <v/>
      </c>
      <c r="T91" s="71" t="n"/>
      <c r="U91" s="69">
        <f>IFERROR(IF($T91="","",TODAY()-$T91),"")</f>
        <v/>
      </c>
      <c r="V91" s="67" t="n"/>
      <c r="W91" s="67" t="n"/>
      <c r="X91" s="68" t="n"/>
      <c r="Y91" s="67" t="n"/>
      <c r="Z91" s="67" t="n"/>
    </row>
    <row r="92" ht="15" customHeight="1" s="46">
      <c r="A92" s="60">
        <f>IFERROR(ROW()-5,"")</f>
        <v/>
      </c>
      <c r="B92" s="61" t="n"/>
      <c r="C92" s="61" t="n"/>
      <c r="D92" s="61" t="n"/>
      <c r="E92" s="61" t="n"/>
      <c r="F92" s="60" t="n"/>
      <c r="G92" s="61" t="n"/>
      <c r="H92" s="61" t="n"/>
      <c r="I92" s="62" t="n"/>
      <c r="J92" s="63">
        <f>IFERROR(IF($I92="","",($I92-TODAY())/365.25),"")</f>
        <v/>
      </c>
      <c r="K92" s="64" t="n"/>
      <c r="L92" s="65">
        <f>IFERROR(IF(OR($K92="",$F92=""),"",$K92/$F92),"")</f>
        <v/>
      </c>
      <c r="M92" s="64" t="n"/>
      <c r="N92" s="64">
        <f>IFERROR(IF(OR($M92="",$F92=""),"",$M92/$F92),"")</f>
        <v/>
      </c>
      <c r="O92" s="66">
        <f>IFERROR(IF(OR($K92="",$M92=""),"",$K92/$M92),"")</f>
        <v/>
      </c>
      <c r="P92" s="64" t="n"/>
      <c r="Q92" s="64">
        <f>IFERROR(IF(OR($P92="",$F92=""),"",$P92/$F92),"")</f>
        <v/>
      </c>
      <c r="R92" s="66">
        <f>IFERROR(IF(OR($K92="",$P92=""),"",$K92/$P92),"")</f>
        <v/>
      </c>
      <c r="S92" s="61">
        <f>IFERROR(IF(OR($P92="",$M92=""),"",IF($P92=$M92,"No","Yes")),"")</f>
        <v/>
      </c>
      <c r="T92" s="62" t="n"/>
      <c r="U92" s="60">
        <f>IFERROR(IF($T92="","",TODAY()-$T92),"")</f>
        <v/>
      </c>
      <c r="V92" s="67" t="n"/>
      <c r="W92" s="67" t="n"/>
      <c r="X92" s="68" t="n"/>
      <c r="Y92" s="67" t="n"/>
      <c r="Z92" s="67" t="n"/>
    </row>
    <row r="93" ht="15" customHeight="1" s="46">
      <c r="A93" s="69">
        <f>IFERROR(ROW()-5,"")</f>
        <v/>
      </c>
      <c r="B93" s="70" t="n"/>
      <c r="C93" s="70" t="n"/>
      <c r="D93" s="70" t="n"/>
      <c r="E93" s="70" t="n"/>
      <c r="F93" s="69" t="n"/>
      <c r="G93" s="70" t="n"/>
      <c r="H93" s="70" t="n"/>
      <c r="I93" s="71" t="n"/>
      <c r="J93" s="72">
        <f>IFERROR(IF($I93="","",($I93-TODAY())/365.25),"")</f>
        <v/>
      </c>
      <c r="K93" s="73" t="n"/>
      <c r="L93" s="74">
        <f>IFERROR(IF(OR($K93="",$F93=""),"",$K93/$F93),"")</f>
        <v/>
      </c>
      <c r="M93" s="73" t="n"/>
      <c r="N93" s="73">
        <f>IFERROR(IF(OR($M93="",$F93=""),"",$M93/$F93),"")</f>
        <v/>
      </c>
      <c r="O93" s="75">
        <f>IFERROR(IF(OR($K93="",$M93=""),"",$K93/$M93),"")</f>
        <v/>
      </c>
      <c r="P93" s="73" t="n"/>
      <c r="Q93" s="73">
        <f>IFERROR(IF(OR($P93="",$F93=""),"",$P93/$F93),"")</f>
        <v/>
      </c>
      <c r="R93" s="75">
        <f>IFERROR(IF(OR($K93="",$P93=""),"",$K93/$P93),"")</f>
        <v/>
      </c>
      <c r="S93" s="70">
        <f>IFERROR(IF(OR($P93="",$M93=""),"",IF($P93=$M93,"No","Yes")),"")</f>
        <v/>
      </c>
      <c r="T93" s="71" t="n"/>
      <c r="U93" s="69">
        <f>IFERROR(IF($T93="","",TODAY()-$T93),"")</f>
        <v/>
      </c>
      <c r="V93" s="67" t="n"/>
      <c r="W93" s="67" t="n"/>
      <c r="X93" s="68" t="n"/>
      <c r="Y93" s="67" t="n"/>
      <c r="Z93" s="67" t="n"/>
    </row>
    <row r="94" ht="15" customHeight="1" s="46">
      <c r="A94" s="60">
        <f>IFERROR(ROW()-5,"")</f>
        <v/>
      </c>
      <c r="B94" s="61" t="n"/>
      <c r="C94" s="61" t="n"/>
      <c r="D94" s="61" t="n"/>
      <c r="E94" s="61" t="n"/>
      <c r="F94" s="60" t="n"/>
      <c r="G94" s="61" t="n"/>
      <c r="H94" s="61" t="n"/>
      <c r="I94" s="62" t="n"/>
      <c r="J94" s="63">
        <f>IFERROR(IF($I94="","",($I94-TODAY())/365.25),"")</f>
        <v/>
      </c>
      <c r="K94" s="64" t="n"/>
      <c r="L94" s="65">
        <f>IFERROR(IF(OR($K94="",$F94=""),"",$K94/$F94),"")</f>
        <v/>
      </c>
      <c r="M94" s="64" t="n"/>
      <c r="N94" s="64">
        <f>IFERROR(IF(OR($M94="",$F94=""),"",$M94/$F94),"")</f>
        <v/>
      </c>
      <c r="O94" s="66">
        <f>IFERROR(IF(OR($K94="",$M94=""),"",$K94/$M94),"")</f>
        <v/>
      </c>
      <c r="P94" s="64" t="n"/>
      <c r="Q94" s="64">
        <f>IFERROR(IF(OR($P94="",$F94=""),"",$P94/$F94),"")</f>
        <v/>
      </c>
      <c r="R94" s="66">
        <f>IFERROR(IF(OR($K94="",$P94=""),"",$K94/$P94),"")</f>
        <v/>
      </c>
      <c r="S94" s="61">
        <f>IFERROR(IF(OR($P94="",$M94=""),"",IF($P94=$M94,"No","Yes")),"")</f>
        <v/>
      </c>
      <c r="T94" s="62" t="n"/>
      <c r="U94" s="60">
        <f>IFERROR(IF($T94="","",TODAY()-$T94),"")</f>
        <v/>
      </c>
      <c r="V94" s="67" t="n"/>
      <c r="W94" s="67" t="n"/>
      <c r="X94" s="68" t="n"/>
      <c r="Y94" s="67" t="n"/>
      <c r="Z94" s="67" t="n"/>
    </row>
    <row r="95" ht="15" customHeight="1" s="46">
      <c r="A95" s="69">
        <f>IFERROR(ROW()-5,"")</f>
        <v/>
      </c>
      <c r="B95" s="70" t="n"/>
      <c r="C95" s="70" t="n"/>
      <c r="D95" s="70" t="n"/>
      <c r="E95" s="70" t="n"/>
      <c r="F95" s="69" t="n"/>
      <c r="G95" s="70" t="n"/>
      <c r="H95" s="70" t="n"/>
      <c r="I95" s="71" t="n"/>
      <c r="J95" s="72">
        <f>IFERROR(IF($I95="","",($I95-TODAY())/365.25),"")</f>
        <v/>
      </c>
      <c r="K95" s="73" t="n"/>
      <c r="L95" s="74">
        <f>IFERROR(IF(OR($K95="",$F95=""),"",$K95/$F95),"")</f>
        <v/>
      </c>
      <c r="M95" s="73" t="n"/>
      <c r="N95" s="73">
        <f>IFERROR(IF(OR($M95="",$F95=""),"",$M95/$F95),"")</f>
        <v/>
      </c>
      <c r="O95" s="75">
        <f>IFERROR(IF(OR($K95="",$M95=""),"",$K95/$M95),"")</f>
        <v/>
      </c>
      <c r="P95" s="73" t="n"/>
      <c r="Q95" s="73">
        <f>IFERROR(IF(OR($P95="",$F95=""),"",$P95/$F95),"")</f>
        <v/>
      </c>
      <c r="R95" s="75">
        <f>IFERROR(IF(OR($K95="",$P95=""),"",$K95/$P95),"")</f>
        <v/>
      </c>
      <c r="S95" s="70">
        <f>IFERROR(IF(OR($P95="",$M95=""),"",IF($P95=$M95,"No","Yes")),"")</f>
        <v/>
      </c>
      <c r="T95" s="71" t="n"/>
      <c r="U95" s="69">
        <f>IFERROR(IF($T95="","",TODAY()-$T95),"")</f>
        <v/>
      </c>
      <c r="V95" s="67" t="n"/>
      <c r="W95" s="67" t="n"/>
      <c r="X95" s="68" t="n"/>
      <c r="Y95" s="67" t="n"/>
      <c r="Z95" s="67" t="n"/>
    </row>
    <row r="96" ht="15" customHeight="1" s="46">
      <c r="A96" s="60">
        <f>IFERROR(ROW()-5,"")</f>
        <v/>
      </c>
      <c r="B96" s="61" t="n"/>
      <c r="C96" s="61" t="n"/>
      <c r="D96" s="61" t="n"/>
      <c r="E96" s="61" t="n"/>
      <c r="F96" s="60" t="n"/>
      <c r="G96" s="61" t="n"/>
      <c r="H96" s="61" t="n"/>
      <c r="I96" s="62" t="n"/>
      <c r="J96" s="63">
        <f>IFERROR(IF($I96="","",($I96-TODAY())/365.25),"")</f>
        <v/>
      </c>
      <c r="K96" s="64" t="n"/>
      <c r="L96" s="65">
        <f>IFERROR(IF(OR($K96="",$F96=""),"",$K96/$F96),"")</f>
        <v/>
      </c>
      <c r="M96" s="64" t="n"/>
      <c r="N96" s="64">
        <f>IFERROR(IF(OR($M96="",$F96=""),"",$M96/$F96),"")</f>
        <v/>
      </c>
      <c r="O96" s="66">
        <f>IFERROR(IF(OR($K96="",$M96=""),"",$K96/$M96),"")</f>
        <v/>
      </c>
      <c r="P96" s="64" t="n"/>
      <c r="Q96" s="64">
        <f>IFERROR(IF(OR($P96="",$F96=""),"",$P96/$F96),"")</f>
        <v/>
      </c>
      <c r="R96" s="66">
        <f>IFERROR(IF(OR($K96="",$P96=""),"",$K96/$P96),"")</f>
        <v/>
      </c>
      <c r="S96" s="61">
        <f>IFERROR(IF(OR($P96="",$M96=""),"",IF($P96=$M96,"No","Yes")),"")</f>
        <v/>
      </c>
      <c r="T96" s="62" t="n"/>
      <c r="U96" s="60">
        <f>IFERROR(IF($T96="","",TODAY()-$T96),"")</f>
        <v/>
      </c>
      <c r="V96" s="67" t="n"/>
      <c r="W96" s="67" t="n"/>
      <c r="X96" s="68" t="n"/>
      <c r="Y96" s="67" t="n"/>
      <c r="Z96" s="67" t="n"/>
    </row>
    <row r="97" ht="15" customHeight="1" s="46">
      <c r="A97" s="69">
        <f>IFERROR(ROW()-5,"")</f>
        <v/>
      </c>
      <c r="B97" s="70" t="n"/>
      <c r="C97" s="70" t="n"/>
      <c r="D97" s="70" t="n"/>
      <c r="E97" s="70" t="n"/>
      <c r="F97" s="69" t="n"/>
      <c r="G97" s="70" t="n"/>
      <c r="H97" s="70" t="n"/>
      <c r="I97" s="71" t="n"/>
      <c r="J97" s="72">
        <f>IFERROR(IF($I97="","",($I97-TODAY())/365.25),"")</f>
        <v/>
      </c>
      <c r="K97" s="73" t="n"/>
      <c r="L97" s="74">
        <f>IFERROR(IF(OR($K97="",$F97=""),"",$K97/$F97),"")</f>
        <v/>
      </c>
      <c r="M97" s="73" t="n"/>
      <c r="N97" s="73">
        <f>IFERROR(IF(OR($M97="",$F97=""),"",$M97/$F97),"")</f>
        <v/>
      </c>
      <c r="O97" s="75">
        <f>IFERROR(IF(OR($K97="",$M97=""),"",$K97/$M97),"")</f>
        <v/>
      </c>
      <c r="P97" s="73" t="n"/>
      <c r="Q97" s="73">
        <f>IFERROR(IF(OR($P97="",$F97=""),"",$P97/$F97),"")</f>
        <v/>
      </c>
      <c r="R97" s="75">
        <f>IFERROR(IF(OR($K97="",$P97=""),"",$K97/$P97),"")</f>
        <v/>
      </c>
      <c r="S97" s="70">
        <f>IFERROR(IF(OR($P97="",$M97=""),"",IF($P97=$M97,"No","Yes")),"")</f>
        <v/>
      </c>
      <c r="T97" s="71" t="n"/>
      <c r="U97" s="69">
        <f>IFERROR(IF($T97="","",TODAY()-$T97),"")</f>
        <v/>
      </c>
      <c r="V97" s="67" t="n"/>
      <c r="W97" s="67" t="n"/>
      <c r="X97" s="68" t="n"/>
      <c r="Y97" s="67" t="n"/>
      <c r="Z97" s="67" t="n"/>
    </row>
    <row r="98" ht="15" customHeight="1" s="46">
      <c r="A98" s="60">
        <f>IFERROR(ROW()-5,"")</f>
        <v/>
      </c>
      <c r="B98" s="61" t="n"/>
      <c r="C98" s="61" t="n"/>
      <c r="D98" s="61" t="n"/>
      <c r="E98" s="61" t="n"/>
      <c r="F98" s="60" t="n"/>
      <c r="G98" s="61" t="n"/>
      <c r="H98" s="61" t="n"/>
      <c r="I98" s="62" t="n"/>
      <c r="J98" s="63">
        <f>IFERROR(IF($I98="","",($I98-TODAY())/365.25),"")</f>
        <v/>
      </c>
      <c r="K98" s="64" t="n"/>
      <c r="L98" s="65">
        <f>IFERROR(IF(OR($K98="",$F98=""),"",$K98/$F98),"")</f>
        <v/>
      </c>
      <c r="M98" s="64" t="n"/>
      <c r="N98" s="64">
        <f>IFERROR(IF(OR($M98="",$F98=""),"",$M98/$F98),"")</f>
        <v/>
      </c>
      <c r="O98" s="66">
        <f>IFERROR(IF(OR($K98="",$M98=""),"",$K98/$M98),"")</f>
        <v/>
      </c>
      <c r="P98" s="64" t="n"/>
      <c r="Q98" s="64">
        <f>IFERROR(IF(OR($P98="",$F98=""),"",$P98/$F98),"")</f>
        <v/>
      </c>
      <c r="R98" s="66">
        <f>IFERROR(IF(OR($K98="",$P98=""),"",$K98/$P98),"")</f>
        <v/>
      </c>
      <c r="S98" s="61">
        <f>IFERROR(IF(OR($P98="",$M98=""),"",IF($P98=$M98,"No","Yes")),"")</f>
        <v/>
      </c>
      <c r="T98" s="62" t="n"/>
      <c r="U98" s="60">
        <f>IFERROR(IF($T98="","",TODAY()-$T98),"")</f>
        <v/>
      </c>
      <c r="V98" s="67" t="n"/>
      <c r="W98" s="67" t="n"/>
      <c r="X98" s="68" t="n"/>
      <c r="Y98" s="67" t="n"/>
      <c r="Z98" s="67" t="n"/>
    </row>
    <row r="99" ht="15" customHeight="1" s="46">
      <c r="A99" s="69">
        <f>IFERROR(ROW()-5,"")</f>
        <v/>
      </c>
      <c r="B99" s="70" t="n"/>
      <c r="C99" s="70" t="n"/>
      <c r="D99" s="70" t="n"/>
      <c r="E99" s="70" t="n"/>
      <c r="F99" s="69" t="n"/>
      <c r="G99" s="70" t="n"/>
      <c r="H99" s="70" t="n"/>
      <c r="I99" s="71" t="n"/>
      <c r="J99" s="72">
        <f>IFERROR(IF($I99="","",($I99-TODAY())/365.25),"")</f>
        <v/>
      </c>
      <c r="K99" s="73" t="n"/>
      <c r="L99" s="74">
        <f>IFERROR(IF(OR($K99="",$F99=""),"",$K99/$F99),"")</f>
        <v/>
      </c>
      <c r="M99" s="73" t="n"/>
      <c r="N99" s="73">
        <f>IFERROR(IF(OR($M99="",$F99=""),"",$M99/$F99),"")</f>
        <v/>
      </c>
      <c r="O99" s="75">
        <f>IFERROR(IF(OR($K99="",$M99=""),"",$K99/$M99),"")</f>
        <v/>
      </c>
      <c r="P99" s="73" t="n"/>
      <c r="Q99" s="73">
        <f>IFERROR(IF(OR($P99="",$F99=""),"",$P99/$F99),"")</f>
        <v/>
      </c>
      <c r="R99" s="75">
        <f>IFERROR(IF(OR($K99="",$P99=""),"",$K99/$P99),"")</f>
        <v/>
      </c>
      <c r="S99" s="70">
        <f>IFERROR(IF(OR($P99="",$M99=""),"",IF($P99=$M99,"No","Yes")),"")</f>
        <v/>
      </c>
      <c r="T99" s="71" t="n"/>
      <c r="U99" s="69">
        <f>IFERROR(IF($T99="","",TODAY()-$T99),"")</f>
        <v/>
      </c>
      <c r="V99" s="67" t="n"/>
      <c r="W99" s="67" t="n"/>
      <c r="X99" s="68" t="n"/>
      <c r="Y99" s="67" t="n"/>
      <c r="Z99" s="67" t="n"/>
    </row>
    <row r="100" ht="15" customHeight="1" s="46">
      <c r="A100" s="60">
        <f>IFERROR(ROW()-5,"")</f>
        <v/>
      </c>
      <c r="B100" s="61" t="n"/>
      <c r="C100" s="61" t="n"/>
      <c r="D100" s="61" t="n"/>
      <c r="E100" s="61" t="n"/>
      <c r="F100" s="60" t="n"/>
      <c r="G100" s="61" t="n"/>
      <c r="H100" s="61" t="n"/>
      <c r="I100" s="62" t="n"/>
      <c r="J100" s="63">
        <f>IFERROR(IF($I100="","",($I100-TODAY())/365.25),"")</f>
        <v/>
      </c>
      <c r="K100" s="64" t="n"/>
      <c r="L100" s="65">
        <f>IFERROR(IF(OR($K100="",$F100=""),"",$K100/$F100),"")</f>
        <v/>
      </c>
      <c r="M100" s="64" t="n"/>
      <c r="N100" s="64">
        <f>IFERROR(IF(OR($M100="",$F100=""),"",$M100/$F100),"")</f>
        <v/>
      </c>
      <c r="O100" s="66">
        <f>IFERROR(IF(OR($K100="",$M100=""),"",$K100/$M100),"")</f>
        <v/>
      </c>
      <c r="P100" s="64" t="n"/>
      <c r="Q100" s="64">
        <f>IFERROR(IF(OR($P100="",$F100=""),"",$P100/$F100),"")</f>
        <v/>
      </c>
      <c r="R100" s="66">
        <f>IFERROR(IF(OR($K100="",$P100=""),"",$K100/$P100),"")</f>
        <v/>
      </c>
      <c r="S100" s="61">
        <f>IFERROR(IF(OR($P100="",$M100=""),"",IF($P100=$M100,"No","Yes")),"")</f>
        <v/>
      </c>
      <c r="T100" s="62" t="n"/>
      <c r="U100" s="60">
        <f>IFERROR(IF($T100="","",TODAY()-$T100),"")</f>
        <v/>
      </c>
      <c r="V100" s="67" t="n"/>
      <c r="W100" s="67" t="n"/>
      <c r="X100" s="68" t="n"/>
      <c r="Y100" s="67" t="n"/>
      <c r="Z100" s="67" t="n"/>
    </row>
    <row r="101" ht="15" customHeight="1" s="46">
      <c r="A101" s="69">
        <f>IFERROR(ROW()-5,"")</f>
        <v/>
      </c>
      <c r="B101" s="70" t="n"/>
      <c r="C101" s="70" t="n"/>
      <c r="D101" s="70" t="n"/>
      <c r="E101" s="70" t="n"/>
      <c r="F101" s="69" t="n"/>
      <c r="G101" s="70" t="n"/>
      <c r="H101" s="70" t="n"/>
      <c r="I101" s="71" t="n"/>
      <c r="J101" s="72">
        <f>IFERROR(IF($I101="","",($I101-TODAY())/365.25),"")</f>
        <v/>
      </c>
      <c r="K101" s="73" t="n"/>
      <c r="L101" s="74">
        <f>IFERROR(IF(OR($K101="",$F101=""),"",$K101/$F101),"")</f>
        <v/>
      </c>
      <c r="M101" s="73" t="n"/>
      <c r="N101" s="73">
        <f>IFERROR(IF(OR($M101="",$F101=""),"",$M101/$F101),"")</f>
        <v/>
      </c>
      <c r="O101" s="75">
        <f>IFERROR(IF(OR($K101="",$M101=""),"",$K101/$M101),"")</f>
        <v/>
      </c>
      <c r="P101" s="73" t="n"/>
      <c r="Q101" s="73">
        <f>IFERROR(IF(OR($P101="",$F101=""),"",$P101/$F101),"")</f>
        <v/>
      </c>
      <c r="R101" s="75">
        <f>IFERROR(IF(OR($K101="",$P101=""),"",$K101/$P101),"")</f>
        <v/>
      </c>
      <c r="S101" s="70">
        <f>IFERROR(IF(OR($P101="",$M101=""),"",IF($P101=$M101,"No","Yes")),"")</f>
        <v/>
      </c>
      <c r="T101" s="71" t="n"/>
      <c r="U101" s="69">
        <f>IFERROR(IF($T101="","",TODAY()-$T101),"")</f>
        <v/>
      </c>
      <c r="V101" s="67" t="n"/>
      <c r="W101" s="67" t="n"/>
      <c r="X101" s="68" t="n"/>
      <c r="Y101" s="67" t="n"/>
      <c r="Z101" s="67" t="n"/>
    </row>
    <row r="102" ht="15" customHeight="1" s="46">
      <c r="A102" s="60">
        <f>IFERROR(ROW()-5,"")</f>
        <v/>
      </c>
      <c r="B102" s="61" t="n"/>
      <c r="C102" s="61" t="n"/>
      <c r="D102" s="61" t="n"/>
      <c r="E102" s="61" t="n"/>
      <c r="F102" s="60" t="n"/>
      <c r="G102" s="61" t="n"/>
      <c r="H102" s="61" t="n"/>
      <c r="I102" s="62" t="n"/>
      <c r="J102" s="63">
        <f>IFERROR(IF($I102="","",($I102-TODAY())/365.25),"")</f>
        <v/>
      </c>
      <c r="K102" s="64" t="n"/>
      <c r="L102" s="65">
        <f>IFERROR(IF(OR($K102="",$F102=""),"",$K102/$F102),"")</f>
        <v/>
      </c>
      <c r="M102" s="64" t="n"/>
      <c r="N102" s="64">
        <f>IFERROR(IF(OR($M102="",$F102=""),"",$M102/$F102),"")</f>
        <v/>
      </c>
      <c r="O102" s="66">
        <f>IFERROR(IF(OR($K102="",$M102=""),"",$K102/$M102),"")</f>
        <v/>
      </c>
      <c r="P102" s="64" t="n"/>
      <c r="Q102" s="64">
        <f>IFERROR(IF(OR($P102="",$F102=""),"",$P102/$F102),"")</f>
        <v/>
      </c>
      <c r="R102" s="66">
        <f>IFERROR(IF(OR($K102="",$P102=""),"",$K102/$P102),"")</f>
        <v/>
      </c>
      <c r="S102" s="61">
        <f>IFERROR(IF(OR($P102="",$M102=""),"",IF($P102=$M102,"No","Yes")),"")</f>
        <v/>
      </c>
      <c r="T102" s="62" t="n"/>
      <c r="U102" s="60">
        <f>IFERROR(IF($T102="","",TODAY()-$T102),"")</f>
        <v/>
      </c>
      <c r="V102" s="67" t="n"/>
      <c r="W102" s="67" t="n"/>
      <c r="X102" s="68" t="n"/>
      <c r="Y102" s="67" t="n"/>
      <c r="Z102" s="67" t="n"/>
    </row>
    <row r="103" ht="15" customHeight="1" s="46">
      <c r="A103" s="69">
        <f>IFERROR(ROW()-5,"")</f>
        <v/>
      </c>
      <c r="B103" s="70" t="n"/>
      <c r="C103" s="70" t="n"/>
      <c r="D103" s="70" t="n"/>
      <c r="E103" s="70" t="n"/>
      <c r="F103" s="69" t="n"/>
      <c r="G103" s="70" t="n"/>
      <c r="H103" s="70" t="n"/>
      <c r="I103" s="71" t="n"/>
      <c r="J103" s="72">
        <f>IFERROR(IF($I103="","",($I103-TODAY())/365.25),"")</f>
        <v/>
      </c>
      <c r="K103" s="73" t="n"/>
      <c r="L103" s="74">
        <f>IFERROR(IF(OR($K103="",$F103=""),"",$K103/$F103),"")</f>
        <v/>
      </c>
      <c r="M103" s="73" t="n"/>
      <c r="N103" s="73">
        <f>IFERROR(IF(OR($M103="",$F103=""),"",$M103/$F103),"")</f>
        <v/>
      </c>
      <c r="O103" s="75">
        <f>IFERROR(IF(OR($K103="",$M103=""),"",$K103/$M103),"")</f>
        <v/>
      </c>
      <c r="P103" s="73" t="n"/>
      <c r="Q103" s="73">
        <f>IFERROR(IF(OR($P103="",$F103=""),"",$P103/$F103),"")</f>
        <v/>
      </c>
      <c r="R103" s="75">
        <f>IFERROR(IF(OR($K103="",$P103=""),"",$K103/$P103),"")</f>
        <v/>
      </c>
      <c r="S103" s="70">
        <f>IFERROR(IF(OR($P103="",$M103=""),"",IF($P103=$M103,"No","Yes")),"")</f>
        <v/>
      </c>
      <c r="T103" s="71" t="n"/>
      <c r="U103" s="69">
        <f>IFERROR(IF($T103="","",TODAY()-$T103),"")</f>
        <v/>
      </c>
      <c r="V103" s="67" t="n"/>
      <c r="W103" s="67" t="n"/>
      <c r="X103" s="68" t="n"/>
      <c r="Y103" s="67" t="n"/>
      <c r="Z103" s="67" t="n"/>
    </row>
    <row r="104" ht="15" customHeight="1" s="46">
      <c r="A104" s="60">
        <f>IFERROR(ROW()-5,"")</f>
        <v/>
      </c>
      <c r="B104" s="61" t="n"/>
      <c r="C104" s="61" t="n"/>
      <c r="D104" s="61" t="n"/>
      <c r="E104" s="61" t="n"/>
      <c r="F104" s="60" t="n"/>
      <c r="G104" s="61" t="n"/>
      <c r="H104" s="61" t="n"/>
      <c r="I104" s="62" t="n"/>
      <c r="J104" s="63">
        <f>IFERROR(IF($I104="","",($I104-TODAY())/365.25),"")</f>
        <v/>
      </c>
      <c r="K104" s="64" t="n"/>
      <c r="L104" s="65">
        <f>IFERROR(IF(OR($K104="",$F104=""),"",$K104/$F104),"")</f>
        <v/>
      </c>
      <c r="M104" s="64" t="n"/>
      <c r="N104" s="64">
        <f>IFERROR(IF(OR($M104="",$F104=""),"",$M104/$F104),"")</f>
        <v/>
      </c>
      <c r="O104" s="66">
        <f>IFERROR(IF(OR($K104="",$M104=""),"",$K104/$M104),"")</f>
        <v/>
      </c>
      <c r="P104" s="64" t="n"/>
      <c r="Q104" s="64">
        <f>IFERROR(IF(OR($P104="",$F104=""),"",$P104/$F104),"")</f>
        <v/>
      </c>
      <c r="R104" s="66">
        <f>IFERROR(IF(OR($K104="",$P104=""),"",$K104/$P104),"")</f>
        <v/>
      </c>
      <c r="S104" s="61">
        <f>IFERROR(IF(OR($P104="",$M104=""),"",IF($P104=$M104,"No","Yes")),"")</f>
        <v/>
      </c>
      <c r="T104" s="62" t="n"/>
      <c r="U104" s="60">
        <f>IFERROR(IF($T104="","",TODAY()-$T104),"")</f>
        <v/>
      </c>
      <c r="V104" s="67" t="n"/>
      <c r="W104" s="67" t="n"/>
      <c r="X104" s="68" t="n"/>
      <c r="Y104" s="67" t="n"/>
      <c r="Z104" s="67" t="n"/>
    </row>
    <row r="105" ht="15" customHeight="1" s="46">
      <c r="A105" s="69">
        <f>IFERROR(ROW()-5,"")</f>
        <v/>
      </c>
      <c r="B105" s="70" t="n"/>
      <c r="C105" s="70" t="n"/>
      <c r="D105" s="70" t="n"/>
      <c r="E105" s="70" t="n"/>
      <c r="F105" s="69" t="n"/>
      <c r="G105" s="70" t="n"/>
      <c r="H105" s="70" t="n"/>
      <c r="I105" s="71" t="n"/>
      <c r="J105" s="72">
        <f>IFERROR(IF($I105="","",($I105-TODAY())/365.25),"")</f>
        <v/>
      </c>
      <c r="K105" s="73" t="n"/>
      <c r="L105" s="74">
        <f>IFERROR(IF(OR($K105="",$F105=""),"",$K105/$F105),"")</f>
        <v/>
      </c>
      <c r="M105" s="73" t="n"/>
      <c r="N105" s="73">
        <f>IFERROR(IF(OR($M105="",$F105=""),"",$M105/$F105),"")</f>
        <v/>
      </c>
      <c r="O105" s="75">
        <f>IFERROR(IF(OR($K105="",$M105=""),"",$K105/$M105),"")</f>
        <v/>
      </c>
      <c r="P105" s="73" t="n"/>
      <c r="Q105" s="73">
        <f>IFERROR(IF(OR($P105="",$F105=""),"",$P105/$F105),"")</f>
        <v/>
      </c>
      <c r="R105" s="75">
        <f>IFERROR(IF(OR($K105="",$P105=""),"",$K105/$P105),"")</f>
        <v/>
      </c>
      <c r="S105" s="70">
        <f>IFERROR(IF(OR($P105="",$M105=""),"",IF($P105=$M105,"No","Yes")),"")</f>
        <v/>
      </c>
      <c r="T105" s="71" t="n"/>
      <c r="U105" s="69">
        <f>IFERROR(IF($T105="","",TODAY()-$T105),"")</f>
        <v/>
      </c>
      <c r="V105" s="67" t="n"/>
      <c r="W105" s="67" t="n"/>
      <c r="X105" s="68" t="n"/>
      <c r="Y105" s="67" t="n"/>
      <c r="Z105" s="67" t="n"/>
    </row>
    <row r="106" ht="16.5" customHeight="1" s="46">
      <c r="A106" s="76" t="inlineStr">
        <is>
          <t>AVG</t>
        </is>
      </c>
      <c r="B106" s="77">
        <f>COUNTA(B6:B105)&amp;" comps"</f>
        <v/>
      </c>
      <c r="C106" s="78" t="n"/>
      <c r="D106" s="78" t="n"/>
      <c r="E106" s="78" t="n"/>
      <c r="F106" s="79">
        <f>IF(COUNT(F6:F105)=0,"",AVERAGE(F6:F105))</f>
        <v/>
      </c>
      <c r="G106" s="80" t="n"/>
      <c r="H106" s="81" t="n"/>
      <c r="I106" s="78" t="n"/>
      <c r="J106" s="82">
        <f>IF(COUNT(J6:J105)=0,"",AVERAGE(J6:J105))</f>
        <v/>
      </c>
      <c r="K106" s="83">
        <f>IF(COUNT(K6:K105)=0,"",AVERAGE(K6:K105))</f>
        <v/>
      </c>
      <c r="L106" s="84">
        <f>IF(COUNT(L6:L105)=0,"",AVERAGE(L6:L105))</f>
        <v/>
      </c>
      <c r="M106" s="83">
        <f>IF(COUNT(M6:M105)=0,"",AVERAGE(M6:M105))</f>
        <v/>
      </c>
      <c r="N106" s="83">
        <f>IF(COUNT(N6:N105)=0,"",AVERAGE(N6:N105))</f>
        <v/>
      </c>
      <c r="O106" s="85">
        <f>IF(COUNT(O6:O105)=0,"",AVERAGE(O6:O105))</f>
        <v/>
      </c>
      <c r="P106" s="83">
        <f>IF(COUNT(P6:P105)=0,"",AVERAGE(P6:P105))</f>
        <v/>
      </c>
      <c r="Q106" s="83">
        <f>IF(COUNT(Q6:Q105)=0,"",AVERAGE(Q6:Q105))</f>
        <v/>
      </c>
      <c r="R106" s="85">
        <f>IF(COUNT(R6:R105)=0,"",AVERAGE(R6:R105))</f>
        <v/>
      </c>
      <c r="S106" s="77">
        <f>IFERROR(COUNTIF(S6:S105,"Yes")&amp;" / "&amp;(COUNTIF(S6:S105,"Yes")+COUNTIF(S6:S105,"No"))&amp;" ("&amp;TEXT(COUNTIF(S6:S105,"Yes")/(COUNTIF(S6:S105,"Yes")+COUNTIF(S6:S105,"No")),"0%")&amp;")","")</f>
        <v/>
      </c>
      <c r="T106" s="78" t="n"/>
      <c r="U106" s="78" t="n"/>
      <c r="V106" s="86" t="n"/>
      <c r="W106" s="86" t="n"/>
      <c r="X106" s="87">
        <f>IF(COUNT(X6:X105)=0,"",ROUND(AVERAGE(X6:X105),0))</f>
        <v/>
      </c>
      <c r="Y106" s="86" t="n"/>
      <c r="Z106" s="86" t="n"/>
    </row>
    <row r="107"/>
    <row r="108" ht="12.75" customHeight="1" s="46">
      <c r="A108" s="52" t="n"/>
    </row>
    <row r="109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3DA5"/>
    <outlinePr summaryBelow="1" summaryRight="1"/>
    <pageSetUpPr fitToPage="0"/>
  </sheetPr>
  <dimension ref="A2:AN1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30" customWidth="1" style="45" min="2" max="2"/>
    <col width="25" customWidth="1" style="45" min="3" max="3"/>
    <col width="14" customWidth="1" style="45" min="4" max="4"/>
    <col width="6" customWidth="1" style="45" min="5" max="5"/>
    <col width="11" customWidth="1" style="45" min="6" max="6"/>
    <col width="20" customWidth="1" style="45" min="7" max="7"/>
    <col width="11" customWidth="1" style="45" min="8" max="8"/>
    <col width="12" customWidth="1" style="45" min="9" max="10"/>
    <col width="9" customWidth="1" style="46" min="10" max="10"/>
    <col width="13" customWidth="1" style="45" min="11" max="11"/>
    <col width="10" customWidth="1" style="45" min="12" max="13"/>
    <col width="13" customWidth="1" style="46" min="13" max="13"/>
    <col width="10" customWidth="1" style="45" min="14" max="14"/>
    <col width="9" customWidth="1" style="45" min="15" max="15"/>
    <col width="13" customWidth="1" style="45" min="16" max="16"/>
    <col width="10" customWidth="1" style="45" min="17" max="18"/>
    <col width="9" customWidth="1" style="46" min="18" max="18"/>
    <col width="13" customWidth="1" style="45" min="19" max="19"/>
    <col width="10" customWidth="1" style="45" min="20" max="20"/>
    <col width="9" customWidth="1" style="45" min="21" max="23"/>
    <col width="9" customWidth="1" style="46" min="22" max="22"/>
    <col width="10" customWidth="1" style="46" min="23" max="23"/>
    <col width="12" customWidth="1" style="45" min="24" max="24"/>
    <col width="12" customWidth="1" style="45" min="25" max="25"/>
    <col width="8" customWidth="1" style="46" min="26" max="26"/>
    <col width="10" customWidth="1" style="46" min="27" max="27"/>
    <col width="10" customWidth="1" style="46" min="28" max="28"/>
    <col width="9" customWidth="1" style="46" min="29" max="29"/>
    <col width="18" customWidth="1" style="46" min="30" max="30"/>
    <col width="18" customWidth="1" style="46" min="31" max="31"/>
    <col width="14" customWidth="1" style="46" min="32" max="32"/>
    <col width="18" customWidth="1" style="46" min="33" max="33"/>
    <col width="35" customWidth="1" style="46" min="34" max="34"/>
  </cols>
  <sheetData>
    <row r="1" ht="12" customHeight="1" s="46"/>
    <row r="2" ht="25.5" customHeight="1" s="46">
      <c r="A2" s="58" t="inlineStr">
        <is>
          <t>Briggs CRE — Sales Comps · Sold</t>
        </is>
      </c>
    </row>
    <row r="3" ht="13.5" customHeight="1" s="46">
      <c r="A3" s="52" t="inlineStr">
        <is>
          <t>Source: CoStar / Salesforce · Shaded columns are formula-protected — do not overwrite · TERM = remaining term as of sale date · BPS = Sale Cap − Last Cap</t>
        </is>
      </c>
    </row>
    <row r="4" ht="7.5" customHeight="1" s="46"/>
    <row r="5" ht="21.75" customHeight="1" s="46">
      <c r="A5" s="59" t="inlineStr">
        <is>
          <t>#</t>
        </is>
      </c>
      <c r="B5" s="59" t="inlineStr">
        <is>
          <t>PROPERTY NAME</t>
        </is>
      </c>
      <c r="C5" s="59" t="inlineStr">
        <is>
          <t>ADDRESS</t>
        </is>
      </c>
      <c r="D5" s="59" t="inlineStr">
        <is>
          <t>CITY</t>
        </is>
      </c>
      <c r="E5" s="59" t="inlineStr">
        <is>
          <t>ST</t>
        </is>
      </c>
      <c r="F5" s="59" t="inlineStr">
        <is>
          <t>RBA (SF)</t>
        </is>
      </c>
      <c r="G5" s="59" t="inlineStr">
        <is>
          <t>TENANT</t>
        </is>
      </c>
      <c r="H5" s="59" t="inlineStr">
        <is>
          <t>LEASE TYPE</t>
        </is>
      </c>
      <c r="I5" s="59" t="inlineStr">
        <is>
          <t>LEASE EXP</t>
        </is>
      </c>
      <c r="J5" s="59" t="inlineStr">
        <is>
          <t>TERM (YRS)</t>
        </is>
      </c>
      <c r="K5" s="59" t="inlineStr">
        <is>
          <t>ANNUAL NOI</t>
        </is>
      </c>
      <c r="L5" s="59" t="inlineStr">
        <is>
          <t>RENT/SF</t>
        </is>
      </c>
      <c r="M5" s="59" t="inlineStr">
        <is>
          <t>INIT PRICE</t>
        </is>
      </c>
      <c r="N5" s="59" t="inlineStr">
        <is>
          <t>INIT $/SF</t>
        </is>
      </c>
      <c r="O5" s="59" t="inlineStr">
        <is>
          <t>INIT CAP</t>
        </is>
      </c>
      <c r="P5" s="59" t="inlineStr">
        <is>
          <t>LAST PRICE</t>
        </is>
      </c>
      <c r="Q5" s="59" t="inlineStr">
        <is>
          <t>LAST $/SF</t>
        </is>
      </c>
      <c r="R5" s="59" t="inlineStr">
        <is>
          <t>LAST CAP</t>
        </is>
      </c>
      <c r="S5" s="59" t="inlineStr">
        <is>
          <t>SALE PRICE</t>
        </is>
      </c>
      <c r="T5" s="59" t="inlineStr">
        <is>
          <t>SALE $/SF</t>
        </is>
      </c>
      <c r="U5" s="59" t="inlineStr">
        <is>
          <t>SALE CAP</t>
        </is>
      </c>
      <c r="V5" s="59" t="inlineStr">
        <is>
          <t>BPS</t>
        </is>
      </c>
      <c r="W5" s="59" t="inlineStr">
        <is>
          <t>PRICE ADJ</t>
        </is>
      </c>
      <c r="X5" s="59" t="inlineStr">
        <is>
          <t>SALE DATE</t>
        </is>
      </c>
      <c r="Y5" s="59" t="inlineStr">
        <is>
          <t>LIST DATE</t>
        </is>
      </c>
      <c r="Z5" s="59" t="inlineStr">
        <is>
          <t>DOM</t>
        </is>
      </c>
      <c r="AA5" s="59" t="inlineStr">
        <is>
          <t>BUMPS</t>
        </is>
      </c>
      <c r="AB5" s="59" t="inlineStr">
        <is>
          <t>OPTIONS</t>
        </is>
      </c>
      <c r="AC5" s="59" t="inlineStr">
        <is>
          <t>YR BUILT</t>
        </is>
      </c>
      <c r="AD5" s="59" t="inlineStr">
        <is>
          <t>BUYER</t>
        </is>
      </c>
      <c r="AE5" s="59" t="inlineStr">
        <is>
          <t>SELLER</t>
        </is>
      </c>
      <c r="AF5" s="59" t="inlineStr">
        <is>
          <t>FINANCING</t>
        </is>
      </c>
      <c r="AG5" s="59" t="inlineStr">
        <is>
          <t>SUBMARKET</t>
        </is>
      </c>
      <c r="AH5" s="59" t="inlineStr">
        <is>
          <t>NOTES</t>
        </is>
      </c>
    </row>
    <row r="6" ht="15" customHeight="1" s="46">
      <c r="A6" s="60">
        <f>IFERROR(ROW()-5,"")</f>
        <v/>
      </c>
      <c r="B6" s="61" t="n"/>
      <c r="C6" s="61" t="n"/>
      <c r="D6" s="61" t="n"/>
      <c r="E6" s="61" t="n"/>
      <c r="F6" s="60" t="n"/>
      <c r="G6" s="61" t="n"/>
      <c r="H6" s="61" t="n"/>
      <c r="I6" s="62" t="n"/>
      <c r="J6" s="63">
        <f>IFERROR(IF(OR($I6="",$X6=""),"",($I6-$X6)/365.25),"")</f>
        <v/>
      </c>
      <c r="K6" s="64" t="n"/>
      <c r="L6" s="65">
        <f>IFERROR(IF(OR($K6="",$F6=""),"",$K6/$F6),"")</f>
        <v/>
      </c>
      <c r="M6" s="64" t="n"/>
      <c r="N6" s="64">
        <f>IFERROR(IF(OR($M6="",$F6=""),"",$M6/$F6),"")</f>
        <v/>
      </c>
      <c r="O6" s="66">
        <f>IFERROR(IF(OR($K6="",$M6=""),"",$K6/$M6),"")</f>
        <v/>
      </c>
      <c r="P6" s="64" t="n"/>
      <c r="Q6" s="64">
        <f>IFERROR(IF(OR($P6="",$F6=""),"",$P6/$F6),"")</f>
        <v/>
      </c>
      <c r="R6" s="66">
        <f>IFERROR(IF(OR($K6="",$P6=""),"",$K6/$P6),"")</f>
        <v/>
      </c>
      <c r="S6" s="64" t="n"/>
      <c r="T6" s="64">
        <f>IFERROR(IF(OR($S6="",$F6=""),"",$S6/$F6),"")</f>
        <v/>
      </c>
      <c r="U6" s="66">
        <f>IFERROR(IF(OR($K6="",$S6=""),"",$K6/$S6),"")</f>
        <v/>
      </c>
      <c r="V6" s="88">
        <f>IFERROR(IF(OR($U6="",$R6=""),"",($U6-$R6)*10000),"")</f>
        <v/>
      </c>
      <c r="W6" s="61">
        <f>IFERROR(IF(OR($P6="",$M6=""),"",IF($P6=$M6,"No","Yes")),"")</f>
        <v/>
      </c>
      <c r="X6" s="62" t="n"/>
      <c r="Y6" s="62" t="n"/>
      <c r="Z6" s="89">
        <f>IFERROR(IF(OR($X6="",$Y6=""),"",$X6-$Y6),"")</f>
        <v/>
      </c>
      <c r="AA6" s="67" t="n"/>
      <c r="AB6" s="67" t="n"/>
      <c r="AC6" s="68" t="n"/>
      <c r="AD6" s="67" t="n"/>
      <c r="AE6" s="67" t="n"/>
      <c r="AF6" s="67" t="n"/>
      <c r="AG6" s="67" t="n"/>
      <c r="AH6" s="67" t="n"/>
    </row>
    <row r="7" ht="15" customHeight="1" s="46">
      <c r="A7" s="69">
        <f>IFERROR(ROW()-5,"")</f>
        <v/>
      </c>
      <c r="B7" s="70" t="n"/>
      <c r="C7" s="70" t="n"/>
      <c r="D7" s="70" t="n"/>
      <c r="E7" s="70" t="n"/>
      <c r="F7" s="69" t="n"/>
      <c r="G7" s="70" t="n"/>
      <c r="H7" s="70" t="n"/>
      <c r="I7" s="71" t="n"/>
      <c r="J7" s="72">
        <f>IFERROR(IF(OR($I7="",$X7=""),"",($I7-$X7)/365.25),"")</f>
        <v/>
      </c>
      <c r="K7" s="73" t="n"/>
      <c r="L7" s="74">
        <f>IFERROR(IF(OR($K7="",$F7=""),"",$K7/$F7),"")</f>
        <v/>
      </c>
      <c r="M7" s="73" t="n"/>
      <c r="N7" s="73">
        <f>IFERROR(IF(OR($M7="",$F7=""),"",$M7/$F7),"")</f>
        <v/>
      </c>
      <c r="O7" s="75">
        <f>IFERROR(IF(OR($K7="",$M7=""),"",$K7/$M7),"")</f>
        <v/>
      </c>
      <c r="P7" s="73" t="n"/>
      <c r="Q7" s="73">
        <f>IFERROR(IF(OR($P7="",$F7=""),"",$P7/$F7),"")</f>
        <v/>
      </c>
      <c r="R7" s="75">
        <f>IFERROR(IF(OR($K7="",$P7=""),"",$K7/$P7),"")</f>
        <v/>
      </c>
      <c r="S7" s="73" t="n"/>
      <c r="T7" s="73">
        <f>IFERROR(IF(OR($S7="",$F7=""),"",$S7/$F7),"")</f>
        <v/>
      </c>
      <c r="U7" s="75">
        <f>IFERROR(IF(OR($K7="",$S7=""),"",$K7/$S7),"")</f>
        <v/>
      </c>
      <c r="V7" s="90">
        <f>IFERROR(IF(OR($U7="",$R7=""),"",($U7-$R7)*10000),"")</f>
        <v/>
      </c>
      <c r="W7" s="70">
        <f>IFERROR(IF(OR($P7="",$M7=""),"",IF($P7=$M7,"No","Yes")),"")</f>
        <v/>
      </c>
      <c r="X7" s="71" t="n"/>
      <c r="Y7" s="71" t="n"/>
      <c r="Z7" s="89">
        <f>IFERROR(IF(OR($X7="",$Y7=""),"",$X7-$Y7),"")</f>
        <v/>
      </c>
      <c r="AA7" s="67" t="n"/>
      <c r="AB7" s="67" t="n"/>
      <c r="AC7" s="68" t="n"/>
      <c r="AD7" s="67" t="n"/>
      <c r="AE7" s="67" t="n"/>
      <c r="AF7" s="67" t="n"/>
      <c r="AG7" s="67" t="n"/>
      <c r="AH7" s="67" t="n"/>
    </row>
    <row r="8" ht="15" customHeight="1" s="46">
      <c r="A8" s="60">
        <f>IFERROR(ROW()-5,"")</f>
        <v/>
      </c>
      <c r="B8" s="61" t="n"/>
      <c r="C8" s="61" t="n"/>
      <c r="D8" s="61" t="n"/>
      <c r="E8" s="61" t="n"/>
      <c r="F8" s="60" t="n"/>
      <c r="G8" s="61" t="n"/>
      <c r="H8" s="61" t="n"/>
      <c r="I8" s="62" t="n"/>
      <c r="J8" s="63">
        <f>IFERROR(IF(OR($I8="",$X8=""),"",($I8-$X8)/365.25),"")</f>
        <v/>
      </c>
      <c r="K8" s="64" t="n"/>
      <c r="L8" s="65">
        <f>IFERROR(IF(OR($K8="",$F8=""),"",$K8/$F8),"")</f>
        <v/>
      </c>
      <c r="M8" s="64" t="n"/>
      <c r="N8" s="64">
        <f>IFERROR(IF(OR($M8="",$F8=""),"",$M8/$F8),"")</f>
        <v/>
      </c>
      <c r="O8" s="66">
        <f>IFERROR(IF(OR($K8="",$M8=""),"",$K8/$M8),"")</f>
        <v/>
      </c>
      <c r="P8" s="64" t="n"/>
      <c r="Q8" s="64">
        <f>IFERROR(IF(OR($P8="",$F8=""),"",$P8/$F8),"")</f>
        <v/>
      </c>
      <c r="R8" s="66">
        <f>IFERROR(IF(OR($K8="",$P8=""),"",$K8/$P8),"")</f>
        <v/>
      </c>
      <c r="S8" s="64" t="n"/>
      <c r="T8" s="64">
        <f>IFERROR(IF(OR($S8="",$F8=""),"",$S8/$F8),"")</f>
        <v/>
      </c>
      <c r="U8" s="66">
        <f>IFERROR(IF(OR($K8="",$S8=""),"",$K8/$S8),"")</f>
        <v/>
      </c>
      <c r="V8" s="88">
        <f>IFERROR(IF(OR($U8="",$R8=""),"",($U8-$R8)*10000),"")</f>
        <v/>
      </c>
      <c r="W8" s="61">
        <f>IFERROR(IF(OR($P8="",$M8=""),"",IF($P8=$M8,"No","Yes")),"")</f>
        <v/>
      </c>
      <c r="X8" s="62" t="n"/>
      <c r="Y8" s="62" t="n"/>
      <c r="Z8" s="89">
        <f>IFERROR(IF(OR($X8="",$Y8=""),"",$X8-$Y8),"")</f>
        <v/>
      </c>
      <c r="AA8" s="67" t="n"/>
      <c r="AB8" s="67" t="n"/>
      <c r="AC8" s="68" t="n"/>
      <c r="AD8" s="67" t="n"/>
      <c r="AE8" s="67" t="n"/>
      <c r="AF8" s="67" t="n"/>
      <c r="AG8" s="67" t="n"/>
      <c r="AH8" s="67" t="n"/>
    </row>
    <row r="9" ht="15" customHeight="1" s="46">
      <c r="A9" s="69">
        <f>IFERROR(ROW()-5,"")</f>
        <v/>
      </c>
      <c r="B9" s="70" t="n"/>
      <c r="C9" s="70" t="n"/>
      <c r="D9" s="70" t="n"/>
      <c r="E9" s="70" t="n"/>
      <c r="F9" s="69" t="n"/>
      <c r="G9" s="70" t="n"/>
      <c r="H9" s="70" t="n"/>
      <c r="I9" s="71" t="n"/>
      <c r="J9" s="72">
        <f>IFERROR(IF(OR($I9="",$X9=""),"",($I9-$X9)/365.25),"")</f>
        <v/>
      </c>
      <c r="K9" s="73" t="n"/>
      <c r="L9" s="74">
        <f>IFERROR(IF(OR($K9="",$F9=""),"",$K9/$F9),"")</f>
        <v/>
      </c>
      <c r="M9" s="73" t="n"/>
      <c r="N9" s="73">
        <f>IFERROR(IF(OR($M9="",$F9=""),"",$M9/$F9),"")</f>
        <v/>
      </c>
      <c r="O9" s="75">
        <f>IFERROR(IF(OR($K9="",$M9=""),"",$K9/$M9),"")</f>
        <v/>
      </c>
      <c r="P9" s="73" t="n"/>
      <c r="Q9" s="73">
        <f>IFERROR(IF(OR($P9="",$F9=""),"",$P9/$F9),"")</f>
        <v/>
      </c>
      <c r="R9" s="75">
        <f>IFERROR(IF(OR($K9="",$P9=""),"",$K9/$P9),"")</f>
        <v/>
      </c>
      <c r="S9" s="73" t="n"/>
      <c r="T9" s="73">
        <f>IFERROR(IF(OR($S9="",$F9=""),"",$S9/$F9),"")</f>
        <v/>
      </c>
      <c r="U9" s="75">
        <f>IFERROR(IF(OR($K9="",$S9=""),"",$K9/$S9),"")</f>
        <v/>
      </c>
      <c r="V9" s="90">
        <f>IFERROR(IF(OR($U9="",$R9=""),"",($U9-$R9)*10000),"")</f>
        <v/>
      </c>
      <c r="W9" s="70">
        <f>IFERROR(IF(OR($P9="",$M9=""),"",IF($P9=$M9,"No","Yes")),"")</f>
        <v/>
      </c>
      <c r="X9" s="71" t="n"/>
      <c r="Y9" s="71" t="n"/>
      <c r="Z9" s="89">
        <f>IFERROR(IF(OR($X9="",$Y9=""),"",$X9-$Y9),"")</f>
        <v/>
      </c>
      <c r="AA9" s="67" t="n"/>
      <c r="AB9" s="67" t="n"/>
      <c r="AC9" s="68" t="n"/>
      <c r="AD9" s="67" t="n"/>
      <c r="AE9" s="67" t="n"/>
      <c r="AF9" s="67" t="n"/>
      <c r="AG9" s="67" t="n"/>
      <c r="AH9" s="67" t="n"/>
    </row>
    <row r="10" ht="15" customHeight="1" s="46">
      <c r="A10" s="60">
        <f>IFERROR(ROW()-5,"")</f>
        <v/>
      </c>
      <c r="B10" s="61" t="n"/>
      <c r="C10" s="61" t="n"/>
      <c r="D10" s="61" t="n"/>
      <c r="E10" s="61" t="n"/>
      <c r="F10" s="60" t="n"/>
      <c r="G10" s="61" t="n"/>
      <c r="H10" s="61" t="n"/>
      <c r="I10" s="62" t="n"/>
      <c r="J10" s="63">
        <f>IFERROR(IF(OR($I10="",$X10=""),"",($I10-$X10)/365.25),"")</f>
        <v/>
      </c>
      <c r="K10" s="64" t="n"/>
      <c r="L10" s="65">
        <f>IFERROR(IF(OR($K10="",$F10=""),"",$K10/$F10),"")</f>
        <v/>
      </c>
      <c r="M10" s="64" t="n"/>
      <c r="N10" s="64">
        <f>IFERROR(IF(OR($M10="",$F10=""),"",$M10/$F10),"")</f>
        <v/>
      </c>
      <c r="O10" s="66">
        <f>IFERROR(IF(OR($K10="",$M10=""),"",$K10/$M10),"")</f>
        <v/>
      </c>
      <c r="P10" s="64" t="n"/>
      <c r="Q10" s="64">
        <f>IFERROR(IF(OR($P10="",$F10=""),"",$P10/$F10),"")</f>
        <v/>
      </c>
      <c r="R10" s="66">
        <f>IFERROR(IF(OR($K10="",$P10=""),"",$K10/$P10),"")</f>
        <v/>
      </c>
      <c r="S10" s="64" t="n"/>
      <c r="T10" s="64">
        <f>IFERROR(IF(OR($S10="",$F10=""),"",$S10/$F10),"")</f>
        <v/>
      </c>
      <c r="U10" s="66">
        <f>IFERROR(IF(OR($K10="",$S10=""),"",$K10/$S10),"")</f>
        <v/>
      </c>
      <c r="V10" s="88">
        <f>IFERROR(IF(OR($U10="",$R10=""),"",($U10-$R10)*10000),"")</f>
        <v/>
      </c>
      <c r="W10" s="61">
        <f>IFERROR(IF(OR($P10="",$M10=""),"",IF($P10=$M10,"No","Yes")),"")</f>
        <v/>
      </c>
      <c r="X10" s="62" t="n"/>
      <c r="Y10" s="62" t="n"/>
      <c r="Z10" s="89">
        <f>IFERROR(IF(OR($X10="",$Y10=""),"",$X10-$Y10),"")</f>
        <v/>
      </c>
      <c r="AA10" s="67" t="n"/>
      <c r="AB10" s="67" t="n"/>
      <c r="AC10" s="68" t="n"/>
      <c r="AD10" s="67" t="n"/>
      <c r="AE10" s="67" t="n"/>
      <c r="AF10" s="67" t="n"/>
      <c r="AG10" s="67" t="n"/>
      <c r="AH10" s="67" t="n"/>
    </row>
    <row r="11" ht="15" customHeight="1" s="46">
      <c r="A11" s="69">
        <f>IFERROR(ROW()-5,"")</f>
        <v/>
      </c>
      <c r="B11" s="70" t="n"/>
      <c r="C11" s="70" t="n"/>
      <c r="D11" s="70" t="n"/>
      <c r="E11" s="70" t="n"/>
      <c r="F11" s="69" t="n"/>
      <c r="G11" s="70" t="n"/>
      <c r="H11" s="70" t="n"/>
      <c r="I11" s="71" t="n"/>
      <c r="J11" s="72">
        <f>IFERROR(IF(OR($I11="",$X11=""),"",($I11-$X11)/365.25),"")</f>
        <v/>
      </c>
      <c r="K11" s="73" t="n"/>
      <c r="L11" s="74">
        <f>IFERROR(IF(OR($K11="",$F11=""),"",$K11/$F11),"")</f>
        <v/>
      </c>
      <c r="M11" s="73" t="n"/>
      <c r="N11" s="73">
        <f>IFERROR(IF(OR($M11="",$F11=""),"",$M11/$F11),"")</f>
        <v/>
      </c>
      <c r="O11" s="75">
        <f>IFERROR(IF(OR($K11="",$M11=""),"",$K11/$M11),"")</f>
        <v/>
      </c>
      <c r="P11" s="73" t="n"/>
      <c r="Q11" s="73">
        <f>IFERROR(IF(OR($P11="",$F11=""),"",$P11/$F11),"")</f>
        <v/>
      </c>
      <c r="R11" s="75">
        <f>IFERROR(IF(OR($K11="",$P11=""),"",$K11/$P11),"")</f>
        <v/>
      </c>
      <c r="S11" s="73" t="n"/>
      <c r="T11" s="73">
        <f>IFERROR(IF(OR($S11="",$F11=""),"",$S11/$F11),"")</f>
        <v/>
      </c>
      <c r="U11" s="75">
        <f>IFERROR(IF(OR($K11="",$S11=""),"",$K11/$S11),"")</f>
        <v/>
      </c>
      <c r="V11" s="90">
        <f>IFERROR(IF(OR($U11="",$R11=""),"",($U11-$R11)*10000),"")</f>
        <v/>
      </c>
      <c r="W11" s="70">
        <f>IFERROR(IF(OR($P11="",$M11=""),"",IF($P11=$M11,"No","Yes")),"")</f>
        <v/>
      </c>
      <c r="X11" s="71" t="n"/>
      <c r="Y11" s="71" t="n"/>
      <c r="Z11" s="89">
        <f>IFERROR(IF(OR($X11="",$Y11=""),"",$X11-$Y11),"")</f>
        <v/>
      </c>
      <c r="AA11" s="67" t="n"/>
      <c r="AB11" s="67" t="n"/>
      <c r="AC11" s="68" t="n"/>
      <c r="AD11" s="67" t="n"/>
      <c r="AE11" s="67" t="n"/>
      <c r="AF11" s="67" t="n"/>
      <c r="AG11" s="67" t="n"/>
      <c r="AH11" s="67" t="n"/>
    </row>
    <row r="12" ht="15" customHeight="1" s="46">
      <c r="A12" s="60">
        <f>IFERROR(ROW()-5,"")</f>
        <v/>
      </c>
      <c r="B12" s="61" t="n"/>
      <c r="C12" s="61" t="n"/>
      <c r="D12" s="61" t="n"/>
      <c r="E12" s="61" t="n"/>
      <c r="F12" s="60" t="n"/>
      <c r="G12" s="61" t="n"/>
      <c r="H12" s="61" t="n"/>
      <c r="I12" s="62" t="n"/>
      <c r="J12" s="63">
        <f>IFERROR(IF(OR($I12="",$X12=""),"",($I12-$X12)/365.25),"")</f>
        <v/>
      </c>
      <c r="K12" s="64" t="n"/>
      <c r="L12" s="65">
        <f>IFERROR(IF(OR($K12="",$F12=""),"",$K12/$F12),"")</f>
        <v/>
      </c>
      <c r="M12" s="64" t="n"/>
      <c r="N12" s="64">
        <f>IFERROR(IF(OR($M12="",$F12=""),"",$M12/$F12),"")</f>
        <v/>
      </c>
      <c r="O12" s="66">
        <f>IFERROR(IF(OR($K12="",$M12=""),"",$K12/$M12),"")</f>
        <v/>
      </c>
      <c r="P12" s="64" t="n"/>
      <c r="Q12" s="64">
        <f>IFERROR(IF(OR($P12="",$F12=""),"",$P12/$F12),"")</f>
        <v/>
      </c>
      <c r="R12" s="66">
        <f>IFERROR(IF(OR($K12="",$P12=""),"",$K12/$P12),"")</f>
        <v/>
      </c>
      <c r="S12" s="64" t="n"/>
      <c r="T12" s="64">
        <f>IFERROR(IF(OR($S12="",$F12=""),"",$S12/$F12),"")</f>
        <v/>
      </c>
      <c r="U12" s="66">
        <f>IFERROR(IF(OR($K12="",$S12=""),"",$K12/$S12),"")</f>
        <v/>
      </c>
      <c r="V12" s="88">
        <f>IFERROR(IF(OR($U12="",$R12=""),"",($U12-$R12)*10000),"")</f>
        <v/>
      </c>
      <c r="W12" s="61">
        <f>IFERROR(IF(OR($P12="",$M12=""),"",IF($P12=$M12,"No","Yes")),"")</f>
        <v/>
      </c>
      <c r="X12" s="62" t="n"/>
      <c r="Y12" s="62" t="n"/>
      <c r="Z12" s="89">
        <f>IFERROR(IF(OR($X12="",$Y12=""),"",$X12-$Y12),"")</f>
        <v/>
      </c>
      <c r="AA12" s="67" t="n"/>
      <c r="AB12" s="67" t="n"/>
      <c r="AC12" s="68" t="n"/>
      <c r="AD12" s="67" t="n"/>
      <c r="AE12" s="67" t="n"/>
      <c r="AF12" s="67" t="n"/>
      <c r="AG12" s="67" t="n"/>
      <c r="AH12" s="67" t="n"/>
    </row>
    <row r="13" ht="15" customHeight="1" s="46">
      <c r="A13" s="69">
        <f>IFERROR(ROW()-5,"")</f>
        <v/>
      </c>
      <c r="B13" s="70" t="n"/>
      <c r="C13" s="70" t="n"/>
      <c r="D13" s="70" t="n"/>
      <c r="E13" s="70" t="n"/>
      <c r="F13" s="69" t="n"/>
      <c r="G13" s="70" t="n"/>
      <c r="H13" s="70" t="n"/>
      <c r="I13" s="71" t="n"/>
      <c r="J13" s="72">
        <f>IFERROR(IF(OR($I13="",$X13=""),"",($I13-$X13)/365.25),"")</f>
        <v/>
      </c>
      <c r="K13" s="73" t="n"/>
      <c r="L13" s="74">
        <f>IFERROR(IF(OR($K13="",$F13=""),"",$K13/$F13),"")</f>
        <v/>
      </c>
      <c r="M13" s="73" t="n"/>
      <c r="N13" s="73">
        <f>IFERROR(IF(OR($M13="",$F13=""),"",$M13/$F13),"")</f>
        <v/>
      </c>
      <c r="O13" s="75">
        <f>IFERROR(IF(OR($K13="",$M13=""),"",$K13/$M13),"")</f>
        <v/>
      </c>
      <c r="P13" s="73" t="n"/>
      <c r="Q13" s="73">
        <f>IFERROR(IF(OR($P13="",$F13=""),"",$P13/$F13),"")</f>
        <v/>
      </c>
      <c r="R13" s="75">
        <f>IFERROR(IF(OR($K13="",$P13=""),"",$K13/$P13),"")</f>
        <v/>
      </c>
      <c r="S13" s="73" t="n"/>
      <c r="T13" s="73">
        <f>IFERROR(IF(OR($S13="",$F13=""),"",$S13/$F13),"")</f>
        <v/>
      </c>
      <c r="U13" s="75">
        <f>IFERROR(IF(OR($K13="",$S13=""),"",$K13/$S13),"")</f>
        <v/>
      </c>
      <c r="V13" s="90">
        <f>IFERROR(IF(OR($U13="",$R13=""),"",($U13-$R13)*10000),"")</f>
        <v/>
      </c>
      <c r="W13" s="70">
        <f>IFERROR(IF(OR($P13="",$M13=""),"",IF($P13=$M13,"No","Yes")),"")</f>
        <v/>
      </c>
      <c r="X13" s="71" t="n"/>
      <c r="Y13" s="71" t="n"/>
      <c r="Z13" s="89">
        <f>IFERROR(IF(OR($X13="",$Y13=""),"",$X13-$Y13),"")</f>
        <v/>
      </c>
      <c r="AA13" s="67" t="n"/>
      <c r="AB13" s="67" t="n"/>
      <c r="AC13" s="68" t="n"/>
      <c r="AD13" s="67" t="n"/>
      <c r="AE13" s="67" t="n"/>
      <c r="AF13" s="67" t="n"/>
      <c r="AG13" s="67" t="n"/>
      <c r="AH13" s="67" t="n"/>
    </row>
    <row r="14" ht="15" customHeight="1" s="46">
      <c r="A14" s="60">
        <f>IFERROR(ROW()-5,"")</f>
        <v/>
      </c>
      <c r="B14" s="61" t="n"/>
      <c r="C14" s="61" t="n"/>
      <c r="D14" s="61" t="n"/>
      <c r="E14" s="61" t="n"/>
      <c r="F14" s="60" t="n"/>
      <c r="G14" s="61" t="n"/>
      <c r="H14" s="61" t="n"/>
      <c r="I14" s="62" t="n"/>
      <c r="J14" s="63">
        <f>IFERROR(IF(OR($I14="",$X14=""),"",($I14-$X14)/365.25),"")</f>
        <v/>
      </c>
      <c r="K14" s="64" t="n"/>
      <c r="L14" s="65">
        <f>IFERROR(IF(OR($K14="",$F14=""),"",$K14/$F14),"")</f>
        <v/>
      </c>
      <c r="M14" s="64" t="n"/>
      <c r="N14" s="64">
        <f>IFERROR(IF(OR($M14="",$F14=""),"",$M14/$F14),"")</f>
        <v/>
      </c>
      <c r="O14" s="66">
        <f>IFERROR(IF(OR($K14="",$M14=""),"",$K14/$M14),"")</f>
        <v/>
      </c>
      <c r="P14" s="64" t="n"/>
      <c r="Q14" s="64">
        <f>IFERROR(IF(OR($P14="",$F14=""),"",$P14/$F14),"")</f>
        <v/>
      </c>
      <c r="R14" s="66">
        <f>IFERROR(IF(OR($K14="",$P14=""),"",$K14/$P14),"")</f>
        <v/>
      </c>
      <c r="S14" s="64" t="n"/>
      <c r="T14" s="64">
        <f>IFERROR(IF(OR($S14="",$F14=""),"",$S14/$F14),"")</f>
        <v/>
      </c>
      <c r="U14" s="66">
        <f>IFERROR(IF(OR($K14="",$S14=""),"",$K14/$S14),"")</f>
        <v/>
      </c>
      <c r="V14" s="88">
        <f>IFERROR(IF(OR($U14="",$R14=""),"",($U14-$R14)*10000),"")</f>
        <v/>
      </c>
      <c r="W14" s="61">
        <f>IFERROR(IF(OR($P14="",$M14=""),"",IF($P14=$M14,"No","Yes")),"")</f>
        <v/>
      </c>
      <c r="X14" s="62" t="n"/>
      <c r="Y14" s="62" t="n"/>
      <c r="Z14" s="89">
        <f>IFERROR(IF(OR($X14="",$Y14=""),"",$X14-$Y14),"")</f>
        <v/>
      </c>
      <c r="AA14" s="67" t="n"/>
      <c r="AB14" s="67" t="n"/>
      <c r="AC14" s="68" t="n"/>
      <c r="AD14" s="67" t="n"/>
      <c r="AE14" s="67" t="n"/>
      <c r="AF14" s="67" t="n"/>
      <c r="AG14" s="67" t="n"/>
      <c r="AH14" s="67" t="n"/>
    </row>
    <row r="15" ht="15" customHeight="1" s="46">
      <c r="A15" s="69">
        <f>IFERROR(ROW()-5,"")</f>
        <v/>
      </c>
      <c r="B15" s="70" t="n"/>
      <c r="C15" s="70" t="n"/>
      <c r="D15" s="70" t="n"/>
      <c r="E15" s="70" t="n"/>
      <c r="F15" s="69" t="n"/>
      <c r="G15" s="70" t="n"/>
      <c r="H15" s="70" t="n"/>
      <c r="I15" s="71" t="n"/>
      <c r="J15" s="72">
        <f>IFERROR(IF(OR($I15="",$X15=""),"",($I15-$X15)/365.25),"")</f>
        <v/>
      </c>
      <c r="K15" s="73" t="n"/>
      <c r="L15" s="74">
        <f>IFERROR(IF(OR($K15="",$F15=""),"",$K15/$F15),"")</f>
        <v/>
      </c>
      <c r="M15" s="73" t="n"/>
      <c r="N15" s="73">
        <f>IFERROR(IF(OR($M15="",$F15=""),"",$M15/$F15),"")</f>
        <v/>
      </c>
      <c r="O15" s="75">
        <f>IFERROR(IF(OR($K15="",$M15=""),"",$K15/$M15),"")</f>
        <v/>
      </c>
      <c r="P15" s="73" t="n"/>
      <c r="Q15" s="73">
        <f>IFERROR(IF(OR($P15="",$F15=""),"",$P15/$F15),"")</f>
        <v/>
      </c>
      <c r="R15" s="75">
        <f>IFERROR(IF(OR($K15="",$P15=""),"",$K15/$P15),"")</f>
        <v/>
      </c>
      <c r="S15" s="73" t="n"/>
      <c r="T15" s="73">
        <f>IFERROR(IF(OR($S15="",$F15=""),"",$S15/$F15),"")</f>
        <v/>
      </c>
      <c r="U15" s="75">
        <f>IFERROR(IF(OR($K15="",$S15=""),"",$K15/$S15),"")</f>
        <v/>
      </c>
      <c r="V15" s="90">
        <f>IFERROR(IF(OR($U15="",$R15=""),"",($U15-$R15)*10000),"")</f>
        <v/>
      </c>
      <c r="W15" s="70">
        <f>IFERROR(IF(OR($P15="",$M15=""),"",IF($P15=$M15,"No","Yes")),"")</f>
        <v/>
      </c>
      <c r="X15" s="71" t="n"/>
      <c r="Y15" s="71" t="n"/>
      <c r="Z15" s="89">
        <f>IFERROR(IF(OR($X15="",$Y15=""),"",$X15-$Y15),"")</f>
        <v/>
      </c>
      <c r="AA15" s="67" t="n"/>
      <c r="AB15" s="67" t="n"/>
      <c r="AC15" s="68" t="n"/>
      <c r="AD15" s="67" t="n"/>
      <c r="AE15" s="67" t="n"/>
      <c r="AF15" s="67" t="n"/>
      <c r="AG15" s="67" t="n"/>
      <c r="AH15" s="67" t="n"/>
    </row>
    <row r="16" ht="15" customHeight="1" s="46">
      <c r="A16" s="60">
        <f>IFERROR(ROW()-5,"")</f>
        <v/>
      </c>
      <c r="B16" s="61" t="n"/>
      <c r="C16" s="61" t="n"/>
      <c r="D16" s="61" t="n"/>
      <c r="E16" s="61" t="n"/>
      <c r="F16" s="60" t="n"/>
      <c r="G16" s="61" t="n"/>
      <c r="H16" s="61" t="n"/>
      <c r="I16" s="62" t="n"/>
      <c r="J16" s="63">
        <f>IFERROR(IF(OR($I16="",$X16=""),"",($I16-$X16)/365.25),"")</f>
        <v/>
      </c>
      <c r="K16" s="64" t="n"/>
      <c r="L16" s="65">
        <f>IFERROR(IF(OR($K16="",$F16=""),"",$K16/$F16),"")</f>
        <v/>
      </c>
      <c r="M16" s="64" t="n"/>
      <c r="N16" s="64">
        <f>IFERROR(IF(OR($M16="",$F16=""),"",$M16/$F16),"")</f>
        <v/>
      </c>
      <c r="O16" s="66">
        <f>IFERROR(IF(OR($K16="",$M16=""),"",$K16/$M16),"")</f>
        <v/>
      </c>
      <c r="P16" s="64" t="n"/>
      <c r="Q16" s="64">
        <f>IFERROR(IF(OR($P16="",$F16=""),"",$P16/$F16),"")</f>
        <v/>
      </c>
      <c r="R16" s="66">
        <f>IFERROR(IF(OR($K16="",$P16=""),"",$K16/$P16),"")</f>
        <v/>
      </c>
      <c r="S16" s="64" t="n"/>
      <c r="T16" s="64">
        <f>IFERROR(IF(OR($S16="",$F16=""),"",$S16/$F16),"")</f>
        <v/>
      </c>
      <c r="U16" s="66">
        <f>IFERROR(IF(OR($K16="",$S16=""),"",$K16/$S16),"")</f>
        <v/>
      </c>
      <c r="V16" s="88">
        <f>IFERROR(IF(OR($U16="",$R16=""),"",($U16-$R16)*10000),"")</f>
        <v/>
      </c>
      <c r="W16" s="61">
        <f>IFERROR(IF(OR($P16="",$M16=""),"",IF($P16=$M16,"No","Yes")),"")</f>
        <v/>
      </c>
      <c r="X16" s="62" t="n"/>
      <c r="Y16" s="62" t="n"/>
      <c r="Z16" s="89">
        <f>IFERROR(IF(OR($X16="",$Y16=""),"",$X16-$Y16),"")</f>
        <v/>
      </c>
      <c r="AA16" s="67" t="n"/>
      <c r="AB16" s="67" t="n"/>
      <c r="AC16" s="68" t="n"/>
      <c r="AD16" s="67" t="n"/>
      <c r="AE16" s="67" t="n"/>
      <c r="AF16" s="67" t="n"/>
      <c r="AG16" s="67" t="n"/>
      <c r="AH16" s="67" t="n"/>
    </row>
    <row r="17" ht="15" customHeight="1" s="46">
      <c r="A17" s="69">
        <f>IFERROR(ROW()-5,"")</f>
        <v/>
      </c>
      <c r="B17" s="70" t="n"/>
      <c r="C17" s="70" t="n"/>
      <c r="D17" s="70" t="n"/>
      <c r="E17" s="70" t="n"/>
      <c r="F17" s="69" t="n"/>
      <c r="G17" s="70" t="n"/>
      <c r="H17" s="70" t="n"/>
      <c r="I17" s="71" t="n"/>
      <c r="J17" s="72">
        <f>IFERROR(IF(OR($I17="",$X17=""),"",($I17-$X17)/365.25),"")</f>
        <v/>
      </c>
      <c r="K17" s="73" t="n"/>
      <c r="L17" s="74">
        <f>IFERROR(IF(OR($K17="",$F17=""),"",$K17/$F17),"")</f>
        <v/>
      </c>
      <c r="M17" s="73" t="n"/>
      <c r="N17" s="73">
        <f>IFERROR(IF(OR($M17="",$F17=""),"",$M17/$F17),"")</f>
        <v/>
      </c>
      <c r="O17" s="75">
        <f>IFERROR(IF(OR($K17="",$M17=""),"",$K17/$M17),"")</f>
        <v/>
      </c>
      <c r="P17" s="73" t="n"/>
      <c r="Q17" s="73">
        <f>IFERROR(IF(OR($P17="",$F17=""),"",$P17/$F17),"")</f>
        <v/>
      </c>
      <c r="R17" s="75">
        <f>IFERROR(IF(OR($K17="",$P17=""),"",$K17/$P17),"")</f>
        <v/>
      </c>
      <c r="S17" s="73" t="n"/>
      <c r="T17" s="73">
        <f>IFERROR(IF(OR($S17="",$F17=""),"",$S17/$F17),"")</f>
        <v/>
      </c>
      <c r="U17" s="75">
        <f>IFERROR(IF(OR($K17="",$S17=""),"",$K17/$S17),"")</f>
        <v/>
      </c>
      <c r="V17" s="90">
        <f>IFERROR(IF(OR($U17="",$R17=""),"",($U17-$R17)*10000),"")</f>
        <v/>
      </c>
      <c r="W17" s="70">
        <f>IFERROR(IF(OR($P17="",$M17=""),"",IF($P17=$M17,"No","Yes")),"")</f>
        <v/>
      </c>
      <c r="X17" s="71" t="n"/>
      <c r="Y17" s="71" t="n"/>
      <c r="Z17" s="89">
        <f>IFERROR(IF(OR($X17="",$Y17=""),"",$X17-$Y17),"")</f>
        <v/>
      </c>
      <c r="AA17" s="67" t="n"/>
      <c r="AB17" s="67" t="n"/>
      <c r="AC17" s="68" t="n"/>
      <c r="AD17" s="67" t="n"/>
      <c r="AE17" s="67" t="n"/>
      <c r="AF17" s="67" t="n"/>
      <c r="AG17" s="67" t="n"/>
      <c r="AH17" s="67" t="n"/>
    </row>
    <row r="18" ht="15" customHeight="1" s="46">
      <c r="A18" s="60">
        <f>IFERROR(ROW()-5,"")</f>
        <v/>
      </c>
      <c r="B18" s="61" t="n"/>
      <c r="C18" s="61" t="n"/>
      <c r="D18" s="61" t="n"/>
      <c r="E18" s="61" t="n"/>
      <c r="F18" s="60" t="n"/>
      <c r="G18" s="61" t="n"/>
      <c r="H18" s="61" t="n"/>
      <c r="I18" s="62" t="n"/>
      <c r="J18" s="63">
        <f>IFERROR(IF(OR($I18="",$X18=""),"",($I18-$X18)/365.25),"")</f>
        <v/>
      </c>
      <c r="K18" s="64" t="n"/>
      <c r="L18" s="65">
        <f>IFERROR(IF(OR($K18="",$F18=""),"",$K18/$F18),"")</f>
        <v/>
      </c>
      <c r="M18" s="64" t="n"/>
      <c r="N18" s="64">
        <f>IFERROR(IF(OR($M18="",$F18=""),"",$M18/$F18),"")</f>
        <v/>
      </c>
      <c r="O18" s="66">
        <f>IFERROR(IF(OR($K18="",$M18=""),"",$K18/$M18),"")</f>
        <v/>
      </c>
      <c r="P18" s="64" t="n"/>
      <c r="Q18" s="64">
        <f>IFERROR(IF(OR($P18="",$F18=""),"",$P18/$F18),"")</f>
        <v/>
      </c>
      <c r="R18" s="66">
        <f>IFERROR(IF(OR($K18="",$P18=""),"",$K18/$P18),"")</f>
        <v/>
      </c>
      <c r="S18" s="64" t="n"/>
      <c r="T18" s="64">
        <f>IFERROR(IF(OR($S18="",$F18=""),"",$S18/$F18),"")</f>
        <v/>
      </c>
      <c r="U18" s="66">
        <f>IFERROR(IF(OR($K18="",$S18=""),"",$K18/$S18),"")</f>
        <v/>
      </c>
      <c r="V18" s="88">
        <f>IFERROR(IF(OR($U18="",$R18=""),"",($U18-$R18)*10000),"")</f>
        <v/>
      </c>
      <c r="W18" s="61">
        <f>IFERROR(IF(OR($P18="",$M18=""),"",IF($P18=$M18,"No","Yes")),"")</f>
        <v/>
      </c>
      <c r="X18" s="62" t="n"/>
      <c r="Y18" s="62" t="n"/>
      <c r="Z18" s="89">
        <f>IFERROR(IF(OR($X18="",$Y18=""),"",$X18-$Y18),"")</f>
        <v/>
      </c>
      <c r="AA18" s="67" t="n"/>
      <c r="AB18" s="67" t="n"/>
      <c r="AC18" s="68" t="n"/>
      <c r="AD18" s="67" t="n"/>
      <c r="AE18" s="67" t="n"/>
      <c r="AF18" s="67" t="n"/>
      <c r="AG18" s="67" t="n"/>
      <c r="AH18" s="67" t="n"/>
    </row>
    <row r="19" ht="15" customHeight="1" s="46">
      <c r="A19" s="69">
        <f>IFERROR(ROW()-5,"")</f>
        <v/>
      </c>
      <c r="B19" s="70" t="n"/>
      <c r="C19" s="70" t="n"/>
      <c r="D19" s="70" t="n"/>
      <c r="E19" s="70" t="n"/>
      <c r="F19" s="69" t="n"/>
      <c r="G19" s="70" t="n"/>
      <c r="H19" s="70" t="n"/>
      <c r="I19" s="71" t="n"/>
      <c r="J19" s="72">
        <f>IFERROR(IF(OR($I19="",$X19=""),"",($I19-$X19)/365.25),"")</f>
        <v/>
      </c>
      <c r="K19" s="73" t="n"/>
      <c r="L19" s="74">
        <f>IFERROR(IF(OR($K19="",$F19=""),"",$K19/$F19),"")</f>
        <v/>
      </c>
      <c r="M19" s="73" t="n"/>
      <c r="N19" s="73">
        <f>IFERROR(IF(OR($M19="",$F19=""),"",$M19/$F19),"")</f>
        <v/>
      </c>
      <c r="O19" s="75">
        <f>IFERROR(IF(OR($K19="",$M19=""),"",$K19/$M19),"")</f>
        <v/>
      </c>
      <c r="P19" s="73" t="n"/>
      <c r="Q19" s="73">
        <f>IFERROR(IF(OR($P19="",$F19=""),"",$P19/$F19),"")</f>
        <v/>
      </c>
      <c r="R19" s="75">
        <f>IFERROR(IF(OR($K19="",$P19=""),"",$K19/$P19),"")</f>
        <v/>
      </c>
      <c r="S19" s="73" t="n"/>
      <c r="T19" s="73">
        <f>IFERROR(IF(OR($S19="",$F19=""),"",$S19/$F19),"")</f>
        <v/>
      </c>
      <c r="U19" s="75">
        <f>IFERROR(IF(OR($K19="",$S19=""),"",$K19/$S19),"")</f>
        <v/>
      </c>
      <c r="V19" s="90">
        <f>IFERROR(IF(OR($U19="",$R19=""),"",($U19-$R19)*10000),"")</f>
        <v/>
      </c>
      <c r="W19" s="70">
        <f>IFERROR(IF(OR($P19="",$M19=""),"",IF($P19=$M19,"No","Yes")),"")</f>
        <v/>
      </c>
      <c r="X19" s="71" t="n"/>
      <c r="Y19" s="71" t="n"/>
      <c r="Z19" s="89">
        <f>IFERROR(IF(OR($X19="",$Y19=""),"",$X19-$Y19),"")</f>
        <v/>
      </c>
      <c r="AA19" s="67" t="n"/>
      <c r="AB19" s="67" t="n"/>
      <c r="AC19" s="68" t="n"/>
      <c r="AD19" s="67" t="n"/>
      <c r="AE19" s="67" t="n"/>
      <c r="AF19" s="67" t="n"/>
      <c r="AG19" s="67" t="n"/>
      <c r="AH19" s="67" t="n"/>
    </row>
    <row r="20" ht="15" customHeight="1" s="46">
      <c r="A20" s="60">
        <f>IFERROR(ROW()-5,"")</f>
        <v/>
      </c>
      <c r="B20" s="61" t="n"/>
      <c r="C20" s="61" t="n"/>
      <c r="D20" s="61" t="n"/>
      <c r="E20" s="61" t="n"/>
      <c r="F20" s="60" t="n"/>
      <c r="G20" s="61" t="n"/>
      <c r="H20" s="61" t="n"/>
      <c r="I20" s="62" t="n"/>
      <c r="J20" s="63">
        <f>IFERROR(IF(OR($I20="",$X20=""),"",($I20-$X20)/365.25),"")</f>
        <v/>
      </c>
      <c r="K20" s="64" t="n"/>
      <c r="L20" s="65">
        <f>IFERROR(IF(OR($K20="",$F20=""),"",$K20/$F20),"")</f>
        <v/>
      </c>
      <c r="M20" s="64" t="n"/>
      <c r="N20" s="64">
        <f>IFERROR(IF(OR($M20="",$F20=""),"",$M20/$F20),"")</f>
        <v/>
      </c>
      <c r="O20" s="66">
        <f>IFERROR(IF(OR($K20="",$M20=""),"",$K20/$M20),"")</f>
        <v/>
      </c>
      <c r="P20" s="64" t="n"/>
      <c r="Q20" s="64">
        <f>IFERROR(IF(OR($P20="",$F20=""),"",$P20/$F20),"")</f>
        <v/>
      </c>
      <c r="R20" s="66">
        <f>IFERROR(IF(OR($K20="",$P20=""),"",$K20/$P20),"")</f>
        <v/>
      </c>
      <c r="S20" s="64" t="n"/>
      <c r="T20" s="64">
        <f>IFERROR(IF(OR($S20="",$F20=""),"",$S20/$F20),"")</f>
        <v/>
      </c>
      <c r="U20" s="66">
        <f>IFERROR(IF(OR($K20="",$S20=""),"",$K20/$S20),"")</f>
        <v/>
      </c>
      <c r="V20" s="88">
        <f>IFERROR(IF(OR($U20="",$R20=""),"",($U20-$R20)*10000),"")</f>
        <v/>
      </c>
      <c r="W20" s="61">
        <f>IFERROR(IF(OR($P20="",$M20=""),"",IF($P20=$M20,"No","Yes")),"")</f>
        <v/>
      </c>
      <c r="X20" s="62" t="n"/>
      <c r="Y20" s="62" t="n"/>
      <c r="Z20" s="89">
        <f>IFERROR(IF(OR($X20="",$Y20=""),"",$X20-$Y20),"")</f>
        <v/>
      </c>
      <c r="AA20" s="67" t="n"/>
      <c r="AB20" s="67" t="n"/>
      <c r="AC20" s="68" t="n"/>
      <c r="AD20" s="67" t="n"/>
      <c r="AE20" s="67" t="n"/>
      <c r="AF20" s="67" t="n"/>
      <c r="AG20" s="67" t="n"/>
      <c r="AH20" s="67" t="n"/>
    </row>
    <row r="21" ht="15" customHeight="1" s="46">
      <c r="A21" s="69">
        <f>IFERROR(ROW()-5,"")</f>
        <v/>
      </c>
      <c r="B21" s="70" t="n"/>
      <c r="C21" s="70" t="n"/>
      <c r="D21" s="70" t="n"/>
      <c r="E21" s="70" t="n"/>
      <c r="F21" s="69" t="n"/>
      <c r="G21" s="70" t="n"/>
      <c r="H21" s="70" t="n"/>
      <c r="I21" s="71" t="n"/>
      <c r="J21" s="72">
        <f>IFERROR(IF(OR($I21="",$X21=""),"",($I21-$X21)/365.25),"")</f>
        <v/>
      </c>
      <c r="K21" s="73" t="n"/>
      <c r="L21" s="74">
        <f>IFERROR(IF(OR($K21="",$F21=""),"",$K21/$F21),"")</f>
        <v/>
      </c>
      <c r="M21" s="73" t="n"/>
      <c r="N21" s="73">
        <f>IFERROR(IF(OR($M21="",$F21=""),"",$M21/$F21),"")</f>
        <v/>
      </c>
      <c r="O21" s="75">
        <f>IFERROR(IF(OR($K21="",$M21=""),"",$K21/$M21),"")</f>
        <v/>
      </c>
      <c r="P21" s="73" t="n"/>
      <c r="Q21" s="73">
        <f>IFERROR(IF(OR($P21="",$F21=""),"",$P21/$F21),"")</f>
        <v/>
      </c>
      <c r="R21" s="75">
        <f>IFERROR(IF(OR($K21="",$P21=""),"",$K21/$P21),"")</f>
        <v/>
      </c>
      <c r="S21" s="73" t="n"/>
      <c r="T21" s="73">
        <f>IFERROR(IF(OR($S21="",$F21=""),"",$S21/$F21),"")</f>
        <v/>
      </c>
      <c r="U21" s="75">
        <f>IFERROR(IF(OR($K21="",$S21=""),"",$K21/$S21),"")</f>
        <v/>
      </c>
      <c r="V21" s="90">
        <f>IFERROR(IF(OR($U21="",$R21=""),"",($U21-$R21)*10000),"")</f>
        <v/>
      </c>
      <c r="W21" s="70">
        <f>IFERROR(IF(OR($P21="",$M21=""),"",IF($P21=$M21,"No","Yes")),"")</f>
        <v/>
      </c>
      <c r="X21" s="71" t="n"/>
      <c r="Y21" s="71" t="n"/>
      <c r="Z21" s="89">
        <f>IFERROR(IF(OR($X21="",$Y21=""),"",$X21-$Y21),"")</f>
        <v/>
      </c>
      <c r="AA21" s="67" t="n"/>
      <c r="AB21" s="67" t="n"/>
      <c r="AC21" s="68" t="n"/>
      <c r="AD21" s="67" t="n"/>
      <c r="AE21" s="67" t="n"/>
      <c r="AF21" s="67" t="n"/>
      <c r="AG21" s="67" t="n"/>
      <c r="AH21" s="67" t="n"/>
    </row>
    <row r="22" ht="15" customHeight="1" s="46">
      <c r="A22" s="60">
        <f>IFERROR(ROW()-5,"")</f>
        <v/>
      </c>
      <c r="B22" s="61" t="n"/>
      <c r="C22" s="61" t="n"/>
      <c r="D22" s="61" t="n"/>
      <c r="E22" s="61" t="n"/>
      <c r="F22" s="60" t="n"/>
      <c r="G22" s="61" t="n"/>
      <c r="H22" s="61" t="n"/>
      <c r="I22" s="62" t="n"/>
      <c r="J22" s="63">
        <f>IFERROR(IF(OR($I22="",$X22=""),"",($I22-$X22)/365.25),"")</f>
        <v/>
      </c>
      <c r="K22" s="64" t="n"/>
      <c r="L22" s="65">
        <f>IFERROR(IF(OR($K22="",$F22=""),"",$K22/$F22),"")</f>
        <v/>
      </c>
      <c r="M22" s="64" t="n"/>
      <c r="N22" s="64">
        <f>IFERROR(IF(OR($M22="",$F22=""),"",$M22/$F22),"")</f>
        <v/>
      </c>
      <c r="O22" s="66">
        <f>IFERROR(IF(OR($K22="",$M22=""),"",$K22/$M22),"")</f>
        <v/>
      </c>
      <c r="P22" s="64" t="n"/>
      <c r="Q22" s="64">
        <f>IFERROR(IF(OR($P22="",$F22=""),"",$P22/$F22),"")</f>
        <v/>
      </c>
      <c r="R22" s="66">
        <f>IFERROR(IF(OR($K22="",$P22=""),"",$K22/$P22),"")</f>
        <v/>
      </c>
      <c r="S22" s="64" t="n"/>
      <c r="T22" s="64">
        <f>IFERROR(IF(OR($S22="",$F22=""),"",$S22/$F22),"")</f>
        <v/>
      </c>
      <c r="U22" s="66">
        <f>IFERROR(IF(OR($K22="",$S22=""),"",$K22/$S22),"")</f>
        <v/>
      </c>
      <c r="V22" s="88">
        <f>IFERROR(IF(OR($U22="",$R22=""),"",($U22-$R22)*10000),"")</f>
        <v/>
      </c>
      <c r="W22" s="61">
        <f>IFERROR(IF(OR($P22="",$M22=""),"",IF($P22=$M22,"No","Yes")),"")</f>
        <v/>
      </c>
      <c r="X22" s="62" t="n"/>
      <c r="Y22" s="62" t="n"/>
      <c r="Z22" s="89">
        <f>IFERROR(IF(OR($X22="",$Y22=""),"",$X22-$Y22),"")</f>
        <v/>
      </c>
      <c r="AA22" s="67" t="n"/>
      <c r="AB22" s="67" t="n"/>
      <c r="AC22" s="68" t="n"/>
      <c r="AD22" s="67" t="n"/>
      <c r="AE22" s="67" t="n"/>
      <c r="AF22" s="67" t="n"/>
      <c r="AG22" s="67" t="n"/>
      <c r="AH22" s="67" t="n"/>
    </row>
    <row r="23" ht="15" customHeight="1" s="46">
      <c r="A23" s="69">
        <f>IFERROR(ROW()-5,"")</f>
        <v/>
      </c>
      <c r="B23" s="70" t="n"/>
      <c r="C23" s="70" t="n"/>
      <c r="D23" s="70" t="n"/>
      <c r="E23" s="70" t="n"/>
      <c r="F23" s="69" t="n"/>
      <c r="G23" s="70" t="n"/>
      <c r="H23" s="70" t="n"/>
      <c r="I23" s="71" t="n"/>
      <c r="J23" s="72">
        <f>IFERROR(IF(OR($I23="",$X23=""),"",($I23-$X23)/365.25),"")</f>
        <v/>
      </c>
      <c r="K23" s="73" t="n"/>
      <c r="L23" s="74">
        <f>IFERROR(IF(OR($K23="",$F23=""),"",$K23/$F23),"")</f>
        <v/>
      </c>
      <c r="M23" s="73" t="n"/>
      <c r="N23" s="73">
        <f>IFERROR(IF(OR($M23="",$F23=""),"",$M23/$F23),"")</f>
        <v/>
      </c>
      <c r="O23" s="75">
        <f>IFERROR(IF(OR($K23="",$M23=""),"",$K23/$M23),"")</f>
        <v/>
      </c>
      <c r="P23" s="73" t="n"/>
      <c r="Q23" s="73">
        <f>IFERROR(IF(OR($P23="",$F23=""),"",$P23/$F23),"")</f>
        <v/>
      </c>
      <c r="R23" s="75">
        <f>IFERROR(IF(OR($K23="",$P23=""),"",$K23/$P23),"")</f>
        <v/>
      </c>
      <c r="S23" s="73" t="n"/>
      <c r="T23" s="73">
        <f>IFERROR(IF(OR($S23="",$F23=""),"",$S23/$F23),"")</f>
        <v/>
      </c>
      <c r="U23" s="75">
        <f>IFERROR(IF(OR($K23="",$S23=""),"",$K23/$S23),"")</f>
        <v/>
      </c>
      <c r="V23" s="90">
        <f>IFERROR(IF(OR($U23="",$R23=""),"",($U23-$R23)*10000),"")</f>
        <v/>
      </c>
      <c r="W23" s="70">
        <f>IFERROR(IF(OR($P23="",$M23=""),"",IF($P23=$M23,"No","Yes")),"")</f>
        <v/>
      </c>
      <c r="X23" s="71" t="n"/>
      <c r="Y23" s="71" t="n"/>
      <c r="Z23" s="89">
        <f>IFERROR(IF(OR($X23="",$Y23=""),"",$X23-$Y23),"")</f>
        <v/>
      </c>
      <c r="AA23" s="67" t="n"/>
      <c r="AB23" s="67" t="n"/>
      <c r="AC23" s="68" t="n"/>
      <c r="AD23" s="67" t="n"/>
      <c r="AE23" s="67" t="n"/>
      <c r="AF23" s="67" t="n"/>
      <c r="AG23" s="67" t="n"/>
      <c r="AH23" s="67" t="n"/>
    </row>
    <row r="24" ht="15" customHeight="1" s="46">
      <c r="A24" s="60">
        <f>IFERROR(ROW()-5,"")</f>
        <v/>
      </c>
      <c r="B24" s="61" t="n"/>
      <c r="C24" s="61" t="n"/>
      <c r="D24" s="61" t="n"/>
      <c r="E24" s="61" t="n"/>
      <c r="F24" s="60" t="n"/>
      <c r="G24" s="61" t="n"/>
      <c r="H24" s="61" t="n"/>
      <c r="I24" s="62" t="n"/>
      <c r="J24" s="63">
        <f>IFERROR(IF(OR($I24="",$X24=""),"",($I24-$X24)/365.25),"")</f>
        <v/>
      </c>
      <c r="K24" s="64" t="n"/>
      <c r="L24" s="65">
        <f>IFERROR(IF(OR($K24="",$F24=""),"",$K24/$F24),"")</f>
        <v/>
      </c>
      <c r="M24" s="64" t="n"/>
      <c r="N24" s="64">
        <f>IFERROR(IF(OR($M24="",$F24=""),"",$M24/$F24),"")</f>
        <v/>
      </c>
      <c r="O24" s="66">
        <f>IFERROR(IF(OR($K24="",$M24=""),"",$K24/$M24),"")</f>
        <v/>
      </c>
      <c r="P24" s="64" t="n"/>
      <c r="Q24" s="64">
        <f>IFERROR(IF(OR($P24="",$F24=""),"",$P24/$F24),"")</f>
        <v/>
      </c>
      <c r="R24" s="66">
        <f>IFERROR(IF(OR($K24="",$P24=""),"",$K24/$P24),"")</f>
        <v/>
      </c>
      <c r="S24" s="64" t="n"/>
      <c r="T24" s="64">
        <f>IFERROR(IF(OR($S24="",$F24=""),"",$S24/$F24),"")</f>
        <v/>
      </c>
      <c r="U24" s="66">
        <f>IFERROR(IF(OR($K24="",$S24=""),"",$K24/$S24),"")</f>
        <v/>
      </c>
      <c r="V24" s="88">
        <f>IFERROR(IF(OR($U24="",$R24=""),"",($U24-$R24)*10000),"")</f>
        <v/>
      </c>
      <c r="W24" s="61">
        <f>IFERROR(IF(OR($P24="",$M24=""),"",IF($P24=$M24,"No","Yes")),"")</f>
        <v/>
      </c>
      <c r="X24" s="62" t="n"/>
      <c r="Y24" s="62" t="n"/>
      <c r="Z24" s="89">
        <f>IFERROR(IF(OR($X24="",$Y24=""),"",$X24-$Y24),"")</f>
        <v/>
      </c>
      <c r="AA24" s="67" t="n"/>
      <c r="AB24" s="67" t="n"/>
      <c r="AC24" s="68" t="n"/>
      <c r="AD24" s="67" t="n"/>
      <c r="AE24" s="67" t="n"/>
      <c r="AF24" s="67" t="n"/>
      <c r="AG24" s="67" t="n"/>
      <c r="AH24" s="67" t="n"/>
    </row>
    <row r="25" ht="15" customHeight="1" s="46">
      <c r="A25" s="69">
        <f>IFERROR(ROW()-5,"")</f>
        <v/>
      </c>
      <c r="B25" s="70" t="n"/>
      <c r="C25" s="70" t="n"/>
      <c r="D25" s="70" t="n"/>
      <c r="E25" s="70" t="n"/>
      <c r="F25" s="69" t="n"/>
      <c r="G25" s="70" t="n"/>
      <c r="H25" s="70" t="n"/>
      <c r="I25" s="71" t="n"/>
      <c r="J25" s="72">
        <f>IFERROR(IF(OR($I25="",$X25=""),"",($I25-$X25)/365.25),"")</f>
        <v/>
      </c>
      <c r="K25" s="73" t="n"/>
      <c r="L25" s="74">
        <f>IFERROR(IF(OR($K25="",$F25=""),"",$K25/$F25),"")</f>
        <v/>
      </c>
      <c r="M25" s="73" t="n"/>
      <c r="N25" s="73">
        <f>IFERROR(IF(OR($M25="",$F25=""),"",$M25/$F25),"")</f>
        <v/>
      </c>
      <c r="O25" s="75">
        <f>IFERROR(IF(OR($K25="",$M25=""),"",$K25/$M25),"")</f>
        <v/>
      </c>
      <c r="P25" s="73" t="n"/>
      <c r="Q25" s="73">
        <f>IFERROR(IF(OR($P25="",$F25=""),"",$P25/$F25),"")</f>
        <v/>
      </c>
      <c r="R25" s="75">
        <f>IFERROR(IF(OR($K25="",$P25=""),"",$K25/$P25),"")</f>
        <v/>
      </c>
      <c r="S25" s="73" t="n"/>
      <c r="T25" s="73">
        <f>IFERROR(IF(OR($S25="",$F25=""),"",$S25/$F25),"")</f>
        <v/>
      </c>
      <c r="U25" s="75">
        <f>IFERROR(IF(OR($K25="",$S25=""),"",$K25/$S25),"")</f>
        <v/>
      </c>
      <c r="V25" s="90">
        <f>IFERROR(IF(OR($U25="",$R25=""),"",($U25-$R25)*10000),"")</f>
        <v/>
      </c>
      <c r="W25" s="70">
        <f>IFERROR(IF(OR($P25="",$M25=""),"",IF($P25=$M25,"No","Yes")),"")</f>
        <v/>
      </c>
      <c r="X25" s="71" t="n"/>
      <c r="Y25" s="71" t="n"/>
      <c r="Z25" s="89">
        <f>IFERROR(IF(OR($X25="",$Y25=""),"",$X25-$Y25),"")</f>
        <v/>
      </c>
      <c r="AA25" s="67" t="n"/>
      <c r="AB25" s="67" t="n"/>
      <c r="AC25" s="68" t="n"/>
      <c r="AD25" s="67" t="n"/>
      <c r="AE25" s="67" t="n"/>
      <c r="AF25" s="67" t="n"/>
      <c r="AG25" s="67" t="n"/>
      <c r="AH25" s="67" t="n"/>
    </row>
    <row r="26" ht="15" customHeight="1" s="46">
      <c r="A26" s="60">
        <f>IFERROR(ROW()-5,"")</f>
        <v/>
      </c>
      <c r="B26" s="61" t="n"/>
      <c r="C26" s="61" t="n"/>
      <c r="D26" s="61" t="n"/>
      <c r="E26" s="61" t="n"/>
      <c r="F26" s="60" t="n"/>
      <c r="G26" s="61" t="n"/>
      <c r="H26" s="61" t="n"/>
      <c r="I26" s="62" t="n"/>
      <c r="J26" s="63">
        <f>IFERROR(IF(OR($I26="",$X26=""),"",($I26-$X26)/365.25),"")</f>
        <v/>
      </c>
      <c r="K26" s="64" t="n"/>
      <c r="L26" s="65">
        <f>IFERROR(IF(OR($K26="",$F26=""),"",$K26/$F26),"")</f>
        <v/>
      </c>
      <c r="M26" s="64" t="n"/>
      <c r="N26" s="64">
        <f>IFERROR(IF(OR($M26="",$F26=""),"",$M26/$F26),"")</f>
        <v/>
      </c>
      <c r="O26" s="66">
        <f>IFERROR(IF(OR($K26="",$M26=""),"",$K26/$M26),"")</f>
        <v/>
      </c>
      <c r="P26" s="64" t="n"/>
      <c r="Q26" s="64">
        <f>IFERROR(IF(OR($P26="",$F26=""),"",$P26/$F26),"")</f>
        <v/>
      </c>
      <c r="R26" s="66">
        <f>IFERROR(IF(OR($K26="",$P26=""),"",$K26/$P26),"")</f>
        <v/>
      </c>
      <c r="S26" s="64" t="n"/>
      <c r="T26" s="64">
        <f>IFERROR(IF(OR($S26="",$F26=""),"",$S26/$F26),"")</f>
        <v/>
      </c>
      <c r="U26" s="66">
        <f>IFERROR(IF(OR($K26="",$S26=""),"",$K26/$S26),"")</f>
        <v/>
      </c>
      <c r="V26" s="88">
        <f>IFERROR(IF(OR($U26="",$R26=""),"",($U26-$R26)*10000),"")</f>
        <v/>
      </c>
      <c r="W26" s="61">
        <f>IFERROR(IF(OR($P26="",$M26=""),"",IF($P26=$M26,"No","Yes")),"")</f>
        <v/>
      </c>
      <c r="X26" s="62" t="n"/>
      <c r="Y26" s="62" t="n"/>
      <c r="Z26" s="89">
        <f>IFERROR(IF(OR($X26="",$Y26=""),"",$X26-$Y26),"")</f>
        <v/>
      </c>
      <c r="AA26" s="67" t="n"/>
      <c r="AB26" s="67" t="n"/>
      <c r="AC26" s="68" t="n"/>
      <c r="AD26" s="67" t="n"/>
      <c r="AE26" s="67" t="n"/>
      <c r="AF26" s="67" t="n"/>
      <c r="AG26" s="67" t="n"/>
      <c r="AH26" s="67" t="n"/>
    </row>
    <row r="27" ht="15" customHeight="1" s="46">
      <c r="A27" s="69">
        <f>IFERROR(ROW()-5,"")</f>
        <v/>
      </c>
      <c r="B27" s="70" t="n"/>
      <c r="C27" s="70" t="n"/>
      <c r="D27" s="70" t="n"/>
      <c r="E27" s="70" t="n"/>
      <c r="F27" s="69" t="n"/>
      <c r="G27" s="70" t="n"/>
      <c r="H27" s="70" t="n"/>
      <c r="I27" s="71" t="n"/>
      <c r="J27" s="72">
        <f>IFERROR(IF(OR($I27="",$X27=""),"",($I27-$X27)/365.25),"")</f>
        <v/>
      </c>
      <c r="K27" s="73" t="n"/>
      <c r="L27" s="74">
        <f>IFERROR(IF(OR($K27="",$F27=""),"",$K27/$F27),"")</f>
        <v/>
      </c>
      <c r="M27" s="73" t="n"/>
      <c r="N27" s="73">
        <f>IFERROR(IF(OR($M27="",$F27=""),"",$M27/$F27),"")</f>
        <v/>
      </c>
      <c r="O27" s="75">
        <f>IFERROR(IF(OR($K27="",$M27=""),"",$K27/$M27),"")</f>
        <v/>
      </c>
      <c r="P27" s="73" t="n"/>
      <c r="Q27" s="73">
        <f>IFERROR(IF(OR($P27="",$F27=""),"",$P27/$F27),"")</f>
        <v/>
      </c>
      <c r="R27" s="75">
        <f>IFERROR(IF(OR($K27="",$P27=""),"",$K27/$P27),"")</f>
        <v/>
      </c>
      <c r="S27" s="73" t="n"/>
      <c r="T27" s="73">
        <f>IFERROR(IF(OR($S27="",$F27=""),"",$S27/$F27),"")</f>
        <v/>
      </c>
      <c r="U27" s="75">
        <f>IFERROR(IF(OR($K27="",$S27=""),"",$K27/$S27),"")</f>
        <v/>
      </c>
      <c r="V27" s="90">
        <f>IFERROR(IF(OR($U27="",$R27=""),"",($U27-$R27)*10000),"")</f>
        <v/>
      </c>
      <c r="W27" s="70">
        <f>IFERROR(IF(OR($P27="",$M27=""),"",IF($P27=$M27,"No","Yes")),"")</f>
        <v/>
      </c>
      <c r="X27" s="71" t="n"/>
      <c r="Y27" s="71" t="n"/>
      <c r="Z27" s="89">
        <f>IFERROR(IF(OR($X27="",$Y27=""),"",$X27-$Y27),"")</f>
        <v/>
      </c>
      <c r="AA27" s="67" t="n"/>
      <c r="AB27" s="67" t="n"/>
      <c r="AC27" s="68" t="n"/>
      <c r="AD27" s="67" t="n"/>
      <c r="AE27" s="67" t="n"/>
      <c r="AF27" s="67" t="n"/>
      <c r="AG27" s="67" t="n"/>
      <c r="AH27" s="67" t="n"/>
    </row>
    <row r="28" ht="15" customHeight="1" s="46">
      <c r="A28" s="60">
        <f>IFERROR(ROW()-5,"")</f>
        <v/>
      </c>
      <c r="B28" s="61" t="n"/>
      <c r="C28" s="61" t="n"/>
      <c r="D28" s="61" t="n"/>
      <c r="E28" s="61" t="n"/>
      <c r="F28" s="60" t="n"/>
      <c r="G28" s="61" t="n"/>
      <c r="H28" s="61" t="n"/>
      <c r="I28" s="62" t="n"/>
      <c r="J28" s="63">
        <f>IFERROR(IF(OR($I28="",$X28=""),"",($I28-$X28)/365.25),"")</f>
        <v/>
      </c>
      <c r="K28" s="64" t="n"/>
      <c r="L28" s="65">
        <f>IFERROR(IF(OR($K28="",$F28=""),"",$K28/$F28),"")</f>
        <v/>
      </c>
      <c r="M28" s="64" t="n"/>
      <c r="N28" s="64">
        <f>IFERROR(IF(OR($M28="",$F28=""),"",$M28/$F28),"")</f>
        <v/>
      </c>
      <c r="O28" s="66">
        <f>IFERROR(IF(OR($K28="",$M28=""),"",$K28/$M28),"")</f>
        <v/>
      </c>
      <c r="P28" s="64" t="n"/>
      <c r="Q28" s="64">
        <f>IFERROR(IF(OR($P28="",$F28=""),"",$P28/$F28),"")</f>
        <v/>
      </c>
      <c r="R28" s="66">
        <f>IFERROR(IF(OR($K28="",$P28=""),"",$K28/$P28),"")</f>
        <v/>
      </c>
      <c r="S28" s="64" t="n"/>
      <c r="T28" s="64">
        <f>IFERROR(IF(OR($S28="",$F28=""),"",$S28/$F28),"")</f>
        <v/>
      </c>
      <c r="U28" s="66">
        <f>IFERROR(IF(OR($K28="",$S28=""),"",$K28/$S28),"")</f>
        <v/>
      </c>
      <c r="V28" s="88">
        <f>IFERROR(IF(OR($U28="",$R28=""),"",($U28-$R28)*10000),"")</f>
        <v/>
      </c>
      <c r="W28" s="61">
        <f>IFERROR(IF(OR($P28="",$M28=""),"",IF($P28=$M28,"No","Yes")),"")</f>
        <v/>
      </c>
      <c r="X28" s="62" t="n"/>
      <c r="Y28" s="62" t="n"/>
      <c r="Z28" s="89">
        <f>IFERROR(IF(OR($X28="",$Y28=""),"",$X28-$Y28),"")</f>
        <v/>
      </c>
      <c r="AA28" s="67" t="n"/>
      <c r="AB28" s="67" t="n"/>
      <c r="AC28" s="68" t="n"/>
      <c r="AD28" s="67" t="n"/>
      <c r="AE28" s="67" t="n"/>
      <c r="AF28" s="67" t="n"/>
      <c r="AG28" s="67" t="n"/>
      <c r="AH28" s="67" t="n"/>
    </row>
    <row r="29" ht="15" customHeight="1" s="46">
      <c r="A29" s="69">
        <f>IFERROR(ROW()-5,"")</f>
        <v/>
      </c>
      <c r="B29" s="70" t="n"/>
      <c r="C29" s="70" t="n"/>
      <c r="D29" s="70" t="n"/>
      <c r="E29" s="70" t="n"/>
      <c r="F29" s="69" t="n"/>
      <c r="G29" s="70" t="n"/>
      <c r="H29" s="70" t="n"/>
      <c r="I29" s="71" t="n"/>
      <c r="J29" s="72">
        <f>IFERROR(IF(OR($I29="",$X29=""),"",($I29-$X29)/365.25),"")</f>
        <v/>
      </c>
      <c r="K29" s="73" t="n"/>
      <c r="L29" s="74">
        <f>IFERROR(IF(OR($K29="",$F29=""),"",$K29/$F29),"")</f>
        <v/>
      </c>
      <c r="M29" s="73" t="n"/>
      <c r="N29" s="73">
        <f>IFERROR(IF(OR($M29="",$F29=""),"",$M29/$F29),"")</f>
        <v/>
      </c>
      <c r="O29" s="75">
        <f>IFERROR(IF(OR($K29="",$M29=""),"",$K29/$M29),"")</f>
        <v/>
      </c>
      <c r="P29" s="73" t="n"/>
      <c r="Q29" s="73">
        <f>IFERROR(IF(OR($P29="",$F29=""),"",$P29/$F29),"")</f>
        <v/>
      </c>
      <c r="R29" s="75">
        <f>IFERROR(IF(OR($K29="",$P29=""),"",$K29/$P29),"")</f>
        <v/>
      </c>
      <c r="S29" s="73" t="n"/>
      <c r="T29" s="73">
        <f>IFERROR(IF(OR($S29="",$F29=""),"",$S29/$F29),"")</f>
        <v/>
      </c>
      <c r="U29" s="75">
        <f>IFERROR(IF(OR($K29="",$S29=""),"",$K29/$S29),"")</f>
        <v/>
      </c>
      <c r="V29" s="90">
        <f>IFERROR(IF(OR($U29="",$R29=""),"",($U29-$R29)*10000),"")</f>
        <v/>
      </c>
      <c r="W29" s="70">
        <f>IFERROR(IF(OR($P29="",$M29=""),"",IF($P29=$M29,"No","Yes")),"")</f>
        <v/>
      </c>
      <c r="X29" s="71" t="n"/>
      <c r="Y29" s="71" t="n"/>
      <c r="Z29" s="89">
        <f>IFERROR(IF(OR($X29="",$Y29=""),"",$X29-$Y29),"")</f>
        <v/>
      </c>
      <c r="AA29" s="67" t="n"/>
      <c r="AB29" s="67" t="n"/>
      <c r="AC29" s="68" t="n"/>
      <c r="AD29" s="67" t="n"/>
      <c r="AE29" s="67" t="n"/>
      <c r="AF29" s="67" t="n"/>
      <c r="AG29" s="67" t="n"/>
      <c r="AH29" s="67" t="n"/>
    </row>
    <row r="30" ht="15" customHeight="1" s="46">
      <c r="A30" s="60">
        <f>IFERROR(ROW()-5,"")</f>
        <v/>
      </c>
      <c r="B30" s="61" t="n"/>
      <c r="C30" s="61" t="n"/>
      <c r="D30" s="61" t="n"/>
      <c r="E30" s="61" t="n"/>
      <c r="F30" s="60" t="n"/>
      <c r="G30" s="61" t="n"/>
      <c r="H30" s="61" t="n"/>
      <c r="I30" s="62" t="n"/>
      <c r="J30" s="63">
        <f>IFERROR(IF(OR($I30="",$X30=""),"",($I30-$X30)/365.25),"")</f>
        <v/>
      </c>
      <c r="K30" s="64" t="n"/>
      <c r="L30" s="65">
        <f>IFERROR(IF(OR($K30="",$F30=""),"",$K30/$F30),"")</f>
        <v/>
      </c>
      <c r="M30" s="64" t="n"/>
      <c r="N30" s="64">
        <f>IFERROR(IF(OR($M30="",$F30=""),"",$M30/$F30),"")</f>
        <v/>
      </c>
      <c r="O30" s="66">
        <f>IFERROR(IF(OR($K30="",$M30=""),"",$K30/$M30),"")</f>
        <v/>
      </c>
      <c r="P30" s="64" t="n"/>
      <c r="Q30" s="64">
        <f>IFERROR(IF(OR($P30="",$F30=""),"",$P30/$F30),"")</f>
        <v/>
      </c>
      <c r="R30" s="66">
        <f>IFERROR(IF(OR($K30="",$P30=""),"",$K30/$P30),"")</f>
        <v/>
      </c>
      <c r="S30" s="64" t="n"/>
      <c r="T30" s="64">
        <f>IFERROR(IF(OR($S30="",$F30=""),"",$S30/$F30),"")</f>
        <v/>
      </c>
      <c r="U30" s="66">
        <f>IFERROR(IF(OR($K30="",$S30=""),"",$K30/$S30),"")</f>
        <v/>
      </c>
      <c r="V30" s="88">
        <f>IFERROR(IF(OR($U30="",$R30=""),"",($U30-$R30)*10000),"")</f>
        <v/>
      </c>
      <c r="W30" s="61">
        <f>IFERROR(IF(OR($P30="",$M30=""),"",IF($P30=$M30,"No","Yes")),"")</f>
        <v/>
      </c>
      <c r="X30" s="62" t="n"/>
      <c r="Y30" s="62" t="n"/>
      <c r="Z30" s="89">
        <f>IFERROR(IF(OR($X30="",$Y30=""),"",$X30-$Y30),"")</f>
        <v/>
      </c>
      <c r="AA30" s="67" t="n"/>
      <c r="AB30" s="67" t="n"/>
      <c r="AC30" s="68" t="n"/>
      <c r="AD30" s="67" t="n"/>
      <c r="AE30" s="67" t="n"/>
      <c r="AF30" s="67" t="n"/>
      <c r="AG30" s="67" t="n"/>
      <c r="AH30" s="67" t="n"/>
    </row>
    <row r="31" ht="15" customHeight="1" s="46">
      <c r="A31" s="69">
        <f>IFERROR(ROW()-5,"")</f>
        <v/>
      </c>
      <c r="B31" s="70" t="n"/>
      <c r="C31" s="70" t="n"/>
      <c r="D31" s="70" t="n"/>
      <c r="E31" s="70" t="n"/>
      <c r="F31" s="69" t="n"/>
      <c r="G31" s="70" t="n"/>
      <c r="H31" s="70" t="n"/>
      <c r="I31" s="71" t="n"/>
      <c r="J31" s="72">
        <f>IFERROR(IF(OR($I31="",$X31=""),"",($I31-$X31)/365.25),"")</f>
        <v/>
      </c>
      <c r="K31" s="73" t="n"/>
      <c r="L31" s="74">
        <f>IFERROR(IF(OR($K31="",$F31=""),"",$K31/$F31),"")</f>
        <v/>
      </c>
      <c r="M31" s="73" t="n"/>
      <c r="N31" s="73">
        <f>IFERROR(IF(OR($M31="",$F31=""),"",$M31/$F31),"")</f>
        <v/>
      </c>
      <c r="O31" s="75">
        <f>IFERROR(IF(OR($K31="",$M31=""),"",$K31/$M31),"")</f>
        <v/>
      </c>
      <c r="P31" s="73" t="n"/>
      <c r="Q31" s="73">
        <f>IFERROR(IF(OR($P31="",$F31=""),"",$P31/$F31),"")</f>
        <v/>
      </c>
      <c r="R31" s="75">
        <f>IFERROR(IF(OR($K31="",$P31=""),"",$K31/$P31),"")</f>
        <v/>
      </c>
      <c r="S31" s="73" t="n"/>
      <c r="T31" s="73">
        <f>IFERROR(IF(OR($S31="",$F31=""),"",$S31/$F31),"")</f>
        <v/>
      </c>
      <c r="U31" s="75">
        <f>IFERROR(IF(OR($K31="",$S31=""),"",$K31/$S31),"")</f>
        <v/>
      </c>
      <c r="V31" s="90">
        <f>IFERROR(IF(OR($U31="",$R31=""),"",($U31-$R31)*10000),"")</f>
        <v/>
      </c>
      <c r="W31" s="70">
        <f>IFERROR(IF(OR($P31="",$M31=""),"",IF($P31=$M31,"No","Yes")),"")</f>
        <v/>
      </c>
      <c r="X31" s="71" t="n"/>
      <c r="Y31" s="71" t="n"/>
      <c r="Z31" s="89">
        <f>IFERROR(IF(OR($X31="",$Y31=""),"",$X31-$Y31),"")</f>
        <v/>
      </c>
      <c r="AA31" s="67" t="n"/>
      <c r="AB31" s="67" t="n"/>
      <c r="AC31" s="68" t="n"/>
      <c r="AD31" s="67" t="n"/>
      <c r="AE31" s="67" t="n"/>
      <c r="AF31" s="67" t="n"/>
      <c r="AG31" s="67" t="n"/>
      <c r="AH31" s="67" t="n"/>
    </row>
    <row r="32" ht="15" customHeight="1" s="46">
      <c r="A32" s="60">
        <f>IFERROR(ROW()-5,"")</f>
        <v/>
      </c>
      <c r="B32" s="61" t="n"/>
      <c r="C32" s="61" t="n"/>
      <c r="D32" s="61" t="n"/>
      <c r="E32" s="61" t="n"/>
      <c r="F32" s="60" t="n"/>
      <c r="G32" s="61" t="n"/>
      <c r="H32" s="61" t="n"/>
      <c r="I32" s="62" t="n"/>
      <c r="J32" s="63">
        <f>IFERROR(IF(OR($I32="",$X32=""),"",($I32-$X32)/365.25),"")</f>
        <v/>
      </c>
      <c r="K32" s="64" t="n"/>
      <c r="L32" s="65">
        <f>IFERROR(IF(OR($K32="",$F32=""),"",$K32/$F32),"")</f>
        <v/>
      </c>
      <c r="M32" s="64" t="n"/>
      <c r="N32" s="64">
        <f>IFERROR(IF(OR($M32="",$F32=""),"",$M32/$F32),"")</f>
        <v/>
      </c>
      <c r="O32" s="66">
        <f>IFERROR(IF(OR($K32="",$M32=""),"",$K32/$M32),"")</f>
        <v/>
      </c>
      <c r="P32" s="64" t="n"/>
      <c r="Q32" s="64">
        <f>IFERROR(IF(OR($P32="",$F32=""),"",$P32/$F32),"")</f>
        <v/>
      </c>
      <c r="R32" s="66">
        <f>IFERROR(IF(OR($K32="",$P32=""),"",$K32/$P32),"")</f>
        <v/>
      </c>
      <c r="S32" s="64" t="n"/>
      <c r="T32" s="64">
        <f>IFERROR(IF(OR($S32="",$F32=""),"",$S32/$F32),"")</f>
        <v/>
      </c>
      <c r="U32" s="66">
        <f>IFERROR(IF(OR($K32="",$S32=""),"",$K32/$S32),"")</f>
        <v/>
      </c>
      <c r="V32" s="88">
        <f>IFERROR(IF(OR($U32="",$R32=""),"",($U32-$R32)*10000),"")</f>
        <v/>
      </c>
      <c r="W32" s="61">
        <f>IFERROR(IF(OR($P32="",$M32=""),"",IF($P32=$M32,"No","Yes")),"")</f>
        <v/>
      </c>
      <c r="X32" s="62" t="n"/>
      <c r="Y32" s="62" t="n"/>
      <c r="Z32" s="89">
        <f>IFERROR(IF(OR($X32="",$Y32=""),"",$X32-$Y32),"")</f>
        <v/>
      </c>
      <c r="AA32" s="67" t="n"/>
      <c r="AB32" s="67" t="n"/>
      <c r="AC32" s="68" t="n"/>
      <c r="AD32" s="67" t="n"/>
      <c r="AE32" s="67" t="n"/>
      <c r="AF32" s="67" t="n"/>
      <c r="AG32" s="67" t="n"/>
      <c r="AH32" s="67" t="n"/>
    </row>
    <row r="33" ht="15" customHeight="1" s="46">
      <c r="A33" s="69">
        <f>IFERROR(ROW()-5,"")</f>
        <v/>
      </c>
      <c r="B33" s="70" t="n"/>
      <c r="C33" s="70" t="n"/>
      <c r="D33" s="70" t="n"/>
      <c r="E33" s="70" t="n"/>
      <c r="F33" s="69" t="n"/>
      <c r="G33" s="70" t="n"/>
      <c r="H33" s="70" t="n"/>
      <c r="I33" s="71" t="n"/>
      <c r="J33" s="72">
        <f>IFERROR(IF(OR($I33="",$X33=""),"",($I33-$X33)/365.25),"")</f>
        <v/>
      </c>
      <c r="K33" s="73" t="n"/>
      <c r="L33" s="74">
        <f>IFERROR(IF(OR($K33="",$F33=""),"",$K33/$F33),"")</f>
        <v/>
      </c>
      <c r="M33" s="73" t="n"/>
      <c r="N33" s="73">
        <f>IFERROR(IF(OR($M33="",$F33=""),"",$M33/$F33),"")</f>
        <v/>
      </c>
      <c r="O33" s="75">
        <f>IFERROR(IF(OR($K33="",$M33=""),"",$K33/$M33),"")</f>
        <v/>
      </c>
      <c r="P33" s="73" t="n"/>
      <c r="Q33" s="73">
        <f>IFERROR(IF(OR($P33="",$F33=""),"",$P33/$F33),"")</f>
        <v/>
      </c>
      <c r="R33" s="75">
        <f>IFERROR(IF(OR($K33="",$P33=""),"",$K33/$P33),"")</f>
        <v/>
      </c>
      <c r="S33" s="73" t="n"/>
      <c r="T33" s="73">
        <f>IFERROR(IF(OR($S33="",$F33=""),"",$S33/$F33),"")</f>
        <v/>
      </c>
      <c r="U33" s="75">
        <f>IFERROR(IF(OR($K33="",$S33=""),"",$K33/$S33),"")</f>
        <v/>
      </c>
      <c r="V33" s="90">
        <f>IFERROR(IF(OR($U33="",$R33=""),"",($U33-$R33)*10000),"")</f>
        <v/>
      </c>
      <c r="W33" s="70">
        <f>IFERROR(IF(OR($P33="",$M33=""),"",IF($P33=$M33,"No","Yes")),"")</f>
        <v/>
      </c>
      <c r="X33" s="71" t="n"/>
      <c r="Y33" s="71" t="n"/>
      <c r="Z33" s="89">
        <f>IFERROR(IF(OR($X33="",$Y33=""),"",$X33-$Y33),"")</f>
        <v/>
      </c>
      <c r="AA33" s="67" t="n"/>
      <c r="AB33" s="67" t="n"/>
      <c r="AC33" s="68" t="n"/>
      <c r="AD33" s="67" t="n"/>
      <c r="AE33" s="67" t="n"/>
      <c r="AF33" s="67" t="n"/>
      <c r="AG33" s="67" t="n"/>
      <c r="AH33" s="67" t="n"/>
    </row>
    <row r="34" ht="15" customHeight="1" s="46">
      <c r="A34" s="60">
        <f>IFERROR(ROW()-5,"")</f>
        <v/>
      </c>
      <c r="B34" s="61" t="n"/>
      <c r="C34" s="61" t="n"/>
      <c r="D34" s="61" t="n"/>
      <c r="E34" s="61" t="n"/>
      <c r="F34" s="60" t="n"/>
      <c r="G34" s="61" t="n"/>
      <c r="H34" s="61" t="n"/>
      <c r="I34" s="62" t="n"/>
      <c r="J34" s="63">
        <f>IFERROR(IF(OR($I34="",$X34=""),"",($I34-$X34)/365.25),"")</f>
        <v/>
      </c>
      <c r="K34" s="64" t="n"/>
      <c r="L34" s="65">
        <f>IFERROR(IF(OR($K34="",$F34=""),"",$K34/$F34),"")</f>
        <v/>
      </c>
      <c r="M34" s="64" t="n"/>
      <c r="N34" s="64">
        <f>IFERROR(IF(OR($M34="",$F34=""),"",$M34/$F34),"")</f>
        <v/>
      </c>
      <c r="O34" s="66">
        <f>IFERROR(IF(OR($K34="",$M34=""),"",$K34/$M34),"")</f>
        <v/>
      </c>
      <c r="P34" s="64" t="n"/>
      <c r="Q34" s="64">
        <f>IFERROR(IF(OR($P34="",$F34=""),"",$P34/$F34),"")</f>
        <v/>
      </c>
      <c r="R34" s="66">
        <f>IFERROR(IF(OR($K34="",$P34=""),"",$K34/$P34),"")</f>
        <v/>
      </c>
      <c r="S34" s="64" t="n"/>
      <c r="T34" s="64">
        <f>IFERROR(IF(OR($S34="",$F34=""),"",$S34/$F34),"")</f>
        <v/>
      </c>
      <c r="U34" s="66">
        <f>IFERROR(IF(OR($K34="",$S34=""),"",$K34/$S34),"")</f>
        <v/>
      </c>
      <c r="V34" s="88">
        <f>IFERROR(IF(OR($U34="",$R34=""),"",($U34-$R34)*10000),"")</f>
        <v/>
      </c>
      <c r="W34" s="61">
        <f>IFERROR(IF(OR($P34="",$M34=""),"",IF($P34=$M34,"No","Yes")),"")</f>
        <v/>
      </c>
      <c r="X34" s="62" t="n"/>
      <c r="Y34" s="62" t="n"/>
      <c r="Z34" s="89">
        <f>IFERROR(IF(OR($X34="",$Y34=""),"",$X34-$Y34),"")</f>
        <v/>
      </c>
      <c r="AA34" s="67" t="n"/>
      <c r="AB34" s="67" t="n"/>
      <c r="AC34" s="68" t="n"/>
      <c r="AD34" s="67" t="n"/>
      <c r="AE34" s="67" t="n"/>
      <c r="AF34" s="67" t="n"/>
      <c r="AG34" s="67" t="n"/>
      <c r="AH34" s="67" t="n"/>
    </row>
    <row r="35" ht="15" customHeight="1" s="46">
      <c r="A35" s="69">
        <f>IFERROR(ROW()-5,"")</f>
        <v/>
      </c>
      <c r="B35" s="70" t="n"/>
      <c r="C35" s="70" t="n"/>
      <c r="D35" s="70" t="n"/>
      <c r="E35" s="70" t="n"/>
      <c r="F35" s="69" t="n"/>
      <c r="G35" s="70" t="n"/>
      <c r="H35" s="70" t="n"/>
      <c r="I35" s="71" t="n"/>
      <c r="J35" s="72">
        <f>IFERROR(IF(OR($I35="",$X35=""),"",($I35-$X35)/365.25),"")</f>
        <v/>
      </c>
      <c r="K35" s="73" t="n"/>
      <c r="L35" s="74">
        <f>IFERROR(IF(OR($K35="",$F35=""),"",$K35/$F35),"")</f>
        <v/>
      </c>
      <c r="M35" s="73" t="n"/>
      <c r="N35" s="73">
        <f>IFERROR(IF(OR($M35="",$F35=""),"",$M35/$F35),"")</f>
        <v/>
      </c>
      <c r="O35" s="75">
        <f>IFERROR(IF(OR($K35="",$M35=""),"",$K35/$M35),"")</f>
        <v/>
      </c>
      <c r="P35" s="73" t="n"/>
      <c r="Q35" s="73">
        <f>IFERROR(IF(OR($P35="",$F35=""),"",$P35/$F35),"")</f>
        <v/>
      </c>
      <c r="R35" s="75">
        <f>IFERROR(IF(OR($K35="",$P35=""),"",$K35/$P35),"")</f>
        <v/>
      </c>
      <c r="S35" s="73" t="n"/>
      <c r="T35" s="73">
        <f>IFERROR(IF(OR($S35="",$F35=""),"",$S35/$F35),"")</f>
        <v/>
      </c>
      <c r="U35" s="75">
        <f>IFERROR(IF(OR($K35="",$S35=""),"",$K35/$S35),"")</f>
        <v/>
      </c>
      <c r="V35" s="90">
        <f>IFERROR(IF(OR($U35="",$R35=""),"",($U35-$R35)*10000),"")</f>
        <v/>
      </c>
      <c r="W35" s="70">
        <f>IFERROR(IF(OR($P35="",$M35=""),"",IF($P35=$M35,"No","Yes")),"")</f>
        <v/>
      </c>
      <c r="X35" s="71" t="n"/>
      <c r="Y35" s="71" t="n"/>
      <c r="Z35" s="89">
        <f>IFERROR(IF(OR($X35="",$Y35=""),"",$X35-$Y35),"")</f>
        <v/>
      </c>
      <c r="AA35" s="67" t="n"/>
      <c r="AB35" s="67" t="n"/>
      <c r="AC35" s="68" t="n"/>
      <c r="AD35" s="67" t="n"/>
      <c r="AE35" s="67" t="n"/>
      <c r="AF35" s="67" t="n"/>
      <c r="AG35" s="67" t="n"/>
      <c r="AH35" s="67" t="n"/>
    </row>
    <row r="36" ht="15" customHeight="1" s="46">
      <c r="A36" s="60">
        <f>IFERROR(ROW()-5,"")</f>
        <v/>
      </c>
      <c r="B36" s="61" t="n"/>
      <c r="C36" s="61" t="n"/>
      <c r="D36" s="61" t="n"/>
      <c r="E36" s="61" t="n"/>
      <c r="F36" s="60" t="n"/>
      <c r="G36" s="61" t="n"/>
      <c r="H36" s="61" t="n"/>
      <c r="I36" s="62" t="n"/>
      <c r="J36" s="63">
        <f>IFERROR(IF(OR($I36="",$X36=""),"",($I36-$X36)/365.25),"")</f>
        <v/>
      </c>
      <c r="K36" s="64" t="n"/>
      <c r="L36" s="65">
        <f>IFERROR(IF(OR($K36="",$F36=""),"",$K36/$F36),"")</f>
        <v/>
      </c>
      <c r="M36" s="64" t="n"/>
      <c r="N36" s="64">
        <f>IFERROR(IF(OR($M36="",$F36=""),"",$M36/$F36),"")</f>
        <v/>
      </c>
      <c r="O36" s="66">
        <f>IFERROR(IF(OR($K36="",$M36=""),"",$K36/$M36),"")</f>
        <v/>
      </c>
      <c r="P36" s="64" t="n"/>
      <c r="Q36" s="64">
        <f>IFERROR(IF(OR($P36="",$F36=""),"",$P36/$F36),"")</f>
        <v/>
      </c>
      <c r="R36" s="66">
        <f>IFERROR(IF(OR($K36="",$P36=""),"",$K36/$P36),"")</f>
        <v/>
      </c>
      <c r="S36" s="64" t="n"/>
      <c r="T36" s="64">
        <f>IFERROR(IF(OR($S36="",$F36=""),"",$S36/$F36),"")</f>
        <v/>
      </c>
      <c r="U36" s="66">
        <f>IFERROR(IF(OR($K36="",$S36=""),"",$K36/$S36),"")</f>
        <v/>
      </c>
      <c r="V36" s="88">
        <f>IFERROR(IF(OR($U36="",$R36=""),"",($U36-$R36)*10000),"")</f>
        <v/>
      </c>
      <c r="W36" s="61">
        <f>IFERROR(IF(OR($P36="",$M36=""),"",IF($P36=$M36,"No","Yes")),"")</f>
        <v/>
      </c>
      <c r="X36" s="62" t="n"/>
      <c r="Y36" s="62" t="n"/>
      <c r="Z36" s="89">
        <f>IFERROR(IF(OR($X36="",$Y36=""),"",$X36-$Y36),"")</f>
        <v/>
      </c>
      <c r="AA36" s="67" t="n"/>
      <c r="AB36" s="67" t="n"/>
      <c r="AC36" s="68" t="n"/>
      <c r="AD36" s="67" t="n"/>
      <c r="AE36" s="67" t="n"/>
      <c r="AF36" s="67" t="n"/>
      <c r="AG36" s="67" t="n"/>
      <c r="AH36" s="67" t="n"/>
    </row>
    <row r="37" ht="15" customHeight="1" s="46">
      <c r="A37" s="69">
        <f>IFERROR(ROW()-5,"")</f>
        <v/>
      </c>
      <c r="B37" s="70" t="n"/>
      <c r="C37" s="70" t="n"/>
      <c r="D37" s="70" t="n"/>
      <c r="E37" s="70" t="n"/>
      <c r="F37" s="69" t="n"/>
      <c r="G37" s="70" t="n"/>
      <c r="H37" s="70" t="n"/>
      <c r="I37" s="71" t="n"/>
      <c r="J37" s="72">
        <f>IFERROR(IF(OR($I37="",$X37=""),"",($I37-$X37)/365.25),"")</f>
        <v/>
      </c>
      <c r="K37" s="73" t="n"/>
      <c r="L37" s="74">
        <f>IFERROR(IF(OR($K37="",$F37=""),"",$K37/$F37),"")</f>
        <v/>
      </c>
      <c r="M37" s="73" t="n"/>
      <c r="N37" s="73">
        <f>IFERROR(IF(OR($M37="",$F37=""),"",$M37/$F37),"")</f>
        <v/>
      </c>
      <c r="O37" s="75">
        <f>IFERROR(IF(OR($K37="",$M37=""),"",$K37/$M37),"")</f>
        <v/>
      </c>
      <c r="P37" s="73" t="n"/>
      <c r="Q37" s="73">
        <f>IFERROR(IF(OR($P37="",$F37=""),"",$P37/$F37),"")</f>
        <v/>
      </c>
      <c r="R37" s="75">
        <f>IFERROR(IF(OR($K37="",$P37=""),"",$K37/$P37),"")</f>
        <v/>
      </c>
      <c r="S37" s="73" t="n"/>
      <c r="T37" s="73">
        <f>IFERROR(IF(OR($S37="",$F37=""),"",$S37/$F37),"")</f>
        <v/>
      </c>
      <c r="U37" s="75">
        <f>IFERROR(IF(OR($K37="",$S37=""),"",$K37/$S37),"")</f>
        <v/>
      </c>
      <c r="V37" s="90">
        <f>IFERROR(IF(OR($U37="",$R37=""),"",($U37-$R37)*10000),"")</f>
        <v/>
      </c>
      <c r="W37" s="70">
        <f>IFERROR(IF(OR($P37="",$M37=""),"",IF($P37=$M37,"No","Yes")),"")</f>
        <v/>
      </c>
      <c r="X37" s="71" t="n"/>
      <c r="Y37" s="71" t="n"/>
      <c r="Z37" s="89">
        <f>IFERROR(IF(OR($X37="",$Y37=""),"",$X37-$Y37),"")</f>
        <v/>
      </c>
      <c r="AA37" s="67" t="n"/>
      <c r="AB37" s="67" t="n"/>
      <c r="AC37" s="68" t="n"/>
      <c r="AD37" s="67" t="n"/>
      <c r="AE37" s="67" t="n"/>
      <c r="AF37" s="67" t="n"/>
      <c r="AG37" s="67" t="n"/>
      <c r="AH37" s="67" t="n"/>
    </row>
    <row r="38" ht="15" customHeight="1" s="46">
      <c r="A38" s="60">
        <f>IFERROR(ROW()-5,"")</f>
        <v/>
      </c>
      <c r="B38" s="61" t="n"/>
      <c r="C38" s="61" t="n"/>
      <c r="D38" s="61" t="n"/>
      <c r="E38" s="61" t="n"/>
      <c r="F38" s="60" t="n"/>
      <c r="G38" s="61" t="n"/>
      <c r="H38" s="61" t="n"/>
      <c r="I38" s="62" t="n"/>
      <c r="J38" s="63">
        <f>IFERROR(IF(OR($I38="",$X38=""),"",($I38-$X38)/365.25),"")</f>
        <v/>
      </c>
      <c r="K38" s="64" t="n"/>
      <c r="L38" s="65">
        <f>IFERROR(IF(OR($K38="",$F38=""),"",$K38/$F38),"")</f>
        <v/>
      </c>
      <c r="M38" s="64" t="n"/>
      <c r="N38" s="64">
        <f>IFERROR(IF(OR($M38="",$F38=""),"",$M38/$F38),"")</f>
        <v/>
      </c>
      <c r="O38" s="66">
        <f>IFERROR(IF(OR($K38="",$M38=""),"",$K38/$M38),"")</f>
        <v/>
      </c>
      <c r="P38" s="64" t="n"/>
      <c r="Q38" s="64">
        <f>IFERROR(IF(OR($P38="",$F38=""),"",$P38/$F38),"")</f>
        <v/>
      </c>
      <c r="R38" s="66">
        <f>IFERROR(IF(OR($K38="",$P38=""),"",$K38/$P38),"")</f>
        <v/>
      </c>
      <c r="S38" s="64" t="n"/>
      <c r="T38" s="64">
        <f>IFERROR(IF(OR($S38="",$F38=""),"",$S38/$F38),"")</f>
        <v/>
      </c>
      <c r="U38" s="66">
        <f>IFERROR(IF(OR($K38="",$S38=""),"",$K38/$S38),"")</f>
        <v/>
      </c>
      <c r="V38" s="88">
        <f>IFERROR(IF(OR($U38="",$R38=""),"",($U38-$R38)*10000),"")</f>
        <v/>
      </c>
      <c r="W38" s="61">
        <f>IFERROR(IF(OR($P38="",$M38=""),"",IF($P38=$M38,"No","Yes")),"")</f>
        <v/>
      </c>
      <c r="X38" s="62" t="n"/>
      <c r="Y38" s="62" t="n"/>
      <c r="Z38" s="89">
        <f>IFERROR(IF(OR($X38="",$Y38=""),"",$X38-$Y38),"")</f>
        <v/>
      </c>
      <c r="AA38" s="67" t="n"/>
      <c r="AB38" s="67" t="n"/>
      <c r="AC38" s="68" t="n"/>
      <c r="AD38" s="67" t="n"/>
      <c r="AE38" s="67" t="n"/>
      <c r="AF38" s="67" t="n"/>
      <c r="AG38" s="67" t="n"/>
      <c r="AH38" s="67" t="n"/>
    </row>
    <row r="39" ht="15" customHeight="1" s="46">
      <c r="A39" s="69">
        <f>IFERROR(ROW()-5,"")</f>
        <v/>
      </c>
      <c r="B39" s="70" t="n"/>
      <c r="C39" s="70" t="n"/>
      <c r="D39" s="70" t="n"/>
      <c r="E39" s="70" t="n"/>
      <c r="F39" s="69" t="n"/>
      <c r="G39" s="70" t="n"/>
      <c r="H39" s="70" t="n"/>
      <c r="I39" s="71" t="n"/>
      <c r="J39" s="72">
        <f>IFERROR(IF(OR($I39="",$X39=""),"",($I39-$X39)/365.25),"")</f>
        <v/>
      </c>
      <c r="K39" s="73" t="n"/>
      <c r="L39" s="74">
        <f>IFERROR(IF(OR($K39="",$F39=""),"",$K39/$F39),"")</f>
        <v/>
      </c>
      <c r="M39" s="73" t="n"/>
      <c r="N39" s="73">
        <f>IFERROR(IF(OR($M39="",$F39=""),"",$M39/$F39),"")</f>
        <v/>
      </c>
      <c r="O39" s="75">
        <f>IFERROR(IF(OR($K39="",$M39=""),"",$K39/$M39),"")</f>
        <v/>
      </c>
      <c r="P39" s="73" t="n"/>
      <c r="Q39" s="73">
        <f>IFERROR(IF(OR($P39="",$F39=""),"",$P39/$F39),"")</f>
        <v/>
      </c>
      <c r="R39" s="75">
        <f>IFERROR(IF(OR($K39="",$P39=""),"",$K39/$P39),"")</f>
        <v/>
      </c>
      <c r="S39" s="73" t="n"/>
      <c r="T39" s="73">
        <f>IFERROR(IF(OR($S39="",$F39=""),"",$S39/$F39),"")</f>
        <v/>
      </c>
      <c r="U39" s="75">
        <f>IFERROR(IF(OR($K39="",$S39=""),"",$K39/$S39),"")</f>
        <v/>
      </c>
      <c r="V39" s="90">
        <f>IFERROR(IF(OR($U39="",$R39=""),"",($U39-$R39)*10000),"")</f>
        <v/>
      </c>
      <c r="W39" s="70">
        <f>IFERROR(IF(OR($P39="",$M39=""),"",IF($P39=$M39,"No","Yes")),"")</f>
        <v/>
      </c>
      <c r="X39" s="71" t="n"/>
      <c r="Y39" s="71" t="n"/>
      <c r="Z39" s="89">
        <f>IFERROR(IF(OR($X39="",$Y39=""),"",$X39-$Y39),"")</f>
        <v/>
      </c>
      <c r="AA39" s="67" t="n"/>
      <c r="AB39" s="67" t="n"/>
      <c r="AC39" s="68" t="n"/>
      <c r="AD39" s="67" t="n"/>
      <c r="AE39" s="67" t="n"/>
      <c r="AF39" s="67" t="n"/>
      <c r="AG39" s="67" t="n"/>
      <c r="AH39" s="67" t="n"/>
    </row>
    <row r="40" ht="15" customHeight="1" s="46">
      <c r="A40" s="60">
        <f>IFERROR(ROW()-5,"")</f>
        <v/>
      </c>
      <c r="B40" s="61" t="n"/>
      <c r="C40" s="61" t="n"/>
      <c r="D40" s="61" t="n"/>
      <c r="E40" s="61" t="n"/>
      <c r="F40" s="60" t="n"/>
      <c r="G40" s="61" t="n"/>
      <c r="H40" s="61" t="n"/>
      <c r="I40" s="62" t="n"/>
      <c r="J40" s="63">
        <f>IFERROR(IF(OR($I40="",$X40=""),"",($I40-$X40)/365.25),"")</f>
        <v/>
      </c>
      <c r="K40" s="64" t="n"/>
      <c r="L40" s="65">
        <f>IFERROR(IF(OR($K40="",$F40=""),"",$K40/$F40),"")</f>
        <v/>
      </c>
      <c r="M40" s="64" t="n"/>
      <c r="N40" s="64">
        <f>IFERROR(IF(OR($M40="",$F40=""),"",$M40/$F40),"")</f>
        <v/>
      </c>
      <c r="O40" s="66">
        <f>IFERROR(IF(OR($K40="",$M40=""),"",$K40/$M40),"")</f>
        <v/>
      </c>
      <c r="P40" s="64" t="n"/>
      <c r="Q40" s="64">
        <f>IFERROR(IF(OR($P40="",$F40=""),"",$P40/$F40),"")</f>
        <v/>
      </c>
      <c r="R40" s="66">
        <f>IFERROR(IF(OR($K40="",$P40=""),"",$K40/$P40),"")</f>
        <v/>
      </c>
      <c r="S40" s="64" t="n"/>
      <c r="T40" s="64">
        <f>IFERROR(IF(OR($S40="",$F40=""),"",$S40/$F40),"")</f>
        <v/>
      </c>
      <c r="U40" s="66">
        <f>IFERROR(IF(OR($K40="",$S40=""),"",$K40/$S40),"")</f>
        <v/>
      </c>
      <c r="V40" s="88">
        <f>IFERROR(IF(OR($U40="",$R40=""),"",($U40-$R40)*10000),"")</f>
        <v/>
      </c>
      <c r="W40" s="61">
        <f>IFERROR(IF(OR($P40="",$M40=""),"",IF($P40=$M40,"No","Yes")),"")</f>
        <v/>
      </c>
      <c r="X40" s="62" t="n"/>
      <c r="Y40" s="62" t="n"/>
      <c r="Z40" s="89">
        <f>IFERROR(IF(OR($X40="",$Y40=""),"",$X40-$Y40),"")</f>
        <v/>
      </c>
      <c r="AA40" s="67" t="n"/>
      <c r="AB40" s="67" t="n"/>
      <c r="AC40" s="68" t="n"/>
      <c r="AD40" s="67" t="n"/>
      <c r="AE40" s="67" t="n"/>
      <c r="AF40" s="67" t="n"/>
      <c r="AG40" s="67" t="n"/>
      <c r="AH40" s="67" t="n"/>
    </row>
    <row r="41" ht="15" customHeight="1" s="46">
      <c r="A41" s="69">
        <f>IFERROR(ROW()-5,"")</f>
        <v/>
      </c>
      <c r="B41" s="70" t="n"/>
      <c r="C41" s="70" t="n"/>
      <c r="D41" s="70" t="n"/>
      <c r="E41" s="70" t="n"/>
      <c r="F41" s="69" t="n"/>
      <c r="G41" s="70" t="n"/>
      <c r="H41" s="70" t="n"/>
      <c r="I41" s="71" t="n"/>
      <c r="J41" s="72">
        <f>IFERROR(IF(OR($I41="",$X41=""),"",($I41-$X41)/365.25),"")</f>
        <v/>
      </c>
      <c r="K41" s="73" t="n"/>
      <c r="L41" s="74">
        <f>IFERROR(IF(OR($K41="",$F41=""),"",$K41/$F41),"")</f>
        <v/>
      </c>
      <c r="M41" s="73" t="n"/>
      <c r="N41" s="73">
        <f>IFERROR(IF(OR($M41="",$F41=""),"",$M41/$F41),"")</f>
        <v/>
      </c>
      <c r="O41" s="75">
        <f>IFERROR(IF(OR($K41="",$M41=""),"",$K41/$M41),"")</f>
        <v/>
      </c>
      <c r="P41" s="73" t="n"/>
      <c r="Q41" s="73">
        <f>IFERROR(IF(OR($P41="",$F41=""),"",$P41/$F41),"")</f>
        <v/>
      </c>
      <c r="R41" s="75">
        <f>IFERROR(IF(OR($K41="",$P41=""),"",$K41/$P41),"")</f>
        <v/>
      </c>
      <c r="S41" s="73" t="n"/>
      <c r="T41" s="73">
        <f>IFERROR(IF(OR($S41="",$F41=""),"",$S41/$F41),"")</f>
        <v/>
      </c>
      <c r="U41" s="75">
        <f>IFERROR(IF(OR($K41="",$S41=""),"",$K41/$S41),"")</f>
        <v/>
      </c>
      <c r="V41" s="90">
        <f>IFERROR(IF(OR($U41="",$R41=""),"",($U41-$R41)*10000),"")</f>
        <v/>
      </c>
      <c r="W41" s="70">
        <f>IFERROR(IF(OR($P41="",$M41=""),"",IF($P41=$M41,"No","Yes")),"")</f>
        <v/>
      </c>
      <c r="X41" s="71" t="n"/>
      <c r="Y41" s="71" t="n"/>
      <c r="Z41" s="89">
        <f>IFERROR(IF(OR($X41="",$Y41=""),"",$X41-$Y41),"")</f>
        <v/>
      </c>
      <c r="AA41" s="67" t="n"/>
      <c r="AB41" s="67" t="n"/>
      <c r="AC41" s="68" t="n"/>
      <c r="AD41" s="67" t="n"/>
      <c r="AE41" s="67" t="n"/>
      <c r="AF41" s="67" t="n"/>
      <c r="AG41" s="67" t="n"/>
      <c r="AH41" s="67" t="n"/>
    </row>
    <row r="42" ht="15" customHeight="1" s="46">
      <c r="A42" s="60">
        <f>IFERROR(ROW()-5,"")</f>
        <v/>
      </c>
      <c r="B42" s="61" t="n"/>
      <c r="C42" s="61" t="n"/>
      <c r="D42" s="61" t="n"/>
      <c r="E42" s="61" t="n"/>
      <c r="F42" s="60" t="n"/>
      <c r="G42" s="61" t="n"/>
      <c r="H42" s="61" t="n"/>
      <c r="I42" s="62" t="n"/>
      <c r="J42" s="63">
        <f>IFERROR(IF(OR($I42="",$X42=""),"",($I42-$X42)/365.25),"")</f>
        <v/>
      </c>
      <c r="K42" s="64" t="n"/>
      <c r="L42" s="65">
        <f>IFERROR(IF(OR($K42="",$F42=""),"",$K42/$F42),"")</f>
        <v/>
      </c>
      <c r="M42" s="64" t="n"/>
      <c r="N42" s="64">
        <f>IFERROR(IF(OR($M42="",$F42=""),"",$M42/$F42),"")</f>
        <v/>
      </c>
      <c r="O42" s="66">
        <f>IFERROR(IF(OR($K42="",$M42=""),"",$K42/$M42),"")</f>
        <v/>
      </c>
      <c r="P42" s="64" t="n"/>
      <c r="Q42" s="64">
        <f>IFERROR(IF(OR($P42="",$F42=""),"",$P42/$F42),"")</f>
        <v/>
      </c>
      <c r="R42" s="66">
        <f>IFERROR(IF(OR($K42="",$P42=""),"",$K42/$P42),"")</f>
        <v/>
      </c>
      <c r="S42" s="64" t="n"/>
      <c r="T42" s="64">
        <f>IFERROR(IF(OR($S42="",$F42=""),"",$S42/$F42),"")</f>
        <v/>
      </c>
      <c r="U42" s="66">
        <f>IFERROR(IF(OR($K42="",$S42=""),"",$K42/$S42),"")</f>
        <v/>
      </c>
      <c r="V42" s="88">
        <f>IFERROR(IF(OR($U42="",$R42=""),"",($U42-$R42)*10000),"")</f>
        <v/>
      </c>
      <c r="W42" s="61">
        <f>IFERROR(IF(OR($P42="",$M42=""),"",IF($P42=$M42,"No","Yes")),"")</f>
        <v/>
      </c>
      <c r="X42" s="62" t="n"/>
      <c r="Y42" s="62" t="n"/>
      <c r="Z42" s="89">
        <f>IFERROR(IF(OR($X42="",$Y42=""),"",$X42-$Y42),"")</f>
        <v/>
      </c>
      <c r="AA42" s="67" t="n"/>
      <c r="AB42" s="67" t="n"/>
      <c r="AC42" s="68" t="n"/>
      <c r="AD42" s="67" t="n"/>
      <c r="AE42" s="67" t="n"/>
      <c r="AF42" s="67" t="n"/>
      <c r="AG42" s="67" t="n"/>
      <c r="AH42" s="67" t="n"/>
    </row>
    <row r="43" ht="15" customHeight="1" s="46">
      <c r="A43" s="69">
        <f>IFERROR(ROW()-5,"")</f>
        <v/>
      </c>
      <c r="B43" s="70" t="n"/>
      <c r="C43" s="70" t="n"/>
      <c r="D43" s="70" t="n"/>
      <c r="E43" s="70" t="n"/>
      <c r="F43" s="69" t="n"/>
      <c r="G43" s="70" t="n"/>
      <c r="H43" s="70" t="n"/>
      <c r="I43" s="71" t="n"/>
      <c r="J43" s="72">
        <f>IFERROR(IF(OR($I43="",$X43=""),"",($I43-$X43)/365.25),"")</f>
        <v/>
      </c>
      <c r="K43" s="73" t="n"/>
      <c r="L43" s="74">
        <f>IFERROR(IF(OR($K43="",$F43=""),"",$K43/$F43),"")</f>
        <v/>
      </c>
      <c r="M43" s="73" t="n"/>
      <c r="N43" s="73">
        <f>IFERROR(IF(OR($M43="",$F43=""),"",$M43/$F43),"")</f>
        <v/>
      </c>
      <c r="O43" s="75">
        <f>IFERROR(IF(OR($K43="",$M43=""),"",$K43/$M43),"")</f>
        <v/>
      </c>
      <c r="P43" s="73" t="n"/>
      <c r="Q43" s="73">
        <f>IFERROR(IF(OR($P43="",$F43=""),"",$P43/$F43),"")</f>
        <v/>
      </c>
      <c r="R43" s="75">
        <f>IFERROR(IF(OR($K43="",$P43=""),"",$K43/$P43),"")</f>
        <v/>
      </c>
      <c r="S43" s="73" t="n"/>
      <c r="T43" s="73">
        <f>IFERROR(IF(OR($S43="",$F43=""),"",$S43/$F43),"")</f>
        <v/>
      </c>
      <c r="U43" s="75">
        <f>IFERROR(IF(OR($K43="",$S43=""),"",$K43/$S43),"")</f>
        <v/>
      </c>
      <c r="V43" s="90">
        <f>IFERROR(IF(OR($U43="",$R43=""),"",($U43-$R43)*10000),"")</f>
        <v/>
      </c>
      <c r="W43" s="70">
        <f>IFERROR(IF(OR($P43="",$M43=""),"",IF($P43=$M43,"No","Yes")),"")</f>
        <v/>
      </c>
      <c r="X43" s="71" t="n"/>
      <c r="Y43" s="71" t="n"/>
      <c r="Z43" s="89">
        <f>IFERROR(IF(OR($X43="",$Y43=""),"",$X43-$Y43),"")</f>
        <v/>
      </c>
      <c r="AA43" s="67" t="n"/>
      <c r="AB43" s="67" t="n"/>
      <c r="AC43" s="68" t="n"/>
      <c r="AD43" s="67" t="n"/>
      <c r="AE43" s="67" t="n"/>
      <c r="AF43" s="67" t="n"/>
      <c r="AG43" s="67" t="n"/>
      <c r="AH43" s="67" t="n"/>
    </row>
    <row r="44" ht="15" customHeight="1" s="46">
      <c r="A44" s="60">
        <f>IFERROR(ROW()-5,"")</f>
        <v/>
      </c>
      <c r="B44" s="61" t="n"/>
      <c r="C44" s="61" t="n"/>
      <c r="D44" s="61" t="n"/>
      <c r="E44" s="61" t="n"/>
      <c r="F44" s="60" t="n"/>
      <c r="G44" s="61" t="n"/>
      <c r="H44" s="61" t="n"/>
      <c r="I44" s="62" t="n"/>
      <c r="J44" s="63">
        <f>IFERROR(IF(OR($I44="",$X44=""),"",($I44-$X44)/365.25),"")</f>
        <v/>
      </c>
      <c r="K44" s="64" t="n"/>
      <c r="L44" s="65">
        <f>IFERROR(IF(OR($K44="",$F44=""),"",$K44/$F44),"")</f>
        <v/>
      </c>
      <c r="M44" s="64" t="n"/>
      <c r="N44" s="64">
        <f>IFERROR(IF(OR($M44="",$F44=""),"",$M44/$F44),"")</f>
        <v/>
      </c>
      <c r="O44" s="66">
        <f>IFERROR(IF(OR($K44="",$M44=""),"",$K44/$M44),"")</f>
        <v/>
      </c>
      <c r="P44" s="64" t="n"/>
      <c r="Q44" s="64">
        <f>IFERROR(IF(OR($P44="",$F44=""),"",$P44/$F44),"")</f>
        <v/>
      </c>
      <c r="R44" s="66">
        <f>IFERROR(IF(OR($K44="",$P44=""),"",$K44/$P44),"")</f>
        <v/>
      </c>
      <c r="S44" s="64" t="n"/>
      <c r="T44" s="64">
        <f>IFERROR(IF(OR($S44="",$F44=""),"",$S44/$F44),"")</f>
        <v/>
      </c>
      <c r="U44" s="66">
        <f>IFERROR(IF(OR($K44="",$S44=""),"",$K44/$S44),"")</f>
        <v/>
      </c>
      <c r="V44" s="88">
        <f>IFERROR(IF(OR($U44="",$R44=""),"",($U44-$R44)*10000),"")</f>
        <v/>
      </c>
      <c r="W44" s="61">
        <f>IFERROR(IF(OR($P44="",$M44=""),"",IF($P44=$M44,"No","Yes")),"")</f>
        <v/>
      </c>
      <c r="X44" s="62" t="n"/>
      <c r="Y44" s="62" t="n"/>
      <c r="Z44" s="89">
        <f>IFERROR(IF(OR($X44="",$Y44=""),"",$X44-$Y44),"")</f>
        <v/>
      </c>
      <c r="AA44" s="67" t="n"/>
      <c r="AB44" s="67" t="n"/>
      <c r="AC44" s="68" t="n"/>
      <c r="AD44" s="67" t="n"/>
      <c r="AE44" s="67" t="n"/>
      <c r="AF44" s="67" t="n"/>
      <c r="AG44" s="67" t="n"/>
      <c r="AH44" s="67" t="n"/>
    </row>
    <row r="45" ht="15" customHeight="1" s="46">
      <c r="A45" s="69">
        <f>IFERROR(ROW()-5,"")</f>
        <v/>
      </c>
      <c r="B45" s="70" t="n"/>
      <c r="C45" s="70" t="n"/>
      <c r="D45" s="70" t="n"/>
      <c r="E45" s="70" t="n"/>
      <c r="F45" s="69" t="n"/>
      <c r="G45" s="70" t="n"/>
      <c r="H45" s="70" t="n"/>
      <c r="I45" s="71" t="n"/>
      <c r="J45" s="72">
        <f>IFERROR(IF(OR($I45="",$X45=""),"",($I45-$X45)/365.25),"")</f>
        <v/>
      </c>
      <c r="K45" s="73" t="n"/>
      <c r="L45" s="74">
        <f>IFERROR(IF(OR($K45="",$F45=""),"",$K45/$F45),"")</f>
        <v/>
      </c>
      <c r="M45" s="73" t="n"/>
      <c r="N45" s="73">
        <f>IFERROR(IF(OR($M45="",$F45=""),"",$M45/$F45),"")</f>
        <v/>
      </c>
      <c r="O45" s="75">
        <f>IFERROR(IF(OR($K45="",$M45=""),"",$K45/$M45),"")</f>
        <v/>
      </c>
      <c r="P45" s="73" t="n"/>
      <c r="Q45" s="73">
        <f>IFERROR(IF(OR($P45="",$F45=""),"",$P45/$F45),"")</f>
        <v/>
      </c>
      <c r="R45" s="75">
        <f>IFERROR(IF(OR($K45="",$P45=""),"",$K45/$P45),"")</f>
        <v/>
      </c>
      <c r="S45" s="73" t="n"/>
      <c r="T45" s="73">
        <f>IFERROR(IF(OR($S45="",$F45=""),"",$S45/$F45),"")</f>
        <v/>
      </c>
      <c r="U45" s="75">
        <f>IFERROR(IF(OR($K45="",$S45=""),"",$K45/$S45),"")</f>
        <v/>
      </c>
      <c r="V45" s="90">
        <f>IFERROR(IF(OR($U45="",$R45=""),"",($U45-$R45)*10000),"")</f>
        <v/>
      </c>
      <c r="W45" s="70">
        <f>IFERROR(IF(OR($P45="",$M45=""),"",IF($P45=$M45,"No","Yes")),"")</f>
        <v/>
      </c>
      <c r="X45" s="71" t="n"/>
      <c r="Y45" s="71" t="n"/>
      <c r="Z45" s="89">
        <f>IFERROR(IF(OR($X45="",$Y45=""),"",$X45-$Y45),"")</f>
        <v/>
      </c>
      <c r="AA45" s="67" t="n"/>
      <c r="AB45" s="67" t="n"/>
      <c r="AC45" s="68" t="n"/>
      <c r="AD45" s="67" t="n"/>
      <c r="AE45" s="67" t="n"/>
      <c r="AF45" s="67" t="n"/>
      <c r="AG45" s="67" t="n"/>
      <c r="AH45" s="67" t="n"/>
    </row>
    <row r="46" ht="15" customHeight="1" s="46">
      <c r="A46" s="60">
        <f>IFERROR(ROW()-5,"")</f>
        <v/>
      </c>
      <c r="B46" s="61" t="n"/>
      <c r="C46" s="61" t="n"/>
      <c r="D46" s="61" t="n"/>
      <c r="E46" s="61" t="n"/>
      <c r="F46" s="60" t="n"/>
      <c r="G46" s="61" t="n"/>
      <c r="H46" s="61" t="n"/>
      <c r="I46" s="62" t="n"/>
      <c r="J46" s="63">
        <f>IFERROR(IF(OR($I46="",$X46=""),"",($I46-$X46)/365.25),"")</f>
        <v/>
      </c>
      <c r="K46" s="64" t="n"/>
      <c r="L46" s="65">
        <f>IFERROR(IF(OR($K46="",$F46=""),"",$K46/$F46),"")</f>
        <v/>
      </c>
      <c r="M46" s="64" t="n"/>
      <c r="N46" s="64">
        <f>IFERROR(IF(OR($M46="",$F46=""),"",$M46/$F46),"")</f>
        <v/>
      </c>
      <c r="O46" s="66">
        <f>IFERROR(IF(OR($K46="",$M46=""),"",$K46/$M46),"")</f>
        <v/>
      </c>
      <c r="P46" s="64" t="n"/>
      <c r="Q46" s="64">
        <f>IFERROR(IF(OR($P46="",$F46=""),"",$P46/$F46),"")</f>
        <v/>
      </c>
      <c r="R46" s="66">
        <f>IFERROR(IF(OR($K46="",$P46=""),"",$K46/$P46),"")</f>
        <v/>
      </c>
      <c r="S46" s="64" t="n"/>
      <c r="T46" s="64">
        <f>IFERROR(IF(OR($S46="",$F46=""),"",$S46/$F46),"")</f>
        <v/>
      </c>
      <c r="U46" s="66">
        <f>IFERROR(IF(OR($K46="",$S46=""),"",$K46/$S46),"")</f>
        <v/>
      </c>
      <c r="V46" s="88">
        <f>IFERROR(IF(OR($U46="",$R46=""),"",($U46-$R46)*10000),"")</f>
        <v/>
      </c>
      <c r="W46" s="61">
        <f>IFERROR(IF(OR($P46="",$M46=""),"",IF($P46=$M46,"No","Yes")),"")</f>
        <v/>
      </c>
      <c r="X46" s="62" t="n"/>
      <c r="Y46" s="62" t="n"/>
      <c r="Z46" s="89">
        <f>IFERROR(IF(OR($X46="",$Y46=""),"",$X46-$Y46),"")</f>
        <v/>
      </c>
      <c r="AA46" s="67" t="n"/>
      <c r="AB46" s="67" t="n"/>
      <c r="AC46" s="68" t="n"/>
      <c r="AD46" s="67" t="n"/>
      <c r="AE46" s="67" t="n"/>
      <c r="AF46" s="67" t="n"/>
      <c r="AG46" s="67" t="n"/>
      <c r="AH46" s="67" t="n"/>
    </row>
    <row r="47" ht="15" customHeight="1" s="46">
      <c r="A47" s="69">
        <f>IFERROR(ROW()-5,"")</f>
        <v/>
      </c>
      <c r="B47" s="70" t="n"/>
      <c r="C47" s="70" t="n"/>
      <c r="D47" s="70" t="n"/>
      <c r="E47" s="70" t="n"/>
      <c r="F47" s="69" t="n"/>
      <c r="G47" s="70" t="n"/>
      <c r="H47" s="70" t="n"/>
      <c r="I47" s="71" t="n"/>
      <c r="J47" s="72">
        <f>IFERROR(IF(OR($I47="",$X47=""),"",($I47-$X47)/365.25),"")</f>
        <v/>
      </c>
      <c r="K47" s="73" t="n"/>
      <c r="L47" s="74">
        <f>IFERROR(IF(OR($K47="",$F47=""),"",$K47/$F47),"")</f>
        <v/>
      </c>
      <c r="M47" s="73" t="n"/>
      <c r="N47" s="73">
        <f>IFERROR(IF(OR($M47="",$F47=""),"",$M47/$F47),"")</f>
        <v/>
      </c>
      <c r="O47" s="75">
        <f>IFERROR(IF(OR($K47="",$M47=""),"",$K47/$M47),"")</f>
        <v/>
      </c>
      <c r="P47" s="73" t="n"/>
      <c r="Q47" s="73">
        <f>IFERROR(IF(OR($P47="",$F47=""),"",$P47/$F47),"")</f>
        <v/>
      </c>
      <c r="R47" s="75">
        <f>IFERROR(IF(OR($K47="",$P47=""),"",$K47/$P47),"")</f>
        <v/>
      </c>
      <c r="S47" s="73" t="n"/>
      <c r="T47" s="73">
        <f>IFERROR(IF(OR($S47="",$F47=""),"",$S47/$F47),"")</f>
        <v/>
      </c>
      <c r="U47" s="75">
        <f>IFERROR(IF(OR($K47="",$S47=""),"",$K47/$S47),"")</f>
        <v/>
      </c>
      <c r="V47" s="90">
        <f>IFERROR(IF(OR($U47="",$R47=""),"",($U47-$R47)*10000),"")</f>
        <v/>
      </c>
      <c r="W47" s="70">
        <f>IFERROR(IF(OR($P47="",$M47=""),"",IF($P47=$M47,"No","Yes")),"")</f>
        <v/>
      </c>
      <c r="X47" s="71" t="n"/>
      <c r="Y47" s="71" t="n"/>
      <c r="Z47" s="89">
        <f>IFERROR(IF(OR($X47="",$Y47=""),"",$X47-$Y47),"")</f>
        <v/>
      </c>
      <c r="AA47" s="67" t="n"/>
      <c r="AB47" s="67" t="n"/>
      <c r="AC47" s="68" t="n"/>
      <c r="AD47" s="67" t="n"/>
      <c r="AE47" s="67" t="n"/>
      <c r="AF47" s="67" t="n"/>
      <c r="AG47" s="67" t="n"/>
      <c r="AH47" s="67" t="n"/>
    </row>
    <row r="48" ht="15" customHeight="1" s="46">
      <c r="A48" s="60">
        <f>IFERROR(ROW()-5,"")</f>
        <v/>
      </c>
      <c r="B48" s="61" t="n"/>
      <c r="C48" s="61" t="n"/>
      <c r="D48" s="61" t="n"/>
      <c r="E48" s="61" t="n"/>
      <c r="F48" s="60" t="n"/>
      <c r="G48" s="61" t="n"/>
      <c r="H48" s="61" t="n"/>
      <c r="I48" s="62" t="n"/>
      <c r="J48" s="63">
        <f>IFERROR(IF(OR($I48="",$X48=""),"",($I48-$X48)/365.25),"")</f>
        <v/>
      </c>
      <c r="K48" s="64" t="n"/>
      <c r="L48" s="65">
        <f>IFERROR(IF(OR($K48="",$F48=""),"",$K48/$F48),"")</f>
        <v/>
      </c>
      <c r="M48" s="64" t="n"/>
      <c r="N48" s="64">
        <f>IFERROR(IF(OR($M48="",$F48=""),"",$M48/$F48),"")</f>
        <v/>
      </c>
      <c r="O48" s="66">
        <f>IFERROR(IF(OR($K48="",$M48=""),"",$K48/$M48),"")</f>
        <v/>
      </c>
      <c r="P48" s="64" t="n"/>
      <c r="Q48" s="64">
        <f>IFERROR(IF(OR($P48="",$F48=""),"",$P48/$F48),"")</f>
        <v/>
      </c>
      <c r="R48" s="66">
        <f>IFERROR(IF(OR($K48="",$P48=""),"",$K48/$P48),"")</f>
        <v/>
      </c>
      <c r="S48" s="64" t="n"/>
      <c r="T48" s="64">
        <f>IFERROR(IF(OR($S48="",$F48=""),"",$S48/$F48),"")</f>
        <v/>
      </c>
      <c r="U48" s="66">
        <f>IFERROR(IF(OR($K48="",$S48=""),"",$K48/$S48),"")</f>
        <v/>
      </c>
      <c r="V48" s="88">
        <f>IFERROR(IF(OR($U48="",$R48=""),"",($U48-$R48)*10000),"")</f>
        <v/>
      </c>
      <c r="W48" s="61">
        <f>IFERROR(IF(OR($P48="",$M48=""),"",IF($P48=$M48,"No","Yes")),"")</f>
        <v/>
      </c>
      <c r="X48" s="62" t="n"/>
      <c r="Y48" s="62" t="n"/>
      <c r="Z48" s="89">
        <f>IFERROR(IF(OR($X48="",$Y48=""),"",$X48-$Y48),"")</f>
        <v/>
      </c>
      <c r="AA48" s="67" t="n"/>
      <c r="AB48" s="67" t="n"/>
      <c r="AC48" s="68" t="n"/>
      <c r="AD48" s="67" t="n"/>
      <c r="AE48" s="67" t="n"/>
      <c r="AF48" s="67" t="n"/>
      <c r="AG48" s="67" t="n"/>
      <c r="AH48" s="67" t="n"/>
    </row>
    <row r="49" ht="15" customHeight="1" s="46">
      <c r="A49" s="69">
        <f>IFERROR(ROW()-5,"")</f>
        <v/>
      </c>
      <c r="B49" s="70" t="n"/>
      <c r="C49" s="70" t="n"/>
      <c r="D49" s="70" t="n"/>
      <c r="E49" s="70" t="n"/>
      <c r="F49" s="69" t="n"/>
      <c r="G49" s="70" t="n"/>
      <c r="H49" s="70" t="n"/>
      <c r="I49" s="71" t="n"/>
      <c r="J49" s="72">
        <f>IFERROR(IF(OR($I49="",$X49=""),"",($I49-$X49)/365.25),"")</f>
        <v/>
      </c>
      <c r="K49" s="73" t="n"/>
      <c r="L49" s="74">
        <f>IFERROR(IF(OR($K49="",$F49=""),"",$K49/$F49),"")</f>
        <v/>
      </c>
      <c r="M49" s="73" t="n"/>
      <c r="N49" s="73">
        <f>IFERROR(IF(OR($M49="",$F49=""),"",$M49/$F49),"")</f>
        <v/>
      </c>
      <c r="O49" s="75">
        <f>IFERROR(IF(OR($K49="",$M49=""),"",$K49/$M49),"")</f>
        <v/>
      </c>
      <c r="P49" s="73" t="n"/>
      <c r="Q49" s="73">
        <f>IFERROR(IF(OR($P49="",$F49=""),"",$P49/$F49),"")</f>
        <v/>
      </c>
      <c r="R49" s="75">
        <f>IFERROR(IF(OR($K49="",$P49=""),"",$K49/$P49),"")</f>
        <v/>
      </c>
      <c r="S49" s="73" t="n"/>
      <c r="T49" s="73">
        <f>IFERROR(IF(OR($S49="",$F49=""),"",$S49/$F49),"")</f>
        <v/>
      </c>
      <c r="U49" s="75">
        <f>IFERROR(IF(OR($K49="",$S49=""),"",$K49/$S49),"")</f>
        <v/>
      </c>
      <c r="V49" s="90">
        <f>IFERROR(IF(OR($U49="",$R49=""),"",($U49-$R49)*10000),"")</f>
        <v/>
      </c>
      <c r="W49" s="70">
        <f>IFERROR(IF(OR($P49="",$M49=""),"",IF($P49=$M49,"No","Yes")),"")</f>
        <v/>
      </c>
      <c r="X49" s="71" t="n"/>
      <c r="Y49" s="71" t="n"/>
      <c r="Z49" s="89">
        <f>IFERROR(IF(OR($X49="",$Y49=""),"",$X49-$Y49),"")</f>
        <v/>
      </c>
      <c r="AA49" s="67" t="n"/>
      <c r="AB49" s="67" t="n"/>
      <c r="AC49" s="68" t="n"/>
      <c r="AD49" s="67" t="n"/>
      <c r="AE49" s="67" t="n"/>
      <c r="AF49" s="67" t="n"/>
      <c r="AG49" s="67" t="n"/>
      <c r="AH49" s="67" t="n"/>
    </row>
    <row r="50" ht="15" customHeight="1" s="46">
      <c r="A50" s="60">
        <f>IFERROR(ROW()-5,"")</f>
        <v/>
      </c>
      <c r="B50" s="61" t="n"/>
      <c r="C50" s="61" t="n"/>
      <c r="D50" s="61" t="n"/>
      <c r="E50" s="61" t="n"/>
      <c r="F50" s="60" t="n"/>
      <c r="G50" s="61" t="n"/>
      <c r="H50" s="61" t="n"/>
      <c r="I50" s="62" t="n"/>
      <c r="J50" s="63">
        <f>IFERROR(IF(OR($I50="",$X50=""),"",($I50-$X50)/365.25),"")</f>
        <v/>
      </c>
      <c r="K50" s="64" t="n"/>
      <c r="L50" s="65">
        <f>IFERROR(IF(OR($K50="",$F50=""),"",$K50/$F50),"")</f>
        <v/>
      </c>
      <c r="M50" s="64" t="n"/>
      <c r="N50" s="64">
        <f>IFERROR(IF(OR($M50="",$F50=""),"",$M50/$F50),"")</f>
        <v/>
      </c>
      <c r="O50" s="66">
        <f>IFERROR(IF(OR($K50="",$M50=""),"",$K50/$M50),"")</f>
        <v/>
      </c>
      <c r="P50" s="64" t="n"/>
      <c r="Q50" s="64">
        <f>IFERROR(IF(OR($P50="",$F50=""),"",$P50/$F50),"")</f>
        <v/>
      </c>
      <c r="R50" s="66">
        <f>IFERROR(IF(OR($K50="",$P50=""),"",$K50/$P50),"")</f>
        <v/>
      </c>
      <c r="S50" s="64" t="n"/>
      <c r="T50" s="64">
        <f>IFERROR(IF(OR($S50="",$F50=""),"",$S50/$F50),"")</f>
        <v/>
      </c>
      <c r="U50" s="66">
        <f>IFERROR(IF(OR($K50="",$S50=""),"",$K50/$S50),"")</f>
        <v/>
      </c>
      <c r="V50" s="88">
        <f>IFERROR(IF(OR($U50="",$R50=""),"",($U50-$R50)*10000),"")</f>
        <v/>
      </c>
      <c r="W50" s="61">
        <f>IFERROR(IF(OR($P50="",$M50=""),"",IF($P50=$M50,"No","Yes")),"")</f>
        <v/>
      </c>
      <c r="X50" s="62" t="n"/>
      <c r="Y50" s="62" t="n"/>
      <c r="Z50" s="89">
        <f>IFERROR(IF(OR($X50="",$Y50=""),"",$X50-$Y50),"")</f>
        <v/>
      </c>
      <c r="AA50" s="67" t="n"/>
      <c r="AB50" s="67" t="n"/>
      <c r="AC50" s="68" t="n"/>
      <c r="AD50" s="67" t="n"/>
      <c r="AE50" s="67" t="n"/>
      <c r="AF50" s="67" t="n"/>
      <c r="AG50" s="67" t="n"/>
      <c r="AH50" s="67" t="n"/>
    </row>
    <row r="51" ht="15" customHeight="1" s="46">
      <c r="A51" s="69">
        <f>IFERROR(ROW()-5,"")</f>
        <v/>
      </c>
      <c r="B51" s="70" t="n"/>
      <c r="C51" s="70" t="n"/>
      <c r="D51" s="70" t="n"/>
      <c r="E51" s="70" t="n"/>
      <c r="F51" s="69" t="n"/>
      <c r="G51" s="70" t="n"/>
      <c r="H51" s="70" t="n"/>
      <c r="I51" s="71" t="n"/>
      <c r="J51" s="72">
        <f>IFERROR(IF(OR($I51="",$X51=""),"",($I51-$X51)/365.25),"")</f>
        <v/>
      </c>
      <c r="K51" s="73" t="n"/>
      <c r="L51" s="74">
        <f>IFERROR(IF(OR($K51="",$F51=""),"",$K51/$F51),"")</f>
        <v/>
      </c>
      <c r="M51" s="73" t="n"/>
      <c r="N51" s="73">
        <f>IFERROR(IF(OR($M51="",$F51=""),"",$M51/$F51),"")</f>
        <v/>
      </c>
      <c r="O51" s="75">
        <f>IFERROR(IF(OR($K51="",$M51=""),"",$K51/$M51),"")</f>
        <v/>
      </c>
      <c r="P51" s="73" t="n"/>
      <c r="Q51" s="73">
        <f>IFERROR(IF(OR($P51="",$F51=""),"",$P51/$F51),"")</f>
        <v/>
      </c>
      <c r="R51" s="75">
        <f>IFERROR(IF(OR($K51="",$P51=""),"",$K51/$P51),"")</f>
        <v/>
      </c>
      <c r="S51" s="73" t="n"/>
      <c r="T51" s="73">
        <f>IFERROR(IF(OR($S51="",$F51=""),"",$S51/$F51),"")</f>
        <v/>
      </c>
      <c r="U51" s="75">
        <f>IFERROR(IF(OR($K51="",$S51=""),"",$K51/$S51),"")</f>
        <v/>
      </c>
      <c r="V51" s="90">
        <f>IFERROR(IF(OR($U51="",$R51=""),"",($U51-$R51)*10000),"")</f>
        <v/>
      </c>
      <c r="W51" s="70">
        <f>IFERROR(IF(OR($P51="",$M51=""),"",IF($P51=$M51,"No","Yes")),"")</f>
        <v/>
      </c>
      <c r="X51" s="71" t="n"/>
      <c r="Y51" s="71" t="n"/>
      <c r="Z51" s="89">
        <f>IFERROR(IF(OR($X51="",$Y51=""),"",$X51-$Y51),"")</f>
        <v/>
      </c>
      <c r="AA51" s="67" t="n"/>
      <c r="AB51" s="67" t="n"/>
      <c r="AC51" s="68" t="n"/>
      <c r="AD51" s="67" t="n"/>
      <c r="AE51" s="67" t="n"/>
      <c r="AF51" s="67" t="n"/>
      <c r="AG51" s="67" t="n"/>
      <c r="AH51" s="67" t="n"/>
    </row>
    <row r="52" ht="15" customHeight="1" s="46">
      <c r="A52" s="60">
        <f>IFERROR(ROW()-5,"")</f>
        <v/>
      </c>
      <c r="B52" s="61" t="n"/>
      <c r="C52" s="61" t="n"/>
      <c r="D52" s="61" t="n"/>
      <c r="E52" s="61" t="n"/>
      <c r="F52" s="60" t="n"/>
      <c r="G52" s="61" t="n"/>
      <c r="H52" s="61" t="n"/>
      <c r="I52" s="62" t="n"/>
      <c r="J52" s="63">
        <f>IFERROR(IF(OR($I52="",$X52=""),"",($I52-$X52)/365.25),"")</f>
        <v/>
      </c>
      <c r="K52" s="64" t="n"/>
      <c r="L52" s="65">
        <f>IFERROR(IF(OR($K52="",$F52=""),"",$K52/$F52),"")</f>
        <v/>
      </c>
      <c r="M52" s="64" t="n"/>
      <c r="N52" s="64">
        <f>IFERROR(IF(OR($M52="",$F52=""),"",$M52/$F52),"")</f>
        <v/>
      </c>
      <c r="O52" s="66">
        <f>IFERROR(IF(OR($K52="",$M52=""),"",$K52/$M52),"")</f>
        <v/>
      </c>
      <c r="P52" s="64" t="n"/>
      <c r="Q52" s="64">
        <f>IFERROR(IF(OR($P52="",$F52=""),"",$P52/$F52),"")</f>
        <v/>
      </c>
      <c r="R52" s="66">
        <f>IFERROR(IF(OR($K52="",$P52=""),"",$K52/$P52),"")</f>
        <v/>
      </c>
      <c r="S52" s="64" t="n"/>
      <c r="T52" s="64">
        <f>IFERROR(IF(OR($S52="",$F52=""),"",$S52/$F52),"")</f>
        <v/>
      </c>
      <c r="U52" s="66">
        <f>IFERROR(IF(OR($K52="",$S52=""),"",$K52/$S52),"")</f>
        <v/>
      </c>
      <c r="V52" s="88">
        <f>IFERROR(IF(OR($U52="",$R52=""),"",($U52-$R52)*10000),"")</f>
        <v/>
      </c>
      <c r="W52" s="61">
        <f>IFERROR(IF(OR($P52="",$M52=""),"",IF($P52=$M52,"No","Yes")),"")</f>
        <v/>
      </c>
      <c r="X52" s="62" t="n"/>
      <c r="Y52" s="62" t="n"/>
      <c r="Z52" s="89">
        <f>IFERROR(IF(OR($X52="",$Y52=""),"",$X52-$Y52),"")</f>
        <v/>
      </c>
      <c r="AA52" s="67" t="n"/>
      <c r="AB52" s="67" t="n"/>
      <c r="AC52" s="68" t="n"/>
      <c r="AD52" s="67" t="n"/>
      <c r="AE52" s="67" t="n"/>
      <c r="AF52" s="67" t="n"/>
      <c r="AG52" s="67" t="n"/>
      <c r="AH52" s="67" t="n"/>
    </row>
    <row r="53" ht="15" customHeight="1" s="46">
      <c r="A53" s="69">
        <f>IFERROR(ROW()-5,"")</f>
        <v/>
      </c>
      <c r="B53" s="70" t="n"/>
      <c r="C53" s="70" t="n"/>
      <c r="D53" s="70" t="n"/>
      <c r="E53" s="70" t="n"/>
      <c r="F53" s="69" t="n"/>
      <c r="G53" s="70" t="n"/>
      <c r="H53" s="70" t="n"/>
      <c r="I53" s="71" t="n"/>
      <c r="J53" s="72">
        <f>IFERROR(IF(OR($I53="",$X53=""),"",($I53-$X53)/365.25),"")</f>
        <v/>
      </c>
      <c r="K53" s="73" t="n"/>
      <c r="L53" s="74">
        <f>IFERROR(IF(OR($K53="",$F53=""),"",$K53/$F53),"")</f>
        <v/>
      </c>
      <c r="M53" s="73" t="n"/>
      <c r="N53" s="73">
        <f>IFERROR(IF(OR($M53="",$F53=""),"",$M53/$F53),"")</f>
        <v/>
      </c>
      <c r="O53" s="75">
        <f>IFERROR(IF(OR($K53="",$M53=""),"",$K53/$M53),"")</f>
        <v/>
      </c>
      <c r="P53" s="73" t="n"/>
      <c r="Q53" s="73">
        <f>IFERROR(IF(OR($P53="",$F53=""),"",$P53/$F53),"")</f>
        <v/>
      </c>
      <c r="R53" s="75">
        <f>IFERROR(IF(OR($K53="",$P53=""),"",$K53/$P53),"")</f>
        <v/>
      </c>
      <c r="S53" s="73" t="n"/>
      <c r="T53" s="73">
        <f>IFERROR(IF(OR($S53="",$F53=""),"",$S53/$F53),"")</f>
        <v/>
      </c>
      <c r="U53" s="75">
        <f>IFERROR(IF(OR($K53="",$S53=""),"",$K53/$S53),"")</f>
        <v/>
      </c>
      <c r="V53" s="90">
        <f>IFERROR(IF(OR($U53="",$R53=""),"",($U53-$R53)*10000),"")</f>
        <v/>
      </c>
      <c r="W53" s="70">
        <f>IFERROR(IF(OR($P53="",$M53=""),"",IF($P53=$M53,"No","Yes")),"")</f>
        <v/>
      </c>
      <c r="X53" s="71" t="n"/>
      <c r="Y53" s="71" t="n"/>
      <c r="Z53" s="89">
        <f>IFERROR(IF(OR($X53="",$Y53=""),"",$X53-$Y53),"")</f>
        <v/>
      </c>
      <c r="AA53" s="67" t="n"/>
      <c r="AB53" s="67" t="n"/>
      <c r="AC53" s="68" t="n"/>
      <c r="AD53" s="67" t="n"/>
      <c r="AE53" s="67" t="n"/>
      <c r="AF53" s="67" t="n"/>
      <c r="AG53" s="67" t="n"/>
      <c r="AH53" s="67" t="n"/>
    </row>
    <row r="54" ht="15" customHeight="1" s="46">
      <c r="A54" s="60">
        <f>IFERROR(ROW()-5,"")</f>
        <v/>
      </c>
      <c r="B54" s="61" t="n"/>
      <c r="C54" s="61" t="n"/>
      <c r="D54" s="61" t="n"/>
      <c r="E54" s="61" t="n"/>
      <c r="F54" s="60" t="n"/>
      <c r="G54" s="61" t="n"/>
      <c r="H54" s="61" t="n"/>
      <c r="I54" s="62" t="n"/>
      <c r="J54" s="63">
        <f>IFERROR(IF(OR($I54="",$X54=""),"",($I54-$X54)/365.25),"")</f>
        <v/>
      </c>
      <c r="K54" s="64" t="n"/>
      <c r="L54" s="65">
        <f>IFERROR(IF(OR($K54="",$F54=""),"",$K54/$F54),"")</f>
        <v/>
      </c>
      <c r="M54" s="64" t="n"/>
      <c r="N54" s="64">
        <f>IFERROR(IF(OR($M54="",$F54=""),"",$M54/$F54),"")</f>
        <v/>
      </c>
      <c r="O54" s="66">
        <f>IFERROR(IF(OR($K54="",$M54=""),"",$K54/$M54),"")</f>
        <v/>
      </c>
      <c r="P54" s="64" t="n"/>
      <c r="Q54" s="64">
        <f>IFERROR(IF(OR($P54="",$F54=""),"",$P54/$F54),"")</f>
        <v/>
      </c>
      <c r="R54" s="66">
        <f>IFERROR(IF(OR($K54="",$P54=""),"",$K54/$P54),"")</f>
        <v/>
      </c>
      <c r="S54" s="64" t="n"/>
      <c r="T54" s="64">
        <f>IFERROR(IF(OR($S54="",$F54=""),"",$S54/$F54),"")</f>
        <v/>
      </c>
      <c r="U54" s="66">
        <f>IFERROR(IF(OR($K54="",$S54=""),"",$K54/$S54),"")</f>
        <v/>
      </c>
      <c r="V54" s="88">
        <f>IFERROR(IF(OR($U54="",$R54=""),"",($U54-$R54)*10000),"")</f>
        <v/>
      </c>
      <c r="W54" s="61">
        <f>IFERROR(IF(OR($P54="",$M54=""),"",IF($P54=$M54,"No","Yes")),"")</f>
        <v/>
      </c>
      <c r="X54" s="62" t="n"/>
      <c r="Y54" s="62" t="n"/>
      <c r="Z54" s="89">
        <f>IFERROR(IF(OR($X54="",$Y54=""),"",$X54-$Y54),"")</f>
        <v/>
      </c>
      <c r="AA54" s="67" t="n"/>
      <c r="AB54" s="67" t="n"/>
      <c r="AC54" s="68" t="n"/>
      <c r="AD54" s="67" t="n"/>
      <c r="AE54" s="67" t="n"/>
      <c r="AF54" s="67" t="n"/>
      <c r="AG54" s="67" t="n"/>
      <c r="AH54" s="67" t="n"/>
    </row>
    <row r="55" ht="15" customHeight="1" s="46">
      <c r="A55" s="69">
        <f>IFERROR(ROW()-5,"")</f>
        <v/>
      </c>
      <c r="B55" s="70" t="n"/>
      <c r="C55" s="70" t="n"/>
      <c r="D55" s="70" t="n"/>
      <c r="E55" s="70" t="n"/>
      <c r="F55" s="69" t="n"/>
      <c r="G55" s="70" t="n"/>
      <c r="H55" s="70" t="n"/>
      <c r="I55" s="71" t="n"/>
      <c r="J55" s="72">
        <f>IFERROR(IF(OR($I55="",$X55=""),"",($I55-$X55)/365.25),"")</f>
        <v/>
      </c>
      <c r="K55" s="73" t="n"/>
      <c r="L55" s="74">
        <f>IFERROR(IF(OR($K55="",$F55=""),"",$K55/$F55),"")</f>
        <v/>
      </c>
      <c r="M55" s="73" t="n"/>
      <c r="N55" s="73">
        <f>IFERROR(IF(OR($M55="",$F55=""),"",$M55/$F55),"")</f>
        <v/>
      </c>
      <c r="O55" s="75">
        <f>IFERROR(IF(OR($K55="",$M55=""),"",$K55/$M55),"")</f>
        <v/>
      </c>
      <c r="P55" s="73" t="n"/>
      <c r="Q55" s="73">
        <f>IFERROR(IF(OR($P55="",$F55=""),"",$P55/$F55),"")</f>
        <v/>
      </c>
      <c r="R55" s="75">
        <f>IFERROR(IF(OR($K55="",$P55=""),"",$K55/$P55),"")</f>
        <v/>
      </c>
      <c r="S55" s="73" t="n"/>
      <c r="T55" s="73">
        <f>IFERROR(IF(OR($S55="",$F55=""),"",$S55/$F55),"")</f>
        <v/>
      </c>
      <c r="U55" s="75">
        <f>IFERROR(IF(OR($K55="",$S55=""),"",$K55/$S55),"")</f>
        <v/>
      </c>
      <c r="V55" s="90">
        <f>IFERROR(IF(OR($U55="",$R55=""),"",($U55-$R55)*10000),"")</f>
        <v/>
      </c>
      <c r="W55" s="70">
        <f>IFERROR(IF(OR($P55="",$M55=""),"",IF($P55=$M55,"No","Yes")),"")</f>
        <v/>
      </c>
      <c r="X55" s="71" t="n"/>
      <c r="Y55" s="71" t="n"/>
      <c r="Z55" s="89">
        <f>IFERROR(IF(OR($X55="",$Y55=""),"",$X55-$Y55),"")</f>
        <v/>
      </c>
      <c r="AA55" s="67" t="n"/>
      <c r="AB55" s="67" t="n"/>
      <c r="AC55" s="68" t="n"/>
      <c r="AD55" s="67" t="n"/>
      <c r="AE55" s="67" t="n"/>
      <c r="AF55" s="67" t="n"/>
      <c r="AG55" s="67" t="n"/>
      <c r="AH55" s="67" t="n"/>
    </row>
    <row r="56" ht="15" customHeight="1" s="46">
      <c r="A56" s="60">
        <f>IFERROR(ROW()-5,"")</f>
        <v/>
      </c>
      <c r="B56" s="61" t="n"/>
      <c r="C56" s="61" t="n"/>
      <c r="D56" s="61" t="n"/>
      <c r="E56" s="61" t="n"/>
      <c r="F56" s="60" t="n"/>
      <c r="G56" s="61" t="n"/>
      <c r="H56" s="61" t="n"/>
      <c r="I56" s="62" t="n"/>
      <c r="J56" s="63">
        <f>IFERROR(IF(OR($I56="",$X56=""),"",($I56-$X56)/365.25),"")</f>
        <v/>
      </c>
      <c r="K56" s="64" t="n"/>
      <c r="L56" s="65">
        <f>IFERROR(IF(OR($K56="",$F56=""),"",$K56/$F56),"")</f>
        <v/>
      </c>
      <c r="M56" s="64" t="n"/>
      <c r="N56" s="64">
        <f>IFERROR(IF(OR($M56="",$F56=""),"",$M56/$F56),"")</f>
        <v/>
      </c>
      <c r="O56" s="66">
        <f>IFERROR(IF(OR($K56="",$M56=""),"",$K56/$M56),"")</f>
        <v/>
      </c>
      <c r="P56" s="64" t="n"/>
      <c r="Q56" s="64">
        <f>IFERROR(IF(OR($P56="",$F56=""),"",$P56/$F56),"")</f>
        <v/>
      </c>
      <c r="R56" s="66">
        <f>IFERROR(IF(OR($K56="",$P56=""),"",$K56/$P56),"")</f>
        <v/>
      </c>
      <c r="S56" s="64" t="n"/>
      <c r="T56" s="64">
        <f>IFERROR(IF(OR($S56="",$F56=""),"",$S56/$F56),"")</f>
        <v/>
      </c>
      <c r="U56" s="66">
        <f>IFERROR(IF(OR($K56="",$S56=""),"",$K56/$S56),"")</f>
        <v/>
      </c>
      <c r="V56" s="88">
        <f>IFERROR(IF(OR($U56="",$R56=""),"",($U56-$R56)*10000),"")</f>
        <v/>
      </c>
      <c r="W56" s="61">
        <f>IFERROR(IF(OR($P56="",$M56=""),"",IF($P56=$M56,"No","Yes")),"")</f>
        <v/>
      </c>
      <c r="X56" s="62" t="n"/>
      <c r="Y56" s="62" t="n"/>
      <c r="Z56" s="89">
        <f>IFERROR(IF(OR($X56="",$Y56=""),"",$X56-$Y56),"")</f>
        <v/>
      </c>
      <c r="AA56" s="67" t="n"/>
      <c r="AB56" s="67" t="n"/>
      <c r="AC56" s="68" t="n"/>
      <c r="AD56" s="67" t="n"/>
      <c r="AE56" s="67" t="n"/>
      <c r="AF56" s="67" t="n"/>
      <c r="AG56" s="67" t="n"/>
      <c r="AH56" s="67" t="n"/>
    </row>
    <row r="57" ht="15" customHeight="1" s="46">
      <c r="A57" s="69">
        <f>IFERROR(ROW()-5,"")</f>
        <v/>
      </c>
      <c r="B57" s="70" t="n"/>
      <c r="C57" s="70" t="n"/>
      <c r="D57" s="70" t="n"/>
      <c r="E57" s="70" t="n"/>
      <c r="F57" s="69" t="n"/>
      <c r="G57" s="70" t="n"/>
      <c r="H57" s="70" t="n"/>
      <c r="I57" s="71" t="n"/>
      <c r="J57" s="72">
        <f>IFERROR(IF(OR($I57="",$X57=""),"",($I57-$X57)/365.25),"")</f>
        <v/>
      </c>
      <c r="K57" s="73" t="n"/>
      <c r="L57" s="74">
        <f>IFERROR(IF(OR($K57="",$F57=""),"",$K57/$F57),"")</f>
        <v/>
      </c>
      <c r="M57" s="73" t="n"/>
      <c r="N57" s="73">
        <f>IFERROR(IF(OR($M57="",$F57=""),"",$M57/$F57),"")</f>
        <v/>
      </c>
      <c r="O57" s="75">
        <f>IFERROR(IF(OR($K57="",$M57=""),"",$K57/$M57),"")</f>
        <v/>
      </c>
      <c r="P57" s="73" t="n"/>
      <c r="Q57" s="73">
        <f>IFERROR(IF(OR($P57="",$F57=""),"",$P57/$F57),"")</f>
        <v/>
      </c>
      <c r="R57" s="75">
        <f>IFERROR(IF(OR($K57="",$P57=""),"",$K57/$P57),"")</f>
        <v/>
      </c>
      <c r="S57" s="73" t="n"/>
      <c r="T57" s="73">
        <f>IFERROR(IF(OR($S57="",$F57=""),"",$S57/$F57),"")</f>
        <v/>
      </c>
      <c r="U57" s="75">
        <f>IFERROR(IF(OR($K57="",$S57=""),"",$K57/$S57),"")</f>
        <v/>
      </c>
      <c r="V57" s="90">
        <f>IFERROR(IF(OR($U57="",$R57=""),"",($U57-$R57)*10000),"")</f>
        <v/>
      </c>
      <c r="W57" s="70">
        <f>IFERROR(IF(OR($P57="",$M57=""),"",IF($P57=$M57,"No","Yes")),"")</f>
        <v/>
      </c>
      <c r="X57" s="71" t="n"/>
      <c r="Y57" s="71" t="n"/>
      <c r="Z57" s="89">
        <f>IFERROR(IF(OR($X57="",$Y57=""),"",$X57-$Y57),"")</f>
        <v/>
      </c>
      <c r="AA57" s="67" t="n"/>
      <c r="AB57" s="67" t="n"/>
      <c r="AC57" s="68" t="n"/>
      <c r="AD57" s="67" t="n"/>
      <c r="AE57" s="67" t="n"/>
      <c r="AF57" s="67" t="n"/>
      <c r="AG57" s="67" t="n"/>
      <c r="AH57" s="67" t="n"/>
    </row>
    <row r="58" ht="15" customHeight="1" s="46">
      <c r="A58" s="60">
        <f>IFERROR(ROW()-5,"")</f>
        <v/>
      </c>
      <c r="B58" s="61" t="n"/>
      <c r="C58" s="61" t="n"/>
      <c r="D58" s="61" t="n"/>
      <c r="E58" s="61" t="n"/>
      <c r="F58" s="60" t="n"/>
      <c r="G58" s="61" t="n"/>
      <c r="H58" s="61" t="n"/>
      <c r="I58" s="62" t="n"/>
      <c r="J58" s="63">
        <f>IFERROR(IF(OR($I58="",$X58=""),"",($I58-$X58)/365.25),"")</f>
        <v/>
      </c>
      <c r="K58" s="64" t="n"/>
      <c r="L58" s="65">
        <f>IFERROR(IF(OR($K58="",$F58=""),"",$K58/$F58),"")</f>
        <v/>
      </c>
      <c r="M58" s="64" t="n"/>
      <c r="N58" s="64">
        <f>IFERROR(IF(OR($M58="",$F58=""),"",$M58/$F58),"")</f>
        <v/>
      </c>
      <c r="O58" s="66">
        <f>IFERROR(IF(OR($K58="",$M58=""),"",$K58/$M58),"")</f>
        <v/>
      </c>
      <c r="P58" s="64" t="n"/>
      <c r="Q58" s="64">
        <f>IFERROR(IF(OR($P58="",$F58=""),"",$P58/$F58),"")</f>
        <v/>
      </c>
      <c r="R58" s="66">
        <f>IFERROR(IF(OR($K58="",$P58=""),"",$K58/$P58),"")</f>
        <v/>
      </c>
      <c r="S58" s="64" t="n"/>
      <c r="T58" s="64">
        <f>IFERROR(IF(OR($S58="",$F58=""),"",$S58/$F58),"")</f>
        <v/>
      </c>
      <c r="U58" s="66">
        <f>IFERROR(IF(OR($K58="",$S58=""),"",$K58/$S58),"")</f>
        <v/>
      </c>
      <c r="V58" s="88">
        <f>IFERROR(IF(OR($U58="",$R58=""),"",($U58-$R58)*10000),"")</f>
        <v/>
      </c>
      <c r="W58" s="61">
        <f>IFERROR(IF(OR($P58="",$M58=""),"",IF($P58=$M58,"No","Yes")),"")</f>
        <v/>
      </c>
      <c r="X58" s="62" t="n"/>
      <c r="Y58" s="62" t="n"/>
      <c r="Z58" s="89">
        <f>IFERROR(IF(OR($X58="",$Y58=""),"",$X58-$Y58),"")</f>
        <v/>
      </c>
      <c r="AA58" s="67" t="n"/>
      <c r="AB58" s="67" t="n"/>
      <c r="AC58" s="68" t="n"/>
      <c r="AD58" s="67" t="n"/>
      <c r="AE58" s="67" t="n"/>
      <c r="AF58" s="67" t="n"/>
      <c r="AG58" s="67" t="n"/>
      <c r="AH58" s="67" t="n"/>
    </row>
    <row r="59" ht="15" customHeight="1" s="46">
      <c r="A59" s="69">
        <f>IFERROR(ROW()-5,"")</f>
        <v/>
      </c>
      <c r="B59" s="70" t="n"/>
      <c r="C59" s="70" t="n"/>
      <c r="D59" s="70" t="n"/>
      <c r="E59" s="70" t="n"/>
      <c r="F59" s="69" t="n"/>
      <c r="G59" s="70" t="n"/>
      <c r="H59" s="70" t="n"/>
      <c r="I59" s="71" t="n"/>
      <c r="J59" s="72">
        <f>IFERROR(IF(OR($I59="",$X59=""),"",($I59-$X59)/365.25),"")</f>
        <v/>
      </c>
      <c r="K59" s="73" t="n"/>
      <c r="L59" s="74">
        <f>IFERROR(IF(OR($K59="",$F59=""),"",$K59/$F59),"")</f>
        <v/>
      </c>
      <c r="M59" s="73" t="n"/>
      <c r="N59" s="73">
        <f>IFERROR(IF(OR($M59="",$F59=""),"",$M59/$F59),"")</f>
        <v/>
      </c>
      <c r="O59" s="75">
        <f>IFERROR(IF(OR($K59="",$M59=""),"",$K59/$M59),"")</f>
        <v/>
      </c>
      <c r="P59" s="73" t="n"/>
      <c r="Q59" s="73">
        <f>IFERROR(IF(OR($P59="",$F59=""),"",$P59/$F59),"")</f>
        <v/>
      </c>
      <c r="R59" s="75">
        <f>IFERROR(IF(OR($K59="",$P59=""),"",$K59/$P59),"")</f>
        <v/>
      </c>
      <c r="S59" s="73" t="n"/>
      <c r="T59" s="73">
        <f>IFERROR(IF(OR($S59="",$F59=""),"",$S59/$F59),"")</f>
        <v/>
      </c>
      <c r="U59" s="75">
        <f>IFERROR(IF(OR($K59="",$S59=""),"",$K59/$S59),"")</f>
        <v/>
      </c>
      <c r="V59" s="90">
        <f>IFERROR(IF(OR($U59="",$R59=""),"",($U59-$R59)*10000),"")</f>
        <v/>
      </c>
      <c r="W59" s="70">
        <f>IFERROR(IF(OR($P59="",$M59=""),"",IF($P59=$M59,"No","Yes")),"")</f>
        <v/>
      </c>
      <c r="X59" s="71" t="n"/>
      <c r="Y59" s="71" t="n"/>
      <c r="Z59" s="89">
        <f>IFERROR(IF(OR($X59="",$Y59=""),"",$X59-$Y59),"")</f>
        <v/>
      </c>
      <c r="AA59" s="67" t="n"/>
      <c r="AB59" s="67" t="n"/>
      <c r="AC59" s="68" t="n"/>
      <c r="AD59" s="67" t="n"/>
      <c r="AE59" s="67" t="n"/>
      <c r="AF59" s="67" t="n"/>
      <c r="AG59" s="67" t="n"/>
      <c r="AH59" s="67" t="n"/>
    </row>
    <row r="60" ht="15" customHeight="1" s="46">
      <c r="A60" s="60">
        <f>IFERROR(ROW()-5,"")</f>
        <v/>
      </c>
      <c r="B60" s="61" t="n"/>
      <c r="C60" s="61" t="n"/>
      <c r="D60" s="61" t="n"/>
      <c r="E60" s="61" t="n"/>
      <c r="F60" s="60" t="n"/>
      <c r="G60" s="61" t="n"/>
      <c r="H60" s="61" t="n"/>
      <c r="I60" s="62" t="n"/>
      <c r="J60" s="63">
        <f>IFERROR(IF(OR($I60="",$X60=""),"",($I60-$X60)/365.25),"")</f>
        <v/>
      </c>
      <c r="K60" s="64" t="n"/>
      <c r="L60" s="65">
        <f>IFERROR(IF(OR($K60="",$F60=""),"",$K60/$F60),"")</f>
        <v/>
      </c>
      <c r="M60" s="64" t="n"/>
      <c r="N60" s="64">
        <f>IFERROR(IF(OR($M60="",$F60=""),"",$M60/$F60),"")</f>
        <v/>
      </c>
      <c r="O60" s="66">
        <f>IFERROR(IF(OR($K60="",$M60=""),"",$K60/$M60),"")</f>
        <v/>
      </c>
      <c r="P60" s="64" t="n"/>
      <c r="Q60" s="64">
        <f>IFERROR(IF(OR($P60="",$F60=""),"",$P60/$F60),"")</f>
        <v/>
      </c>
      <c r="R60" s="66">
        <f>IFERROR(IF(OR($K60="",$P60=""),"",$K60/$P60),"")</f>
        <v/>
      </c>
      <c r="S60" s="64" t="n"/>
      <c r="T60" s="64">
        <f>IFERROR(IF(OR($S60="",$F60=""),"",$S60/$F60),"")</f>
        <v/>
      </c>
      <c r="U60" s="66">
        <f>IFERROR(IF(OR($K60="",$S60=""),"",$K60/$S60),"")</f>
        <v/>
      </c>
      <c r="V60" s="88">
        <f>IFERROR(IF(OR($U60="",$R60=""),"",($U60-$R60)*10000),"")</f>
        <v/>
      </c>
      <c r="W60" s="61">
        <f>IFERROR(IF(OR($P60="",$M60=""),"",IF($P60=$M60,"No","Yes")),"")</f>
        <v/>
      </c>
      <c r="X60" s="62" t="n"/>
      <c r="Y60" s="62" t="n"/>
      <c r="Z60" s="89">
        <f>IFERROR(IF(OR($X60="",$Y60=""),"",$X60-$Y60),"")</f>
        <v/>
      </c>
      <c r="AA60" s="67" t="n"/>
      <c r="AB60" s="67" t="n"/>
      <c r="AC60" s="68" t="n"/>
      <c r="AD60" s="67" t="n"/>
      <c r="AE60" s="67" t="n"/>
      <c r="AF60" s="67" t="n"/>
      <c r="AG60" s="67" t="n"/>
      <c r="AH60" s="67" t="n"/>
    </row>
    <row r="61" ht="15" customHeight="1" s="46">
      <c r="A61" s="69">
        <f>IFERROR(ROW()-5,"")</f>
        <v/>
      </c>
      <c r="B61" s="70" t="n"/>
      <c r="C61" s="70" t="n"/>
      <c r="D61" s="70" t="n"/>
      <c r="E61" s="70" t="n"/>
      <c r="F61" s="69" t="n"/>
      <c r="G61" s="70" t="n"/>
      <c r="H61" s="70" t="n"/>
      <c r="I61" s="71" t="n"/>
      <c r="J61" s="72">
        <f>IFERROR(IF(OR($I61="",$X61=""),"",($I61-$X61)/365.25),"")</f>
        <v/>
      </c>
      <c r="K61" s="73" t="n"/>
      <c r="L61" s="74">
        <f>IFERROR(IF(OR($K61="",$F61=""),"",$K61/$F61),"")</f>
        <v/>
      </c>
      <c r="M61" s="73" t="n"/>
      <c r="N61" s="73">
        <f>IFERROR(IF(OR($M61="",$F61=""),"",$M61/$F61),"")</f>
        <v/>
      </c>
      <c r="O61" s="75">
        <f>IFERROR(IF(OR($K61="",$M61=""),"",$K61/$M61),"")</f>
        <v/>
      </c>
      <c r="P61" s="73" t="n"/>
      <c r="Q61" s="73">
        <f>IFERROR(IF(OR($P61="",$F61=""),"",$P61/$F61),"")</f>
        <v/>
      </c>
      <c r="R61" s="75">
        <f>IFERROR(IF(OR($K61="",$P61=""),"",$K61/$P61),"")</f>
        <v/>
      </c>
      <c r="S61" s="73" t="n"/>
      <c r="T61" s="73">
        <f>IFERROR(IF(OR($S61="",$F61=""),"",$S61/$F61),"")</f>
        <v/>
      </c>
      <c r="U61" s="75">
        <f>IFERROR(IF(OR($K61="",$S61=""),"",$K61/$S61),"")</f>
        <v/>
      </c>
      <c r="V61" s="90">
        <f>IFERROR(IF(OR($U61="",$R61=""),"",($U61-$R61)*10000),"")</f>
        <v/>
      </c>
      <c r="W61" s="70">
        <f>IFERROR(IF(OR($P61="",$M61=""),"",IF($P61=$M61,"No","Yes")),"")</f>
        <v/>
      </c>
      <c r="X61" s="71" t="n"/>
      <c r="Y61" s="71" t="n"/>
      <c r="Z61" s="89">
        <f>IFERROR(IF(OR($X61="",$Y61=""),"",$X61-$Y61),"")</f>
        <v/>
      </c>
      <c r="AA61" s="67" t="n"/>
      <c r="AB61" s="67" t="n"/>
      <c r="AC61" s="68" t="n"/>
      <c r="AD61" s="67" t="n"/>
      <c r="AE61" s="67" t="n"/>
      <c r="AF61" s="67" t="n"/>
      <c r="AG61" s="67" t="n"/>
      <c r="AH61" s="67" t="n"/>
    </row>
    <row r="62" ht="15" customHeight="1" s="46">
      <c r="A62" s="60">
        <f>IFERROR(ROW()-5,"")</f>
        <v/>
      </c>
      <c r="B62" s="61" t="n"/>
      <c r="C62" s="61" t="n"/>
      <c r="D62" s="61" t="n"/>
      <c r="E62" s="61" t="n"/>
      <c r="F62" s="60" t="n"/>
      <c r="G62" s="61" t="n"/>
      <c r="H62" s="61" t="n"/>
      <c r="I62" s="62" t="n"/>
      <c r="J62" s="63">
        <f>IFERROR(IF(OR($I62="",$X62=""),"",($I62-$X62)/365.25),"")</f>
        <v/>
      </c>
      <c r="K62" s="64" t="n"/>
      <c r="L62" s="65">
        <f>IFERROR(IF(OR($K62="",$F62=""),"",$K62/$F62),"")</f>
        <v/>
      </c>
      <c r="M62" s="64" t="n"/>
      <c r="N62" s="64">
        <f>IFERROR(IF(OR($M62="",$F62=""),"",$M62/$F62),"")</f>
        <v/>
      </c>
      <c r="O62" s="66">
        <f>IFERROR(IF(OR($K62="",$M62=""),"",$K62/$M62),"")</f>
        <v/>
      </c>
      <c r="P62" s="64" t="n"/>
      <c r="Q62" s="64">
        <f>IFERROR(IF(OR($P62="",$F62=""),"",$P62/$F62),"")</f>
        <v/>
      </c>
      <c r="R62" s="66">
        <f>IFERROR(IF(OR($K62="",$P62=""),"",$K62/$P62),"")</f>
        <v/>
      </c>
      <c r="S62" s="64" t="n"/>
      <c r="T62" s="64">
        <f>IFERROR(IF(OR($S62="",$F62=""),"",$S62/$F62),"")</f>
        <v/>
      </c>
      <c r="U62" s="66">
        <f>IFERROR(IF(OR($K62="",$S62=""),"",$K62/$S62),"")</f>
        <v/>
      </c>
      <c r="V62" s="88">
        <f>IFERROR(IF(OR($U62="",$R62=""),"",($U62-$R62)*10000),"")</f>
        <v/>
      </c>
      <c r="W62" s="61">
        <f>IFERROR(IF(OR($P62="",$M62=""),"",IF($P62=$M62,"No","Yes")),"")</f>
        <v/>
      </c>
      <c r="X62" s="62" t="n"/>
      <c r="Y62" s="62" t="n"/>
      <c r="Z62" s="89">
        <f>IFERROR(IF(OR($X62="",$Y62=""),"",$X62-$Y62),"")</f>
        <v/>
      </c>
      <c r="AA62" s="67" t="n"/>
      <c r="AB62" s="67" t="n"/>
      <c r="AC62" s="68" t="n"/>
      <c r="AD62" s="67" t="n"/>
      <c r="AE62" s="67" t="n"/>
      <c r="AF62" s="67" t="n"/>
      <c r="AG62" s="67" t="n"/>
      <c r="AH62" s="67" t="n"/>
    </row>
    <row r="63" ht="15" customHeight="1" s="46">
      <c r="A63" s="69">
        <f>IFERROR(ROW()-5,"")</f>
        <v/>
      </c>
      <c r="B63" s="70" t="n"/>
      <c r="C63" s="70" t="n"/>
      <c r="D63" s="70" t="n"/>
      <c r="E63" s="70" t="n"/>
      <c r="F63" s="69" t="n"/>
      <c r="G63" s="70" t="n"/>
      <c r="H63" s="70" t="n"/>
      <c r="I63" s="71" t="n"/>
      <c r="J63" s="72">
        <f>IFERROR(IF(OR($I63="",$X63=""),"",($I63-$X63)/365.25),"")</f>
        <v/>
      </c>
      <c r="K63" s="73" t="n"/>
      <c r="L63" s="74">
        <f>IFERROR(IF(OR($K63="",$F63=""),"",$K63/$F63),"")</f>
        <v/>
      </c>
      <c r="M63" s="73" t="n"/>
      <c r="N63" s="73">
        <f>IFERROR(IF(OR($M63="",$F63=""),"",$M63/$F63),"")</f>
        <v/>
      </c>
      <c r="O63" s="75">
        <f>IFERROR(IF(OR($K63="",$M63=""),"",$K63/$M63),"")</f>
        <v/>
      </c>
      <c r="P63" s="73" t="n"/>
      <c r="Q63" s="73">
        <f>IFERROR(IF(OR($P63="",$F63=""),"",$P63/$F63),"")</f>
        <v/>
      </c>
      <c r="R63" s="75">
        <f>IFERROR(IF(OR($K63="",$P63=""),"",$K63/$P63),"")</f>
        <v/>
      </c>
      <c r="S63" s="73" t="n"/>
      <c r="T63" s="73">
        <f>IFERROR(IF(OR($S63="",$F63=""),"",$S63/$F63),"")</f>
        <v/>
      </c>
      <c r="U63" s="75">
        <f>IFERROR(IF(OR($K63="",$S63=""),"",$K63/$S63),"")</f>
        <v/>
      </c>
      <c r="V63" s="90">
        <f>IFERROR(IF(OR($U63="",$R63=""),"",($U63-$R63)*10000),"")</f>
        <v/>
      </c>
      <c r="W63" s="70">
        <f>IFERROR(IF(OR($P63="",$M63=""),"",IF($P63=$M63,"No","Yes")),"")</f>
        <v/>
      </c>
      <c r="X63" s="71" t="n"/>
      <c r="Y63" s="71" t="n"/>
      <c r="Z63" s="89">
        <f>IFERROR(IF(OR($X63="",$Y63=""),"",$X63-$Y63),"")</f>
        <v/>
      </c>
      <c r="AA63" s="67" t="n"/>
      <c r="AB63" s="67" t="n"/>
      <c r="AC63" s="68" t="n"/>
      <c r="AD63" s="67" t="n"/>
      <c r="AE63" s="67" t="n"/>
      <c r="AF63" s="67" t="n"/>
      <c r="AG63" s="67" t="n"/>
      <c r="AH63" s="67" t="n"/>
    </row>
    <row r="64" ht="15" customHeight="1" s="46">
      <c r="A64" s="60">
        <f>IFERROR(ROW()-5,"")</f>
        <v/>
      </c>
      <c r="B64" s="61" t="n"/>
      <c r="C64" s="61" t="n"/>
      <c r="D64" s="61" t="n"/>
      <c r="E64" s="61" t="n"/>
      <c r="F64" s="60" t="n"/>
      <c r="G64" s="61" t="n"/>
      <c r="H64" s="61" t="n"/>
      <c r="I64" s="62" t="n"/>
      <c r="J64" s="63">
        <f>IFERROR(IF(OR($I64="",$X64=""),"",($I64-$X64)/365.25),"")</f>
        <v/>
      </c>
      <c r="K64" s="64" t="n"/>
      <c r="L64" s="65">
        <f>IFERROR(IF(OR($K64="",$F64=""),"",$K64/$F64),"")</f>
        <v/>
      </c>
      <c r="M64" s="64" t="n"/>
      <c r="N64" s="64">
        <f>IFERROR(IF(OR($M64="",$F64=""),"",$M64/$F64),"")</f>
        <v/>
      </c>
      <c r="O64" s="66">
        <f>IFERROR(IF(OR($K64="",$M64=""),"",$K64/$M64),"")</f>
        <v/>
      </c>
      <c r="P64" s="64" t="n"/>
      <c r="Q64" s="64">
        <f>IFERROR(IF(OR($P64="",$F64=""),"",$P64/$F64),"")</f>
        <v/>
      </c>
      <c r="R64" s="66">
        <f>IFERROR(IF(OR($K64="",$P64=""),"",$K64/$P64),"")</f>
        <v/>
      </c>
      <c r="S64" s="64" t="n"/>
      <c r="T64" s="64">
        <f>IFERROR(IF(OR($S64="",$F64=""),"",$S64/$F64),"")</f>
        <v/>
      </c>
      <c r="U64" s="66">
        <f>IFERROR(IF(OR($K64="",$S64=""),"",$K64/$S64),"")</f>
        <v/>
      </c>
      <c r="V64" s="88">
        <f>IFERROR(IF(OR($U64="",$R64=""),"",($U64-$R64)*10000),"")</f>
        <v/>
      </c>
      <c r="W64" s="61">
        <f>IFERROR(IF(OR($P64="",$M64=""),"",IF($P64=$M64,"No","Yes")),"")</f>
        <v/>
      </c>
      <c r="X64" s="62" t="n"/>
      <c r="Y64" s="62" t="n"/>
      <c r="Z64" s="89">
        <f>IFERROR(IF(OR($X64="",$Y64=""),"",$X64-$Y64),"")</f>
        <v/>
      </c>
      <c r="AA64" s="67" t="n"/>
      <c r="AB64" s="67" t="n"/>
      <c r="AC64" s="68" t="n"/>
      <c r="AD64" s="67" t="n"/>
      <c r="AE64" s="67" t="n"/>
      <c r="AF64" s="67" t="n"/>
      <c r="AG64" s="67" t="n"/>
      <c r="AH64" s="67" t="n"/>
    </row>
    <row r="65" ht="15" customHeight="1" s="46">
      <c r="A65" s="69">
        <f>IFERROR(ROW()-5,"")</f>
        <v/>
      </c>
      <c r="B65" s="70" t="n"/>
      <c r="C65" s="70" t="n"/>
      <c r="D65" s="70" t="n"/>
      <c r="E65" s="70" t="n"/>
      <c r="F65" s="69" t="n"/>
      <c r="G65" s="70" t="n"/>
      <c r="H65" s="70" t="n"/>
      <c r="I65" s="71" t="n"/>
      <c r="J65" s="72">
        <f>IFERROR(IF(OR($I65="",$X65=""),"",($I65-$X65)/365.25),"")</f>
        <v/>
      </c>
      <c r="K65" s="73" t="n"/>
      <c r="L65" s="74">
        <f>IFERROR(IF(OR($K65="",$F65=""),"",$K65/$F65),"")</f>
        <v/>
      </c>
      <c r="M65" s="73" t="n"/>
      <c r="N65" s="73">
        <f>IFERROR(IF(OR($M65="",$F65=""),"",$M65/$F65),"")</f>
        <v/>
      </c>
      <c r="O65" s="75">
        <f>IFERROR(IF(OR($K65="",$M65=""),"",$K65/$M65),"")</f>
        <v/>
      </c>
      <c r="P65" s="73" t="n"/>
      <c r="Q65" s="73">
        <f>IFERROR(IF(OR($P65="",$F65=""),"",$P65/$F65),"")</f>
        <v/>
      </c>
      <c r="R65" s="75">
        <f>IFERROR(IF(OR($K65="",$P65=""),"",$K65/$P65),"")</f>
        <v/>
      </c>
      <c r="S65" s="73" t="n"/>
      <c r="T65" s="73">
        <f>IFERROR(IF(OR($S65="",$F65=""),"",$S65/$F65),"")</f>
        <v/>
      </c>
      <c r="U65" s="75">
        <f>IFERROR(IF(OR($K65="",$S65=""),"",$K65/$S65),"")</f>
        <v/>
      </c>
      <c r="V65" s="90">
        <f>IFERROR(IF(OR($U65="",$R65=""),"",($U65-$R65)*10000),"")</f>
        <v/>
      </c>
      <c r="W65" s="70">
        <f>IFERROR(IF(OR($P65="",$M65=""),"",IF($P65=$M65,"No","Yes")),"")</f>
        <v/>
      </c>
      <c r="X65" s="71" t="n"/>
      <c r="Y65" s="71" t="n"/>
      <c r="Z65" s="89">
        <f>IFERROR(IF(OR($X65="",$Y65=""),"",$X65-$Y65),"")</f>
        <v/>
      </c>
      <c r="AA65" s="67" t="n"/>
      <c r="AB65" s="67" t="n"/>
      <c r="AC65" s="68" t="n"/>
      <c r="AD65" s="67" t="n"/>
      <c r="AE65" s="67" t="n"/>
      <c r="AF65" s="67" t="n"/>
      <c r="AG65" s="67" t="n"/>
      <c r="AH65" s="67" t="n"/>
    </row>
    <row r="66" ht="15" customHeight="1" s="46">
      <c r="A66" s="60">
        <f>IFERROR(ROW()-5,"")</f>
        <v/>
      </c>
      <c r="B66" s="61" t="n"/>
      <c r="C66" s="61" t="n"/>
      <c r="D66" s="61" t="n"/>
      <c r="E66" s="61" t="n"/>
      <c r="F66" s="60" t="n"/>
      <c r="G66" s="61" t="n"/>
      <c r="H66" s="61" t="n"/>
      <c r="I66" s="62" t="n"/>
      <c r="J66" s="63">
        <f>IFERROR(IF(OR($I66="",$X66=""),"",($I66-$X66)/365.25),"")</f>
        <v/>
      </c>
      <c r="K66" s="64" t="n"/>
      <c r="L66" s="65">
        <f>IFERROR(IF(OR($K66="",$F66=""),"",$K66/$F66),"")</f>
        <v/>
      </c>
      <c r="M66" s="64" t="n"/>
      <c r="N66" s="64">
        <f>IFERROR(IF(OR($M66="",$F66=""),"",$M66/$F66),"")</f>
        <v/>
      </c>
      <c r="O66" s="66">
        <f>IFERROR(IF(OR($K66="",$M66=""),"",$K66/$M66),"")</f>
        <v/>
      </c>
      <c r="P66" s="64" t="n"/>
      <c r="Q66" s="64">
        <f>IFERROR(IF(OR($P66="",$F66=""),"",$P66/$F66),"")</f>
        <v/>
      </c>
      <c r="R66" s="66">
        <f>IFERROR(IF(OR($K66="",$P66=""),"",$K66/$P66),"")</f>
        <v/>
      </c>
      <c r="S66" s="64" t="n"/>
      <c r="T66" s="64">
        <f>IFERROR(IF(OR($S66="",$F66=""),"",$S66/$F66),"")</f>
        <v/>
      </c>
      <c r="U66" s="66">
        <f>IFERROR(IF(OR($K66="",$S66=""),"",$K66/$S66),"")</f>
        <v/>
      </c>
      <c r="V66" s="88">
        <f>IFERROR(IF(OR($U66="",$R66=""),"",($U66-$R66)*10000),"")</f>
        <v/>
      </c>
      <c r="W66" s="61">
        <f>IFERROR(IF(OR($P66="",$M66=""),"",IF($P66=$M66,"No","Yes")),"")</f>
        <v/>
      </c>
      <c r="X66" s="62" t="n"/>
      <c r="Y66" s="62" t="n"/>
      <c r="Z66" s="89">
        <f>IFERROR(IF(OR($X66="",$Y66=""),"",$X66-$Y66),"")</f>
        <v/>
      </c>
      <c r="AA66" s="67" t="n"/>
      <c r="AB66" s="67" t="n"/>
      <c r="AC66" s="68" t="n"/>
      <c r="AD66" s="67" t="n"/>
      <c r="AE66" s="67" t="n"/>
      <c r="AF66" s="67" t="n"/>
      <c r="AG66" s="67" t="n"/>
      <c r="AH66" s="67" t="n"/>
    </row>
    <row r="67" ht="15" customHeight="1" s="46">
      <c r="A67" s="69">
        <f>IFERROR(ROW()-5,"")</f>
        <v/>
      </c>
      <c r="B67" s="70" t="n"/>
      <c r="C67" s="70" t="n"/>
      <c r="D67" s="70" t="n"/>
      <c r="E67" s="70" t="n"/>
      <c r="F67" s="69" t="n"/>
      <c r="G67" s="70" t="n"/>
      <c r="H67" s="70" t="n"/>
      <c r="I67" s="71" t="n"/>
      <c r="J67" s="72">
        <f>IFERROR(IF(OR($I67="",$X67=""),"",($I67-$X67)/365.25),"")</f>
        <v/>
      </c>
      <c r="K67" s="73" t="n"/>
      <c r="L67" s="74">
        <f>IFERROR(IF(OR($K67="",$F67=""),"",$K67/$F67),"")</f>
        <v/>
      </c>
      <c r="M67" s="73" t="n"/>
      <c r="N67" s="73">
        <f>IFERROR(IF(OR($M67="",$F67=""),"",$M67/$F67),"")</f>
        <v/>
      </c>
      <c r="O67" s="75">
        <f>IFERROR(IF(OR($K67="",$M67=""),"",$K67/$M67),"")</f>
        <v/>
      </c>
      <c r="P67" s="73" t="n"/>
      <c r="Q67" s="73">
        <f>IFERROR(IF(OR($P67="",$F67=""),"",$P67/$F67),"")</f>
        <v/>
      </c>
      <c r="R67" s="75">
        <f>IFERROR(IF(OR($K67="",$P67=""),"",$K67/$P67),"")</f>
        <v/>
      </c>
      <c r="S67" s="73" t="n"/>
      <c r="T67" s="73">
        <f>IFERROR(IF(OR($S67="",$F67=""),"",$S67/$F67),"")</f>
        <v/>
      </c>
      <c r="U67" s="75">
        <f>IFERROR(IF(OR($K67="",$S67=""),"",$K67/$S67),"")</f>
        <v/>
      </c>
      <c r="V67" s="90">
        <f>IFERROR(IF(OR($U67="",$R67=""),"",($U67-$R67)*10000),"")</f>
        <v/>
      </c>
      <c r="W67" s="70">
        <f>IFERROR(IF(OR($P67="",$M67=""),"",IF($P67=$M67,"No","Yes")),"")</f>
        <v/>
      </c>
      <c r="X67" s="71" t="n"/>
      <c r="Y67" s="71" t="n"/>
      <c r="Z67" s="89">
        <f>IFERROR(IF(OR($X67="",$Y67=""),"",$X67-$Y67),"")</f>
        <v/>
      </c>
      <c r="AA67" s="67" t="n"/>
      <c r="AB67" s="67" t="n"/>
      <c r="AC67" s="68" t="n"/>
      <c r="AD67" s="67" t="n"/>
      <c r="AE67" s="67" t="n"/>
      <c r="AF67" s="67" t="n"/>
      <c r="AG67" s="67" t="n"/>
      <c r="AH67" s="67" t="n"/>
    </row>
    <row r="68" ht="15" customHeight="1" s="46">
      <c r="A68" s="60">
        <f>IFERROR(ROW()-5,"")</f>
        <v/>
      </c>
      <c r="B68" s="61" t="n"/>
      <c r="C68" s="61" t="n"/>
      <c r="D68" s="61" t="n"/>
      <c r="E68" s="61" t="n"/>
      <c r="F68" s="60" t="n"/>
      <c r="G68" s="61" t="n"/>
      <c r="H68" s="61" t="n"/>
      <c r="I68" s="62" t="n"/>
      <c r="J68" s="63">
        <f>IFERROR(IF(OR($I68="",$X68=""),"",($I68-$X68)/365.25),"")</f>
        <v/>
      </c>
      <c r="K68" s="64" t="n"/>
      <c r="L68" s="65">
        <f>IFERROR(IF(OR($K68="",$F68=""),"",$K68/$F68),"")</f>
        <v/>
      </c>
      <c r="M68" s="64" t="n"/>
      <c r="N68" s="64">
        <f>IFERROR(IF(OR($M68="",$F68=""),"",$M68/$F68),"")</f>
        <v/>
      </c>
      <c r="O68" s="66">
        <f>IFERROR(IF(OR($K68="",$M68=""),"",$K68/$M68),"")</f>
        <v/>
      </c>
      <c r="P68" s="64" t="n"/>
      <c r="Q68" s="64">
        <f>IFERROR(IF(OR($P68="",$F68=""),"",$P68/$F68),"")</f>
        <v/>
      </c>
      <c r="R68" s="66">
        <f>IFERROR(IF(OR($K68="",$P68=""),"",$K68/$P68),"")</f>
        <v/>
      </c>
      <c r="S68" s="64" t="n"/>
      <c r="T68" s="64">
        <f>IFERROR(IF(OR($S68="",$F68=""),"",$S68/$F68),"")</f>
        <v/>
      </c>
      <c r="U68" s="66">
        <f>IFERROR(IF(OR($K68="",$S68=""),"",$K68/$S68),"")</f>
        <v/>
      </c>
      <c r="V68" s="88">
        <f>IFERROR(IF(OR($U68="",$R68=""),"",($U68-$R68)*10000),"")</f>
        <v/>
      </c>
      <c r="W68" s="61">
        <f>IFERROR(IF(OR($P68="",$M68=""),"",IF($P68=$M68,"No","Yes")),"")</f>
        <v/>
      </c>
      <c r="X68" s="62" t="n"/>
      <c r="Y68" s="62" t="n"/>
      <c r="Z68" s="89">
        <f>IFERROR(IF(OR($X68="",$Y68=""),"",$X68-$Y68),"")</f>
        <v/>
      </c>
      <c r="AA68" s="67" t="n"/>
      <c r="AB68" s="67" t="n"/>
      <c r="AC68" s="68" t="n"/>
      <c r="AD68" s="67" t="n"/>
      <c r="AE68" s="67" t="n"/>
      <c r="AF68" s="67" t="n"/>
      <c r="AG68" s="67" t="n"/>
      <c r="AH68" s="67" t="n"/>
    </row>
    <row r="69" ht="15" customHeight="1" s="46">
      <c r="A69" s="69">
        <f>IFERROR(ROW()-5,"")</f>
        <v/>
      </c>
      <c r="B69" s="70" t="n"/>
      <c r="C69" s="70" t="n"/>
      <c r="D69" s="70" t="n"/>
      <c r="E69" s="70" t="n"/>
      <c r="F69" s="69" t="n"/>
      <c r="G69" s="70" t="n"/>
      <c r="H69" s="70" t="n"/>
      <c r="I69" s="71" t="n"/>
      <c r="J69" s="72">
        <f>IFERROR(IF(OR($I69="",$X69=""),"",($I69-$X69)/365.25),"")</f>
        <v/>
      </c>
      <c r="K69" s="73" t="n"/>
      <c r="L69" s="74">
        <f>IFERROR(IF(OR($K69="",$F69=""),"",$K69/$F69),"")</f>
        <v/>
      </c>
      <c r="M69" s="73" t="n"/>
      <c r="N69" s="73">
        <f>IFERROR(IF(OR($M69="",$F69=""),"",$M69/$F69),"")</f>
        <v/>
      </c>
      <c r="O69" s="75">
        <f>IFERROR(IF(OR($K69="",$M69=""),"",$K69/$M69),"")</f>
        <v/>
      </c>
      <c r="P69" s="73" t="n"/>
      <c r="Q69" s="73">
        <f>IFERROR(IF(OR($P69="",$F69=""),"",$P69/$F69),"")</f>
        <v/>
      </c>
      <c r="R69" s="75">
        <f>IFERROR(IF(OR($K69="",$P69=""),"",$K69/$P69),"")</f>
        <v/>
      </c>
      <c r="S69" s="73" t="n"/>
      <c r="T69" s="73">
        <f>IFERROR(IF(OR($S69="",$F69=""),"",$S69/$F69),"")</f>
        <v/>
      </c>
      <c r="U69" s="75">
        <f>IFERROR(IF(OR($K69="",$S69=""),"",$K69/$S69),"")</f>
        <v/>
      </c>
      <c r="V69" s="90">
        <f>IFERROR(IF(OR($U69="",$R69=""),"",($U69-$R69)*10000),"")</f>
        <v/>
      </c>
      <c r="W69" s="70">
        <f>IFERROR(IF(OR($P69="",$M69=""),"",IF($P69=$M69,"No","Yes")),"")</f>
        <v/>
      </c>
      <c r="X69" s="71" t="n"/>
      <c r="Y69" s="71" t="n"/>
      <c r="Z69" s="89">
        <f>IFERROR(IF(OR($X69="",$Y69=""),"",$X69-$Y69),"")</f>
        <v/>
      </c>
      <c r="AA69" s="67" t="n"/>
      <c r="AB69" s="67" t="n"/>
      <c r="AC69" s="68" t="n"/>
      <c r="AD69" s="67" t="n"/>
      <c r="AE69" s="67" t="n"/>
      <c r="AF69" s="67" t="n"/>
      <c r="AG69" s="67" t="n"/>
      <c r="AH69" s="67" t="n"/>
    </row>
    <row r="70" ht="15" customHeight="1" s="46">
      <c r="A70" s="60">
        <f>IFERROR(ROW()-5,"")</f>
        <v/>
      </c>
      <c r="B70" s="61" t="n"/>
      <c r="C70" s="61" t="n"/>
      <c r="D70" s="61" t="n"/>
      <c r="E70" s="61" t="n"/>
      <c r="F70" s="60" t="n"/>
      <c r="G70" s="61" t="n"/>
      <c r="H70" s="61" t="n"/>
      <c r="I70" s="62" t="n"/>
      <c r="J70" s="63">
        <f>IFERROR(IF(OR($I70="",$X70=""),"",($I70-$X70)/365.25),"")</f>
        <v/>
      </c>
      <c r="K70" s="64" t="n"/>
      <c r="L70" s="65">
        <f>IFERROR(IF(OR($K70="",$F70=""),"",$K70/$F70),"")</f>
        <v/>
      </c>
      <c r="M70" s="64" t="n"/>
      <c r="N70" s="64">
        <f>IFERROR(IF(OR($M70="",$F70=""),"",$M70/$F70),"")</f>
        <v/>
      </c>
      <c r="O70" s="66">
        <f>IFERROR(IF(OR($K70="",$M70=""),"",$K70/$M70),"")</f>
        <v/>
      </c>
      <c r="P70" s="64" t="n"/>
      <c r="Q70" s="64">
        <f>IFERROR(IF(OR($P70="",$F70=""),"",$P70/$F70),"")</f>
        <v/>
      </c>
      <c r="R70" s="66">
        <f>IFERROR(IF(OR($K70="",$P70=""),"",$K70/$P70),"")</f>
        <v/>
      </c>
      <c r="S70" s="64" t="n"/>
      <c r="T70" s="64">
        <f>IFERROR(IF(OR($S70="",$F70=""),"",$S70/$F70),"")</f>
        <v/>
      </c>
      <c r="U70" s="66">
        <f>IFERROR(IF(OR($K70="",$S70=""),"",$K70/$S70),"")</f>
        <v/>
      </c>
      <c r="V70" s="88">
        <f>IFERROR(IF(OR($U70="",$R70=""),"",($U70-$R70)*10000),"")</f>
        <v/>
      </c>
      <c r="W70" s="61">
        <f>IFERROR(IF(OR($P70="",$M70=""),"",IF($P70=$M70,"No","Yes")),"")</f>
        <v/>
      </c>
      <c r="X70" s="62" t="n"/>
      <c r="Y70" s="62" t="n"/>
      <c r="Z70" s="89">
        <f>IFERROR(IF(OR($X70="",$Y70=""),"",$X70-$Y70),"")</f>
        <v/>
      </c>
      <c r="AA70" s="67" t="n"/>
      <c r="AB70" s="67" t="n"/>
      <c r="AC70" s="68" t="n"/>
      <c r="AD70" s="67" t="n"/>
      <c r="AE70" s="67" t="n"/>
      <c r="AF70" s="67" t="n"/>
      <c r="AG70" s="67" t="n"/>
      <c r="AH70" s="67" t="n"/>
    </row>
    <row r="71" ht="15" customHeight="1" s="46">
      <c r="A71" s="69">
        <f>IFERROR(ROW()-5,"")</f>
        <v/>
      </c>
      <c r="B71" s="70" t="n"/>
      <c r="C71" s="70" t="n"/>
      <c r="D71" s="70" t="n"/>
      <c r="E71" s="70" t="n"/>
      <c r="F71" s="69" t="n"/>
      <c r="G71" s="70" t="n"/>
      <c r="H71" s="70" t="n"/>
      <c r="I71" s="71" t="n"/>
      <c r="J71" s="72">
        <f>IFERROR(IF(OR($I71="",$X71=""),"",($I71-$X71)/365.25),"")</f>
        <v/>
      </c>
      <c r="K71" s="73" t="n"/>
      <c r="L71" s="74">
        <f>IFERROR(IF(OR($K71="",$F71=""),"",$K71/$F71),"")</f>
        <v/>
      </c>
      <c r="M71" s="73" t="n"/>
      <c r="N71" s="73">
        <f>IFERROR(IF(OR($M71="",$F71=""),"",$M71/$F71),"")</f>
        <v/>
      </c>
      <c r="O71" s="75">
        <f>IFERROR(IF(OR($K71="",$M71=""),"",$K71/$M71),"")</f>
        <v/>
      </c>
      <c r="P71" s="73" t="n"/>
      <c r="Q71" s="73">
        <f>IFERROR(IF(OR($P71="",$F71=""),"",$P71/$F71),"")</f>
        <v/>
      </c>
      <c r="R71" s="75">
        <f>IFERROR(IF(OR($K71="",$P71=""),"",$K71/$P71),"")</f>
        <v/>
      </c>
      <c r="S71" s="73" t="n"/>
      <c r="T71" s="73">
        <f>IFERROR(IF(OR($S71="",$F71=""),"",$S71/$F71),"")</f>
        <v/>
      </c>
      <c r="U71" s="75">
        <f>IFERROR(IF(OR($K71="",$S71=""),"",$K71/$S71),"")</f>
        <v/>
      </c>
      <c r="V71" s="90">
        <f>IFERROR(IF(OR($U71="",$R71=""),"",($U71-$R71)*10000),"")</f>
        <v/>
      </c>
      <c r="W71" s="70">
        <f>IFERROR(IF(OR($P71="",$M71=""),"",IF($P71=$M71,"No","Yes")),"")</f>
        <v/>
      </c>
      <c r="X71" s="71" t="n"/>
      <c r="Y71" s="71" t="n"/>
      <c r="Z71" s="89">
        <f>IFERROR(IF(OR($X71="",$Y71=""),"",$X71-$Y71),"")</f>
        <v/>
      </c>
      <c r="AA71" s="67" t="n"/>
      <c r="AB71" s="67" t="n"/>
      <c r="AC71" s="68" t="n"/>
      <c r="AD71" s="67" t="n"/>
      <c r="AE71" s="67" t="n"/>
      <c r="AF71" s="67" t="n"/>
      <c r="AG71" s="67" t="n"/>
      <c r="AH71" s="67" t="n"/>
    </row>
    <row r="72" ht="15" customHeight="1" s="46">
      <c r="A72" s="60">
        <f>IFERROR(ROW()-5,"")</f>
        <v/>
      </c>
      <c r="B72" s="61" t="n"/>
      <c r="C72" s="61" t="n"/>
      <c r="D72" s="61" t="n"/>
      <c r="E72" s="61" t="n"/>
      <c r="F72" s="60" t="n"/>
      <c r="G72" s="61" t="n"/>
      <c r="H72" s="61" t="n"/>
      <c r="I72" s="62" t="n"/>
      <c r="J72" s="63">
        <f>IFERROR(IF(OR($I72="",$X72=""),"",($I72-$X72)/365.25),"")</f>
        <v/>
      </c>
      <c r="K72" s="64" t="n"/>
      <c r="L72" s="65">
        <f>IFERROR(IF(OR($K72="",$F72=""),"",$K72/$F72),"")</f>
        <v/>
      </c>
      <c r="M72" s="64" t="n"/>
      <c r="N72" s="64">
        <f>IFERROR(IF(OR($M72="",$F72=""),"",$M72/$F72),"")</f>
        <v/>
      </c>
      <c r="O72" s="66">
        <f>IFERROR(IF(OR($K72="",$M72=""),"",$K72/$M72),"")</f>
        <v/>
      </c>
      <c r="P72" s="64" t="n"/>
      <c r="Q72" s="64">
        <f>IFERROR(IF(OR($P72="",$F72=""),"",$P72/$F72),"")</f>
        <v/>
      </c>
      <c r="R72" s="66">
        <f>IFERROR(IF(OR($K72="",$P72=""),"",$K72/$P72),"")</f>
        <v/>
      </c>
      <c r="S72" s="64" t="n"/>
      <c r="T72" s="64">
        <f>IFERROR(IF(OR($S72="",$F72=""),"",$S72/$F72),"")</f>
        <v/>
      </c>
      <c r="U72" s="66">
        <f>IFERROR(IF(OR($K72="",$S72=""),"",$K72/$S72),"")</f>
        <v/>
      </c>
      <c r="V72" s="88">
        <f>IFERROR(IF(OR($U72="",$R72=""),"",($U72-$R72)*10000),"")</f>
        <v/>
      </c>
      <c r="W72" s="61">
        <f>IFERROR(IF(OR($P72="",$M72=""),"",IF($P72=$M72,"No","Yes")),"")</f>
        <v/>
      </c>
      <c r="X72" s="62" t="n"/>
      <c r="Y72" s="62" t="n"/>
      <c r="Z72" s="89">
        <f>IFERROR(IF(OR($X72="",$Y72=""),"",$X72-$Y72),"")</f>
        <v/>
      </c>
      <c r="AA72" s="67" t="n"/>
      <c r="AB72" s="67" t="n"/>
      <c r="AC72" s="68" t="n"/>
      <c r="AD72" s="67" t="n"/>
      <c r="AE72" s="67" t="n"/>
      <c r="AF72" s="67" t="n"/>
      <c r="AG72" s="67" t="n"/>
      <c r="AH72" s="67" t="n"/>
    </row>
    <row r="73" ht="15" customHeight="1" s="46">
      <c r="A73" s="69">
        <f>IFERROR(ROW()-5,"")</f>
        <v/>
      </c>
      <c r="B73" s="70" t="n"/>
      <c r="C73" s="70" t="n"/>
      <c r="D73" s="70" t="n"/>
      <c r="E73" s="70" t="n"/>
      <c r="F73" s="69" t="n"/>
      <c r="G73" s="70" t="n"/>
      <c r="H73" s="70" t="n"/>
      <c r="I73" s="71" t="n"/>
      <c r="J73" s="72">
        <f>IFERROR(IF(OR($I73="",$X73=""),"",($I73-$X73)/365.25),"")</f>
        <v/>
      </c>
      <c r="K73" s="73" t="n"/>
      <c r="L73" s="74">
        <f>IFERROR(IF(OR($K73="",$F73=""),"",$K73/$F73),"")</f>
        <v/>
      </c>
      <c r="M73" s="73" t="n"/>
      <c r="N73" s="73">
        <f>IFERROR(IF(OR($M73="",$F73=""),"",$M73/$F73),"")</f>
        <v/>
      </c>
      <c r="O73" s="75">
        <f>IFERROR(IF(OR($K73="",$M73=""),"",$K73/$M73),"")</f>
        <v/>
      </c>
      <c r="P73" s="73" t="n"/>
      <c r="Q73" s="73">
        <f>IFERROR(IF(OR($P73="",$F73=""),"",$P73/$F73),"")</f>
        <v/>
      </c>
      <c r="R73" s="75">
        <f>IFERROR(IF(OR($K73="",$P73=""),"",$K73/$P73),"")</f>
        <v/>
      </c>
      <c r="S73" s="73" t="n"/>
      <c r="T73" s="73">
        <f>IFERROR(IF(OR($S73="",$F73=""),"",$S73/$F73),"")</f>
        <v/>
      </c>
      <c r="U73" s="75">
        <f>IFERROR(IF(OR($K73="",$S73=""),"",$K73/$S73),"")</f>
        <v/>
      </c>
      <c r="V73" s="90">
        <f>IFERROR(IF(OR($U73="",$R73=""),"",($U73-$R73)*10000),"")</f>
        <v/>
      </c>
      <c r="W73" s="70">
        <f>IFERROR(IF(OR($P73="",$M73=""),"",IF($P73=$M73,"No","Yes")),"")</f>
        <v/>
      </c>
      <c r="X73" s="71" t="n"/>
      <c r="Y73" s="71" t="n"/>
      <c r="Z73" s="89">
        <f>IFERROR(IF(OR($X73="",$Y73=""),"",$X73-$Y73),"")</f>
        <v/>
      </c>
      <c r="AA73" s="67" t="n"/>
      <c r="AB73" s="67" t="n"/>
      <c r="AC73" s="68" t="n"/>
      <c r="AD73" s="67" t="n"/>
      <c r="AE73" s="67" t="n"/>
      <c r="AF73" s="67" t="n"/>
      <c r="AG73" s="67" t="n"/>
      <c r="AH73" s="67" t="n"/>
    </row>
    <row r="74" ht="15" customHeight="1" s="46">
      <c r="A74" s="60">
        <f>IFERROR(ROW()-5,"")</f>
        <v/>
      </c>
      <c r="B74" s="61" t="n"/>
      <c r="C74" s="61" t="n"/>
      <c r="D74" s="61" t="n"/>
      <c r="E74" s="61" t="n"/>
      <c r="F74" s="60" t="n"/>
      <c r="G74" s="61" t="n"/>
      <c r="H74" s="61" t="n"/>
      <c r="I74" s="62" t="n"/>
      <c r="J74" s="63">
        <f>IFERROR(IF(OR($I74="",$X74=""),"",($I74-$X74)/365.25),"")</f>
        <v/>
      </c>
      <c r="K74" s="64" t="n"/>
      <c r="L74" s="65">
        <f>IFERROR(IF(OR($K74="",$F74=""),"",$K74/$F74),"")</f>
        <v/>
      </c>
      <c r="M74" s="64" t="n"/>
      <c r="N74" s="64">
        <f>IFERROR(IF(OR($M74="",$F74=""),"",$M74/$F74),"")</f>
        <v/>
      </c>
      <c r="O74" s="66">
        <f>IFERROR(IF(OR($K74="",$M74=""),"",$K74/$M74),"")</f>
        <v/>
      </c>
      <c r="P74" s="64" t="n"/>
      <c r="Q74" s="64">
        <f>IFERROR(IF(OR($P74="",$F74=""),"",$P74/$F74),"")</f>
        <v/>
      </c>
      <c r="R74" s="66">
        <f>IFERROR(IF(OR($K74="",$P74=""),"",$K74/$P74),"")</f>
        <v/>
      </c>
      <c r="S74" s="64" t="n"/>
      <c r="T74" s="64">
        <f>IFERROR(IF(OR($S74="",$F74=""),"",$S74/$F74),"")</f>
        <v/>
      </c>
      <c r="U74" s="66">
        <f>IFERROR(IF(OR($K74="",$S74=""),"",$K74/$S74),"")</f>
        <v/>
      </c>
      <c r="V74" s="88">
        <f>IFERROR(IF(OR($U74="",$R74=""),"",($U74-$R74)*10000),"")</f>
        <v/>
      </c>
      <c r="W74" s="61">
        <f>IFERROR(IF(OR($P74="",$M74=""),"",IF($P74=$M74,"No","Yes")),"")</f>
        <v/>
      </c>
      <c r="X74" s="62" t="n"/>
      <c r="Y74" s="62" t="n"/>
      <c r="Z74" s="89">
        <f>IFERROR(IF(OR($X74="",$Y74=""),"",$X74-$Y74),"")</f>
        <v/>
      </c>
      <c r="AA74" s="67" t="n"/>
      <c r="AB74" s="67" t="n"/>
      <c r="AC74" s="68" t="n"/>
      <c r="AD74" s="67" t="n"/>
      <c r="AE74" s="67" t="n"/>
      <c r="AF74" s="67" t="n"/>
      <c r="AG74" s="67" t="n"/>
      <c r="AH74" s="67" t="n"/>
    </row>
    <row r="75" ht="15" customHeight="1" s="46">
      <c r="A75" s="69">
        <f>IFERROR(ROW()-5,"")</f>
        <v/>
      </c>
      <c r="B75" s="70" t="n"/>
      <c r="C75" s="70" t="n"/>
      <c r="D75" s="70" t="n"/>
      <c r="E75" s="70" t="n"/>
      <c r="F75" s="69" t="n"/>
      <c r="G75" s="70" t="n"/>
      <c r="H75" s="70" t="n"/>
      <c r="I75" s="71" t="n"/>
      <c r="J75" s="72">
        <f>IFERROR(IF(OR($I75="",$X75=""),"",($I75-$X75)/365.25),"")</f>
        <v/>
      </c>
      <c r="K75" s="73" t="n"/>
      <c r="L75" s="74">
        <f>IFERROR(IF(OR($K75="",$F75=""),"",$K75/$F75),"")</f>
        <v/>
      </c>
      <c r="M75" s="73" t="n"/>
      <c r="N75" s="73">
        <f>IFERROR(IF(OR($M75="",$F75=""),"",$M75/$F75),"")</f>
        <v/>
      </c>
      <c r="O75" s="75">
        <f>IFERROR(IF(OR($K75="",$M75=""),"",$K75/$M75),"")</f>
        <v/>
      </c>
      <c r="P75" s="73" t="n"/>
      <c r="Q75" s="73">
        <f>IFERROR(IF(OR($P75="",$F75=""),"",$P75/$F75),"")</f>
        <v/>
      </c>
      <c r="R75" s="75">
        <f>IFERROR(IF(OR($K75="",$P75=""),"",$K75/$P75),"")</f>
        <v/>
      </c>
      <c r="S75" s="73" t="n"/>
      <c r="T75" s="73">
        <f>IFERROR(IF(OR($S75="",$F75=""),"",$S75/$F75),"")</f>
        <v/>
      </c>
      <c r="U75" s="75">
        <f>IFERROR(IF(OR($K75="",$S75=""),"",$K75/$S75),"")</f>
        <v/>
      </c>
      <c r="V75" s="90">
        <f>IFERROR(IF(OR($U75="",$R75=""),"",($U75-$R75)*10000),"")</f>
        <v/>
      </c>
      <c r="W75" s="70">
        <f>IFERROR(IF(OR($P75="",$M75=""),"",IF($P75=$M75,"No","Yes")),"")</f>
        <v/>
      </c>
      <c r="X75" s="71" t="n"/>
      <c r="Y75" s="71" t="n"/>
      <c r="Z75" s="89">
        <f>IFERROR(IF(OR($X75="",$Y75=""),"",$X75-$Y75),"")</f>
        <v/>
      </c>
      <c r="AA75" s="67" t="n"/>
      <c r="AB75" s="67" t="n"/>
      <c r="AC75" s="68" t="n"/>
      <c r="AD75" s="67" t="n"/>
      <c r="AE75" s="67" t="n"/>
      <c r="AF75" s="67" t="n"/>
      <c r="AG75" s="67" t="n"/>
      <c r="AH75" s="67" t="n"/>
    </row>
    <row r="76" ht="15" customHeight="1" s="46">
      <c r="A76" s="60">
        <f>IFERROR(ROW()-5,"")</f>
        <v/>
      </c>
      <c r="B76" s="61" t="n"/>
      <c r="C76" s="61" t="n"/>
      <c r="D76" s="61" t="n"/>
      <c r="E76" s="61" t="n"/>
      <c r="F76" s="60" t="n"/>
      <c r="G76" s="61" t="n"/>
      <c r="H76" s="61" t="n"/>
      <c r="I76" s="62" t="n"/>
      <c r="J76" s="63">
        <f>IFERROR(IF(OR($I76="",$X76=""),"",($I76-$X76)/365.25),"")</f>
        <v/>
      </c>
      <c r="K76" s="64" t="n"/>
      <c r="L76" s="65">
        <f>IFERROR(IF(OR($K76="",$F76=""),"",$K76/$F76),"")</f>
        <v/>
      </c>
      <c r="M76" s="64" t="n"/>
      <c r="N76" s="64">
        <f>IFERROR(IF(OR($M76="",$F76=""),"",$M76/$F76),"")</f>
        <v/>
      </c>
      <c r="O76" s="66">
        <f>IFERROR(IF(OR($K76="",$M76=""),"",$K76/$M76),"")</f>
        <v/>
      </c>
      <c r="P76" s="64" t="n"/>
      <c r="Q76" s="64">
        <f>IFERROR(IF(OR($P76="",$F76=""),"",$P76/$F76),"")</f>
        <v/>
      </c>
      <c r="R76" s="66">
        <f>IFERROR(IF(OR($K76="",$P76=""),"",$K76/$P76),"")</f>
        <v/>
      </c>
      <c r="S76" s="64" t="n"/>
      <c r="T76" s="64">
        <f>IFERROR(IF(OR($S76="",$F76=""),"",$S76/$F76),"")</f>
        <v/>
      </c>
      <c r="U76" s="66">
        <f>IFERROR(IF(OR($K76="",$S76=""),"",$K76/$S76),"")</f>
        <v/>
      </c>
      <c r="V76" s="88">
        <f>IFERROR(IF(OR($U76="",$R76=""),"",($U76-$R76)*10000),"")</f>
        <v/>
      </c>
      <c r="W76" s="61">
        <f>IFERROR(IF(OR($P76="",$M76=""),"",IF($P76=$M76,"No","Yes")),"")</f>
        <v/>
      </c>
      <c r="X76" s="62" t="n"/>
      <c r="Y76" s="62" t="n"/>
      <c r="Z76" s="89">
        <f>IFERROR(IF(OR($X76="",$Y76=""),"",$X76-$Y76),"")</f>
        <v/>
      </c>
      <c r="AA76" s="67" t="n"/>
      <c r="AB76" s="67" t="n"/>
      <c r="AC76" s="68" t="n"/>
      <c r="AD76" s="67" t="n"/>
      <c r="AE76" s="67" t="n"/>
      <c r="AF76" s="67" t="n"/>
      <c r="AG76" s="67" t="n"/>
      <c r="AH76" s="67" t="n"/>
    </row>
    <row r="77" ht="15" customHeight="1" s="46">
      <c r="A77" s="69">
        <f>IFERROR(ROW()-5,"")</f>
        <v/>
      </c>
      <c r="B77" s="70" t="n"/>
      <c r="C77" s="70" t="n"/>
      <c r="D77" s="70" t="n"/>
      <c r="E77" s="70" t="n"/>
      <c r="F77" s="69" t="n"/>
      <c r="G77" s="70" t="n"/>
      <c r="H77" s="70" t="n"/>
      <c r="I77" s="71" t="n"/>
      <c r="J77" s="72">
        <f>IFERROR(IF(OR($I77="",$X77=""),"",($I77-$X77)/365.25),"")</f>
        <v/>
      </c>
      <c r="K77" s="73" t="n"/>
      <c r="L77" s="74">
        <f>IFERROR(IF(OR($K77="",$F77=""),"",$K77/$F77),"")</f>
        <v/>
      </c>
      <c r="M77" s="73" t="n"/>
      <c r="N77" s="73">
        <f>IFERROR(IF(OR($M77="",$F77=""),"",$M77/$F77),"")</f>
        <v/>
      </c>
      <c r="O77" s="75">
        <f>IFERROR(IF(OR($K77="",$M77=""),"",$K77/$M77),"")</f>
        <v/>
      </c>
      <c r="P77" s="73" t="n"/>
      <c r="Q77" s="73">
        <f>IFERROR(IF(OR($P77="",$F77=""),"",$P77/$F77),"")</f>
        <v/>
      </c>
      <c r="R77" s="75">
        <f>IFERROR(IF(OR($K77="",$P77=""),"",$K77/$P77),"")</f>
        <v/>
      </c>
      <c r="S77" s="73" t="n"/>
      <c r="T77" s="73">
        <f>IFERROR(IF(OR($S77="",$F77=""),"",$S77/$F77),"")</f>
        <v/>
      </c>
      <c r="U77" s="75">
        <f>IFERROR(IF(OR($K77="",$S77=""),"",$K77/$S77),"")</f>
        <v/>
      </c>
      <c r="V77" s="90">
        <f>IFERROR(IF(OR($U77="",$R77=""),"",($U77-$R77)*10000),"")</f>
        <v/>
      </c>
      <c r="W77" s="70">
        <f>IFERROR(IF(OR($P77="",$M77=""),"",IF($P77=$M77,"No","Yes")),"")</f>
        <v/>
      </c>
      <c r="X77" s="71" t="n"/>
      <c r="Y77" s="71" t="n"/>
      <c r="Z77" s="89">
        <f>IFERROR(IF(OR($X77="",$Y77=""),"",$X77-$Y77),"")</f>
        <v/>
      </c>
      <c r="AA77" s="67" t="n"/>
      <c r="AB77" s="67" t="n"/>
      <c r="AC77" s="68" t="n"/>
      <c r="AD77" s="67" t="n"/>
      <c r="AE77" s="67" t="n"/>
      <c r="AF77" s="67" t="n"/>
      <c r="AG77" s="67" t="n"/>
      <c r="AH77" s="67" t="n"/>
    </row>
    <row r="78" ht="15" customHeight="1" s="46">
      <c r="A78" s="60">
        <f>IFERROR(ROW()-5,"")</f>
        <v/>
      </c>
      <c r="B78" s="61" t="n"/>
      <c r="C78" s="61" t="n"/>
      <c r="D78" s="61" t="n"/>
      <c r="E78" s="61" t="n"/>
      <c r="F78" s="60" t="n"/>
      <c r="G78" s="61" t="n"/>
      <c r="H78" s="61" t="n"/>
      <c r="I78" s="62" t="n"/>
      <c r="J78" s="63">
        <f>IFERROR(IF(OR($I78="",$X78=""),"",($I78-$X78)/365.25),"")</f>
        <v/>
      </c>
      <c r="K78" s="64" t="n"/>
      <c r="L78" s="65">
        <f>IFERROR(IF(OR($K78="",$F78=""),"",$K78/$F78),"")</f>
        <v/>
      </c>
      <c r="M78" s="64" t="n"/>
      <c r="N78" s="64">
        <f>IFERROR(IF(OR($M78="",$F78=""),"",$M78/$F78),"")</f>
        <v/>
      </c>
      <c r="O78" s="66">
        <f>IFERROR(IF(OR($K78="",$M78=""),"",$K78/$M78),"")</f>
        <v/>
      </c>
      <c r="P78" s="64" t="n"/>
      <c r="Q78" s="64">
        <f>IFERROR(IF(OR($P78="",$F78=""),"",$P78/$F78),"")</f>
        <v/>
      </c>
      <c r="R78" s="66">
        <f>IFERROR(IF(OR($K78="",$P78=""),"",$K78/$P78),"")</f>
        <v/>
      </c>
      <c r="S78" s="64" t="n"/>
      <c r="T78" s="64">
        <f>IFERROR(IF(OR($S78="",$F78=""),"",$S78/$F78),"")</f>
        <v/>
      </c>
      <c r="U78" s="66">
        <f>IFERROR(IF(OR($K78="",$S78=""),"",$K78/$S78),"")</f>
        <v/>
      </c>
      <c r="V78" s="88">
        <f>IFERROR(IF(OR($U78="",$R78=""),"",($U78-$R78)*10000),"")</f>
        <v/>
      </c>
      <c r="W78" s="61">
        <f>IFERROR(IF(OR($P78="",$M78=""),"",IF($P78=$M78,"No","Yes")),"")</f>
        <v/>
      </c>
      <c r="X78" s="62" t="n"/>
      <c r="Y78" s="62" t="n"/>
      <c r="Z78" s="89">
        <f>IFERROR(IF(OR($X78="",$Y78=""),"",$X78-$Y78),"")</f>
        <v/>
      </c>
      <c r="AA78" s="67" t="n"/>
      <c r="AB78" s="67" t="n"/>
      <c r="AC78" s="68" t="n"/>
      <c r="AD78" s="67" t="n"/>
      <c r="AE78" s="67" t="n"/>
      <c r="AF78" s="67" t="n"/>
      <c r="AG78" s="67" t="n"/>
      <c r="AH78" s="67" t="n"/>
    </row>
    <row r="79" ht="15" customHeight="1" s="46">
      <c r="A79" s="69">
        <f>IFERROR(ROW()-5,"")</f>
        <v/>
      </c>
      <c r="B79" s="70" t="n"/>
      <c r="C79" s="70" t="n"/>
      <c r="D79" s="70" t="n"/>
      <c r="E79" s="70" t="n"/>
      <c r="F79" s="69" t="n"/>
      <c r="G79" s="70" t="n"/>
      <c r="H79" s="70" t="n"/>
      <c r="I79" s="71" t="n"/>
      <c r="J79" s="72">
        <f>IFERROR(IF(OR($I79="",$X79=""),"",($I79-$X79)/365.25),"")</f>
        <v/>
      </c>
      <c r="K79" s="73" t="n"/>
      <c r="L79" s="74">
        <f>IFERROR(IF(OR($K79="",$F79=""),"",$K79/$F79),"")</f>
        <v/>
      </c>
      <c r="M79" s="73" t="n"/>
      <c r="N79" s="73">
        <f>IFERROR(IF(OR($M79="",$F79=""),"",$M79/$F79),"")</f>
        <v/>
      </c>
      <c r="O79" s="75">
        <f>IFERROR(IF(OR($K79="",$M79=""),"",$K79/$M79),"")</f>
        <v/>
      </c>
      <c r="P79" s="73" t="n"/>
      <c r="Q79" s="73">
        <f>IFERROR(IF(OR($P79="",$F79=""),"",$P79/$F79),"")</f>
        <v/>
      </c>
      <c r="R79" s="75">
        <f>IFERROR(IF(OR($K79="",$P79=""),"",$K79/$P79),"")</f>
        <v/>
      </c>
      <c r="S79" s="73" t="n"/>
      <c r="T79" s="73">
        <f>IFERROR(IF(OR($S79="",$F79=""),"",$S79/$F79),"")</f>
        <v/>
      </c>
      <c r="U79" s="75">
        <f>IFERROR(IF(OR($K79="",$S79=""),"",$K79/$S79),"")</f>
        <v/>
      </c>
      <c r="V79" s="90">
        <f>IFERROR(IF(OR($U79="",$R79=""),"",($U79-$R79)*10000),"")</f>
        <v/>
      </c>
      <c r="W79" s="70">
        <f>IFERROR(IF(OR($P79="",$M79=""),"",IF($P79=$M79,"No","Yes")),"")</f>
        <v/>
      </c>
      <c r="X79" s="71" t="n"/>
      <c r="Y79" s="71" t="n"/>
      <c r="Z79" s="89">
        <f>IFERROR(IF(OR($X79="",$Y79=""),"",$X79-$Y79),"")</f>
        <v/>
      </c>
      <c r="AA79" s="67" t="n"/>
      <c r="AB79" s="67" t="n"/>
      <c r="AC79" s="68" t="n"/>
      <c r="AD79" s="67" t="n"/>
      <c r="AE79" s="67" t="n"/>
      <c r="AF79" s="67" t="n"/>
      <c r="AG79" s="67" t="n"/>
      <c r="AH79" s="67" t="n"/>
    </row>
    <row r="80" ht="15" customHeight="1" s="46">
      <c r="A80" s="60">
        <f>IFERROR(ROW()-5,"")</f>
        <v/>
      </c>
      <c r="B80" s="61" t="n"/>
      <c r="C80" s="61" t="n"/>
      <c r="D80" s="61" t="n"/>
      <c r="E80" s="61" t="n"/>
      <c r="F80" s="60" t="n"/>
      <c r="G80" s="61" t="n"/>
      <c r="H80" s="61" t="n"/>
      <c r="I80" s="62" t="n"/>
      <c r="J80" s="63">
        <f>IFERROR(IF(OR($I80="",$X80=""),"",($I80-$X80)/365.25),"")</f>
        <v/>
      </c>
      <c r="K80" s="64" t="n"/>
      <c r="L80" s="65">
        <f>IFERROR(IF(OR($K80="",$F80=""),"",$K80/$F80),"")</f>
        <v/>
      </c>
      <c r="M80" s="64" t="n"/>
      <c r="N80" s="64">
        <f>IFERROR(IF(OR($M80="",$F80=""),"",$M80/$F80),"")</f>
        <v/>
      </c>
      <c r="O80" s="66">
        <f>IFERROR(IF(OR($K80="",$M80=""),"",$K80/$M80),"")</f>
        <v/>
      </c>
      <c r="P80" s="64" t="n"/>
      <c r="Q80" s="64">
        <f>IFERROR(IF(OR($P80="",$F80=""),"",$P80/$F80),"")</f>
        <v/>
      </c>
      <c r="R80" s="66">
        <f>IFERROR(IF(OR($K80="",$P80=""),"",$K80/$P80),"")</f>
        <v/>
      </c>
      <c r="S80" s="64" t="n"/>
      <c r="T80" s="64">
        <f>IFERROR(IF(OR($S80="",$F80=""),"",$S80/$F80),"")</f>
        <v/>
      </c>
      <c r="U80" s="66">
        <f>IFERROR(IF(OR($K80="",$S80=""),"",$K80/$S80),"")</f>
        <v/>
      </c>
      <c r="V80" s="88">
        <f>IFERROR(IF(OR($U80="",$R80=""),"",($U80-$R80)*10000),"")</f>
        <v/>
      </c>
      <c r="W80" s="61">
        <f>IFERROR(IF(OR($P80="",$M80=""),"",IF($P80=$M80,"No","Yes")),"")</f>
        <v/>
      </c>
      <c r="X80" s="62" t="n"/>
      <c r="Y80" s="62" t="n"/>
      <c r="Z80" s="89">
        <f>IFERROR(IF(OR($X80="",$Y80=""),"",$X80-$Y80),"")</f>
        <v/>
      </c>
      <c r="AA80" s="67" t="n"/>
      <c r="AB80" s="67" t="n"/>
      <c r="AC80" s="68" t="n"/>
      <c r="AD80" s="67" t="n"/>
      <c r="AE80" s="67" t="n"/>
      <c r="AF80" s="67" t="n"/>
      <c r="AG80" s="67" t="n"/>
      <c r="AH80" s="67" t="n"/>
    </row>
    <row r="81" ht="15" customHeight="1" s="46">
      <c r="A81" s="69">
        <f>IFERROR(ROW()-5,"")</f>
        <v/>
      </c>
      <c r="B81" s="70" t="n"/>
      <c r="C81" s="70" t="n"/>
      <c r="D81" s="70" t="n"/>
      <c r="E81" s="70" t="n"/>
      <c r="F81" s="69" t="n"/>
      <c r="G81" s="70" t="n"/>
      <c r="H81" s="70" t="n"/>
      <c r="I81" s="71" t="n"/>
      <c r="J81" s="72">
        <f>IFERROR(IF(OR($I81="",$X81=""),"",($I81-$X81)/365.25),"")</f>
        <v/>
      </c>
      <c r="K81" s="73" t="n"/>
      <c r="L81" s="74">
        <f>IFERROR(IF(OR($K81="",$F81=""),"",$K81/$F81),"")</f>
        <v/>
      </c>
      <c r="M81" s="73" t="n"/>
      <c r="N81" s="73">
        <f>IFERROR(IF(OR($M81="",$F81=""),"",$M81/$F81),"")</f>
        <v/>
      </c>
      <c r="O81" s="75">
        <f>IFERROR(IF(OR($K81="",$M81=""),"",$K81/$M81),"")</f>
        <v/>
      </c>
      <c r="P81" s="73" t="n"/>
      <c r="Q81" s="73">
        <f>IFERROR(IF(OR($P81="",$F81=""),"",$P81/$F81),"")</f>
        <v/>
      </c>
      <c r="R81" s="75">
        <f>IFERROR(IF(OR($K81="",$P81=""),"",$K81/$P81),"")</f>
        <v/>
      </c>
      <c r="S81" s="73" t="n"/>
      <c r="T81" s="73">
        <f>IFERROR(IF(OR($S81="",$F81=""),"",$S81/$F81),"")</f>
        <v/>
      </c>
      <c r="U81" s="75">
        <f>IFERROR(IF(OR($K81="",$S81=""),"",$K81/$S81),"")</f>
        <v/>
      </c>
      <c r="V81" s="90">
        <f>IFERROR(IF(OR($U81="",$R81=""),"",($U81-$R81)*10000),"")</f>
        <v/>
      </c>
      <c r="W81" s="70">
        <f>IFERROR(IF(OR($P81="",$M81=""),"",IF($P81=$M81,"No","Yes")),"")</f>
        <v/>
      </c>
      <c r="X81" s="71" t="n"/>
      <c r="Y81" s="71" t="n"/>
      <c r="Z81" s="89">
        <f>IFERROR(IF(OR($X81="",$Y81=""),"",$X81-$Y81),"")</f>
        <v/>
      </c>
      <c r="AA81" s="67" t="n"/>
      <c r="AB81" s="67" t="n"/>
      <c r="AC81" s="68" t="n"/>
      <c r="AD81" s="67" t="n"/>
      <c r="AE81" s="67" t="n"/>
      <c r="AF81" s="67" t="n"/>
      <c r="AG81" s="67" t="n"/>
      <c r="AH81" s="67" t="n"/>
    </row>
    <row r="82" ht="15" customHeight="1" s="46">
      <c r="A82" s="60">
        <f>IFERROR(ROW()-5,"")</f>
        <v/>
      </c>
      <c r="B82" s="61" t="n"/>
      <c r="C82" s="61" t="n"/>
      <c r="D82" s="61" t="n"/>
      <c r="E82" s="61" t="n"/>
      <c r="F82" s="60" t="n"/>
      <c r="G82" s="61" t="n"/>
      <c r="H82" s="61" t="n"/>
      <c r="I82" s="62" t="n"/>
      <c r="J82" s="63">
        <f>IFERROR(IF(OR($I82="",$X82=""),"",($I82-$X82)/365.25),"")</f>
        <v/>
      </c>
      <c r="K82" s="64" t="n"/>
      <c r="L82" s="65">
        <f>IFERROR(IF(OR($K82="",$F82=""),"",$K82/$F82),"")</f>
        <v/>
      </c>
      <c r="M82" s="64" t="n"/>
      <c r="N82" s="64">
        <f>IFERROR(IF(OR($M82="",$F82=""),"",$M82/$F82),"")</f>
        <v/>
      </c>
      <c r="O82" s="66">
        <f>IFERROR(IF(OR($K82="",$M82=""),"",$K82/$M82),"")</f>
        <v/>
      </c>
      <c r="P82" s="64" t="n"/>
      <c r="Q82" s="64">
        <f>IFERROR(IF(OR($P82="",$F82=""),"",$P82/$F82),"")</f>
        <v/>
      </c>
      <c r="R82" s="66">
        <f>IFERROR(IF(OR($K82="",$P82=""),"",$K82/$P82),"")</f>
        <v/>
      </c>
      <c r="S82" s="64" t="n"/>
      <c r="T82" s="64">
        <f>IFERROR(IF(OR($S82="",$F82=""),"",$S82/$F82),"")</f>
        <v/>
      </c>
      <c r="U82" s="66">
        <f>IFERROR(IF(OR($K82="",$S82=""),"",$K82/$S82),"")</f>
        <v/>
      </c>
      <c r="V82" s="88">
        <f>IFERROR(IF(OR($U82="",$R82=""),"",($U82-$R82)*10000),"")</f>
        <v/>
      </c>
      <c r="W82" s="61">
        <f>IFERROR(IF(OR($P82="",$M82=""),"",IF($P82=$M82,"No","Yes")),"")</f>
        <v/>
      </c>
      <c r="X82" s="62" t="n"/>
      <c r="Y82" s="62" t="n"/>
      <c r="Z82" s="89">
        <f>IFERROR(IF(OR($X82="",$Y82=""),"",$X82-$Y82),"")</f>
        <v/>
      </c>
      <c r="AA82" s="67" t="n"/>
      <c r="AB82" s="67" t="n"/>
      <c r="AC82" s="68" t="n"/>
      <c r="AD82" s="67" t="n"/>
      <c r="AE82" s="67" t="n"/>
      <c r="AF82" s="67" t="n"/>
      <c r="AG82" s="67" t="n"/>
      <c r="AH82" s="67" t="n"/>
    </row>
    <row r="83" ht="15" customHeight="1" s="46">
      <c r="A83" s="69">
        <f>IFERROR(ROW()-5,"")</f>
        <v/>
      </c>
      <c r="B83" s="70" t="n"/>
      <c r="C83" s="70" t="n"/>
      <c r="D83" s="70" t="n"/>
      <c r="E83" s="70" t="n"/>
      <c r="F83" s="69" t="n"/>
      <c r="G83" s="70" t="n"/>
      <c r="H83" s="70" t="n"/>
      <c r="I83" s="71" t="n"/>
      <c r="J83" s="72">
        <f>IFERROR(IF(OR($I83="",$X83=""),"",($I83-$X83)/365.25),"")</f>
        <v/>
      </c>
      <c r="K83" s="73" t="n"/>
      <c r="L83" s="74">
        <f>IFERROR(IF(OR($K83="",$F83=""),"",$K83/$F83),"")</f>
        <v/>
      </c>
      <c r="M83" s="73" t="n"/>
      <c r="N83" s="73">
        <f>IFERROR(IF(OR($M83="",$F83=""),"",$M83/$F83),"")</f>
        <v/>
      </c>
      <c r="O83" s="75">
        <f>IFERROR(IF(OR($K83="",$M83=""),"",$K83/$M83),"")</f>
        <v/>
      </c>
      <c r="P83" s="73" t="n"/>
      <c r="Q83" s="73">
        <f>IFERROR(IF(OR($P83="",$F83=""),"",$P83/$F83),"")</f>
        <v/>
      </c>
      <c r="R83" s="75">
        <f>IFERROR(IF(OR($K83="",$P83=""),"",$K83/$P83),"")</f>
        <v/>
      </c>
      <c r="S83" s="73" t="n"/>
      <c r="T83" s="73">
        <f>IFERROR(IF(OR($S83="",$F83=""),"",$S83/$F83),"")</f>
        <v/>
      </c>
      <c r="U83" s="75">
        <f>IFERROR(IF(OR($K83="",$S83=""),"",$K83/$S83),"")</f>
        <v/>
      </c>
      <c r="V83" s="90">
        <f>IFERROR(IF(OR($U83="",$R83=""),"",($U83-$R83)*10000),"")</f>
        <v/>
      </c>
      <c r="W83" s="70">
        <f>IFERROR(IF(OR($P83="",$M83=""),"",IF($P83=$M83,"No","Yes")),"")</f>
        <v/>
      </c>
      <c r="X83" s="71" t="n"/>
      <c r="Y83" s="71" t="n"/>
      <c r="Z83" s="89">
        <f>IFERROR(IF(OR($X83="",$Y83=""),"",$X83-$Y83),"")</f>
        <v/>
      </c>
      <c r="AA83" s="67" t="n"/>
      <c r="AB83" s="67" t="n"/>
      <c r="AC83" s="68" t="n"/>
      <c r="AD83" s="67" t="n"/>
      <c r="AE83" s="67" t="n"/>
      <c r="AF83" s="67" t="n"/>
      <c r="AG83" s="67" t="n"/>
      <c r="AH83" s="67" t="n"/>
    </row>
    <row r="84" ht="15" customHeight="1" s="46">
      <c r="A84" s="60">
        <f>IFERROR(ROW()-5,"")</f>
        <v/>
      </c>
      <c r="B84" s="61" t="n"/>
      <c r="C84" s="61" t="n"/>
      <c r="D84" s="61" t="n"/>
      <c r="E84" s="61" t="n"/>
      <c r="F84" s="60" t="n"/>
      <c r="G84" s="61" t="n"/>
      <c r="H84" s="61" t="n"/>
      <c r="I84" s="62" t="n"/>
      <c r="J84" s="63">
        <f>IFERROR(IF(OR($I84="",$X84=""),"",($I84-$X84)/365.25),"")</f>
        <v/>
      </c>
      <c r="K84" s="64" t="n"/>
      <c r="L84" s="65">
        <f>IFERROR(IF(OR($K84="",$F84=""),"",$K84/$F84),"")</f>
        <v/>
      </c>
      <c r="M84" s="64" t="n"/>
      <c r="N84" s="64">
        <f>IFERROR(IF(OR($M84="",$F84=""),"",$M84/$F84),"")</f>
        <v/>
      </c>
      <c r="O84" s="66">
        <f>IFERROR(IF(OR($K84="",$M84=""),"",$K84/$M84),"")</f>
        <v/>
      </c>
      <c r="P84" s="64" t="n"/>
      <c r="Q84" s="64">
        <f>IFERROR(IF(OR($P84="",$F84=""),"",$P84/$F84),"")</f>
        <v/>
      </c>
      <c r="R84" s="66">
        <f>IFERROR(IF(OR($K84="",$P84=""),"",$K84/$P84),"")</f>
        <v/>
      </c>
      <c r="S84" s="64" t="n"/>
      <c r="T84" s="64">
        <f>IFERROR(IF(OR($S84="",$F84=""),"",$S84/$F84),"")</f>
        <v/>
      </c>
      <c r="U84" s="66">
        <f>IFERROR(IF(OR($K84="",$S84=""),"",$K84/$S84),"")</f>
        <v/>
      </c>
      <c r="V84" s="88">
        <f>IFERROR(IF(OR($U84="",$R84=""),"",($U84-$R84)*10000),"")</f>
        <v/>
      </c>
      <c r="W84" s="61">
        <f>IFERROR(IF(OR($P84="",$M84=""),"",IF($P84=$M84,"No","Yes")),"")</f>
        <v/>
      </c>
      <c r="X84" s="62" t="n"/>
      <c r="Y84" s="62" t="n"/>
      <c r="Z84" s="89">
        <f>IFERROR(IF(OR($X84="",$Y84=""),"",$X84-$Y84),"")</f>
        <v/>
      </c>
      <c r="AA84" s="67" t="n"/>
      <c r="AB84" s="67" t="n"/>
      <c r="AC84" s="68" t="n"/>
      <c r="AD84" s="67" t="n"/>
      <c r="AE84" s="67" t="n"/>
      <c r="AF84" s="67" t="n"/>
      <c r="AG84" s="67" t="n"/>
      <c r="AH84" s="67" t="n"/>
    </row>
    <row r="85" ht="15" customHeight="1" s="46">
      <c r="A85" s="69">
        <f>IFERROR(ROW()-5,"")</f>
        <v/>
      </c>
      <c r="B85" s="70" t="n"/>
      <c r="C85" s="70" t="n"/>
      <c r="D85" s="70" t="n"/>
      <c r="E85" s="70" t="n"/>
      <c r="F85" s="69" t="n"/>
      <c r="G85" s="70" t="n"/>
      <c r="H85" s="70" t="n"/>
      <c r="I85" s="71" t="n"/>
      <c r="J85" s="72">
        <f>IFERROR(IF(OR($I85="",$X85=""),"",($I85-$X85)/365.25),"")</f>
        <v/>
      </c>
      <c r="K85" s="73" t="n"/>
      <c r="L85" s="74">
        <f>IFERROR(IF(OR($K85="",$F85=""),"",$K85/$F85),"")</f>
        <v/>
      </c>
      <c r="M85" s="73" t="n"/>
      <c r="N85" s="73">
        <f>IFERROR(IF(OR($M85="",$F85=""),"",$M85/$F85),"")</f>
        <v/>
      </c>
      <c r="O85" s="75">
        <f>IFERROR(IF(OR($K85="",$M85=""),"",$K85/$M85),"")</f>
        <v/>
      </c>
      <c r="P85" s="73" t="n"/>
      <c r="Q85" s="73">
        <f>IFERROR(IF(OR($P85="",$F85=""),"",$P85/$F85),"")</f>
        <v/>
      </c>
      <c r="R85" s="75">
        <f>IFERROR(IF(OR($K85="",$P85=""),"",$K85/$P85),"")</f>
        <v/>
      </c>
      <c r="S85" s="73" t="n"/>
      <c r="T85" s="73">
        <f>IFERROR(IF(OR($S85="",$F85=""),"",$S85/$F85),"")</f>
        <v/>
      </c>
      <c r="U85" s="75">
        <f>IFERROR(IF(OR($K85="",$S85=""),"",$K85/$S85),"")</f>
        <v/>
      </c>
      <c r="V85" s="90">
        <f>IFERROR(IF(OR($U85="",$R85=""),"",($U85-$R85)*10000),"")</f>
        <v/>
      </c>
      <c r="W85" s="70">
        <f>IFERROR(IF(OR($P85="",$M85=""),"",IF($P85=$M85,"No","Yes")),"")</f>
        <v/>
      </c>
      <c r="X85" s="71" t="n"/>
      <c r="Y85" s="71" t="n"/>
      <c r="Z85" s="89">
        <f>IFERROR(IF(OR($X85="",$Y85=""),"",$X85-$Y85),"")</f>
        <v/>
      </c>
      <c r="AA85" s="67" t="n"/>
      <c r="AB85" s="67" t="n"/>
      <c r="AC85" s="68" t="n"/>
      <c r="AD85" s="67" t="n"/>
      <c r="AE85" s="67" t="n"/>
      <c r="AF85" s="67" t="n"/>
      <c r="AG85" s="67" t="n"/>
      <c r="AH85" s="67" t="n"/>
    </row>
    <row r="86" ht="15" customHeight="1" s="46">
      <c r="A86" s="60">
        <f>IFERROR(ROW()-5,"")</f>
        <v/>
      </c>
      <c r="B86" s="61" t="n"/>
      <c r="C86" s="61" t="n"/>
      <c r="D86" s="61" t="n"/>
      <c r="E86" s="61" t="n"/>
      <c r="F86" s="60" t="n"/>
      <c r="G86" s="61" t="n"/>
      <c r="H86" s="61" t="n"/>
      <c r="I86" s="62" t="n"/>
      <c r="J86" s="63">
        <f>IFERROR(IF(OR($I86="",$X86=""),"",($I86-$X86)/365.25),"")</f>
        <v/>
      </c>
      <c r="K86" s="64" t="n"/>
      <c r="L86" s="65">
        <f>IFERROR(IF(OR($K86="",$F86=""),"",$K86/$F86),"")</f>
        <v/>
      </c>
      <c r="M86" s="64" t="n"/>
      <c r="N86" s="64">
        <f>IFERROR(IF(OR($M86="",$F86=""),"",$M86/$F86),"")</f>
        <v/>
      </c>
      <c r="O86" s="66">
        <f>IFERROR(IF(OR($K86="",$M86=""),"",$K86/$M86),"")</f>
        <v/>
      </c>
      <c r="P86" s="64" t="n"/>
      <c r="Q86" s="64">
        <f>IFERROR(IF(OR($P86="",$F86=""),"",$P86/$F86),"")</f>
        <v/>
      </c>
      <c r="R86" s="66">
        <f>IFERROR(IF(OR($K86="",$P86=""),"",$K86/$P86),"")</f>
        <v/>
      </c>
      <c r="S86" s="64" t="n"/>
      <c r="T86" s="64">
        <f>IFERROR(IF(OR($S86="",$F86=""),"",$S86/$F86),"")</f>
        <v/>
      </c>
      <c r="U86" s="66">
        <f>IFERROR(IF(OR($K86="",$S86=""),"",$K86/$S86),"")</f>
        <v/>
      </c>
      <c r="V86" s="88">
        <f>IFERROR(IF(OR($U86="",$R86=""),"",($U86-$R86)*10000),"")</f>
        <v/>
      </c>
      <c r="W86" s="61">
        <f>IFERROR(IF(OR($P86="",$M86=""),"",IF($P86=$M86,"No","Yes")),"")</f>
        <v/>
      </c>
      <c r="X86" s="62" t="n"/>
      <c r="Y86" s="62" t="n"/>
      <c r="Z86" s="89">
        <f>IFERROR(IF(OR($X86="",$Y86=""),"",$X86-$Y86),"")</f>
        <v/>
      </c>
      <c r="AA86" s="67" t="n"/>
      <c r="AB86" s="67" t="n"/>
      <c r="AC86" s="68" t="n"/>
      <c r="AD86" s="67" t="n"/>
      <c r="AE86" s="67" t="n"/>
      <c r="AF86" s="67" t="n"/>
      <c r="AG86" s="67" t="n"/>
      <c r="AH86" s="67" t="n"/>
    </row>
    <row r="87" ht="15" customHeight="1" s="46">
      <c r="A87" s="69">
        <f>IFERROR(ROW()-5,"")</f>
        <v/>
      </c>
      <c r="B87" s="70" t="n"/>
      <c r="C87" s="70" t="n"/>
      <c r="D87" s="70" t="n"/>
      <c r="E87" s="70" t="n"/>
      <c r="F87" s="69" t="n"/>
      <c r="G87" s="70" t="n"/>
      <c r="H87" s="70" t="n"/>
      <c r="I87" s="71" t="n"/>
      <c r="J87" s="72">
        <f>IFERROR(IF(OR($I87="",$X87=""),"",($I87-$X87)/365.25),"")</f>
        <v/>
      </c>
      <c r="K87" s="73" t="n"/>
      <c r="L87" s="74">
        <f>IFERROR(IF(OR($K87="",$F87=""),"",$K87/$F87),"")</f>
        <v/>
      </c>
      <c r="M87" s="73" t="n"/>
      <c r="N87" s="73">
        <f>IFERROR(IF(OR($M87="",$F87=""),"",$M87/$F87),"")</f>
        <v/>
      </c>
      <c r="O87" s="75">
        <f>IFERROR(IF(OR($K87="",$M87=""),"",$K87/$M87),"")</f>
        <v/>
      </c>
      <c r="P87" s="73" t="n"/>
      <c r="Q87" s="73">
        <f>IFERROR(IF(OR($P87="",$F87=""),"",$P87/$F87),"")</f>
        <v/>
      </c>
      <c r="R87" s="75">
        <f>IFERROR(IF(OR($K87="",$P87=""),"",$K87/$P87),"")</f>
        <v/>
      </c>
      <c r="S87" s="73" t="n"/>
      <c r="T87" s="73">
        <f>IFERROR(IF(OR($S87="",$F87=""),"",$S87/$F87),"")</f>
        <v/>
      </c>
      <c r="U87" s="75">
        <f>IFERROR(IF(OR($K87="",$S87=""),"",$K87/$S87),"")</f>
        <v/>
      </c>
      <c r="V87" s="90">
        <f>IFERROR(IF(OR($U87="",$R87=""),"",($U87-$R87)*10000),"")</f>
        <v/>
      </c>
      <c r="W87" s="70">
        <f>IFERROR(IF(OR($P87="",$M87=""),"",IF($P87=$M87,"No","Yes")),"")</f>
        <v/>
      </c>
      <c r="X87" s="71" t="n"/>
      <c r="Y87" s="71" t="n"/>
      <c r="Z87" s="89">
        <f>IFERROR(IF(OR($X87="",$Y87=""),"",$X87-$Y87),"")</f>
        <v/>
      </c>
      <c r="AA87" s="67" t="n"/>
      <c r="AB87" s="67" t="n"/>
      <c r="AC87" s="68" t="n"/>
      <c r="AD87" s="67" t="n"/>
      <c r="AE87" s="67" t="n"/>
      <c r="AF87" s="67" t="n"/>
      <c r="AG87" s="67" t="n"/>
      <c r="AH87" s="67" t="n"/>
    </row>
    <row r="88" ht="15" customHeight="1" s="46">
      <c r="A88" s="60">
        <f>IFERROR(ROW()-5,"")</f>
        <v/>
      </c>
      <c r="B88" s="61" t="n"/>
      <c r="C88" s="61" t="n"/>
      <c r="D88" s="61" t="n"/>
      <c r="E88" s="61" t="n"/>
      <c r="F88" s="60" t="n"/>
      <c r="G88" s="61" t="n"/>
      <c r="H88" s="61" t="n"/>
      <c r="I88" s="62" t="n"/>
      <c r="J88" s="63">
        <f>IFERROR(IF(OR($I88="",$X88=""),"",($I88-$X88)/365.25),"")</f>
        <v/>
      </c>
      <c r="K88" s="64" t="n"/>
      <c r="L88" s="65">
        <f>IFERROR(IF(OR($K88="",$F88=""),"",$K88/$F88),"")</f>
        <v/>
      </c>
      <c r="M88" s="64" t="n"/>
      <c r="N88" s="64">
        <f>IFERROR(IF(OR($M88="",$F88=""),"",$M88/$F88),"")</f>
        <v/>
      </c>
      <c r="O88" s="66">
        <f>IFERROR(IF(OR($K88="",$M88=""),"",$K88/$M88),"")</f>
        <v/>
      </c>
      <c r="P88" s="64" t="n"/>
      <c r="Q88" s="64">
        <f>IFERROR(IF(OR($P88="",$F88=""),"",$P88/$F88),"")</f>
        <v/>
      </c>
      <c r="R88" s="66">
        <f>IFERROR(IF(OR($K88="",$P88=""),"",$K88/$P88),"")</f>
        <v/>
      </c>
      <c r="S88" s="64" t="n"/>
      <c r="T88" s="64">
        <f>IFERROR(IF(OR($S88="",$F88=""),"",$S88/$F88),"")</f>
        <v/>
      </c>
      <c r="U88" s="66">
        <f>IFERROR(IF(OR($K88="",$S88=""),"",$K88/$S88),"")</f>
        <v/>
      </c>
      <c r="V88" s="88">
        <f>IFERROR(IF(OR($U88="",$R88=""),"",($U88-$R88)*10000),"")</f>
        <v/>
      </c>
      <c r="W88" s="61">
        <f>IFERROR(IF(OR($P88="",$M88=""),"",IF($P88=$M88,"No","Yes")),"")</f>
        <v/>
      </c>
      <c r="X88" s="62" t="n"/>
      <c r="Y88" s="62" t="n"/>
      <c r="Z88" s="89">
        <f>IFERROR(IF(OR($X88="",$Y88=""),"",$X88-$Y88),"")</f>
        <v/>
      </c>
      <c r="AA88" s="67" t="n"/>
      <c r="AB88" s="67" t="n"/>
      <c r="AC88" s="68" t="n"/>
      <c r="AD88" s="67" t="n"/>
      <c r="AE88" s="67" t="n"/>
      <c r="AF88" s="67" t="n"/>
      <c r="AG88" s="67" t="n"/>
      <c r="AH88" s="67" t="n"/>
    </row>
    <row r="89" ht="15" customHeight="1" s="46">
      <c r="A89" s="69">
        <f>IFERROR(ROW()-5,"")</f>
        <v/>
      </c>
      <c r="B89" s="70" t="n"/>
      <c r="C89" s="70" t="n"/>
      <c r="D89" s="70" t="n"/>
      <c r="E89" s="70" t="n"/>
      <c r="F89" s="69" t="n"/>
      <c r="G89" s="70" t="n"/>
      <c r="H89" s="70" t="n"/>
      <c r="I89" s="71" t="n"/>
      <c r="J89" s="72">
        <f>IFERROR(IF(OR($I89="",$X89=""),"",($I89-$X89)/365.25),"")</f>
        <v/>
      </c>
      <c r="K89" s="73" t="n"/>
      <c r="L89" s="74">
        <f>IFERROR(IF(OR($K89="",$F89=""),"",$K89/$F89),"")</f>
        <v/>
      </c>
      <c r="M89" s="73" t="n"/>
      <c r="N89" s="73">
        <f>IFERROR(IF(OR($M89="",$F89=""),"",$M89/$F89),"")</f>
        <v/>
      </c>
      <c r="O89" s="75">
        <f>IFERROR(IF(OR($K89="",$M89=""),"",$K89/$M89),"")</f>
        <v/>
      </c>
      <c r="P89" s="73" t="n"/>
      <c r="Q89" s="73">
        <f>IFERROR(IF(OR($P89="",$F89=""),"",$P89/$F89),"")</f>
        <v/>
      </c>
      <c r="R89" s="75">
        <f>IFERROR(IF(OR($K89="",$P89=""),"",$K89/$P89),"")</f>
        <v/>
      </c>
      <c r="S89" s="73" t="n"/>
      <c r="T89" s="73">
        <f>IFERROR(IF(OR($S89="",$F89=""),"",$S89/$F89),"")</f>
        <v/>
      </c>
      <c r="U89" s="75">
        <f>IFERROR(IF(OR($K89="",$S89=""),"",$K89/$S89),"")</f>
        <v/>
      </c>
      <c r="V89" s="90">
        <f>IFERROR(IF(OR($U89="",$R89=""),"",($U89-$R89)*10000),"")</f>
        <v/>
      </c>
      <c r="W89" s="70">
        <f>IFERROR(IF(OR($P89="",$M89=""),"",IF($P89=$M89,"No","Yes")),"")</f>
        <v/>
      </c>
      <c r="X89" s="71" t="n"/>
      <c r="Y89" s="71" t="n"/>
      <c r="Z89" s="89">
        <f>IFERROR(IF(OR($X89="",$Y89=""),"",$X89-$Y89),"")</f>
        <v/>
      </c>
      <c r="AA89" s="67" t="n"/>
      <c r="AB89" s="67" t="n"/>
      <c r="AC89" s="68" t="n"/>
      <c r="AD89" s="67" t="n"/>
      <c r="AE89" s="67" t="n"/>
      <c r="AF89" s="67" t="n"/>
      <c r="AG89" s="67" t="n"/>
      <c r="AH89" s="67" t="n"/>
    </row>
    <row r="90" ht="15" customHeight="1" s="46">
      <c r="A90" s="60">
        <f>IFERROR(ROW()-5,"")</f>
        <v/>
      </c>
      <c r="B90" s="61" t="n"/>
      <c r="C90" s="61" t="n"/>
      <c r="D90" s="61" t="n"/>
      <c r="E90" s="61" t="n"/>
      <c r="F90" s="60" t="n"/>
      <c r="G90" s="61" t="n"/>
      <c r="H90" s="61" t="n"/>
      <c r="I90" s="62" t="n"/>
      <c r="J90" s="63">
        <f>IFERROR(IF(OR($I90="",$X90=""),"",($I90-$X90)/365.25),"")</f>
        <v/>
      </c>
      <c r="K90" s="64" t="n"/>
      <c r="L90" s="65">
        <f>IFERROR(IF(OR($K90="",$F90=""),"",$K90/$F90),"")</f>
        <v/>
      </c>
      <c r="M90" s="64" t="n"/>
      <c r="N90" s="64">
        <f>IFERROR(IF(OR($M90="",$F90=""),"",$M90/$F90),"")</f>
        <v/>
      </c>
      <c r="O90" s="66">
        <f>IFERROR(IF(OR($K90="",$M90=""),"",$K90/$M90),"")</f>
        <v/>
      </c>
      <c r="P90" s="64" t="n"/>
      <c r="Q90" s="64">
        <f>IFERROR(IF(OR($P90="",$F90=""),"",$P90/$F90),"")</f>
        <v/>
      </c>
      <c r="R90" s="66">
        <f>IFERROR(IF(OR($K90="",$P90=""),"",$K90/$P90),"")</f>
        <v/>
      </c>
      <c r="S90" s="64" t="n"/>
      <c r="T90" s="64">
        <f>IFERROR(IF(OR($S90="",$F90=""),"",$S90/$F90),"")</f>
        <v/>
      </c>
      <c r="U90" s="66">
        <f>IFERROR(IF(OR($K90="",$S90=""),"",$K90/$S90),"")</f>
        <v/>
      </c>
      <c r="V90" s="88">
        <f>IFERROR(IF(OR($U90="",$R90=""),"",($U90-$R90)*10000),"")</f>
        <v/>
      </c>
      <c r="W90" s="61">
        <f>IFERROR(IF(OR($P90="",$M90=""),"",IF($P90=$M90,"No","Yes")),"")</f>
        <v/>
      </c>
      <c r="X90" s="62" t="n"/>
      <c r="Y90" s="62" t="n"/>
      <c r="Z90" s="89">
        <f>IFERROR(IF(OR($X90="",$Y90=""),"",$X90-$Y90),"")</f>
        <v/>
      </c>
      <c r="AA90" s="67" t="n"/>
      <c r="AB90" s="67" t="n"/>
      <c r="AC90" s="68" t="n"/>
      <c r="AD90" s="67" t="n"/>
      <c r="AE90" s="67" t="n"/>
      <c r="AF90" s="67" t="n"/>
      <c r="AG90" s="67" t="n"/>
      <c r="AH90" s="67" t="n"/>
    </row>
    <row r="91" ht="15" customHeight="1" s="46">
      <c r="A91" s="69">
        <f>IFERROR(ROW()-5,"")</f>
        <v/>
      </c>
      <c r="B91" s="70" t="n"/>
      <c r="C91" s="70" t="n"/>
      <c r="D91" s="70" t="n"/>
      <c r="E91" s="70" t="n"/>
      <c r="F91" s="69" t="n"/>
      <c r="G91" s="70" t="n"/>
      <c r="H91" s="70" t="n"/>
      <c r="I91" s="71" t="n"/>
      <c r="J91" s="72">
        <f>IFERROR(IF(OR($I91="",$X91=""),"",($I91-$X91)/365.25),"")</f>
        <v/>
      </c>
      <c r="K91" s="73" t="n"/>
      <c r="L91" s="74">
        <f>IFERROR(IF(OR($K91="",$F91=""),"",$K91/$F91),"")</f>
        <v/>
      </c>
      <c r="M91" s="73" t="n"/>
      <c r="N91" s="73">
        <f>IFERROR(IF(OR($M91="",$F91=""),"",$M91/$F91),"")</f>
        <v/>
      </c>
      <c r="O91" s="75">
        <f>IFERROR(IF(OR($K91="",$M91=""),"",$K91/$M91),"")</f>
        <v/>
      </c>
      <c r="P91" s="73" t="n"/>
      <c r="Q91" s="73">
        <f>IFERROR(IF(OR($P91="",$F91=""),"",$P91/$F91),"")</f>
        <v/>
      </c>
      <c r="R91" s="75">
        <f>IFERROR(IF(OR($K91="",$P91=""),"",$K91/$P91),"")</f>
        <v/>
      </c>
      <c r="S91" s="73" t="n"/>
      <c r="T91" s="73">
        <f>IFERROR(IF(OR($S91="",$F91=""),"",$S91/$F91),"")</f>
        <v/>
      </c>
      <c r="U91" s="75">
        <f>IFERROR(IF(OR($K91="",$S91=""),"",$K91/$S91),"")</f>
        <v/>
      </c>
      <c r="V91" s="90">
        <f>IFERROR(IF(OR($U91="",$R91=""),"",($U91-$R91)*10000),"")</f>
        <v/>
      </c>
      <c r="W91" s="70">
        <f>IFERROR(IF(OR($P91="",$M91=""),"",IF($P91=$M91,"No","Yes")),"")</f>
        <v/>
      </c>
      <c r="X91" s="71" t="n"/>
      <c r="Y91" s="71" t="n"/>
      <c r="Z91" s="89">
        <f>IFERROR(IF(OR($X91="",$Y91=""),"",$X91-$Y91),"")</f>
        <v/>
      </c>
      <c r="AA91" s="67" t="n"/>
      <c r="AB91" s="67" t="n"/>
      <c r="AC91" s="68" t="n"/>
      <c r="AD91" s="67" t="n"/>
      <c r="AE91" s="67" t="n"/>
      <c r="AF91" s="67" t="n"/>
      <c r="AG91" s="67" t="n"/>
      <c r="AH91" s="67" t="n"/>
    </row>
    <row r="92" ht="15" customHeight="1" s="46">
      <c r="A92" s="60">
        <f>IFERROR(ROW()-5,"")</f>
        <v/>
      </c>
      <c r="B92" s="61" t="n"/>
      <c r="C92" s="61" t="n"/>
      <c r="D92" s="61" t="n"/>
      <c r="E92" s="61" t="n"/>
      <c r="F92" s="60" t="n"/>
      <c r="G92" s="61" t="n"/>
      <c r="H92" s="61" t="n"/>
      <c r="I92" s="62" t="n"/>
      <c r="J92" s="63">
        <f>IFERROR(IF(OR($I92="",$X92=""),"",($I92-$X92)/365.25),"")</f>
        <v/>
      </c>
      <c r="K92" s="64" t="n"/>
      <c r="L92" s="65">
        <f>IFERROR(IF(OR($K92="",$F92=""),"",$K92/$F92),"")</f>
        <v/>
      </c>
      <c r="M92" s="64" t="n"/>
      <c r="N92" s="64">
        <f>IFERROR(IF(OR($M92="",$F92=""),"",$M92/$F92),"")</f>
        <v/>
      </c>
      <c r="O92" s="66">
        <f>IFERROR(IF(OR($K92="",$M92=""),"",$K92/$M92),"")</f>
        <v/>
      </c>
      <c r="P92" s="64" t="n"/>
      <c r="Q92" s="64">
        <f>IFERROR(IF(OR($P92="",$F92=""),"",$P92/$F92),"")</f>
        <v/>
      </c>
      <c r="R92" s="66">
        <f>IFERROR(IF(OR($K92="",$P92=""),"",$K92/$P92),"")</f>
        <v/>
      </c>
      <c r="S92" s="64" t="n"/>
      <c r="T92" s="64">
        <f>IFERROR(IF(OR($S92="",$F92=""),"",$S92/$F92),"")</f>
        <v/>
      </c>
      <c r="U92" s="66">
        <f>IFERROR(IF(OR($K92="",$S92=""),"",$K92/$S92),"")</f>
        <v/>
      </c>
      <c r="V92" s="88">
        <f>IFERROR(IF(OR($U92="",$R92=""),"",($U92-$R92)*10000),"")</f>
        <v/>
      </c>
      <c r="W92" s="61">
        <f>IFERROR(IF(OR($P92="",$M92=""),"",IF($P92=$M92,"No","Yes")),"")</f>
        <v/>
      </c>
      <c r="X92" s="62" t="n"/>
      <c r="Y92" s="62" t="n"/>
      <c r="Z92" s="89">
        <f>IFERROR(IF(OR($X92="",$Y92=""),"",$X92-$Y92),"")</f>
        <v/>
      </c>
      <c r="AA92" s="67" t="n"/>
      <c r="AB92" s="67" t="n"/>
      <c r="AC92" s="68" t="n"/>
      <c r="AD92" s="67" t="n"/>
      <c r="AE92" s="67" t="n"/>
      <c r="AF92" s="67" t="n"/>
      <c r="AG92" s="67" t="n"/>
      <c r="AH92" s="67" t="n"/>
    </row>
    <row r="93" ht="15" customHeight="1" s="46">
      <c r="A93" s="69">
        <f>IFERROR(ROW()-5,"")</f>
        <v/>
      </c>
      <c r="B93" s="70" t="n"/>
      <c r="C93" s="70" t="n"/>
      <c r="D93" s="70" t="n"/>
      <c r="E93" s="70" t="n"/>
      <c r="F93" s="69" t="n"/>
      <c r="G93" s="70" t="n"/>
      <c r="H93" s="70" t="n"/>
      <c r="I93" s="71" t="n"/>
      <c r="J93" s="72">
        <f>IFERROR(IF(OR($I93="",$X93=""),"",($I93-$X93)/365.25),"")</f>
        <v/>
      </c>
      <c r="K93" s="73" t="n"/>
      <c r="L93" s="74">
        <f>IFERROR(IF(OR($K93="",$F93=""),"",$K93/$F93),"")</f>
        <v/>
      </c>
      <c r="M93" s="73" t="n"/>
      <c r="N93" s="73">
        <f>IFERROR(IF(OR($M93="",$F93=""),"",$M93/$F93),"")</f>
        <v/>
      </c>
      <c r="O93" s="75">
        <f>IFERROR(IF(OR($K93="",$M93=""),"",$K93/$M93),"")</f>
        <v/>
      </c>
      <c r="P93" s="73" t="n"/>
      <c r="Q93" s="73">
        <f>IFERROR(IF(OR($P93="",$F93=""),"",$P93/$F93),"")</f>
        <v/>
      </c>
      <c r="R93" s="75">
        <f>IFERROR(IF(OR($K93="",$P93=""),"",$K93/$P93),"")</f>
        <v/>
      </c>
      <c r="S93" s="73" t="n"/>
      <c r="T93" s="73">
        <f>IFERROR(IF(OR($S93="",$F93=""),"",$S93/$F93),"")</f>
        <v/>
      </c>
      <c r="U93" s="75">
        <f>IFERROR(IF(OR($K93="",$S93=""),"",$K93/$S93),"")</f>
        <v/>
      </c>
      <c r="V93" s="90">
        <f>IFERROR(IF(OR($U93="",$R93=""),"",($U93-$R93)*10000),"")</f>
        <v/>
      </c>
      <c r="W93" s="70">
        <f>IFERROR(IF(OR($P93="",$M93=""),"",IF($P93=$M93,"No","Yes")),"")</f>
        <v/>
      </c>
      <c r="X93" s="71" t="n"/>
      <c r="Y93" s="71" t="n"/>
      <c r="Z93" s="89">
        <f>IFERROR(IF(OR($X93="",$Y93=""),"",$X93-$Y93),"")</f>
        <v/>
      </c>
      <c r="AA93" s="67" t="n"/>
      <c r="AB93" s="67" t="n"/>
      <c r="AC93" s="68" t="n"/>
      <c r="AD93" s="67" t="n"/>
      <c r="AE93" s="67" t="n"/>
      <c r="AF93" s="67" t="n"/>
      <c r="AG93" s="67" t="n"/>
      <c r="AH93" s="67" t="n"/>
    </row>
    <row r="94" ht="15" customHeight="1" s="46">
      <c r="A94" s="60">
        <f>IFERROR(ROW()-5,"")</f>
        <v/>
      </c>
      <c r="B94" s="61" t="n"/>
      <c r="C94" s="61" t="n"/>
      <c r="D94" s="61" t="n"/>
      <c r="E94" s="61" t="n"/>
      <c r="F94" s="60" t="n"/>
      <c r="G94" s="61" t="n"/>
      <c r="H94" s="61" t="n"/>
      <c r="I94" s="62" t="n"/>
      <c r="J94" s="63">
        <f>IFERROR(IF(OR($I94="",$X94=""),"",($I94-$X94)/365.25),"")</f>
        <v/>
      </c>
      <c r="K94" s="64" t="n"/>
      <c r="L94" s="65">
        <f>IFERROR(IF(OR($K94="",$F94=""),"",$K94/$F94),"")</f>
        <v/>
      </c>
      <c r="M94" s="64" t="n"/>
      <c r="N94" s="64">
        <f>IFERROR(IF(OR($M94="",$F94=""),"",$M94/$F94),"")</f>
        <v/>
      </c>
      <c r="O94" s="66">
        <f>IFERROR(IF(OR($K94="",$M94=""),"",$K94/$M94),"")</f>
        <v/>
      </c>
      <c r="P94" s="64" t="n"/>
      <c r="Q94" s="64">
        <f>IFERROR(IF(OR($P94="",$F94=""),"",$P94/$F94),"")</f>
        <v/>
      </c>
      <c r="R94" s="66">
        <f>IFERROR(IF(OR($K94="",$P94=""),"",$K94/$P94),"")</f>
        <v/>
      </c>
      <c r="S94" s="64" t="n"/>
      <c r="T94" s="64">
        <f>IFERROR(IF(OR($S94="",$F94=""),"",$S94/$F94),"")</f>
        <v/>
      </c>
      <c r="U94" s="66">
        <f>IFERROR(IF(OR($K94="",$S94=""),"",$K94/$S94),"")</f>
        <v/>
      </c>
      <c r="V94" s="88">
        <f>IFERROR(IF(OR($U94="",$R94=""),"",($U94-$R94)*10000),"")</f>
        <v/>
      </c>
      <c r="W94" s="61">
        <f>IFERROR(IF(OR($P94="",$M94=""),"",IF($P94=$M94,"No","Yes")),"")</f>
        <v/>
      </c>
      <c r="X94" s="62" t="n"/>
      <c r="Y94" s="62" t="n"/>
      <c r="Z94" s="89">
        <f>IFERROR(IF(OR($X94="",$Y94=""),"",$X94-$Y94),"")</f>
        <v/>
      </c>
      <c r="AA94" s="67" t="n"/>
      <c r="AB94" s="67" t="n"/>
      <c r="AC94" s="68" t="n"/>
      <c r="AD94" s="67" t="n"/>
      <c r="AE94" s="67" t="n"/>
      <c r="AF94" s="67" t="n"/>
      <c r="AG94" s="67" t="n"/>
      <c r="AH94" s="67" t="n"/>
    </row>
    <row r="95" ht="15" customHeight="1" s="46">
      <c r="A95" s="69">
        <f>IFERROR(ROW()-5,"")</f>
        <v/>
      </c>
      <c r="B95" s="70" t="n"/>
      <c r="C95" s="70" t="n"/>
      <c r="D95" s="70" t="n"/>
      <c r="E95" s="70" t="n"/>
      <c r="F95" s="69" t="n"/>
      <c r="G95" s="70" t="n"/>
      <c r="H95" s="70" t="n"/>
      <c r="I95" s="71" t="n"/>
      <c r="J95" s="72">
        <f>IFERROR(IF(OR($I95="",$X95=""),"",($I95-$X95)/365.25),"")</f>
        <v/>
      </c>
      <c r="K95" s="73" t="n"/>
      <c r="L95" s="74">
        <f>IFERROR(IF(OR($K95="",$F95=""),"",$K95/$F95),"")</f>
        <v/>
      </c>
      <c r="M95" s="73" t="n"/>
      <c r="N95" s="73">
        <f>IFERROR(IF(OR($M95="",$F95=""),"",$M95/$F95),"")</f>
        <v/>
      </c>
      <c r="O95" s="75">
        <f>IFERROR(IF(OR($K95="",$M95=""),"",$K95/$M95),"")</f>
        <v/>
      </c>
      <c r="P95" s="73" t="n"/>
      <c r="Q95" s="73">
        <f>IFERROR(IF(OR($P95="",$F95=""),"",$P95/$F95),"")</f>
        <v/>
      </c>
      <c r="R95" s="75">
        <f>IFERROR(IF(OR($K95="",$P95=""),"",$K95/$P95),"")</f>
        <v/>
      </c>
      <c r="S95" s="73" t="n"/>
      <c r="T95" s="73">
        <f>IFERROR(IF(OR($S95="",$F95=""),"",$S95/$F95),"")</f>
        <v/>
      </c>
      <c r="U95" s="75">
        <f>IFERROR(IF(OR($K95="",$S95=""),"",$K95/$S95),"")</f>
        <v/>
      </c>
      <c r="V95" s="90">
        <f>IFERROR(IF(OR($U95="",$R95=""),"",($U95-$R95)*10000),"")</f>
        <v/>
      </c>
      <c r="W95" s="70">
        <f>IFERROR(IF(OR($P95="",$M95=""),"",IF($P95=$M95,"No","Yes")),"")</f>
        <v/>
      </c>
      <c r="X95" s="71" t="n"/>
      <c r="Y95" s="71" t="n"/>
      <c r="Z95" s="89">
        <f>IFERROR(IF(OR($X95="",$Y95=""),"",$X95-$Y95),"")</f>
        <v/>
      </c>
      <c r="AA95" s="67" t="n"/>
      <c r="AB95" s="67" t="n"/>
      <c r="AC95" s="68" t="n"/>
      <c r="AD95" s="67" t="n"/>
      <c r="AE95" s="67" t="n"/>
      <c r="AF95" s="67" t="n"/>
      <c r="AG95" s="67" t="n"/>
      <c r="AH95" s="67" t="n"/>
    </row>
    <row r="96" ht="15" customHeight="1" s="46">
      <c r="A96" s="60">
        <f>IFERROR(ROW()-5,"")</f>
        <v/>
      </c>
      <c r="B96" s="61" t="n"/>
      <c r="C96" s="61" t="n"/>
      <c r="D96" s="61" t="n"/>
      <c r="E96" s="61" t="n"/>
      <c r="F96" s="60" t="n"/>
      <c r="G96" s="61" t="n"/>
      <c r="H96" s="61" t="n"/>
      <c r="I96" s="62" t="n"/>
      <c r="J96" s="63">
        <f>IFERROR(IF(OR($I96="",$X96=""),"",($I96-$X96)/365.25),"")</f>
        <v/>
      </c>
      <c r="K96" s="64" t="n"/>
      <c r="L96" s="65">
        <f>IFERROR(IF(OR($K96="",$F96=""),"",$K96/$F96),"")</f>
        <v/>
      </c>
      <c r="M96" s="64" t="n"/>
      <c r="N96" s="64">
        <f>IFERROR(IF(OR($M96="",$F96=""),"",$M96/$F96),"")</f>
        <v/>
      </c>
      <c r="O96" s="66">
        <f>IFERROR(IF(OR($K96="",$M96=""),"",$K96/$M96),"")</f>
        <v/>
      </c>
      <c r="P96" s="64" t="n"/>
      <c r="Q96" s="64">
        <f>IFERROR(IF(OR($P96="",$F96=""),"",$P96/$F96),"")</f>
        <v/>
      </c>
      <c r="R96" s="66">
        <f>IFERROR(IF(OR($K96="",$P96=""),"",$K96/$P96),"")</f>
        <v/>
      </c>
      <c r="S96" s="64" t="n"/>
      <c r="T96" s="64">
        <f>IFERROR(IF(OR($S96="",$F96=""),"",$S96/$F96),"")</f>
        <v/>
      </c>
      <c r="U96" s="66">
        <f>IFERROR(IF(OR($K96="",$S96=""),"",$K96/$S96),"")</f>
        <v/>
      </c>
      <c r="V96" s="88">
        <f>IFERROR(IF(OR($U96="",$R96=""),"",($U96-$R96)*10000),"")</f>
        <v/>
      </c>
      <c r="W96" s="61">
        <f>IFERROR(IF(OR($P96="",$M96=""),"",IF($P96=$M96,"No","Yes")),"")</f>
        <v/>
      </c>
      <c r="X96" s="62" t="n"/>
      <c r="Y96" s="62" t="n"/>
      <c r="Z96" s="89">
        <f>IFERROR(IF(OR($X96="",$Y96=""),"",$X96-$Y96),"")</f>
        <v/>
      </c>
      <c r="AA96" s="67" t="n"/>
      <c r="AB96" s="67" t="n"/>
      <c r="AC96" s="68" t="n"/>
      <c r="AD96" s="67" t="n"/>
      <c r="AE96" s="67" t="n"/>
      <c r="AF96" s="67" t="n"/>
      <c r="AG96" s="67" t="n"/>
      <c r="AH96" s="67" t="n"/>
    </row>
    <row r="97" ht="15" customHeight="1" s="46">
      <c r="A97" s="69">
        <f>IFERROR(ROW()-5,"")</f>
        <v/>
      </c>
      <c r="B97" s="70" t="n"/>
      <c r="C97" s="70" t="n"/>
      <c r="D97" s="70" t="n"/>
      <c r="E97" s="70" t="n"/>
      <c r="F97" s="69" t="n"/>
      <c r="G97" s="70" t="n"/>
      <c r="H97" s="70" t="n"/>
      <c r="I97" s="71" t="n"/>
      <c r="J97" s="72">
        <f>IFERROR(IF(OR($I97="",$X97=""),"",($I97-$X97)/365.25),"")</f>
        <v/>
      </c>
      <c r="K97" s="73" t="n"/>
      <c r="L97" s="74">
        <f>IFERROR(IF(OR($K97="",$F97=""),"",$K97/$F97),"")</f>
        <v/>
      </c>
      <c r="M97" s="73" t="n"/>
      <c r="N97" s="73">
        <f>IFERROR(IF(OR($M97="",$F97=""),"",$M97/$F97),"")</f>
        <v/>
      </c>
      <c r="O97" s="75">
        <f>IFERROR(IF(OR($K97="",$M97=""),"",$K97/$M97),"")</f>
        <v/>
      </c>
      <c r="P97" s="73" t="n"/>
      <c r="Q97" s="73">
        <f>IFERROR(IF(OR($P97="",$F97=""),"",$P97/$F97),"")</f>
        <v/>
      </c>
      <c r="R97" s="75">
        <f>IFERROR(IF(OR($K97="",$P97=""),"",$K97/$P97),"")</f>
        <v/>
      </c>
      <c r="S97" s="73" t="n"/>
      <c r="T97" s="73">
        <f>IFERROR(IF(OR($S97="",$F97=""),"",$S97/$F97),"")</f>
        <v/>
      </c>
      <c r="U97" s="75">
        <f>IFERROR(IF(OR($K97="",$S97=""),"",$K97/$S97),"")</f>
        <v/>
      </c>
      <c r="V97" s="90">
        <f>IFERROR(IF(OR($U97="",$R97=""),"",($U97-$R97)*10000),"")</f>
        <v/>
      </c>
      <c r="W97" s="70">
        <f>IFERROR(IF(OR($P97="",$M97=""),"",IF($P97=$M97,"No","Yes")),"")</f>
        <v/>
      </c>
      <c r="X97" s="71" t="n"/>
      <c r="Y97" s="71" t="n"/>
      <c r="Z97" s="89">
        <f>IFERROR(IF(OR($X97="",$Y97=""),"",$X97-$Y97),"")</f>
        <v/>
      </c>
      <c r="AA97" s="67" t="n"/>
      <c r="AB97" s="67" t="n"/>
      <c r="AC97" s="68" t="n"/>
      <c r="AD97" s="67" t="n"/>
      <c r="AE97" s="67" t="n"/>
      <c r="AF97" s="67" t="n"/>
      <c r="AG97" s="67" t="n"/>
      <c r="AH97" s="67" t="n"/>
    </row>
    <row r="98" ht="15" customHeight="1" s="46">
      <c r="A98" s="60">
        <f>IFERROR(ROW()-5,"")</f>
        <v/>
      </c>
      <c r="B98" s="61" t="n"/>
      <c r="C98" s="61" t="n"/>
      <c r="D98" s="61" t="n"/>
      <c r="E98" s="61" t="n"/>
      <c r="F98" s="60" t="n"/>
      <c r="G98" s="61" t="n"/>
      <c r="H98" s="61" t="n"/>
      <c r="I98" s="62" t="n"/>
      <c r="J98" s="63">
        <f>IFERROR(IF(OR($I98="",$X98=""),"",($I98-$X98)/365.25),"")</f>
        <v/>
      </c>
      <c r="K98" s="64" t="n"/>
      <c r="L98" s="65">
        <f>IFERROR(IF(OR($K98="",$F98=""),"",$K98/$F98),"")</f>
        <v/>
      </c>
      <c r="M98" s="64" t="n"/>
      <c r="N98" s="64">
        <f>IFERROR(IF(OR($M98="",$F98=""),"",$M98/$F98),"")</f>
        <v/>
      </c>
      <c r="O98" s="66">
        <f>IFERROR(IF(OR($K98="",$M98=""),"",$K98/$M98),"")</f>
        <v/>
      </c>
      <c r="P98" s="64" t="n"/>
      <c r="Q98" s="64">
        <f>IFERROR(IF(OR($P98="",$F98=""),"",$P98/$F98),"")</f>
        <v/>
      </c>
      <c r="R98" s="66">
        <f>IFERROR(IF(OR($K98="",$P98=""),"",$K98/$P98),"")</f>
        <v/>
      </c>
      <c r="S98" s="64" t="n"/>
      <c r="T98" s="64">
        <f>IFERROR(IF(OR($S98="",$F98=""),"",$S98/$F98),"")</f>
        <v/>
      </c>
      <c r="U98" s="66">
        <f>IFERROR(IF(OR($K98="",$S98=""),"",$K98/$S98),"")</f>
        <v/>
      </c>
      <c r="V98" s="88">
        <f>IFERROR(IF(OR($U98="",$R98=""),"",($U98-$R98)*10000),"")</f>
        <v/>
      </c>
      <c r="W98" s="61">
        <f>IFERROR(IF(OR($P98="",$M98=""),"",IF($P98=$M98,"No","Yes")),"")</f>
        <v/>
      </c>
      <c r="X98" s="62" t="n"/>
      <c r="Y98" s="62" t="n"/>
      <c r="Z98" s="89">
        <f>IFERROR(IF(OR($X98="",$Y98=""),"",$X98-$Y98),"")</f>
        <v/>
      </c>
      <c r="AA98" s="67" t="n"/>
      <c r="AB98" s="67" t="n"/>
      <c r="AC98" s="68" t="n"/>
      <c r="AD98" s="67" t="n"/>
      <c r="AE98" s="67" t="n"/>
      <c r="AF98" s="67" t="n"/>
      <c r="AG98" s="67" t="n"/>
      <c r="AH98" s="67" t="n"/>
    </row>
    <row r="99" ht="15" customHeight="1" s="46">
      <c r="A99" s="69">
        <f>IFERROR(ROW()-5,"")</f>
        <v/>
      </c>
      <c r="B99" s="70" t="n"/>
      <c r="C99" s="70" t="n"/>
      <c r="D99" s="70" t="n"/>
      <c r="E99" s="70" t="n"/>
      <c r="F99" s="69" t="n"/>
      <c r="G99" s="70" t="n"/>
      <c r="H99" s="70" t="n"/>
      <c r="I99" s="71" t="n"/>
      <c r="J99" s="72">
        <f>IFERROR(IF(OR($I99="",$X99=""),"",($I99-$X99)/365.25),"")</f>
        <v/>
      </c>
      <c r="K99" s="73" t="n"/>
      <c r="L99" s="74">
        <f>IFERROR(IF(OR($K99="",$F99=""),"",$K99/$F99),"")</f>
        <v/>
      </c>
      <c r="M99" s="73" t="n"/>
      <c r="N99" s="73">
        <f>IFERROR(IF(OR($M99="",$F99=""),"",$M99/$F99),"")</f>
        <v/>
      </c>
      <c r="O99" s="75">
        <f>IFERROR(IF(OR($K99="",$M99=""),"",$K99/$M99),"")</f>
        <v/>
      </c>
      <c r="P99" s="73" t="n"/>
      <c r="Q99" s="73">
        <f>IFERROR(IF(OR($P99="",$F99=""),"",$P99/$F99),"")</f>
        <v/>
      </c>
      <c r="R99" s="75">
        <f>IFERROR(IF(OR($K99="",$P99=""),"",$K99/$P99),"")</f>
        <v/>
      </c>
      <c r="S99" s="73" t="n"/>
      <c r="T99" s="73">
        <f>IFERROR(IF(OR($S99="",$F99=""),"",$S99/$F99),"")</f>
        <v/>
      </c>
      <c r="U99" s="75">
        <f>IFERROR(IF(OR($K99="",$S99=""),"",$K99/$S99),"")</f>
        <v/>
      </c>
      <c r="V99" s="90">
        <f>IFERROR(IF(OR($U99="",$R99=""),"",($U99-$R99)*10000),"")</f>
        <v/>
      </c>
      <c r="W99" s="70">
        <f>IFERROR(IF(OR($P99="",$M99=""),"",IF($P99=$M99,"No","Yes")),"")</f>
        <v/>
      </c>
      <c r="X99" s="71" t="n"/>
      <c r="Y99" s="71" t="n"/>
      <c r="Z99" s="89">
        <f>IFERROR(IF(OR($X99="",$Y99=""),"",$X99-$Y99),"")</f>
        <v/>
      </c>
      <c r="AA99" s="67" t="n"/>
      <c r="AB99" s="67" t="n"/>
      <c r="AC99" s="68" t="n"/>
      <c r="AD99" s="67" t="n"/>
      <c r="AE99" s="67" t="n"/>
      <c r="AF99" s="67" t="n"/>
      <c r="AG99" s="67" t="n"/>
      <c r="AH99" s="67" t="n"/>
    </row>
    <row r="100" ht="15" customHeight="1" s="46">
      <c r="A100" s="60">
        <f>IFERROR(ROW()-5,"")</f>
        <v/>
      </c>
      <c r="B100" s="61" t="n"/>
      <c r="C100" s="61" t="n"/>
      <c r="D100" s="61" t="n"/>
      <c r="E100" s="61" t="n"/>
      <c r="F100" s="60" t="n"/>
      <c r="G100" s="61" t="n"/>
      <c r="H100" s="61" t="n"/>
      <c r="I100" s="62" t="n"/>
      <c r="J100" s="63">
        <f>IFERROR(IF(OR($I100="",$X100=""),"",($I100-$X100)/365.25),"")</f>
        <v/>
      </c>
      <c r="K100" s="64" t="n"/>
      <c r="L100" s="65">
        <f>IFERROR(IF(OR($K100="",$F100=""),"",$K100/$F100),"")</f>
        <v/>
      </c>
      <c r="M100" s="64" t="n"/>
      <c r="N100" s="64">
        <f>IFERROR(IF(OR($M100="",$F100=""),"",$M100/$F100),"")</f>
        <v/>
      </c>
      <c r="O100" s="66">
        <f>IFERROR(IF(OR($K100="",$M100=""),"",$K100/$M100),"")</f>
        <v/>
      </c>
      <c r="P100" s="64" t="n"/>
      <c r="Q100" s="64">
        <f>IFERROR(IF(OR($P100="",$F100=""),"",$P100/$F100),"")</f>
        <v/>
      </c>
      <c r="R100" s="66">
        <f>IFERROR(IF(OR($K100="",$P100=""),"",$K100/$P100),"")</f>
        <v/>
      </c>
      <c r="S100" s="64" t="n"/>
      <c r="T100" s="64">
        <f>IFERROR(IF(OR($S100="",$F100=""),"",$S100/$F100),"")</f>
        <v/>
      </c>
      <c r="U100" s="66">
        <f>IFERROR(IF(OR($K100="",$S100=""),"",$K100/$S100),"")</f>
        <v/>
      </c>
      <c r="V100" s="88">
        <f>IFERROR(IF(OR($U100="",$R100=""),"",($U100-$R100)*10000),"")</f>
        <v/>
      </c>
      <c r="W100" s="61">
        <f>IFERROR(IF(OR($P100="",$M100=""),"",IF($P100=$M100,"No","Yes")),"")</f>
        <v/>
      </c>
      <c r="X100" s="62" t="n"/>
      <c r="Y100" s="62" t="n"/>
      <c r="Z100" s="89">
        <f>IFERROR(IF(OR($X100="",$Y100=""),"",$X100-$Y100),"")</f>
        <v/>
      </c>
      <c r="AA100" s="67" t="n"/>
      <c r="AB100" s="67" t="n"/>
      <c r="AC100" s="68" t="n"/>
      <c r="AD100" s="67" t="n"/>
      <c r="AE100" s="67" t="n"/>
      <c r="AF100" s="67" t="n"/>
      <c r="AG100" s="67" t="n"/>
      <c r="AH100" s="67" t="n"/>
    </row>
    <row r="101" ht="15" customHeight="1" s="46">
      <c r="A101" s="69">
        <f>IFERROR(ROW()-5,"")</f>
        <v/>
      </c>
      <c r="B101" s="70" t="n"/>
      <c r="C101" s="70" t="n"/>
      <c r="D101" s="70" t="n"/>
      <c r="E101" s="70" t="n"/>
      <c r="F101" s="69" t="n"/>
      <c r="G101" s="70" t="n"/>
      <c r="H101" s="70" t="n"/>
      <c r="I101" s="71" t="n"/>
      <c r="J101" s="72">
        <f>IFERROR(IF(OR($I101="",$X101=""),"",($I101-$X101)/365.25),"")</f>
        <v/>
      </c>
      <c r="K101" s="73" t="n"/>
      <c r="L101" s="74">
        <f>IFERROR(IF(OR($K101="",$F101=""),"",$K101/$F101),"")</f>
        <v/>
      </c>
      <c r="M101" s="73" t="n"/>
      <c r="N101" s="73">
        <f>IFERROR(IF(OR($M101="",$F101=""),"",$M101/$F101),"")</f>
        <v/>
      </c>
      <c r="O101" s="75">
        <f>IFERROR(IF(OR($K101="",$M101=""),"",$K101/$M101),"")</f>
        <v/>
      </c>
      <c r="P101" s="73" t="n"/>
      <c r="Q101" s="73">
        <f>IFERROR(IF(OR($P101="",$F101=""),"",$P101/$F101),"")</f>
        <v/>
      </c>
      <c r="R101" s="75">
        <f>IFERROR(IF(OR($K101="",$P101=""),"",$K101/$P101),"")</f>
        <v/>
      </c>
      <c r="S101" s="73" t="n"/>
      <c r="T101" s="73">
        <f>IFERROR(IF(OR($S101="",$F101=""),"",$S101/$F101),"")</f>
        <v/>
      </c>
      <c r="U101" s="75">
        <f>IFERROR(IF(OR($K101="",$S101=""),"",$K101/$S101),"")</f>
        <v/>
      </c>
      <c r="V101" s="90">
        <f>IFERROR(IF(OR($U101="",$R101=""),"",($U101-$R101)*10000),"")</f>
        <v/>
      </c>
      <c r="W101" s="70">
        <f>IFERROR(IF(OR($P101="",$M101=""),"",IF($P101=$M101,"No","Yes")),"")</f>
        <v/>
      </c>
      <c r="X101" s="71" t="n"/>
      <c r="Y101" s="71" t="n"/>
      <c r="Z101" s="89">
        <f>IFERROR(IF(OR($X101="",$Y101=""),"",$X101-$Y101),"")</f>
        <v/>
      </c>
      <c r="AA101" s="67" t="n"/>
      <c r="AB101" s="67" t="n"/>
      <c r="AC101" s="68" t="n"/>
      <c r="AD101" s="67" t="n"/>
      <c r="AE101" s="67" t="n"/>
      <c r="AF101" s="67" t="n"/>
      <c r="AG101" s="67" t="n"/>
      <c r="AH101" s="67" t="n"/>
    </row>
    <row r="102" ht="15" customHeight="1" s="46">
      <c r="A102" s="60">
        <f>IFERROR(ROW()-5,"")</f>
        <v/>
      </c>
      <c r="B102" s="61" t="n"/>
      <c r="C102" s="61" t="n"/>
      <c r="D102" s="61" t="n"/>
      <c r="E102" s="61" t="n"/>
      <c r="F102" s="60" t="n"/>
      <c r="G102" s="61" t="n"/>
      <c r="H102" s="61" t="n"/>
      <c r="I102" s="62" t="n"/>
      <c r="J102" s="63">
        <f>IFERROR(IF(OR($I102="",$X102=""),"",($I102-$X102)/365.25),"")</f>
        <v/>
      </c>
      <c r="K102" s="64" t="n"/>
      <c r="L102" s="65">
        <f>IFERROR(IF(OR($K102="",$F102=""),"",$K102/$F102),"")</f>
        <v/>
      </c>
      <c r="M102" s="64" t="n"/>
      <c r="N102" s="64">
        <f>IFERROR(IF(OR($M102="",$F102=""),"",$M102/$F102),"")</f>
        <v/>
      </c>
      <c r="O102" s="66">
        <f>IFERROR(IF(OR($K102="",$M102=""),"",$K102/$M102),"")</f>
        <v/>
      </c>
      <c r="P102" s="64" t="n"/>
      <c r="Q102" s="64">
        <f>IFERROR(IF(OR($P102="",$F102=""),"",$P102/$F102),"")</f>
        <v/>
      </c>
      <c r="R102" s="66">
        <f>IFERROR(IF(OR($K102="",$P102=""),"",$K102/$P102),"")</f>
        <v/>
      </c>
      <c r="S102" s="64" t="n"/>
      <c r="T102" s="64">
        <f>IFERROR(IF(OR($S102="",$F102=""),"",$S102/$F102),"")</f>
        <v/>
      </c>
      <c r="U102" s="66">
        <f>IFERROR(IF(OR($K102="",$S102=""),"",$K102/$S102),"")</f>
        <v/>
      </c>
      <c r="V102" s="88">
        <f>IFERROR(IF(OR($U102="",$R102=""),"",($U102-$R102)*10000),"")</f>
        <v/>
      </c>
      <c r="W102" s="61">
        <f>IFERROR(IF(OR($P102="",$M102=""),"",IF($P102=$M102,"No","Yes")),"")</f>
        <v/>
      </c>
      <c r="X102" s="62" t="n"/>
      <c r="Y102" s="62" t="n"/>
      <c r="Z102" s="89">
        <f>IFERROR(IF(OR($X102="",$Y102=""),"",$X102-$Y102),"")</f>
        <v/>
      </c>
      <c r="AA102" s="67" t="n"/>
      <c r="AB102" s="67" t="n"/>
      <c r="AC102" s="68" t="n"/>
      <c r="AD102" s="67" t="n"/>
      <c r="AE102" s="67" t="n"/>
      <c r="AF102" s="67" t="n"/>
      <c r="AG102" s="67" t="n"/>
      <c r="AH102" s="67" t="n"/>
    </row>
    <row r="103" ht="15" customHeight="1" s="46">
      <c r="A103" s="69">
        <f>IFERROR(ROW()-5,"")</f>
        <v/>
      </c>
      <c r="B103" s="70" t="n"/>
      <c r="C103" s="70" t="n"/>
      <c r="D103" s="70" t="n"/>
      <c r="E103" s="70" t="n"/>
      <c r="F103" s="69" t="n"/>
      <c r="G103" s="70" t="n"/>
      <c r="H103" s="70" t="n"/>
      <c r="I103" s="71" t="n"/>
      <c r="J103" s="72">
        <f>IFERROR(IF(OR($I103="",$X103=""),"",($I103-$X103)/365.25),"")</f>
        <v/>
      </c>
      <c r="K103" s="73" t="n"/>
      <c r="L103" s="74">
        <f>IFERROR(IF(OR($K103="",$F103=""),"",$K103/$F103),"")</f>
        <v/>
      </c>
      <c r="M103" s="73" t="n"/>
      <c r="N103" s="73">
        <f>IFERROR(IF(OR($M103="",$F103=""),"",$M103/$F103),"")</f>
        <v/>
      </c>
      <c r="O103" s="75">
        <f>IFERROR(IF(OR($K103="",$M103=""),"",$K103/$M103),"")</f>
        <v/>
      </c>
      <c r="P103" s="73" t="n"/>
      <c r="Q103" s="73">
        <f>IFERROR(IF(OR($P103="",$F103=""),"",$P103/$F103),"")</f>
        <v/>
      </c>
      <c r="R103" s="75">
        <f>IFERROR(IF(OR($K103="",$P103=""),"",$K103/$P103),"")</f>
        <v/>
      </c>
      <c r="S103" s="73" t="n"/>
      <c r="T103" s="73">
        <f>IFERROR(IF(OR($S103="",$F103=""),"",$S103/$F103),"")</f>
        <v/>
      </c>
      <c r="U103" s="75">
        <f>IFERROR(IF(OR($K103="",$S103=""),"",$K103/$S103),"")</f>
        <v/>
      </c>
      <c r="V103" s="90">
        <f>IFERROR(IF(OR($U103="",$R103=""),"",($U103-$R103)*10000),"")</f>
        <v/>
      </c>
      <c r="W103" s="70">
        <f>IFERROR(IF(OR($P103="",$M103=""),"",IF($P103=$M103,"No","Yes")),"")</f>
        <v/>
      </c>
      <c r="X103" s="71" t="n"/>
      <c r="Y103" s="71" t="n"/>
      <c r="Z103" s="89">
        <f>IFERROR(IF(OR($X103="",$Y103=""),"",$X103-$Y103),"")</f>
        <v/>
      </c>
      <c r="AA103" s="67" t="n"/>
      <c r="AB103" s="67" t="n"/>
      <c r="AC103" s="68" t="n"/>
      <c r="AD103" s="67" t="n"/>
      <c r="AE103" s="67" t="n"/>
      <c r="AF103" s="67" t="n"/>
      <c r="AG103" s="67" t="n"/>
      <c r="AH103" s="67" t="n"/>
    </row>
    <row r="104" ht="15" customHeight="1" s="46">
      <c r="A104" s="60">
        <f>IFERROR(ROW()-5,"")</f>
        <v/>
      </c>
      <c r="B104" s="61" t="n"/>
      <c r="C104" s="61" t="n"/>
      <c r="D104" s="61" t="n"/>
      <c r="E104" s="61" t="n"/>
      <c r="F104" s="60" t="n"/>
      <c r="G104" s="61" t="n"/>
      <c r="H104" s="61" t="n"/>
      <c r="I104" s="62" t="n"/>
      <c r="J104" s="63">
        <f>IFERROR(IF(OR($I104="",$X104=""),"",($I104-$X104)/365.25),"")</f>
        <v/>
      </c>
      <c r="K104" s="64" t="n"/>
      <c r="L104" s="65">
        <f>IFERROR(IF(OR($K104="",$F104=""),"",$K104/$F104),"")</f>
        <v/>
      </c>
      <c r="M104" s="64" t="n"/>
      <c r="N104" s="64">
        <f>IFERROR(IF(OR($M104="",$F104=""),"",$M104/$F104),"")</f>
        <v/>
      </c>
      <c r="O104" s="66">
        <f>IFERROR(IF(OR($K104="",$M104=""),"",$K104/$M104),"")</f>
        <v/>
      </c>
      <c r="P104" s="64" t="n"/>
      <c r="Q104" s="64">
        <f>IFERROR(IF(OR($P104="",$F104=""),"",$P104/$F104),"")</f>
        <v/>
      </c>
      <c r="R104" s="66">
        <f>IFERROR(IF(OR($K104="",$P104=""),"",$K104/$P104),"")</f>
        <v/>
      </c>
      <c r="S104" s="64" t="n"/>
      <c r="T104" s="64">
        <f>IFERROR(IF(OR($S104="",$F104=""),"",$S104/$F104),"")</f>
        <v/>
      </c>
      <c r="U104" s="66">
        <f>IFERROR(IF(OR($K104="",$S104=""),"",$K104/$S104),"")</f>
        <v/>
      </c>
      <c r="V104" s="88">
        <f>IFERROR(IF(OR($U104="",$R104=""),"",($U104-$R104)*10000),"")</f>
        <v/>
      </c>
      <c r="W104" s="61">
        <f>IFERROR(IF(OR($P104="",$M104=""),"",IF($P104=$M104,"No","Yes")),"")</f>
        <v/>
      </c>
      <c r="X104" s="62" t="n"/>
      <c r="Y104" s="62" t="n"/>
      <c r="Z104" s="89">
        <f>IFERROR(IF(OR($X104="",$Y104=""),"",$X104-$Y104),"")</f>
        <v/>
      </c>
      <c r="AA104" s="67" t="n"/>
      <c r="AB104" s="67" t="n"/>
      <c r="AC104" s="68" t="n"/>
      <c r="AD104" s="67" t="n"/>
      <c r="AE104" s="67" t="n"/>
      <c r="AF104" s="67" t="n"/>
      <c r="AG104" s="67" t="n"/>
      <c r="AH104" s="67" t="n"/>
    </row>
    <row r="105" ht="15" customHeight="1" s="46">
      <c r="A105" s="69">
        <f>IFERROR(ROW()-5,"")</f>
        <v/>
      </c>
      <c r="B105" s="70" t="n"/>
      <c r="C105" s="70" t="n"/>
      <c r="D105" s="70" t="n"/>
      <c r="E105" s="70" t="n"/>
      <c r="F105" s="69" t="n"/>
      <c r="G105" s="70" t="n"/>
      <c r="H105" s="70" t="n"/>
      <c r="I105" s="71" t="n"/>
      <c r="J105" s="72">
        <f>IFERROR(IF(OR($I105="",$X105=""),"",($I105-$X105)/365.25),"")</f>
        <v/>
      </c>
      <c r="K105" s="73" t="n"/>
      <c r="L105" s="74">
        <f>IFERROR(IF(OR($K105="",$F105=""),"",$K105/$F105),"")</f>
        <v/>
      </c>
      <c r="M105" s="73" t="n"/>
      <c r="N105" s="73">
        <f>IFERROR(IF(OR($M105="",$F105=""),"",$M105/$F105),"")</f>
        <v/>
      </c>
      <c r="O105" s="75">
        <f>IFERROR(IF(OR($K105="",$M105=""),"",$K105/$M105),"")</f>
        <v/>
      </c>
      <c r="P105" s="73" t="n"/>
      <c r="Q105" s="73">
        <f>IFERROR(IF(OR($P105="",$F105=""),"",$P105/$F105),"")</f>
        <v/>
      </c>
      <c r="R105" s="75">
        <f>IFERROR(IF(OR($K105="",$P105=""),"",$K105/$P105),"")</f>
        <v/>
      </c>
      <c r="S105" s="73" t="n"/>
      <c r="T105" s="73">
        <f>IFERROR(IF(OR($S105="",$F105=""),"",$S105/$F105),"")</f>
        <v/>
      </c>
      <c r="U105" s="75">
        <f>IFERROR(IF(OR($K105="",$S105=""),"",$K105/$S105),"")</f>
        <v/>
      </c>
      <c r="V105" s="90">
        <f>IFERROR(IF(OR($U105="",$R105=""),"",($U105-$R105)*10000),"")</f>
        <v/>
      </c>
      <c r="W105" s="70">
        <f>IFERROR(IF(OR($P105="",$M105=""),"",IF($P105=$M105,"No","Yes")),"")</f>
        <v/>
      </c>
      <c r="X105" s="71" t="n"/>
      <c r="Y105" s="71" t="n"/>
      <c r="Z105" s="89">
        <f>IFERROR(IF(OR($X105="",$Y105=""),"",$X105-$Y105),"")</f>
        <v/>
      </c>
      <c r="AA105" s="67" t="n"/>
      <c r="AB105" s="67" t="n"/>
      <c r="AC105" s="68" t="n"/>
      <c r="AD105" s="67" t="n"/>
      <c r="AE105" s="67" t="n"/>
      <c r="AF105" s="67" t="n"/>
      <c r="AG105" s="67" t="n"/>
      <c r="AH105" s="67" t="n"/>
    </row>
    <row r="106" ht="16.5" customHeight="1" s="46">
      <c r="A106" s="76" t="inlineStr">
        <is>
          <t>AVG</t>
        </is>
      </c>
      <c r="B106" s="77">
        <f>COUNTA(B6:B105)&amp;" comps"</f>
        <v/>
      </c>
      <c r="C106" s="78" t="n"/>
      <c r="D106" s="78" t="n"/>
      <c r="E106" s="78" t="n"/>
      <c r="F106" s="79">
        <f>IF(COUNT(F6:F105)=0,"",AVERAGE(F6:F105))</f>
        <v/>
      </c>
      <c r="G106" s="80" t="n"/>
      <c r="H106" s="81" t="n"/>
      <c r="I106" s="78" t="n"/>
      <c r="J106" s="82">
        <f>IF(COUNT(J6:J105)=0,"",AVERAGE(J6:J105))</f>
        <v/>
      </c>
      <c r="K106" s="83">
        <f>IF(COUNT(K6:K105)=0,"",AVERAGE(K6:K105))</f>
        <v/>
      </c>
      <c r="L106" s="84">
        <f>IF(COUNT(L6:L105)=0,"",AVERAGE(L6:L105))</f>
        <v/>
      </c>
      <c r="M106" s="83">
        <f>IF(COUNT(M6:M105)=0,"",AVERAGE(M6:M105))</f>
        <v/>
      </c>
      <c r="N106" s="83">
        <f>IF(COUNT(N6:N105)=0,"",AVERAGE(N6:N105))</f>
        <v/>
      </c>
      <c r="O106" s="85">
        <f>IF(COUNT(O6:O105)=0,"",AVERAGE(O6:O105))</f>
        <v/>
      </c>
      <c r="P106" s="83">
        <f>IF(COUNT(P6:P105)=0,"",AVERAGE(P6:P105))</f>
        <v/>
      </c>
      <c r="Q106" s="83">
        <f>IF(COUNT(Q6:Q105)=0,"",AVERAGE(Q6:Q105))</f>
        <v/>
      </c>
      <c r="R106" s="85">
        <f>IF(COUNT(R6:R105)=0,"",AVERAGE(R6:R105))</f>
        <v/>
      </c>
      <c r="S106" s="83">
        <f>IF(COUNT(S6:S105)=0,"",AVERAGE(S6:S105))</f>
        <v/>
      </c>
      <c r="T106" s="83">
        <f>IF(COUNT(T6:T105)=0,"",AVERAGE(T6:T105))</f>
        <v/>
      </c>
      <c r="U106" s="85">
        <f>IF(COUNT(U6:U105)=0,"",AVERAGE(U6:U105))</f>
        <v/>
      </c>
      <c r="V106" s="91">
        <f>IF(COUNT(V6:V105)=0,"",AVERAGE(V6:V105))</f>
        <v/>
      </c>
      <c r="W106" s="77">
        <f>IFERROR(COUNTIF(W6:W105,"Yes")&amp;" / "&amp;(COUNTIF(W6:W105,"Yes")+COUNTIF(W6:W105,"No"))&amp;" ("&amp;TEXT(COUNTIF(W6:W105,"Yes")/(COUNTIF(W6:W105,"Yes")+COUNTIF(W6:W105,"No")),"0%")&amp;")","")</f>
        <v/>
      </c>
      <c r="X106" s="78" t="n"/>
      <c r="Y106" s="78" t="n"/>
      <c r="Z106" s="86" t="n"/>
      <c r="AA106" s="86" t="n"/>
      <c r="AB106" s="86" t="n"/>
      <c r="AC106" s="87">
        <f>IF(COUNT(AC6:AC105)=0,"",ROUND(AVERAGE(AC6:AC105),0))</f>
        <v/>
      </c>
      <c r="AD106" s="86" t="n"/>
      <c r="AE106" s="86" t="n"/>
      <c r="AF106" s="86" t="n"/>
      <c r="AG106" s="86" t="n"/>
      <c r="AH106" s="86" t="n"/>
    </row>
    <row r="107"/>
    <row r="108" ht="12.75" customHeight="1" s="46">
      <c r="A108" s="52" t="n"/>
    </row>
    <row r="109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63442239F02840831034F7AD67E0F6" ma:contentTypeVersion="5" ma:contentTypeDescription="Create a new document." ma:contentTypeScope="" ma:versionID="6ce6758c6d171de684350b4c9e0530de">
  <xsd:schema xmlns:xsd="http://www.w3.org/2001/XMLSchema" xmlns:xs="http://www.w3.org/2001/XMLSchema" xmlns:p="http://schemas.microsoft.com/office/2006/metadata/properties" xmlns:ns2="996f9e8b-7d99-457a-a762-afa66303a36d" xmlns:ns3="0fcdc81d-464c-4cf7-b398-1777a13217a0" xmlns:ns4="60046a71-04fc-499e-8a29-7da591b2bcb7" xmlns:ns5="57ebb52e-3d97-4c3c-998e-8095e0c555bc" targetNamespace="http://schemas.microsoft.com/office/2006/metadata/properties" ma:root="true" ma:fieldsID="7825fda743c1ff4ab50b965d4accd973" ns2:_="" ns3:_="" ns4:_="" ns5:_="">
    <xsd:import namespace="996f9e8b-7d99-457a-a762-afa66303a36d"/>
    <xsd:import namespace="0fcdc81d-464c-4cf7-b398-1777a13217a0"/>
    <xsd:import namespace="60046a71-04fc-499e-8a29-7da591b2bcb7"/>
    <xsd:import namespace="57ebb52e-3d97-4c3c-998e-8095e0c555bc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Location" minOccurs="0"/>
                <xsd:element ref="ns4:MediaServiceAutoKeyPoints" minOccurs="0"/>
                <xsd:element ref="ns4:MediaServiceKeyPoints" minOccurs="0"/>
                <xsd:element ref="ns5:SharedWithUsers" minOccurs="0"/>
                <xsd:element ref="ns5:SharedWithDetails" minOccurs="0"/>
                <xsd:element ref="ns4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6f9e8b-7d99-457a-a762-afa66303a36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8" nillable="true" ma:taxonomy="true" ma:internalName="lcf76f155ced4ddcb4097134ff3c332f" ma:taxonomyFieldName="MediaServiceImageTags" ma:displayName="Image Tags" ma:readOnly="false" ma:fieldId="{5cf76f15-5ced-4ddc-b409-7134ff3c332f}" ma:taxonomyMulti="true" ma:sspId="1fc46fd9-0a71-44c3-ba82-aaccec4c24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cdc81d-464c-4cf7-b398-1777a13217a0" elementFormDefault="qualified">
    <xsd:import namespace="http://schemas.microsoft.com/office/2006/documentManagement/types"/>
    <xsd:import namespace="http://schemas.microsoft.com/office/infopath/2007/PartnerControls"/>
    <xsd:element name="TaxCatchAll" ma:index="9" nillable="true" ma:displayName="Taxonomy Catch All Column" ma:hidden="true" ma:list="{1cdec974-c59c-4577-84db-8be9ab9329c4}" ma:internalName="TaxCatchAll" ma:showField="CatchAllData" ma:web="0fcdc81d-464c-4cf7-b398-1777a13217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046a71-04fc-499e-8a29-7da591b2bc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2" nillable="true" ma:displayName="Length (seconds)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ebb52e-3d97-4c3c-998e-8095e0c555bc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96f9e8b-7d99-457a-a762-afa66303a36d">
      <Terms xmlns="http://schemas.microsoft.com/office/infopath/2007/PartnerControls"/>
    </lcf76f155ced4ddcb4097134ff3c332f>
    <TaxCatchAll xmlns="0fcdc81d-464c-4cf7-b398-1777a13217a0" xsi:nil="true"/>
  </documentManagement>
</p:properties>
</file>

<file path=customXml/itemProps1.xml><?xml version="1.0" encoding="utf-8"?>
<ds:datastoreItem xmlns:ds="http://schemas.openxmlformats.org/officeDocument/2006/customXml" ds:itemID="{1896E3B9-CB80-43E3-8147-3920FA4D5644}"/>
</file>

<file path=customXml/itemProps2.xml><?xml version="1.0" encoding="utf-8"?>
<ds:datastoreItem xmlns:ds="http://schemas.openxmlformats.org/officeDocument/2006/customXml" ds:itemID="{A1540C2A-DE38-425E-B742-51B0F15029F3}"/>
</file>

<file path=customXml/itemProps3.xml><?xml version="1.0" encoding="utf-8"?>
<ds:datastoreItem xmlns:ds="http://schemas.openxmlformats.org/officeDocument/2006/customXml" ds:itemID="{3AF98A61-4403-436A-9C86-C0F5C21FCC4B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0</cp:revision>
  <dcterms:created xsi:type="dcterms:W3CDTF">2026-07-15T15:35:15Z</dcterms:created>
  <dcterms:modified xsi:type="dcterms:W3CDTF">2026-07-17T15:20:12Z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17200</vt:r8>
  </property>
  <property fmtid="{D5CDD505-2E9C-101B-9397-08002B2CF9AE}" pid="3" name="MediaServiceImageTags">
    <vt:lpwstr/>
  </property>
  <property fmtid="{D5CDD505-2E9C-101B-9397-08002B2CF9AE}" pid="4" name="ContentTypeId">
    <vt:lpwstr>0x0101002063442239F02840831034F7AD67E0F6</vt:lpwstr>
  </property>
</Properties>
</file>