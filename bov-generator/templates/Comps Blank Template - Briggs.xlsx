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ver" sheetId="1" state="visible" r:id="rId1"/>
    <sheet name="Index" sheetId="2" state="visible" r:id="rId2"/>
    <sheet name="On Market" sheetId="3" state="visible" r:id="rId3"/>
    <sheet name="Sold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\$#,##0"/>
    <numFmt numFmtId="165" formatCode="\$#,##0.00"/>
    <numFmt numFmtId="166" formatCode="mm/dd/yyyy"/>
    <numFmt numFmtId="167" formatCode="0.0"/>
    <numFmt numFmtId="168" formatCode="$#,##0"/>
    <numFmt numFmtId="169" formatCode="$#,##0.00"/>
    <numFmt numFmtId="170" formatCode="#,##0&quot; bps&quot;"/>
    <numFmt numFmtId="171" formatCode="#,##0.0"/>
    <numFmt numFmtId="172" formatCode="&quot;$&quot;#,##0"/>
    <numFmt numFmtId="173" formatCode="&quot;$&quot;#,##0.00"/>
    <numFmt numFmtId="174" formatCode="[$-409]mmm\-yy;@"/>
    <numFmt numFmtId="175" formatCode="0.0&quot; Years&quot;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 Light"/>
      <charset val="1"/>
      <family val="0"/>
      <b val="1"/>
      <color rgb="FF003DA5"/>
      <sz val="24"/>
    </font>
    <font>
      <name val="Calibri"/>
      <charset val="1"/>
      <family val="0"/>
      <color rgb="FF6A748C"/>
      <sz val="11"/>
    </font>
    <font>
      <name val="Calibri Light"/>
      <charset val="1"/>
      <family val="0"/>
      <b val="1"/>
      <color rgb="FF003DA5"/>
      <sz val="12"/>
    </font>
    <font>
      <name val="Calibri"/>
      <charset val="1"/>
      <family val="0"/>
      <color rgb="FF191919"/>
      <sz val="10"/>
    </font>
    <font>
      <name val="Calibri"/>
      <charset val="1"/>
      <family val="0"/>
      <color rgb="FF666666"/>
      <sz val="9"/>
    </font>
    <font>
      <name val="Calibri Light"/>
      <charset val="1"/>
      <family val="0"/>
      <b val="1"/>
      <color rgb="FF003DA5"/>
      <sz val="18"/>
    </font>
    <font>
      <name val="Calibri"/>
      <charset val="1"/>
      <family val="0"/>
      <color rgb="FF666666"/>
      <sz val="10"/>
    </font>
    <font>
      <name val="Calibri Light"/>
      <charset val="1"/>
      <family val="0"/>
      <b val="1"/>
      <color rgb="FFFFFFFF"/>
      <sz val="10"/>
    </font>
    <font>
      <name val="Calibri Light"/>
      <charset val="1"/>
      <family val="0"/>
      <b val="1"/>
      <color rgb="FF003DA5"/>
      <sz val="14"/>
    </font>
    <font>
      <name val="Calibri Light"/>
      <charset val="1"/>
      <family val="0"/>
      <b val="1"/>
      <color rgb="FFCCE4F5"/>
      <sz val="10"/>
    </font>
    <font>
      <name val="Calibri"/>
      <charset val="1"/>
      <family val="0"/>
      <i val="1"/>
      <color rgb="FF6A748C"/>
      <sz val="10"/>
    </font>
    <font>
      <name val="Calibri"/>
      <charset val="1"/>
      <family val="0"/>
      <b val="1"/>
      <color rgb="FF003DA5"/>
      <sz val="10"/>
    </font>
    <font>
      <name val="Calibri"/>
      <b val="1"/>
      <color rgb="FF191919"/>
      <sz val="10"/>
    </font>
    <font>
      <name val="Calibri"/>
      <sz val="9"/>
    </font>
    <font>
      <name val="Calibri"/>
      <b val="1"/>
      <sz val="9"/>
    </font>
  </fonts>
  <fills count="9">
    <fill>
      <patternFill/>
    </fill>
    <fill>
      <patternFill patternType="gray125"/>
    </fill>
    <fill>
      <patternFill patternType="solid">
        <fgColor rgb="FF003DA5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E0E8F4"/>
        <bgColor rgb="FFD9E2F3"/>
      </patternFill>
    </fill>
    <fill>
      <patternFill patternType="solid">
        <fgColor rgb="FFD9E2F3"/>
        <bgColor rgb="FFE0E8F4"/>
      </patternFill>
    </fill>
    <fill>
      <patternFill patternType="solid">
        <fgColor rgb="FFD6E4F5"/>
      </patternFill>
    </fill>
    <fill>
      <patternFill patternType="solid">
        <fgColor rgb="00F2F6FB"/>
      </patternFill>
    </fill>
    <fill>
      <patternFill patternType="solid">
        <fgColor rgb="00E0E8F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3DA5"/>
      </bottom>
      <diagonal/>
    </border>
    <border>
      <left/>
      <right/>
      <top style="medium">
        <color rgb="FF003DA5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3" fontId="14" fillId="3" borderId="0" applyAlignment="1" pivotButton="0" quotePrefix="0" xfId="0">
      <alignment horizontal="center" vertical="center"/>
    </xf>
    <xf numFmtId="49" fontId="7" fillId="3" borderId="0" applyAlignment="1" pivotButton="0" quotePrefix="0" xfId="0">
      <alignment horizontal="center" vertical="center"/>
    </xf>
    <xf numFmtId="49" fontId="7" fillId="3" borderId="0" applyAlignment="1" pivotButton="0" quotePrefix="0" xfId="0">
      <alignment horizontal="left" vertical="center"/>
    </xf>
    <xf numFmtId="3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left" vertical="center"/>
    </xf>
    <xf numFmtId="165" fontId="14" fillId="3" borderId="0" applyAlignment="1" pivotButton="0" quotePrefix="0" xfId="0">
      <alignment horizontal="left" vertical="center"/>
    </xf>
    <xf numFmtId="166" fontId="7" fillId="3" borderId="0" applyAlignment="1" pivotButton="0" quotePrefix="0" xfId="0">
      <alignment horizontal="left" vertical="center"/>
    </xf>
    <xf numFmtId="3" fontId="14" fillId="3" borderId="0" applyAlignment="1" pivotButton="0" quotePrefix="0" xfId="0">
      <alignment horizontal="left" vertical="center"/>
    </xf>
    <xf numFmtId="167" fontId="14" fillId="3" borderId="0" applyAlignment="1" pivotButton="0" quotePrefix="0" xfId="0">
      <alignment horizontal="left" vertical="center"/>
    </xf>
    <xf numFmtId="10" fontId="14" fillId="3" borderId="0" applyAlignment="1" pivotButton="0" quotePrefix="0" xfId="0">
      <alignment horizontal="left" vertical="center"/>
    </xf>
    <xf numFmtId="1" fontId="7" fillId="3" borderId="0" applyAlignment="1" pivotButton="0" quotePrefix="0" xfId="0">
      <alignment horizontal="left" vertical="center"/>
    </xf>
    <xf numFmtId="3" fontId="14" fillId="4" borderId="0" applyAlignment="1" pivotButton="0" quotePrefix="0" xfId="0">
      <alignment horizontal="center" vertical="center"/>
    </xf>
    <xf numFmtId="49" fontId="7" fillId="4" borderId="0" applyAlignment="1" pivotButton="0" quotePrefix="0" xfId="0">
      <alignment horizontal="center" vertical="center"/>
    </xf>
    <xf numFmtId="49" fontId="7" fillId="4" borderId="0" applyAlignment="1" pivotButton="0" quotePrefix="0" xfId="0">
      <alignment horizontal="left" vertical="center"/>
    </xf>
    <xf numFmtId="3" fontId="7" fillId="4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left" vertical="center"/>
    </xf>
    <xf numFmtId="165" fontId="14" fillId="4" borderId="0" applyAlignment="1" pivotButton="0" quotePrefix="0" xfId="0">
      <alignment horizontal="left" vertical="center"/>
    </xf>
    <xf numFmtId="166" fontId="7" fillId="4" borderId="0" applyAlignment="1" pivotButton="0" quotePrefix="0" xfId="0">
      <alignment horizontal="left" vertical="center"/>
    </xf>
    <xf numFmtId="3" fontId="14" fillId="4" borderId="0" applyAlignment="1" pivotButton="0" quotePrefix="0" xfId="0">
      <alignment horizontal="left" vertical="center"/>
    </xf>
    <xf numFmtId="167" fontId="14" fillId="4" borderId="0" applyAlignment="1" pivotButton="0" quotePrefix="0" xfId="0">
      <alignment horizontal="left" vertical="center"/>
    </xf>
    <xf numFmtId="10" fontId="14" fillId="4" borderId="0" applyAlignment="1" pivotButton="0" quotePrefix="0" xfId="0">
      <alignment horizontal="left" vertical="center"/>
    </xf>
    <xf numFmtId="1" fontId="7" fillId="4" borderId="0" applyAlignment="1" pivotButton="0" quotePrefix="0" xfId="0">
      <alignment horizontal="left" vertical="center"/>
    </xf>
    <xf numFmtId="0" fontId="15" fillId="5" borderId="2" applyAlignment="1" pivotButton="0" quotePrefix="0" xfId="0">
      <alignment horizontal="center" vertical="center"/>
    </xf>
    <xf numFmtId="49" fontId="15" fillId="5" borderId="2" applyAlignment="1" pivotButton="0" quotePrefix="0" xfId="0">
      <alignment horizontal="center" vertical="center"/>
    </xf>
    <xf numFmtId="3" fontId="15" fillId="5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center" vertical="center"/>
    </xf>
    <xf numFmtId="167" fontId="15" fillId="5" borderId="2" applyAlignment="1" pivotButton="0" quotePrefix="0" xfId="0">
      <alignment horizontal="center" vertical="center"/>
    </xf>
    <xf numFmtId="10" fontId="15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49" fontId="7" fillId="3" borderId="0" applyAlignment="1" pivotButton="0" quotePrefix="0" xfId="0">
      <alignment horizontal="center" vertical="center"/>
    </xf>
    <xf numFmtId="166" fontId="7" fillId="3" borderId="0" applyAlignment="1" pivotButton="0" quotePrefix="0" xfId="0">
      <alignment horizontal="center" vertical="center"/>
    </xf>
    <xf numFmtId="167" fontId="7" fillId="3" borderId="0" applyAlignment="1" pivotButton="0" quotePrefix="0" xfId="0">
      <alignment horizontal="center" vertical="center"/>
    </xf>
    <xf numFmtId="168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0" fontId="7" fillId="3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49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167" fontId="7" fillId="4" borderId="0" applyAlignment="1" pivotButton="0" quotePrefix="0" xfId="0">
      <alignment horizontal="center" vertical="center"/>
    </xf>
    <xf numFmtId="168" fontId="7" fillId="4" borderId="0" applyAlignment="1" pivotButton="0" quotePrefix="0" xfId="0">
      <alignment horizontal="center" vertical="center"/>
    </xf>
    <xf numFmtId="169" fontId="7" fillId="4" borderId="0" applyAlignment="1" pivotButton="0" quotePrefix="0" xfId="0">
      <alignment horizontal="center" vertical="center"/>
    </xf>
    <xf numFmtId="10" fontId="7" fillId="4" borderId="0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49" fontId="16" fillId="6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3" fontId="16" fillId="6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center" vertical="center"/>
    </xf>
    <xf numFmtId="167" fontId="16" fillId="6" borderId="2" applyAlignment="1" pivotButton="0" quotePrefix="0" xfId="0">
      <alignment horizontal="center" vertical="center"/>
    </xf>
    <xf numFmtId="168" fontId="16" fillId="6" borderId="2" applyAlignment="1" pivotButton="0" quotePrefix="0" xfId="0">
      <alignment horizontal="center" vertical="center"/>
    </xf>
    <xf numFmtId="169" fontId="16" fillId="6" borderId="2" applyAlignment="1" pivotButton="0" quotePrefix="0" xfId="0">
      <alignment horizontal="center" vertical="center"/>
    </xf>
    <xf numFmtId="10" fontId="16" fillId="6" borderId="2" applyAlignment="1" pivotButton="0" quotePrefix="0" xfId="0">
      <alignment horizontal="center" vertical="center"/>
    </xf>
    <xf numFmtId="0" fontId="0" fillId="6" borderId="0" pivotButton="0" quotePrefix="0" xfId="0"/>
    <xf numFmtId="1" fontId="16" fillId="6" borderId="0" applyAlignment="1" pivotButton="0" quotePrefix="0" xfId="0">
      <alignment horizontal="center" vertical="center"/>
    </xf>
    <xf numFmtId="170" fontId="7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70" fontId="7" fillId="4" borderId="0" applyAlignment="1" pivotButton="0" quotePrefix="0" xfId="0">
      <alignment horizontal="center" vertical="center"/>
    </xf>
    <xf numFmtId="170" fontId="16" fillId="6" borderId="2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1" fontId="17" fillId="0" borderId="3" applyAlignment="1" pivotButton="0" quotePrefix="0" xfId="0">
      <alignment horizontal="center" vertical="center"/>
    </xf>
    <xf numFmtId="49" fontId="17" fillId="0" borderId="3" applyAlignment="1" pivotButton="0" quotePrefix="0" xfId="0">
      <alignment horizontal="left" vertical="center"/>
    </xf>
    <xf numFmtId="49" fontId="17" fillId="0" borderId="3" applyAlignment="1" pivotButton="0" quotePrefix="0" xfId="0">
      <alignment horizontal="center" vertical="center"/>
    </xf>
    <xf numFmtId="171" fontId="17" fillId="0" borderId="3" applyAlignment="1" pivotButton="0" quotePrefix="0" xfId="0">
      <alignment horizontal="center" vertical="center"/>
    </xf>
    <xf numFmtId="3" fontId="17" fillId="0" borderId="3" applyAlignment="1" pivotButton="0" quotePrefix="0" xfId="0">
      <alignment horizontal="center" vertical="center"/>
    </xf>
    <xf numFmtId="172" fontId="17" fillId="0" borderId="3" applyAlignment="1" pivotButton="0" quotePrefix="0" xfId="0">
      <alignment horizontal="center" vertical="center"/>
    </xf>
    <xf numFmtId="173" fontId="17" fillId="0" borderId="3" applyAlignment="1" pivotButton="0" quotePrefix="0" xfId="0">
      <alignment horizontal="center" vertical="center"/>
    </xf>
    <xf numFmtId="174" fontId="17" fillId="0" borderId="3" applyAlignment="1" pivotButton="0" quotePrefix="0" xfId="0">
      <alignment horizontal="center" vertical="center"/>
    </xf>
    <xf numFmtId="175" fontId="17" fillId="0" borderId="3" applyAlignment="1" pivotButton="0" quotePrefix="0" xfId="0">
      <alignment horizontal="center" vertical="center"/>
    </xf>
    <xf numFmtId="10" fontId="17" fillId="0" borderId="3" applyAlignment="1" pivotButton="0" quotePrefix="0" xfId="0">
      <alignment horizontal="center" vertical="center"/>
    </xf>
    <xf numFmtId="1" fontId="17" fillId="7" borderId="3" applyAlignment="1" pivotButton="0" quotePrefix="0" xfId="0">
      <alignment horizontal="center" vertical="center"/>
    </xf>
    <xf numFmtId="49" fontId="17" fillId="7" borderId="3" applyAlignment="1" pivotButton="0" quotePrefix="0" xfId="0">
      <alignment horizontal="left" vertical="center"/>
    </xf>
    <xf numFmtId="49" fontId="17" fillId="7" borderId="3" applyAlignment="1" pivotButton="0" quotePrefix="0" xfId="0">
      <alignment horizontal="center" vertical="center"/>
    </xf>
    <xf numFmtId="171" fontId="17" fillId="7" borderId="3" applyAlignment="1" pivotButton="0" quotePrefix="0" xfId="0">
      <alignment horizontal="center" vertical="center"/>
    </xf>
    <xf numFmtId="3" fontId="17" fillId="7" borderId="3" applyAlignment="1" pivotButton="0" quotePrefix="0" xfId="0">
      <alignment horizontal="center" vertical="center"/>
    </xf>
    <xf numFmtId="172" fontId="17" fillId="7" borderId="3" applyAlignment="1" pivotButton="0" quotePrefix="0" xfId="0">
      <alignment horizontal="center" vertical="center"/>
    </xf>
    <xf numFmtId="173" fontId="17" fillId="7" borderId="3" applyAlignment="1" pivotButton="0" quotePrefix="0" xfId="0">
      <alignment horizontal="center" vertical="center"/>
    </xf>
    <xf numFmtId="174" fontId="17" fillId="7" borderId="3" applyAlignment="1" pivotButton="0" quotePrefix="0" xfId="0">
      <alignment horizontal="center" vertical="center"/>
    </xf>
    <xf numFmtId="175" fontId="17" fillId="7" borderId="3" applyAlignment="1" pivotButton="0" quotePrefix="0" xfId="0">
      <alignment horizontal="center" vertical="center"/>
    </xf>
    <xf numFmtId="10" fontId="17" fillId="7" borderId="3" applyAlignment="1" pivotButton="0" quotePrefix="0" xfId="0">
      <alignment horizontal="center" vertical="center"/>
    </xf>
    <xf numFmtId="1" fontId="18" fillId="8" borderId="3" applyAlignment="1" pivotButton="0" quotePrefix="0" xfId="0">
      <alignment horizontal="center" vertical="center"/>
    </xf>
    <xf numFmtId="49" fontId="18" fillId="8" borderId="3" applyAlignment="1" pivotButton="0" quotePrefix="0" xfId="0">
      <alignment horizontal="left" vertical="center"/>
    </xf>
    <xf numFmtId="49" fontId="18" fillId="8" borderId="3" applyAlignment="1" pivotButton="0" quotePrefix="0" xfId="0">
      <alignment horizontal="center" vertical="center"/>
    </xf>
    <xf numFmtId="171" fontId="18" fillId="8" borderId="3" applyAlignment="1" pivotButton="0" quotePrefix="0" xfId="0">
      <alignment horizontal="center" vertical="center"/>
    </xf>
    <xf numFmtId="3" fontId="18" fillId="8" borderId="3" applyAlignment="1" pivotButton="0" quotePrefix="0" xfId="0">
      <alignment horizontal="center" vertical="center"/>
    </xf>
    <xf numFmtId="172" fontId="18" fillId="8" borderId="3" applyAlignment="1" pivotButton="0" quotePrefix="0" xfId="0">
      <alignment horizontal="center" vertical="center"/>
    </xf>
    <xf numFmtId="173" fontId="18" fillId="8" borderId="3" applyAlignment="1" pivotButton="0" quotePrefix="0" xfId="0">
      <alignment horizontal="center" vertical="center"/>
    </xf>
    <xf numFmtId="174" fontId="18" fillId="8" borderId="3" applyAlignment="1" pivotButton="0" quotePrefix="0" xfId="0">
      <alignment horizontal="center" vertical="center"/>
    </xf>
    <xf numFmtId="175" fontId="18" fillId="8" borderId="3" applyAlignment="1" pivotButton="0" quotePrefix="0" xfId="0">
      <alignment horizontal="center" vertical="center"/>
    </xf>
    <xf numFmtId="10" fontId="18" fillId="8" borderId="3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66666"/>
      <rgbColor rgb="FF9999FF"/>
      <rgbColor rgb="FF993366"/>
      <rgbColor rgb="FFFFFFCC"/>
      <rgbColor rgb="FFE0E8F4"/>
      <rgbColor rgb="FF660066"/>
      <rgbColor rgb="FFFF8080"/>
      <rgbColor rgb="FF0066CC"/>
      <rgbColor rgb="FFCC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748C"/>
      <rgbColor rgb="FF969696"/>
      <rgbColor rgb="FF003DA5"/>
      <rgbColor rgb="FF339966"/>
      <rgbColor rgb="FF191919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90" customWidth="1" style="45" min="2" max="2"/>
  </cols>
  <sheetData>
    <row r="1" ht="12" customHeight="1" s="46"/>
    <row r="2" ht="36" customHeight="1" s="46">
      <c r="B2" s="47" t="inlineStr">
        <is>
          <t>Briggs CRE — Sales Comps</t>
        </is>
      </c>
    </row>
    <row r="3" ht="18" customHeight="1" s="46">
      <c r="B3" s="48" t="inlineStr">
        <is>
          <t>Northmarq Investment Sales  ·  Standard Template v3  ·  July 2026</t>
        </is>
      </c>
    </row>
    <row r="4" ht="6" customHeight="1" s="46">
      <c r="B4" s="49" t="n"/>
    </row>
    <row r="5" ht="7.5" customHeight="1" s="46"/>
    <row r="6" ht="21.75" customHeight="1" s="46">
      <c r="B6" s="50" t="inlineStr">
        <is>
          <t>ABOUT THIS TEMPLATE</t>
        </is>
      </c>
    </row>
    <row r="7" ht="15" customHeight="1" s="46">
      <c r="B7" s="51" t="inlineStr">
        <is>
          <t xml:space="preserve">    · Use this workbook to track and analyze comparable sales properties.</t>
        </is>
      </c>
    </row>
    <row r="8" ht="15" customHeight="1" s="46">
      <c r="B8" s="51" t="inlineStr">
        <is>
          <t xml:space="preserve">    · Two data sheets are included: On Market (active listings) and Sold (closed transactions).</t>
        </is>
      </c>
    </row>
    <row r="9" ht="15" customHeight="1" s="46">
      <c r="B9" s="51" t="inlineStr">
        <is>
          <t xml:space="preserve">    · Formula-protected columns calculate automatically — do not overwrite them.</t>
        </is>
      </c>
    </row>
    <row r="10" ht="7.5" customHeight="1" s="46"/>
    <row r="11" ht="21.75" customHeight="1" s="46">
      <c r="B11" s="50" t="inlineStr">
        <is>
          <t>TABS INCLUDED</t>
        </is>
      </c>
    </row>
    <row r="12" ht="15" customHeight="1" s="46">
      <c r="B12" s="51" t="inlineStr">
        <is>
          <t xml:space="preserve">    · Cover  —  This page — instructions and data entry rules</t>
        </is>
      </c>
    </row>
    <row r="13" ht="15" customHeight="1" s="46">
      <c r="B13" s="51" t="inlineStr">
        <is>
          <t xml:space="preserve">    · Index  —  Tab listing and workbook guide</t>
        </is>
      </c>
    </row>
    <row r="14" ht="15" customHeight="1" s="46">
      <c r="B14" s="51" t="inlineStr">
        <is>
          <t xml:space="preserve">    · On Market  —  Active listings — comparable properties currently for sale</t>
        </is>
      </c>
    </row>
    <row r="15" ht="15" customHeight="1" s="46">
      <c r="B15" s="51" t="inlineStr">
        <is>
          <t xml:space="preserve">    · Sold  —  Closed transactions — comparable sales with verified pricing</t>
        </is>
      </c>
    </row>
    <row r="16" ht="7.5" customHeight="1" s="46"/>
    <row r="17" ht="21.75" customHeight="1" s="46">
      <c r="B17" s="50" t="inlineStr">
        <is>
          <t>DATA ENTRY RULES</t>
        </is>
      </c>
    </row>
    <row r="18" ht="15" customHeight="1" s="46">
      <c r="B18" s="51" t="inlineStr">
        <is>
          <t xml:space="preserve">    · Rents and NOI: always enter as ANNUAL figures (monthly × 12). Never enter per-SF.</t>
        </is>
      </c>
    </row>
    <row r="19" ht="15" customHeight="1" s="46">
      <c r="B19" s="51" t="inlineStr">
        <is>
          <t xml:space="preserve">    · Dates: enter as true Excel dates formatted MM/DD/YYYY. Never enter as text strings.</t>
        </is>
      </c>
    </row>
    <row r="20" ht="15" customHeight="1" s="46">
      <c r="B20" s="51" t="inlineStr">
        <is>
          <t xml:space="preserve">    · If only month/year is known: use the 1st of the month as a placeholder and add a note.</t>
        </is>
      </c>
    </row>
    <row r="21" ht="15" customHeight="1" s="46">
      <c r="B21" s="51" t="inlineStr">
        <is>
          <t xml:space="preserve">    · Addresses: enter full street address. Do not abbreviate city or state.</t>
        </is>
      </c>
    </row>
    <row r="22" ht="15" customHeight="1" s="46">
      <c r="B22" s="51" t="inlineStr">
        <is>
          <t xml:space="preserve">    · Sort the Sold sheet by Sale Date descending after data entry.</t>
        </is>
      </c>
    </row>
    <row r="23" ht="15" customHeight="1" s="46">
      <c r="B23" s="51" t="inlineStr">
        <is>
          <t xml:space="preserve">    · Save outputs to: Projects/[PropertyName]/Output/[Address]_SalesComps_[YYYYMM].xlsx</t>
        </is>
      </c>
    </row>
    <row r="24" ht="7.5" customHeight="1" s="46"/>
    <row r="25" ht="21.75" customHeight="1" s="46">
      <c r="B25" s="50" t="inlineStr">
        <is>
          <t>FORMULA-PROTECTED COLUMNS — DO NOT OVERWRITE</t>
        </is>
      </c>
    </row>
    <row r="26" ht="15" customHeight="1" s="46">
      <c r="B26" s="51" t="inlineStr">
        <is>
          <t xml:space="preserve">    · PRICE/SF — List Price or Sale Price ÷ RBA. Auto-calculated. Do not overwrite.</t>
        </is>
      </c>
    </row>
    <row r="27" ht="15" customHeight="1" s="46">
      <c r="B27" s="51" t="inlineStr">
        <is>
          <t xml:space="preserve">    · DOM — Days on Market (Sale Date − List Date, or Today − List Date). Auto-calculated.</t>
        </is>
      </c>
    </row>
    <row r="28" ht="15" customHeight="1" s="46">
      <c r="B28" s="51" t="inlineStr">
        <is>
          <t xml:space="preserve">    · TERM (YRS) — Lease Expiration − Lease Start in years. Auto-calculated.</t>
        </is>
      </c>
    </row>
    <row r="29" ht="15" customHeight="1" s="46">
      <c r="B29" s="51" t="inlineStr">
        <is>
          <t xml:space="preserve">    · RENT/SF — Annual NOI ÷ RBA. Auto-calculated.</t>
        </is>
      </c>
    </row>
    <row r="30" ht="15" customHeight="1" s="46">
      <c r="B30" s="51" t="inlineStr">
        <is>
          <t xml:space="preserve">    · CAP RATE — Annual NOI ÷ Sale Price (Sold) or List Price (On Market). Auto-calculated.</t>
        </is>
      </c>
    </row>
    <row r="31" ht="15.75" customHeight="1" s="46"/>
    <row r="32" ht="13.5" customHeight="1" s="46">
      <c r="B32" s="52" t="inlineStr">
        <is>
          <t>Prepared by: Scott Briggs · Northmarq</t>
        </is>
      </c>
    </row>
    <row r="33" ht="13.5" customHeight="1" s="46">
      <c r="B33" s="52" t="inlineStr">
        <is>
          <t>Briggs CRE / Northmarq · Investment Sales · Standard Template v3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32" customWidth="1" style="45" min="2" max="2"/>
    <col width="55" customWidth="1" style="45" min="3" max="3"/>
    <col width="20" customWidth="1" style="45" min="4" max="4"/>
  </cols>
  <sheetData>
    <row r="1" ht="12" customHeight="1" s="46"/>
    <row r="2" ht="30" customHeight="1" s="46">
      <c r="B2" s="53" t="inlineStr">
        <is>
          <t>Briggs CRE — Sales Comps — Index</t>
        </is>
      </c>
    </row>
    <row r="3" ht="13.5" customHeight="1" s="46">
      <c r="B3" s="54" t="inlineStr">
        <is>
          <t>Tab listing and description of contents</t>
        </is>
      </c>
    </row>
    <row r="4" ht="7.5" customHeight="1" s="46"/>
    <row r="5" ht="21.75" customHeight="1" s="46">
      <c r="B5" s="55" t="inlineStr">
        <is>
          <t>TAB NAME</t>
        </is>
      </c>
      <c r="C5" s="55" t="inlineStr">
        <is>
          <t>DESCRIPTION</t>
        </is>
      </c>
      <c r="D5" s="55" t="inlineStr">
        <is>
          <t>PURPOSE</t>
        </is>
      </c>
    </row>
    <row r="6" ht="18" customHeight="1" s="46">
      <c r="B6" s="56" t="inlineStr">
        <is>
          <t>Cover</t>
        </is>
      </c>
      <c r="C6" s="56" t="inlineStr">
        <is>
          <t>Instructions and data entry rules</t>
        </is>
      </c>
      <c r="D6" s="56" t="inlineStr">
        <is>
          <t>Reference</t>
        </is>
      </c>
    </row>
    <row r="7" ht="18" customHeight="1" s="46">
      <c r="B7" s="57" t="inlineStr">
        <is>
          <t>Index</t>
        </is>
      </c>
      <c r="C7" s="57" t="inlineStr">
        <is>
          <t>Tab listing</t>
        </is>
      </c>
      <c r="D7" s="57" t="inlineStr">
        <is>
          <t>Navigation</t>
        </is>
      </c>
    </row>
    <row r="8" ht="18" customHeight="1" s="46">
      <c r="B8" s="56" t="inlineStr">
        <is>
          <t>On Market</t>
        </is>
      </c>
      <c r="C8" s="56" t="inlineStr">
        <is>
          <t>Active comparable listings — enter CoStar data</t>
        </is>
      </c>
      <c r="D8" s="56" t="inlineStr">
        <is>
          <t>Input / Analysis</t>
        </is>
      </c>
    </row>
    <row r="9" ht="18" customHeight="1" s="46">
      <c r="B9" s="57" t="inlineStr">
        <is>
          <t>Sold</t>
        </is>
      </c>
      <c r="C9" s="57" t="inlineStr">
        <is>
          <t>Closed comparable sales — enter CoStar data</t>
        </is>
      </c>
      <c r="D9" s="57" t="inlineStr">
        <is>
          <t>Input / Analysis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3DA5"/>
    <outlinePr summaryBelow="1" summaryRight="1"/>
    <pageSetUpPr fitToPage="0"/>
  </sheetPr>
  <dimension ref="A2:W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45" min="1" max="1"/>
    <col width="34" customWidth="1" style="45" min="2" max="2"/>
    <col width="30" customWidth="1" style="45" min="3" max="3"/>
    <col width="15" customWidth="1" style="45" min="4" max="4"/>
    <col width="7" customWidth="1" style="45" min="5" max="5"/>
    <col width="6" customWidth="1" style="45" min="6" max="6"/>
    <col width="7" customWidth="1" style="45" min="7" max="7"/>
    <col width="8" customWidth="1" style="45" min="8" max="8"/>
    <col width="8" customWidth="1" style="45" min="9" max="9"/>
    <col width="10" customWidth="1" style="45" min="10" max="10"/>
    <col width="9" customWidth="1" style="45" min="11" max="11"/>
    <col width="9" customWidth="1" style="45" min="12" max="12"/>
    <col width="8" customWidth="1" style="45" min="13" max="14"/>
    <col width="12" customWidth="1" style="46" min="14" max="14"/>
    <col width="14" customWidth="1" style="45" min="15" max="15"/>
    <col width="9" customWidth="1" style="45" min="16" max="16"/>
    <col width="17" customWidth="1" style="45" min="17" max="19"/>
    <col width="15" customWidth="1" style="46" min="18" max="18"/>
    <col width="13" customWidth="1" style="46" min="19" max="19"/>
    <col width="12" customWidth="1" style="45" min="20" max="20"/>
    <col width="10" customWidth="1" style="45" min="21" max="21"/>
    <col width="11" customWidth="1" style="46" min="22" max="22"/>
    <col width="11" customWidth="1" style="46" min="23" max="23"/>
    <col width="7" customWidth="1" style="46" min="24" max="24"/>
    <col width="8" customWidth="1" style="46" min="25" max="25"/>
    <col width="35" customWidth="1" style="46" min="26" max="26"/>
  </cols>
  <sheetData>
    <row r="1" ht="12" customHeight="1" s="46"/>
    <row r="2" ht="25.5" customHeight="1" s="46">
      <c r="A2" s="58" t="inlineStr">
        <is>
          <t>Briggs CRE — Sales Comps · On Market</t>
        </is>
      </c>
    </row>
    <row r="3" ht="13.5" customHeight="1" s="46">
      <c r="A3" s="52" t="inlineStr">
        <is>
          <t>Source: CoStar / Salesforce · Shaded columns are formula-protected — do not overwrite · TERM = remaining term (as of today)</t>
        </is>
      </c>
    </row>
    <row r="4" ht="7.5" customHeight="1" s="46"/>
    <row r="5" ht="21.75" customHeight="1" s="46">
      <c r="A5" s="92" t="inlineStr">
        <is>
          <t>#</t>
        </is>
      </c>
      <c r="B5" s="92" t="inlineStr">
        <is>
          <t>TENANT</t>
        </is>
      </c>
      <c r="C5" s="92" t="inlineStr">
        <is>
          <t>ADDRESS</t>
        </is>
      </c>
      <c r="D5" s="92" t="inlineStr">
        <is>
          <t>CITY</t>
        </is>
      </c>
      <c r="E5" s="92" t="inlineStr">
        <is>
          <t>STATE</t>
        </is>
      </c>
      <c r="F5" s="92" t="inlineStr">
        <is>
          <t>LAND</t>
        </is>
      </c>
      <c r="G5" s="92" t="inlineStr">
        <is>
          <t>BUILT</t>
        </is>
      </c>
      <c r="H5" s="92" t="inlineStr">
        <is>
          <t>RBA</t>
        </is>
      </c>
      <c r="I5" s="92" t="inlineStr">
        <is>
          <t>RENT</t>
        </is>
      </c>
      <c r="J5" s="92" t="inlineStr">
        <is>
          <t>RENT/SF</t>
        </is>
      </c>
      <c r="K5" s="92" t="inlineStr">
        <is>
          <t>EXP</t>
        </is>
      </c>
      <c r="L5" s="92" t="inlineStr">
        <is>
          <t>TERM</t>
        </is>
      </c>
      <c r="M5" s="92" t="inlineStr">
        <is>
          <t>EXPENSES</t>
        </is>
      </c>
      <c r="N5" s="92" t="inlineStr">
        <is>
          <t>BUMPS</t>
        </is>
      </c>
      <c r="O5" s="92" t="inlineStr">
        <is>
          <t>OPTIONS</t>
        </is>
      </c>
      <c r="P5" s="92" t="inlineStr">
        <is>
          <t>INITIAL PRICE</t>
        </is>
      </c>
      <c r="Q5" s="92" t="inlineStr">
        <is>
          <t>INITIAL CAP</t>
        </is>
      </c>
      <c r="R5" s="92" t="inlineStr">
        <is>
          <t>LAST PRICE</t>
        </is>
      </c>
      <c r="S5" s="92" t="inlineStr">
        <is>
          <t>LAST CAP</t>
        </is>
      </c>
      <c r="T5" s="92" t="inlineStr">
        <is>
          <t>PRICE CHG</t>
        </is>
      </c>
      <c r="U5" s="92" t="inlineStr">
        <is>
          <t>ON MARKET</t>
        </is>
      </c>
      <c r="V5" s="92" t="inlineStr">
        <is>
          <t>DOM</t>
        </is>
      </c>
      <c r="W5" s="92" t="inlineStr">
        <is>
          <t>STATUS</t>
        </is>
      </c>
    </row>
    <row r="6" ht="15" customHeight="1" s="46">
      <c r="A6" s="93">
        <f>IFERROR(ROW()-5,"")</f>
        <v/>
      </c>
      <c r="B6" s="94" t="n"/>
      <c r="C6" s="94" t="n"/>
      <c r="D6" s="95" t="n"/>
      <c r="E6" s="95" t="n"/>
      <c r="F6" s="96" t="n"/>
      <c r="G6" s="93" t="n"/>
      <c r="H6" s="97" t="n"/>
      <c r="I6" s="98" t="n"/>
      <c r="J6" s="99">
        <f>IF($I6&gt;0,$I6/$H6," ")</f>
        <v/>
      </c>
      <c r="K6" s="100" t="n"/>
      <c r="L6" s="101">
        <f>IF($K6&gt;0,($K6-TODAY())/365," ")</f>
        <v/>
      </c>
      <c r="M6" s="95" t="n"/>
      <c r="N6" s="95" t="n"/>
      <c r="O6" s="95" t="n"/>
      <c r="P6" s="98" t="n"/>
      <c r="Q6" s="102">
        <f>IF($P6&gt;0,IF($I6&gt;0,$I6/$P6," ")," ")</f>
        <v/>
      </c>
      <c r="R6" s="98" t="n"/>
      <c r="S6" s="102">
        <f>IF($R6&gt;0,IF($I6&gt;0,$I6/$R6," ")," ")</f>
        <v/>
      </c>
      <c r="T6" s="95">
        <f>IF($R6&gt;0,IF($P6&gt;0,IF($R6=$P6,"No","Yes")," ")," ")</f>
        <v/>
      </c>
      <c r="U6" s="100" t="n"/>
      <c r="V6" s="97">
        <f>IF($U6&gt;0,TODAY()-$U6," ")</f>
        <v/>
      </c>
      <c r="W6" s="95" t="n"/>
    </row>
    <row r="7" ht="15" customHeight="1" s="46">
      <c r="A7" s="103">
        <f>IFERROR(ROW()-5,"")</f>
        <v/>
      </c>
      <c r="B7" s="104" t="n"/>
      <c r="C7" s="104" t="n"/>
      <c r="D7" s="105" t="n"/>
      <c r="E7" s="105" t="n"/>
      <c r="F7" s="106" t="n"/>
      <c r="G7" s="103" t="n"/>
      <c r="H7" s="107" t="n"/>
      <c r="I7" s="108" t="n"/>
      <c r="J7" s="109">
        <f>IF($I7&gt;0,$I7/$H7," ")</f>
        <v/>
      </c>
      <c r="K7" s="110" t="n"/>
      <c r="L7" s="111">
        <f>IF($K7&gt;0,($K7-TODAY())/365," ")</f>
        <v/>
      </c>
      <c r="M7" s="105" t="n"/>
      <c r="N7" s="105" t="n"/>
      <c r="O7" s="105" t="n"/>
      <c r="P7" s="108" t="n"/>
      <c r="Q7" s="112">
        <f>IF($P7&gt;0,IF($I7&gt;0,$I7/$P7," ")," ")</f>
        <v/>
      </c>
      <c r="R7" s="108" t="n"/>
      <c r="S7" s="112">
        <f>IF($R7&gt;0,IF($I7&gt;0,$I7/$R7," ")," ")</f>
        <v/>
      </c>
      <c r="T7" s="105">
        <f>IF($R7&gt;0,IF($P7&gt;0,IF($R7=$P7,"No","Yes")," ")," ")</f>
        <v/>
      </c>
      <c r="U7" s="110" t="n"/>
      <c r="V7" s="107">
        <f>IF($U7&gt;0,TODAY()-$U7," ")</f>
        <v/>
      </c>
      <c r="W7" s="105" t="n"/>
    </row>
    <row r="8" ht="15" customHeight="1" s="46">
      <c r="A8" s="93">
        <f>IFERROR(ROW()-5,"")</f>
        <v/>
      </c>
      <c r="B8" s="94" t="n"/>
      <c r="C8" s="94" t="n"/>
      <c r="D8" s="95" t="n"/>
      <c r="E8" s="95" t="n"/>
      <c r="F8" s="96" t="n"/>
      <c r="G8" s="93" t="n"/>
      <c r="H8" s="97" t="n"/>
      <c r="I8" s="98" t="n"/>
      <c r="J8" s="99">
        <f>IF($I8&gt;0,$I8/$H8," ")</f>
        <v/>
      </c>
      <c r="K8" s="100" t="n"/>
      <c r="L8" s="101">
        <f>IF($K8&gt;0,($K8-TODAY())/365," ")</f>
        <v/>
      </c>
      <c r="M8" s="95" t="n"/>
      <c r="N8" s="95" t="n"/>
      <c r="O8" s="95" t="n"/>
      <c r="P8" s="98" t="n"/>
      <c r="Q8" s="102">
        <f>IF($P8&gt;0,IF($I8&gt;0,$I8/$P8," ")," ")</f>
        <v/>
      </c>
      <c r="R8" s="98" t="n"/>
      <c r="S8" s="102">
        <f>IF($R8&gt;0,IF($I8&gt;0,$I8/$R8," ")," ")</f>
        <v/>
      </c>
      <c r="T8" s="95">
        <f>IF($R8&gt;0,IF($P8&gt;0,IF($R8=$P8,"No","Yes")," ")," ")</f>
        <v/>
      </c>
      <c r="U8" s="100" t="n"/>
      <c r="V8" s="97">
        <f>IF($U8&gt;0,TODAY()-$U8," ")</f>
        <v/>
      </c>
      <c r="W8" s="95" t="n"/>
    </row>
    <row r="9" ht="15" customHeight="1" s="46">
      <c r="A9" s="103">
        <f>IFERROR(ROW()-5,"")</f>
        <v/>
      </c>
      <c r="B9" s="104" t="n"/>
      <c r="C9" s="104" t="n"/>
      <c r="D9" s="105" t="n"/>
      <c r="E9" s="105" t="n"/>
      <c r="F9" s="106" t="n"/>
      <c r="G9" s="103" t="n"/>
      <c r="H9" s="107" t="n"/>
      <c r="I9" s="108" t="n"/>
      <c r="J9" s="109">
        <f>IF($I9&gt;0,$I9/$H9," ")</f>
        <v/>
      </c>
      <c r="K9" s="110" t="n"/>
      <c r="L9" s="111">
        <f>IF($K9&gt;0,($K9-TODAY())/365," ")</f>
        <v/>
      </c>
      <c r="M9" s="105" t="n"/>
      <c r="N9" s="105" t="n"/>
      <c r="O9" s="105" t="n"/>
      <c r="P9" s="108" t="n"/>
      <c r="Q9" s="112">
        <f>IF($P9&gt;0,IF($I9&gt;0,$I9/$P9," ")," ")</f>
        <v/>
      </c>
      <c r="R9" s="108" t="n"/>
      <c r="S9" s="112">
        <f>IF($R9&gt;0,IF($I9&gt;0,$I9/$R9," ")," ")</f>
        <v/>
      </c>
      <c r="T9" s="105">
        <f>IF($R9&gt;0,IF($P9&gt;0,IF($R9=$P9,"No","Yes")," ")," ")</f>
        <v/>
      </c>
      <c r="U9" s="110" t="n"/>
      <c r="V9" s="107">
        <f>IF($U9&gt;0,TODAY()-$U9," ")</f>
        <v/>
      </c>
      <c r="W9" s="105" t="n"/>
    </row>
    <row r="10" ht="15" customHeight="1" s="46">
      <c r="A10" s="93">
        <f>IFERROR(ROW()-5,"")</f>
        <v/>
      </c>
      <c r="B10" s="94" t="n"/>
      <c r="C10" s="94" t="n"/>
      <c r="D10" s="95" t="n"/>
      <c r="E10" s="95" t="n"/>
      <c r="F10" s="96" t="n"/>
      <c r="G10" s="93" t="n"/>
      <c r="H10" s="97" t="n"/>
      <c r="I10" s="98" t="n"/>
      <c r="J10" s="99">
        <f>IF($I10&gt;0,$I10/$H10," ")</f>
        <v/>
      </c>
      <c r="K10" s="100" t="n"/>
      <c r="L10" s="101">
        <f>IF($K10&gt;0,($K10-TODAY())/365," ")</f>
        <v/>
      </c>
      <c r="M10" s="95" t="n"/>
      <c r="N10" s="95" t="n"/>
      <c r="O10" s="95" t="n"/>
      <c r="P10" s="98" t="n"/>
      <c r="Q10" s="102">
        <f>IF($P10&gt;0,IF($I10&gt;0,$I10/$P10," ")," ")</f>
        <v/>
      </c>
      <c r="R10" s="98" t="n"/>
      <c r="S10" s="102">
        <f>IF($R10&gt;0,IF($I10&gt;0,$I10/$R10," ")," ")</f>
        <v/>
      </c>
      <c r="T10" s="95">
        <f>IF($R10&gt;0,IF($P10&gt;0,IF($R10=$P10,"No","Yes")," ")," ")</f>
        <v/>
      </c>
      <c r="U10" s="100" t="n"/>
      <c r="V10" s="97">
        <f>IF($U10&gt;0,TODAY()-$U10," ")</f>
        <v/>
      </c>
      <c r="W10" s="95" t="n"/>
    </row>
    <row r="11" ht="15" customHeight="1" s="46">
      <c r="A11" s="103">
        <f>IFERROR(ROW()-5,"")</f>
        <v/>
      </c>
      <c r="B11" s="104" t="n"/>
      <c r="C11" s="104" t="n"/>
      <c r="D11" s="105" t="n"/>
      <c r="E11" s="105" t="n"/>
      <c r="F11" s="106" t="n"/>
      <c r="G11" s="103" t="n"/>
      <c r="H11" s="107" t="n"/>
      <c r="I11" s="108" t="n"/>
      <c r="J11" s="109">
        <f>IF($I11&gt;0,$I11/$H11," ")</f>
        <v/>
      </c>
      <c r="K11" s="110" t="n"/>
      <c r="L11" s="111">
        <f>IF($K11&gt;0,($K11-TODAY())/365," ")</f>
        <v/>
      </c>
      <c r="M11" s="105" t="n"/>
      <c r="N11" s="105" t="n"/>
      <c r="O11" s="105" t="n"/>
      <c r="P11" s="108" t="n"/>
      <c r="Q11" s="112">
        <f>IF($P11&gt;0,IF($I11&gt;0,$I11/$P11," ")," ")</f>
        <v/>
      </c>
      <c r="R11" s="108" t="n"/>
      <c r="S11" s="112">
        <f>IF($R11&gt;0,IF($I11&gt;0,$I11/$R11," ")," ")</f>
        <v/>
      </c>
      <c r="T11" s="105">
        <f>IF($R11&gt;0,IF($P11&gt;0,IF($R11=$P11,"No","Yes")," ")," ")</f>
        <v/>
      </c>
      <c r="U11" s="110" t="n"/>
      <c r="V11" s="107">
        <f>IF($U11&gt;0,TODAY()-$U11," ")</f>
        <v/>
      </c>
      <c r="W11" s="105" t="n"/>
    </row>
    <row r="12" ht="15" customHeight="1" s="46">
      <c r="A12" s="93">
        <f>IFERROR(ROW()-5,"")</f>
        <v/>
      </c>
      <c r="B12" s="94" t="n"/>
      <c r="C12" s="94" t="n"/>
      <c r="D12" s="95" t="n"/>
      <c r="E12" s="95" t="n"/>
      <c r="F12" s="96" t="n"/>
      <c r="G12" s="93" t="n"/>
      <c r="H12" s="97" t="n"/>
      <c r="I12" s="98" t="n"/>
      <c r="J12" s="99">
        <f>IF($I12&gt;0,$I12/$H12," ")</f>
        <v/>
      </c>
      <c r="K12" s="100" t="n"/>
      <c r="L12" s="101">
        <f>IF($K12&gt;0,($K12-TODAY())/365," ")</f>
        <v/>
      </c>
      <c r="M12" s="95" t="n"/>
      <c r="N12" s="95" t="n"/>
      <c r="O12" s="95" t="n"/>
      <c r="P12" s="98" t="n"/>
      <c r="Q12" s="102">
        <f>IF($P12&gt;0,IF($I12&gt;0,$I12/$P12," ")," ")</f>
        <v/>
      </c>
      <c r="R12" s="98" t="n"/>
      <c r="S12" s="102">
        <f>IF($R12&gt;0,IF($I12&gt;0,$I12/$R12," ")," ")</f>
        <v/>
      </c>
      <c r="T12" s="95">
        <f>IF($R12&gt;0,IF($P12&gt;0,IF($R12=$P12,"No","Yes")," ")," ")</f>
        <v/>
      </c>
      <c r="U12" s="100" t="n"/>
      <c r="V12" s="97">
        <f>IF($U12&gt;0,TODAY()-$U12," ")</f>
        <v/>
      </c>
      <c r="W12" s="95" t="n"/>
    </row>
    <row r="13" ht="15" customHeight="1" s="46">
      <c r="A13" s="103">
        <f>IFERROR(ROW()-5,"")</f>
        <v/>
      </c>
      <c r="B13" s="104" t="n"/>
      <c r="C13" s="104" t="n"/>
      <c r="D13" s="105" t="n"/>
      <c r="E13" s="105" t="n"/>
      <c r="F13" s="106" t="n"/>
      <c r="G13" s="103" t="n"/>
      <c r="H13" s="107" t="n"/>
      <c r="I13" s="108" t="n"/>
      <c r="J13" s="109">
        <f>IF($I13&gt;0,$I13/$H13," ")</f>
        <v/>
      </c>
      <c r="K13" s="110" t="n"/>
      <c r="L13" s="111">
        <f>IF($K13&gt;0,($K13-TODAY())/365," ")</f>
        <v/>
      </c>
      <c r="M13" s="105" t="n"/>
      <c r="N13" s="105" t="n"/>
      <c r="O13" s="105" t="n"/>
      <c r="P13" s="108" t="n"/>
      <c r="Q13" s="112">
        <f>IF($P13&gt;0,IF($I13&gt;0,$I13/$P13," ")," ")</f>
        <v/>
      </c>
      <c r="R13" s="108" t="n"/>
      <c r="S13" s="112">
        <f>IF($R13&gt;0,IF($I13&gt;0,$I13/$R13," ")," ")</f>
        <v/>
      </c>
      <c r="T13" s="105">
        <f>IF($R13&gt;0,IF($P13&gt;0,IF($R13=$P13,"No","Yes")," ")," ")</f>
        <v/>
      </c>
      <c r="U13" s="110" t="n"/>
      <c r="V13" s="107">
        <f>IF($U13&gt;0,TODAY()-$U13," ")</f>
        <v/>
      </c>
      <c r="W13" s="105" t="n"/>
    </row>
    <row r="14" ht="15" customHeight="1" s="46">
      <c r="A14" s="93">
        <f>IFERROR(ROW()-5,"")</f>
        <v/>
      </c>
      <c r="B14" s="94" t="n"/>
      <c r="C14" s="94" t="n"/>
      <c r="D14" s="95" t="n"/>
      <c r="E14" s="95" t="n"/>
      <c r="F14" s="96" t="n"/>
      <c r="G14" s="93" t="n"/>
      <c r="H14" s="97" t="n"/>
      <c r="I14" s="98" t="n"/>
      <c r="J14" s="99">
        <f>IF($I14&gt;0,$I14/$H14," ")</f>
        <v/>
      </c>
      <c r="K14" s="100" t="n"/>
      <c r="L14" s="101">
        <f>IF($K14&gt;0,($K14-TODAY())/365," ")</f>
        <v/>
      </c>
      <c r="M14" s="95" t="n"/>
      <c r="N14" s="95" t="n"/>
      <c r="O14" s="95" t="n"/>
      <c r="P14" s="98" t="n"/>
      <c r="Q14" s="102">
        <f>IF($P14&gt;0,IF($I14&gt;0,$I14/$P14," ")," ")</f>
        <v/>
      </c>
      <c r="R14" s="98" t="n"/>
      <c r="S14" s="102">
        <f>IF($R14&gt;0,IF($I14&gt;0,$I14/$R14," ")," ")</f>
        <v/>
      </c>
      <c r="T14" s="95">
        <f>IF($R14&gt;0,IF($P14&gt;0,IF($R14=$P14,"No","Yes")," ")," ")</f>
        <v/>
      </c>
      <c r="U14" s="100" t="n"/>
      <c r="V14" s="97">
        <f>IF($U14&gt;0,TODAY()-$U14," ")</f>
        <v/>
      </c>
      <c r="W14" s="95" t="n"/>
    </row>
    <row r="15" ht="15" customHeight="1" s="46">
      <c r="A15" s="103">
        <f>IFERROR(ROW()-5,"")</f>
        <v/>
      </c>
      <c r="B15" s="104" t="n"/>
      <c r="C15" s="104" t="n"/>
      <c r="D15" s="105" t="n"/>
      <c r="E15" s="105" t="n"/>
      <c r="F15" s="106" t="n"/>
      <c r="G15" s="103" t="n"/>
      <c r="H15" s="107" t="n"/>
      <c r="I15" s="108" t="n"/>
      <c r="J15" s="109">
        <f>IF($I15&gt;0,$I15/$H15," ")</f>
        <v/>
      </c>
      <c r="K15" s="110" t="n"/>
      <c r="L15" s="111">
        <f>IF($K15&gt;0,($K15-TODAY())/365," ")</f>
        <v/>
      </c>
      <c r="M15" s="105" t="n"/>
      <c r="N15" s="105" t="n"/>
      <c r="O15" s="105" t="n"/>
      <c r="P15" s="108" t="n"/>
      <c r="Q15" s="112">
        <f>IF($P15&gt;0,IF($I15&gt;0,$I15/$P15," ")," ")</f>
        <v/>
      </c>
      <c r="R15" s="108" t="n"/>
      <c r="S15" s="112">
        <f>IF($R15&gt;0,IF($I15&gt;0,$I15/$R15," ")," ")</f>
        <v/>
      </c>
      <c r="T15" s="105">
        <f>IF($R15&gt;0,IF($P15&gt;0,IF($R15=$P15,"No","Yes")," ")," ")</f>
        <v/>
      </c>
      <c r="U15" s="110" t="n"/>
      <c r="V15" s="107">
        <f>IF($U15&gt;0,TODAY()-$U15," ")</f>
        <v/>
      </c>
      <c r="W15" s="105" t="n"/>
    </row>
    <row r="16" ht="15" customHeight="1" s="46">
      <c r="A16" s="93">
        <f>IFERROR(ROW()-5,"")</f>
        <v/>
      </c>
      <c r="B16" s="94" t="n"/>
      <c r="C16" s="94" t="n"/>
      <c r="D16" s="95" t="n"/>
      <c r="E16" s="95" t="n"/>
      <c r="F16" s="96" t="n"/>
      <c r="G16" s="93" t="n"/>
      <c r="H16" s="97" t="n"/>
      <c r="I16" s="98" t="n"/>
      <c r="J16" s="99">
        <f>IF($I16&gt;0,$I16/$H16," ")</f>
        <v/>
      </c>
      <c r="K16" s="100" t="n"/>
      <c r="L16" s="101">
        <f>IF($K16&gt;0,($K16-TODAY())/365," ")</f>
        <v/>
      </c>
      <c r="M16" s="95" t="n"/>
      <c r="N16" s="95" t="n"/>
      <c r="O16" s="95" t="n"/>
      <c r="P16" s="98" t="n"/>
      <c r="Q16" s="102">
        <f>IF($P16&gt;0,IF($I16&gt;0,$I16/$P16," ")," ")</f>
        <v/>
      </c>
      <c r="R16" s="98" t="n"/>
      <c r="S16" s="102">
        <f>IF($R16&gt;0,IF($I16&gt;0,$I16/$R16," ")," ")</f>
        <v/>
      </c>
      <c r="T16" s="95">
        <f>IF($R16&gt;0,IF($P16&gt;0,IF($R16=$P16,"No","Yes")," ")," ")</f>
        <v/>
      </c>
      <c r="U16" s="100" t="n"/>
      <c r="V16" s="97">
        <f>IF($U16&gt;0,TODAY()-$U16," ")</f>
        <v/>
      </c>
      <c r="W16" s="95" t="n"/>
    </row>
    <row r="17" ht="15" customHeight="1" s="46">
      <c r="A17" s="103">
        <f>IFERROR(ROW()-5,"")</f>
        <v/>
      </c>
      <c r="B17" s="104" t="n"/>
      <c r="C17" s="104" t="n"/>
      <c r="D17" s="105" t="n"/>
      <c r="E17" s="105" t="n"/>
      <c r="F17" s="106" t="n"/>
      <c r="G17" s="103" t="n"/>
      <c r="H17" s="107" t="n"/>
      <c r="I17" s="108" t="n"/>
      <c r="J17" s="109">
        <f>IF($I17&gt;0,$I17/$H17," ")</f>
        <v/>
      </c>
      <c r="K17" s="110" t="n"/>
      <c r="L17" s="111">
        <f>IF($K17&gt;0,($K17-TODAY())/365," ")</f>
        <v/>
      </c>
      <c r="M17" s="105" t="n"/>
      <c r="N17" s="105" t="n"/>
      <c r="O17" s="105" t="n"/>
      <c r="P17" s="108" t="n"/>
      <c r="Q17" s="112">
        <f>IF($P17&gt;0,IF($I17&gt;0,$I17/$P17," ")," ")</f>
        <v/>
      </c>
      <c r="R17" s="108" t="n"/>
      <c r="S17" s="112">
        <f>IF($R17&gt;0,IF($I17&gt;0,$I17/$R17," ")," ")</f>
        <v/>
      </c>
      <c r="T17" s="105">
        <f>IF($R17&gt;0,IF($P17&gt;0,IF($R17=$P17,"No","Yes")," ")," ")</f>
        <v/>
      </c>
      <c r="U17" s="110" t="n"/>
      <c r="V17" s="107">
        <f>IF($U17&gt;0,TODAY()-$U17," ")</f>
        <v/>
      </c>
      <c r="W17" s="105" t="n"/>
    </row>
    <row r="18" ht="15" customHeight="1" s="46">
      <c r="A18" s="93">
        <f>IFERROR(ROW()-5,"")</f>
        <v/>
      </c>
      <c r="B18" s="94" t="n"/>
      <c r="C18" s="94" t="n"/>
      <c r="D18" s="95" t="n"/>
      <c r="E18" s="95" t="n"/>
      <c r="F18" s="96" t="n"/>
      <c r="G18" s="93" t="n"/>
      <c r="H18" s="97" t="n"/>
      <c r="I18" s="98" t="n"/>
      <c r="J18" s="99">
        <f>IF($I18&gt;0,$I18/$H18," ")</f>
        <v/>
      </c>
      <c r="K18" s="100" t="n"/>
      <c r="L18" s="101">
        <f>IF($K18&gt;0,($K18-TODAY())/365," ")</f>
        <v/>
      </c>
      <c r="M18" s="95" t="n"/>
      <c r="N18" s="95" t="n"/>
      <c r="O18" s="95" t="n"/>
      <c r="P18" s="98" t="n"/>
      <c r="Q18" s="102">
        <f>IF($P18&gt;0,IF($I18&gt;0,$I18/$P18," ")," ")</f>
        <v/>
      </c>
      <c r="R18" s="98" t="n"/>
      <c r="S18" s="102">
        <f>IF($R18&gt;0,IF($I18&gt;0,$I18/$R18," ")," ")</f>
        <v/>
      </c>
      <c r="T18" s="95">
        <f>IF($R18&gt;0,IF($P18&gt;0,IF($R18=$P18,"No","Yes")," ")," ")</f>
        <v/>
      </c>
      <c r="U18" s="100" t="n"/>
      <c r="V18" s="97">
        <f>IF($U18&gt;0,TODAY()-$U18," ")</f>
        <v/>
      </c>
      <c r="W18" s="95" t="n"/>
    </row>
    <row r="19" ht="15" customHeight="1" s="46">
      <c r="A19" s="103">
        <f>IFERROR(ROW()-5,"")</f>
        <v/>
      </c>
      <c r="B19" s="104" t="n"/>
      <c r="C19" s="104" t="n"/>
      <c r="D19" s="105" t="n"/>
      <c r="E19" s="105" t="n"/>
      <c r="F19" s="106" t="n"/>
      <c r="G19" s="103" t="n"/>
      <c r="H19" s="107" t="n"/>
      <c r="I19" s="108" t="n"/>
      <c r="J19" s="109">
        <f>IF($I19&gt;0,$I19/$H19," ")</f>
        <v/>
      </c>
      <c r="K19" s="110" t="n"/>
      <c r="L19" s="111">
        <f>IF($K19&gt;0,($K19-TODAY())/365," ")</f>
        <v/>
      </c>
      <c r="M19" s="105" t="n"/>
      <c r="N19" s="105" t="n"/>
      <c r="O19" s="105" t="n"/>
      <c r="P19" s="108" t="n"/>
      <c r="Q19" s="112">
        <f>IF($P19&gt;0,IF($I19&gt;0,$I19/$P19," ")," ")</f>
        <v/>
      </c>
      <c r="R19" s="108" t="n"/>
      <c r="S19" s="112">
        <f>IF($R19&gt;0,IF($I19&gt;0,$I19/$R19," ")," ")</f>
        <v/>
      </c>
      <c r="T19" s="105">
        <f>IF($R19&gt;0,IF($P19&gt;0,IF($R19=$P19,"No","Yes")," ")," ")</f>
        <v/>
      </c>
      <c r="U19" s="110" t="n"/>
      <c r="V19" s="107">
        <f>IF($U19&gt;0,TODAY()-$U19," ")</f>
        <v/>
      </c>
      <c r="W19" s="105" t="n"/>
    </row>
    <row r="20" ht="15" customHeight="1" s="46">
      <c r="A20" s="93">
        <f>IFERROR(ROW()-5,"")</f>
        <v/>
      </c>
      <c r="B20" s="94" t="n"/>
      <c r="C20" s="94" t="n"/>
      <c r="D20" s="95" t="n"/>
      <c r="E20" s="95" t="n"/>
      <c r="F20" s="96" t="n"/>
      <c r="G20" s="93" t="n"/>
      <c r="H20" s="97" t="n"/>
      <c r="I20" s="98" t="n"/>
      <c r="J20" s="99">
        <f>IF($I20&gt;0,$I20/$H20," ")</f>
        <v/>
      </c>
      <c r="K20" s="100" t="n"/>
      <c r="L20" s="101">
        <f>IF($K20&gt;0,($K20-TODAY())/365," ")</f>
        <v/>
      </c>
      <c r="M20" s="95" t="n"/>
      <c r="N20" s="95" t="n"/>
      <c r="O20" s="95" t="n"/>
      <c r="P20" s="98" t="n"/>
      <c r="Q20" s="102">
        <f>IF($P20&gt;0,IF($I20&gt;0,$I20/$P20," ")," ")</f>
        <v/>
      </c>
      <c r="R20" s="98" t="n"/>
      <c r="S20" s="102">
        <f>IF($R20&gt;0,IF($I20&gt;0,$I20/$R20," ")," ")</f>
        <v/>
      </c>
      <c r="T20" s="95">
        <f>IF($R20&gt;0,IF($P20&gt;0,IF($R20=$P20,"No","Yes")," ")," ")</f>
        <v/>
      </c>
      <c r="U20" s="100" t="n"/>
      <c r="V20" s="97">
        <f>IF($U20&gt;0,TODAY()-$U20," ")</f>
        <v/>
      </c>
      <c r="W20" s="95" t="n"/>
    </row>
    <row r="21" ht="15" customHeight="1" s="46">
      <c r="A21" s="103">
        <f>IFERROR(ROW()-5,"")</f>
        <v/>
      </c>
      <c r="B21" s="104" t="n"/>
      <c r="C21" s="104" t="n"/>
      <c r="D21" s="105" t="n"/>
      <c r="E21" s="105" t="n"/>
      <c r="F21" s="106" t="n"/>
      <c r="G21" s="103" t="n"/>
      <c r="H21" s="107" t="n"/>
      <c r="I21" s="108" t="n"/>
      <c r="J21" s="109">
        <f>IF($I21&gt;0,$I21/$H21," ")</f>
        <v/>
      </c>
      <c r="K21" s="110" t="n"/>
      <c r="L21" s="111">
        <f>IF($K21&gt;0,($K21-TODAY())/365," ")</f>
        <v/>
      </c>
      <c r="M21" s="105" t="n"/>
      <c r="N21" s="105" t="n"/>
      <c r="O21" s="105" t="n"/>
      <c r="P21" s="108" t="n"/>
      <c r="Q21" s="112">
        <f>IF($P21&gt;0,IF($I21&gt;0,$I21/$P21," ")," ")</f>
        <v/>
      </c>
      <c r="R21" s="108" t="n"/>
      <c r="S21" s="112">
        <f>IF($R21&gt;0,IF($I21&gt;0,$I21/$R21," ")," ")</f>
        <v/>
      </c>
      <c r="T21" s="105">
        <f>IF($R21&gt;0,IF($P21&gt;0,IF($R21=$P21,"No","Yes")," ")," ")</f>
        <v/>
      </c>
      <c r="U21" s="110" t="n"/>
      <c r="V21" s="107">
        <f>IF($U21&gt;0,TODAY()-$U21," ")</f>
        <v/>
      </c>
      <c r="W21" s="105" t="n"/>
    </row>
    <row r="22" ht="15" customHeight="1" s="46">
      <c r="A22" s="93">
        <f>IFERROR(ROW()-5,"")</f>
        <v/>
      </c>
      <c r="B22" s="94" t="n"/>
      <c r="C22" s="94" t="n"/>
      <c r="D22" s="95" t="n"/>
      <c r="E22" s="95" t="n"/>
      <c r="F22" s="96" t="n"/>
      <c r="G22" s="93" t="n"/>
      <c r="H22" s="97" t="n"/>
      <c r="I22" s="98" t="n"/>
      <c r="J22" s="99">
        <f>IF($I22&gt;0,$I22/$H22," ")</f>
        <v/>
      </c>
      <c r="K22" s="100" t="n"/>
      <c r="L22" s="101">
        <f>IF($K22&gt;0,($K22-TODAY())/365," ")</f>
        <v/>
      </c>
      <c r="M22" s="95" t="n"/>
      <c r="N22" s="95" t="n"/>
      <c r="O22" s="95" t="n"/>
      <c r="P22" s="98" t="n"/>
      <c r="Q22" s="102">
        <f>IF($P22&gt;0,IF($I22&gt;0,$I22/$P22," ")," ")</f>
        <v/>
      </c>
      <c r="R22" s="98" t="n"/>
      <c r="S22" s="102">
        <f>IF($R22&gt;0,IF($I22&gt;0,$I22/$R22," ")," ")</f>
        <v/>
      </c>
      <c r="T22" s="95">
        <f>IF($R22&gt;0,IF($P22&gt;0,IF($R22=$P22,"No","Yes")," ")," ")</f>
        <v/>
      </c>
      <c r="U22" s="100" t="n"/>
      <c r="V22" s="97">
        <f>IF($U22&gt;0,TODAY()-$U22," ")</f>
        <v/>
      </c>
      <c r="W22" s="95" t="n"/>
    </row>
    <row r="23" ht="15" customHeight="1" s="46">
      <c r="A23" s="103">
        <f>IFERROR(ROW()-5,"")</f>
        <v/>
      </c>
      <c r="B23" s="104" t="n"/>
      <c r="C23" s="104" t="n"/>
      <c r="D23" s="105" t="n"/>
      <c r="E23" s="105" t="n"/>
      <c r="F23" s="106" t="n"/>
      <c r="G23" s="103" t="n"/>
      <c r="H23" s="107" t="n"/>
      <c r="I23" s="108" t="n"/>
      <c r="J23" s="109">
        <f>IF($I23&gt;0,$I23/$H23," ")</f>
        <v/>
      </c>
      <c r="K23" s="110" t="n"/>
      <c r="L23" s="111">
        <f>IF($K23&gt;0,($K23-TODAY())/365," ")</f>
        <v/>
      </c>
      <c r="M23" s="105" t="n"/>
      <c r="N23" s="105" t="n"/>
      <c r="O23" s="105" t="n"/>
      <c r="P23" s="108" t="n"/>
      <c r="Q23" s="112">
        <f>IF($P23&gt;0,IF($I23&gt;0,$I23/$P23," ")," ")</f>
        <v/>
      </c>
      <c r="R23" s="108" t="n"/>
      <c r="S23" s="112">
        <f>IF($R23&gt;0,IF($I23&gt;0,$I23/$R23," ")," ")</f>
        <v/>
      </c>
      <c r="T23" s="105">
        <f>IF($R23&gt;0,IF($P23&gt;0,IF($R23=$P23,"No","Yes")," ")," ")</f>
        <v/>
      </c>
      <c r="U23" s="110" t="n"/>
      <c r="V23" s="107">
        <f>IF($U23&gt;0,TODAY()-$U23," ")</f>
        <v/>
      </c>
      <c r="W23" s="105" t="n"/>
    </row>
    <row r="24" ht="15" customHeight="1" s="46">
      <c r="A24" s="93">
        <f>IFERROR(ROW()-5,"")</f>
        <v/>
      </c>
      <c r="B24" s="94" t="n"/>
      <c r="C24" s="94" t="n"/>
      <c r="D24" s="95" t="n"/>
      <c r="E24" s="95" t="n"/>
      <c r="F24" s="96" t="n"/>
      <c r="G24" s="93" t="n"/>
      <c r="H24" s="97" t="n"/>
      <c r="I24" s="98" t="n"/>
      <c r="J24" s="99">
        <f>IF($I24&gt;0,$I24/$H24," ")</f>
        <v/>
      </c>
      <c r="K24" s="100" t="n"/>
      <c r="L24" s="101">
        <f>IF($K24&gt;0,($K24-TODAY())/365," ")</f>
        <v/>
      </c>
      <c r="M24" s="95" t="n"/>
      <c r="N24" s="95" t="n"/>
      <c r="O24" s="95" t="n"/>
      <c r="P24" s="98" t="n"/>
      <c r="Q24" s="102">
        <f>IF($P24&gt;0,IF($I24&gt;0,$I24/$P24," ")," ")</f>
        <v/>
      </c>
      <c r="R24" s="98" t="n"/>
      <c r="S24" s="102">
        <f>IF($R24&gt;0,IF($I24&gt;0,$I24/$R24," ")," ")</f>
        <v/>
      </c>
      <c r="T24" s="95">
        <f>IF($R24&gt;0,IF($P24&gt;0,IF($R24=$P24,"No","Yes")," ")," ")</f>
        <v/>
      </c>
      <c r="U24" s="100" t="n"/>
      <c r="V24" s="97">
        <f>IF($U24&gt;0,TODAY()-$U24," ")</f>
        <v/>
      </c>
      <c r="W24" s="95" t="n"/>
    </row>
    <row r="25" ht="15" customHeight="1" s="46">
      <c r="A25" s="103">
        <f>IFERROR(ROW()-5,"")</f>
        <v/>
      </c>
      <c r="B25" s="104" t="n"/>
      <c r="C25" s="104" t="n"/>
      <c r="D25" s="105" t="n"/>
      <c r="E25" s="105" t="n"/>
      <c r="F25" s="106" t="n"/>
      <c r="G25" s="103" t="n"/>
      <c r="H25" s="107" t="n"/>
      <c r="I25" s="108" t="n"/>
      <c r="J25" s="109">
        <f>IF($I25&gt;0,$I25/$H25," ")</f>
        <v/>
      </c>
      <c r="K25" s="110" t="n"/>
      <c r="L25" s="111">
        <f>IF($K25&gt;0,($K25-TODAY())/365," ")</f>
        <v/>
      </c>
      <c r="M25" s="105" t="n"/>
      <c r="N25" s="105" t="n"/>
      <c r="O25" s="105" t="n"/>
      <c r="P25" s="108" t="n"/>
      <c r="Q25" s="112">
        <f>IF($P25&gt;0,IF($I25&gt;0,$I25/$P25," ")," ")</f>
        <v/>
      </c>
      <c r="R25" s="108" t="n"/>
      <c r="S25" s="112">
        <f>IF($R25&gt;0,IF($I25&gt;0,$I25/$R25," ")," ")</f>
        <v/>
      </c>
      <c r="T25" s="105">
        <f>IF($R25&gt;0,IF($P25&gt;0,IF($R25=$P25,"No","Yes")," ")," ")</f>
        <v/>
      </c>
      <c r="U25" s="110" t="n"/>
      <c r="V25" s="107">
        <f>IF($U25&gt;0,TODAY()-$U25," ")</f>
        <v/>
      </c>
      <c r="W25" s="105" t="n"/>
    </row>
    <row r="26" ht="15" customHeight="1" s="46">
      <c r="A26" s="93">
        <f>IFERROR(ROW()-5,"")</f>
        <v/>
      </c>
      <c r="B26" s="94" t="n"/>
      <c r="C26" s="94" t="n"/>
      <c r="D26" s="95" t="n"/>
      <c r="E26" s="95" t="n"/>
      <c r="F26" s="96" t="n"/>
      <c r="G26" s="93" t="n"/>
      <c r="H26" s="97" t="n"/>
      <c r="I26" s="98" t="n"/>
      <c r="J26" s="99">
        <f>IF($I26&gt;0,$I26/$H26," ")</f>
        <v/>
      </c>
      <c r="K26" s="100" t="n"/>
      <c r="L26" s="101">
        <f>IF($K26&gt;0,($K26-TODAY())/365," ")</f>
        <v/>
      </c>
      <c r="M26" s="95" t="n"/>
      <c r="N26" s="95" t="n"/>
      <c r="O26" s="95" t="n"/>
      <c r="P26" s="98" t="n"/>
      <c r="Q26" s="102">
        <f>IF($P26&gt;0,IF($I26&gt;0,$I26/$P26," ")," ")</f>
        <v/>
      </c>
      <c r="R26" s="98" t="n"/>
      <c r="S26" s="102">
        <f>IF($R26&gt;0,IF($I26&gt;0,$I26/$R26," ")," ")</f>
        <v/>
      </c>
      <c r="T26" s="95">
        <f>IF($R26&gt;0,IF($P26&gt;0,IF($R26=$P26,"No","Yes")," ")," ")</f>
        <v/>
      </c>
      <c r="U26" s="100" t="n"/>
      <c r="V26" s="97">
        <f>IF($U26&gt;0,TODAY()-$U26," ")</f>
        <v/>
      </c>
      <c r="W26" s="95" t="n"/>
    </row>
    <row r="27" ht="15" customHeight="1" s="46">
      <c r="A27" s="103">
        <f>IFERROR(ROW()-5,"")</f>
        <v/>
      </c>
      <c r="B27" s="104" t="n"/>
      <c r="C27" s="104" t="n"/>
      <c r="D27" s="105" t="n"/>
      <c r="E27" s="105" t="n"/>
      <c r="F27" s="106" t="n"/>
      <c r="G27" s="103" t="n"/>
      <c r="H27" s="107" t="n"/>
      <c r="I27" s="108" t="n"/>
      <c r="J27" s="109">
        <f>IF($I27&gt;0,$I27/$H27," ")</f>
        <v/>
      </c>
      <c r="K27" s="110" t="n"/>
      <c r="L27" s="111">
        <f>IF($K27&gt;0,($K27-TODAY())/365," ")</f>
        <v/>
      </c>
      <c r="M27" s="105" t="n"/>
      <c r="N27" s="105" t="n"/>
      <c r="O27" s="105" t="n"/>
      <c r="P27" s="108" t="n"/>
      <c r="Q27" s="112">
        <f>IF($P27&gt;0,IF($I27&gt;0,$I27/$P27," ")," ")</f>
        <v/>
      </c>
      <c r="R27" s="108" t="n"/>
      <c r="S27" s="112">
        <f>IF($R27&gt;0,IF($I27&gt;0,$I27/$R27," ")," ")</f>
        <v/>
      </c>
      <c r="T27" s="105">
        <f>IF($R27&gt;0,IF($P27&gt;0,IF($R27=$P27,"No","Yes")," ")," ")</f>
        <v/>
      </c>
      <c r="U27" s="110" t="n"/>
      <c r="V27" s="107">
        <f>IF($U27&gt;0,TODAY()-$U27," ")</f>
        <v/>
      </c>
      <c r="W27" s="105" t="n"/>
    </row>
    <row r="28" ht="15" customHeight="1" s="46">
      <c r="A28" s="93">
        <f>IFERROR(ROW()-5,"")</f>
        <v/>
      </c>
      <c r="B28" s="94" t="n"/>
      <c r="C28" s="94" t="n"/>
      <c r="D28" s="95" t="n"/>
      <c r="E28" s="95" t="n"/>
      <c r="F28" s="96" t="n"/>
      <c r="G28" s="93" t="n"/>
      <c r="H28" s="97" t="n"/>
      <c r="I28" s="98" t="n"/>
      <c r="J28" s="99">
        <f>IF($I28&gt;0,$I28/$H28," ")</f>
        <v/>
      </c>
      <c r="K28" s="100" t="n"/>
      <c r="L28" s="101">
        <f>IF($K28&gt;0,($K28-TODAY())/365," ")</f>
        <v/>
      </c>
      <c r="M28" s="95" t="n"/>
      <c r="N28" s="95" t="n"/>
      <c r="O28" s="95" t="n"/>
      <c r="P28" s="98" t="n"/>
      <c r="Q28" s="102">
        <f>IF($P28&gt;0,IF($I28&gt;0,$I28/$P28," ")," ")</f>
        <v/>
      </c>
      <c r="R28" s="98" t="n"/>
      <c r="S28" s="102">
        <f>IF($R28&gt;0,IF($I28&gt;0,$I28/$R28," ")," ")</f>
        <v/>
      </c>
      <c r="T28" s="95">
        <f>IF($R28&gt;0,IF($P28&gt;0,IF($R28=$P28,"No","Yes")," ")," ")</f>
        <v/>
      </c>
      <c r="U28" s="100" t="n"/>
      <c r="V28" s="97">
        <f>IF($U28&gt;0,TODAY()-$U28," ")</f>
        <v/>
      </c>
      <c r="W28" s="95" t="n"/>
    </row>
    <row r="29" ht="15" customHeight="1" s="46">
      <c r="A29" s="103">
        <f>IFERROR(ROW()-5,"")</f>
        <v/>
      </c>
      <c r="B29" s="104" t="n"/>
      <c r="C29" s="104" t="n"/>
      <c r="D29" s="105" t="n"/>
      <c r="E29" s="105" t="n"/>
      <c r="F29" s="106" t="n"/>
      <c r="G29" s="103" t="n"/>
      <c r="H29" s="107" t="n"/>
      <c r="I29" s="108" t="n"/>
      <c r="J29" s="109">
        <f>IF($I29&gt;0,$I29/$H29," ")</f>
        <v/>
      </c>
      <c r="K29" s="110" t="n"/>
      <c r="L29" s="111">
        <f>IF($K29&gt;0,($K29-TODAY())/365," ")</f>
        <v/>
      </c>
      <c r="M29" s="105" t="n"/>
      <c r="N29" s="105" t="n"/>
      <c r="O29" s="105" t="n"/>
      <c r="P29" s="108" t="n"/>
      <c r="Q29" s="112">
        <f>IF($P29&gt;0,IF($I29&gt;0,$I29/$P29," ")," ")</f>
        <v/>
      </c>
      <c r="R29" s="108" t="n"/>
      <c r="S29" s="112">
        <f>IF($R29&gt;0,IF($I29&gt;0,$I29/$R29," ")," ")</f>
        <v/>
      </c>
      <c r="T29" s="105">
        <f>IF($R29&gt;0,IF($P29&gt;0,IF($R29=$P29,"No","Yes")," ")," ")</f>
        <v/>
      </c>
      <c r="U29" s="110" t="n"/>
      <c r="V29" s="107">
        <f>IF($U29&gt;0,TODAY()-$U29," ")</f>
        <v/>
      </c>
      <c r="W29" s="105" t="n"/>
    </row>
    <row r="30" ht="15" customHeight="1" s="46">
      <c r="A30" s="93">
        <f>IFERROR(ROW()-5,"")</f>
        <v/>
      </c>
      <c r="B30" s="94" t="n"/>
      <c r="C30" s="94" t="n"/>
      <c r="D30" s="95" t="n"/>
      <c r="E30" s="95" t="n"/>
      <c r="F30" s="96" t="n"/>
      <c r="G30" s="93" t="n"/>
      <c r="H30" s="97" t="n"/>
      <c r="I30" s="98" t="n"/>
      <c r="J30" s="99">
        <f>IF($I30&gt;0,$I30/$H30," ")</f>
        <v/>
      </c>
      <c r="K30" s="100" t="n"/>
      <c r="L30" s="101">
        <f>IF($K30&gt;0,($K30-TODAY())/365," ")</f>
        <v/>
      </c>
      <c r="M30" s="95" t="n"/>
      <c r="N30" s="95" t="n"/>
      <c r="O30" s="95" t="n"/>
      <c r="P30" s="98" t="n"/>
      <c r="Q30" s="102">
        <f>IF($P30&gt;0,IF($I30&gt;0,$I30/$P30," ")," ")</f>
        <v/>
      </c>
      <c r="R30" s="98" t="n"/>
      <c r="S30" s="102">
        <f>IF($R30&gt;0,IF($I30&gt;0,$I30/$R30," ")," ")</f>
        <v/>
      </c>
      <c r="T30" s="95">
        <f>IF($R30&gt;0,IF($P30&gt;0,IF($R30=$P30,"No","Yes")," ")," ")</f>
        <v/>
      </c>
      <c r="U30" s="100" t="n"/>
      <c r="V30" s="97">
        <f>IF($U30&gt;0,TODAY()-$U30," ")</f>
        <v/>
      </c>
      <c r="W30" s="95" t="n"/>
    </row>
    <row r="31" ht="15" customHeight="1" s="46">
      <c r="A31" s="103">
        <f>IFERROR(ROW()-5,"")</f>
        <v/>
      </c>
      <c r="B31" s="104" t="n"/>
      <c r="C31" s="104" t="n"/>
      <c r="D31" s="105" t="n"/>
      <c r="E31" s="105" t="n"/>
      <c r="F31" s="106" t="n"/>
      <c r="G31" s="103" t="n"/>
      <c r="H31" s="107" t="n"/>
      <c r="I31" s="108" t="n"/>
      <c r="J31" s="109">
        <f>IF($I31&gt;0,$I31/$H31," ")</f>
        <v/>
      </c>
      <c r="K31" s="110" t="n"/>
      <c r="L31" s="111">
        <f>IF($K31&gt;0,($K31-TODAY())/365," ")</f>
        <v/>
      </c>
      <c r="M31" s="105" t="n"/>
      <c r="N31" s="105" t="n"/>
      <c r="O31" s="105" t="n"/>
      <c r="P31" s="108" t="n"/>
      <c r="Q31" s="112">
        <f>IF($P31&gt;0,IF($I31&gt;0,$I31/$P31," ")," ")</f>
        <v/>
      </c>
      <c r="R31" s="108" t="n"/>
      <c r="S31" s="112">
        <f>IF($R31&gt;0,IF($I31&gt;0,$I31/$R31," ")," ")</f>
        <v/>
      </c>
      <c r="T31" s="105">
        <f>IF($R31&gt;0,IF($P31&gt;0,IF($R31=$P31,"No","Yes")," ")," ")</f>
        <v/>
      </c>
      <c r="U31" s="110" t="n"/>
      <c r="V31" s="107">
        <f>IF($U31&gt;0,TODAY()-$U31," ")</f>
        <v/>
      </c>
      <c r="W31" s="105" t="n"/>
    </row>
    <row r="32" ht="15" customHeight="1" s="46">
      <c r="A32" s="93">
        <f>IFERROR(ROW()-5,"")</f>
        <v/>
      </c>
      <c r="B32" s="94" t="n"/>
      <c r="C32" s="94" t="n"/>
      <c r="D32" s="95" t="n"/>
      <c r="E32" s="95" t="n"/>
      <c r="F32" s="96" t="n"/>
      <c r="G32" s="93" t="n"/>
      <c r="H32" s="97" t="n"/>
      <c r="I32" s="98" t="n"/>
      <c r="J32" s="99">
        <f>IF($I32&gt;0,$I32/$H32," ")</f>
        <v/>
      </c>
      <c r="K32" s="100" t="n"/>
      <c r="L32" s="101">
        <f>IF($K32&gt;0,($K32-TODAY())/365," ")</f>
        <v/>
      </c>
      <c r="M32" s="95" t="n"/>
      <c r="N32" s="95" t="n"/>
      <c r="O32" s="95" t="n"/>
      <c r="P32" s="98" t="n"/>
      <c r="Q32" s="102">
        <f>IF($P32&gt;0,IF($I32&gt;0,$I32/$P32," ")," ")</f>
        <v/>
      </c>
      <c r="R32" s="98" t="n"/>
      <c r="S32" s="102">
        <f>IF($R32&gt;0,IF($I32&gt;0,$I32/$R32," ")," ")</f>
        <v/>
      </c>
      <c r="T32" s="95">
        <f>IF($R32&gt;0,IF($P32&gt;0,IF($R32=$P32,"No","Yes")," ")," ")</f>
        <v/>
      </c>
      <c r="U32" s="100" t="n"/>
      <c r="V32" s="97">
        <f>IF($U32&gt;0,TODAY()-$U32," ")</f>
        <v/>
      </c>
      <c r="W32" s="95" t="n"/>
    </row>
    <row r="33" ht="15" customHeight="1" s="46">
      <c r="A33" s="103">
        <f>IFERROR(ROW()-5,"")</f>
        <v/>
      </c>
      <c r="B33" s="104" t="n"/>
      <c r="C33" s="104" t="n"/>
      <c r="D33" s="105" t="n"/>
      <c r="E33" s="105" t="n"/>
      <c r="F33" s="106" t="n"/>
      <c r="G33" s="103" t="n"/>
      <c r="H33" s="107" t="n"/>
      <c r="I33" s="108" t="n"/>
      <c r="J33" s="109">
        <f>IF($I33&gt;0,$I33/$H33," ")</f>
        <v/>
      </c>
      <c r="K33" s="110" t="n"/>
      <c r="L33" s="111">
        <f>IF($K33&gt;0,($K33-TODAY())/365," ")</f>
        <v/>
      </c>
      <c r="M33" s="105" t="n"/>
      <c r="N33" s="105" t="n"/>
      <c r="O33" s="105" t="n"/>
      <c r="P33" s="108" t="n"/>
      <c r="Q33" s="112">
        <f>IF($P33&gt;0,IF($I33&gt;0,$I33/$P33," ")," ")</f>
        <v/>
      </c>
      <c r="R33" s="108" t="n"/>
      <c r="S33" s="112">
        <f>IF($R33&gt;0,IF($I33&gt;0,$I33/$R33," ")," ")</f>
        <v/>
      </c>
      <c r="T33" s="105">
        <f>IF($R33&gt;0,IF($P33&gt;0,IF($R33=$P33,"No","Yes")," ")," ")</f>
        <v/>
      </c>
      <c r="U33" s="110" t="n"/>
      <c r="V33" s="107">
        <f>IF($U33&gt;0,TODAY()-$U33," ")</f>
        <v/>
      </c>
      <c r="W33" s="105" t="n"/>
    </row>
    <row r="34" ht="15" customHeight="1" s="46">
      <c r="A34" s="93">
        <f>IFERROR(ROW()-5,"")</f>
        <v/>
      </c>
      <c r="B34" s="94" t="n"/>
      <c r="C34" s="94" t="n"/>
      <c r="D34" s="95" t="n"/>
      <c r="E34" s="95" t="n"/>
      <c r="F34" s="96" t="n"/>
      <c r="G34" s="93" t="n"/>
      <c r="H34" s="97" t="n"/>
      <c r="I34" s="98" t="n"/>
      <c r="J34" s="99">
        <f>IF($I34&gt;0,$I34/$H34," ")</f>
        <v/>
      </c>
      <c r="K34" s="100" t="n"/>
      <c r="L34" s="101">
        <f>IF($K34&gt;0,($K34-TODAY())/365," ")</f>
        <v/>
      </c>
      <c r="M34" s="95" t="n"/>
      <c r="N34" s="95" t="n"/>
      <c r="O34" s="95" t="n"/>
      <c r="P34" s="98" t="n"/>
      <c r="Q34" s="102">
        <f>IF($P34&gt;0,IF($I34&gt;0,$I34/$P34," ")," ")</f>
        <v/>
      </c>
      <c r="R34" s="98" t="n"/>
      <c r="S34" s="102">
        <f>IF($R34&gt;0,IF($I34&gt;0,$I34/$R34," ")," ")</f>
        <v/>
      </c>
      <c r="T34" s="95">
        <f>IF($R34&gt;0,IF($P34&gt;0,IF($R34=$P34,"No","Yes")," ")," ")</f>
        <v/>
      </c>
      <c r="U34" s="100" t="n"/>
      <c r="V34" s="97">
        <f>IF($U34&gt;0,TODAY()-$U34," ")</f>
        <v/>
      </c>
      <c r="W34" s="95" t="n"/>
    </row>
    <row r="35" ht="15" customHeight="1" s="46">
      <c r="A35" s="103">
        <f>IFERROR(ROW()-5,"")</f>
        <v/>
      </c>
      <c r="B35" s="104" t="n"/>
      <c r="C35" s="104" t="n"/>
      <c r="D35" s="105" t="n"/>
      <c r="E35" s="105" t="n"/>
      <c r="F35" s="106" t="n"/>
      <c r="G35" s="103" t="n"/>
      <c r="H35" s="107" t="n"/>
      <c r="I35" s="108" t="n"/>
      <c r="J35" s="109">
        <f>IF($I35&gt;0,$I35/$H35," ")</f>
        <v/>
      </c>
      <c r="K35" s="110" t="n"/>
      <c r="L35" s="111">
        <f>IF($K35&gt;0,($K35-TODAY())/365," ")</f>
        <v/>
      </c>
      <c r="M35" s="105" t="n"/>
      <c r="N35" s="105" t="n"/>
      <c r="O35" s="105" t="n"/>
      <c r="P35" s="108" t="n"/>
      <c r="Q35" s="112">
        <f>IF($P35&gt;0,IF($I35&gt;0,$I35/$P35," ")," ")</f>
        <v/>
      </c>
      <c r="R35" s="108" t="n"/>
      <c r="S35" s="112">
        <f>IF($R35&gt;0,IF($I35&gt;0,$I35/$R35," ")," ")</f>
        <v/>
      </c>
      <c r="T35" s="105">
        <f>IF($R35&gt;0,IF($P35&gt;0,IF($R35=$P35,"No","Yes")," ")," ")</f>
        <v/>
      </c>
      <c r="U35" s="110" t="n"/>
      <c r="V35" s="107">
        <f>IF($U35&gt;0,TODAY()-$U35," ")</f>
        <v/>
      </c>
      <c r="W35" s="105" t="n"/>
    </row>
    <row r="36" ht="15" customHeight="1" s="46">
      <c r="A36" s="93">
        <f>IFERROR(ROW()-5,"")</f>
        <v/>
      </c>
      <c r="B36" s="94" t="n"/>
      <c r="C36" s="94" t="n"/>
      <c r="D36" s="95" t="n"/>
      <c r="E36" s="95" t="n"/>
      <c r="F36" s="96" t="n"/>
      <c r="G36" s="93" t="n"/>
      <c r="H36" s="97" t="n"/>
      <c r="I36" s="98" t="n"/>
      <c r="J36" s="99">
        <f>IF($I36&gt;0,$I36/$H36," ")</f>
        <v/>
      </c>
      <c r="K36" s="100" t="n"/>
      <c r="L36" s="101">
        <f>IF($K36&gt;0,($K36-TODAY())/365," ")</f>
        <v/>
      </c>
      <c r="M36" s="95" t="n"/>
      <c r="N36" s="95" t="n"/>
      <c r="O36" s="95" t="n"/>
      <c r="P36" s="98" t="n"/>
      <c r="Q36" s="102">
        <f>IF($P36&gt;0,IF($I36&gt;0,$I36/$P36," ")," ")</f>
        <v/>
      </c>
      <c r="R36" s="98" t="n"/>
      <c r="S36" s="102">
        <f>IF($R36&gt;0,IF($I36&gt;0,$I36/$R36," ")," ")</f>
        <v/>
      </c>
      <c r="T36" s="95">
        <f>IF($R36&gt;0,IF($P36&gt;0,IF($R36=$P36,"No","Yes")," ")," ")</f>
        <v/>
      </c>
      <c r="U36" s="100" t="n"/>
      <c r="V36" s="97">
        <f>IF($U36&gt;0,TODAY()-$U36," ")</f>
        <v/>
      </c>
      <c r="W36" s="95" t="n"/>
    </row>
    <row r="37" ht="15" customHeight="1" s="46">
      <c r="A37" s="103">
        <f>IFERROR(ROW()-5,"")</f>
        <v/>
      </c>
      <c r="B37" s="104" t="n"/>
      <c r="C37" s="104" t="n"/>
      <c r="D37" s="105" t="n"/>
      <c r="E37" s="105" t="n"/>
      <c r="F37" s="106" t="n"/>
      <c r="G37" s="103" t="n"/>
      <c r="H37" s="107" t="n"/>
      <c r="I37" s="108" t="n"/>
      <c r="J37" s="109">
        <f>IF($I37&gt;0,$I37/$H37," ")</f>
        <v/>
      </c>
      <c r="K37" s="110" t="n"/>
      <c r="L37" s="111">
        <f>IF($K37&gt;0,($K37-TODAY())/365," ")</f>
        <v/>
      </c>
      <c r="M37" s="105" t="n"/>
      <c r="N37" s="105" t="n"/>
      <c r="O37" s="105" t="n"/>
      <c r="P37" s="108" t="n"/>
      <c r="Q37" s="112">
        <f>IF($P37&gt;0,IF($I37&gt;0,$I37/$P37," ")," ")</f>
        <v/>
      </c>
      <c r="R37" s="108" t="n"/>
      <c r="S37" s="112">
        <f>IF($R37&gt;0,IF($I37&gt;0,$I37/$R37," ")," ")</f>
        <v/>
      </c>
      <c r="T37" s="105">
        <f>IF($R37&gt;0,IF($P37&gt;0,IF($R37=$P37,"No","Yes")," ")," ")</f>
        <v/>
      </c>
      <c r="U37" s="110" t="n"/>
      <c r="V37" s="107">
        <f>IF($U37&gt;0,TODAY()-$U37," ")</f>
        <v/>
      </c>
      <c r="W37" s="105" t="n"/>
    </row>
    <row r="38" ht="15" customHeight="1" s="46">
      <c r="A38" s="93">
        <f>IFERROR(ROW()-5,"")</f>
        <v/>
      </c>
      <c r="B38" s="94" t="n"/>
      <c r="C38" s="94" t="n"/>
      <c r="D38" s="95" t="n"/>
      <c r="E38" s="95" t="n"/>
      <c r="F38" s="96" t="n"/>
      <c r="G38" s="93" t="n"/>
      <c r="H38" s="97" t="n"/>
      <c r="I38" s="98" t="n"/>
      <c r="J38" s="99">
        <f>IF($I38&gt;0,$I38/$H38," ")</f>
        <v/>
      </c>
      <c r="K38" s="100" t="n"/>
      <c r="L38" s="101">
        <f>IF($K38&gt;0,($K38-TODAY())/365," ")</f>
        <v/>
      </c>
      <c r="M38" s="95" t="n"/>
      <c r="N38" s="95" t="n"/>
      <c r="O38" s="95" t="n"/>
      <c r="P38" s="98" t="n"/>
      <c r="Q38" s="102">
        <f>IF($P38&gt;0,IF($I38&gt;0,$I38/$P38," ")," ")</f>
        <v/>
      </c>
      <c r="R38" s="98" t="n"/>
      <c r="S38" s="102">
        <f>IF($R38&gt;0,IF($I38&gt;0,$I38/$R38," ")," ")</f>
        <v/>
      </c>
      <c r="T38" s="95">
        <f>IF($R38&gt;0,IF($P38&gt;0,IF($R38=$P38,"No","Yes")," ")," ")</f>
        <v/>
      </c>
      <c r="U38" s="100" t="n"/>
      <c r="V38" s="97">
        <f>IF($U38&gt;0,TODAY()-$U38," ")</f>
        <v/>
      </c>
      <c r="W38" s="95" t="n"/>
    </row>
    <row r="39" ht="15" customHeight="1" s="46">
      <c r="A39" s="103">
        <f>IFERROR(ROW()-5,"")</f>
        <v/>
      </c>
      <c r="B39" s="104" t="n"/>
      <c r="C39" s="104" t="n"/>
      <c r="D39" s="105" t="n"/>
      <c r="E39" s="105" t="n"/>
      <c r="F39" s="106" t="n"/>
      <c r="G39" s="103" t="n"/>
      <c r="H39" s="107" t="n"/>
      <c r="I39" s="108" t="n"/>
      <c r="J39" s="109">
        <f>IF($I39&gt;0,$I39/$H39," ")</f>
        <v/>
      </c>
      <c r="K39" s="110" t="n"/>
      <c r="L39" s="111">
        <f>IF($K39&gt;0,($K39-TODAY())/365," ")</f>
        <v/>
      </c>
      <c r="M39" s="105" t="n"/>
      <c r="N39" s="105" t="n"/>
      <c r="O39" s="105" t="n"/>
      <c r="P39" s="108" t="n"/>
      <c r="Q39" s="112">
        <f>IF($P39&gt;0,IF($I39&gt;0,$I39/$P39," ")," ")</f>
        <v/>
      </c>
      <c r="R39" s="108" t="n"/>
      <c r="S39" s="112">
        <f>IF($R39&gt;0,IF($I39&gt;0,$I39/$R39," ")," ")</f>
        <v/>
      </c>
      <c r="T39" s="105">
        <f>IF($R39&gt;0,IF($P39&gt;0,IF($R39=$P39,"No","Yes")," ")," ")</f>
        <v/>
      </c>
      <c r="U39" s="110" t="n"/>
      <c r="V39" s="107">
        <f>IF($U39&gt;0,TODAY()-$U39," ")</f>
        <v/>
      </c>
      <c r="W39" s="105" t="n"/>
    </row>
    <row r="40" ht="15" customHeight="1" s="46">
      <c r="A40" s="93">
        <f>IFERROR(ROW()-5,"")</f>
        <v/>
      </c>
      <c r="B40" s="94" t="n"/>
      <c r="C40" s="94" t="n"/>
      <c r="D40" s="95" t="n"/>
      <c r="E40" s="95" t="n"/>
      <c r="F40" s="96" t="n"/>
      <c r="G40" s="93" t="n"/>
      <c r="H40" s="97" t="n"/>
      <c r="I40" s="98" t="n"/>
      <c r="J40" s="99">
        <f>IF($I40&gt;0,$I40/$H40," ")</f>
        <v/>
      </c>
      <c r="K40" s="100" t="n"/>
      <c r="L40" s="101">
        <f>IF($K40&gt;0,($K40-TODAY())/365," ")</f>
        <v/>
      </c>
      <c r="M40" s="95" t="n"/>
      <c r="N40" s="95" t="n"/>
      <c r="O40" s="95" t="n"/>
      <c r="P40" s="98" t="n"/>
      <c r="Q40" s="102">
        <f>IF($P40&gt;0,IF($I40&gt;0,$I40/$P40," ")," ")</f>
        <v/>
      </c>
      <c r="R40" s="98" t="n"/>
      <c r="S40" s="102">
        <f>IF($R40&gt;0,IF($I40&gt;0,$I40/$R40," ")," ")</f>
        <v/>
      </c>
      <c r="T40" s="95">
        <f>IF($R40&gt;0,IF($P40&gt;0,IF($R40=$P40,"No","Yes")," ")," ")</f>
        <v/>
      </c>
      <c r="U40" s="100" t="n"/>
      <c r="V40" s="97">
        <f>IF($U40&gt;0,TODAY()-$U40," ")</f>
        <v/>
      </c>
      <c r="W40" s="95" t="n"/>
    </row>
    <row r="41" ht="15" customHeight="1" s="46">
      <c r="A41" s="103">
        <f>IFERROR(ROW()-5,"")</f>
        <v/>
      </c>
      <c r="B41" s="104" t="n"/>
      <c r="C41" s="104" t="n"/>
      <c r="D41" s="105" t="n"/>
      <c r="E41" s="105" t="n"/>
      <c r="F41" s="106" t="n"/>
      <c r="G41" s="103" t="n"/>
      <c r="H41" s="107" t="n"/>
      <c r="I41" s="108" t="n"/>
      <c r="J41" s="109">
        <f>IF($I41&gt;0,$I41/$H41," ")</f>
        <v/>
      </c>
      <c r="K41" s="110" t="n"/>
      <c r="L41" s="111">
        <f>IF($K41&gt;0,($K41-TODAY())/365," ")</f>
        <v/>
      </c>
      <c r="M41" s="105" t="n"/>
      <c r="N41" s="105" t="n"/>
      <c r="O41" s="105" t="n"/>
      <c r="P41" s="108" t="n"/>
      <c r="Q41" s="112">
        <f>IF($P41&gt;0,IF($I41&gt;0,$I41/$P41," ")," ")</f>
        <v/>
      </c>
      <c r="R41" s="108" t="n"/>
      <c r="S41" s="112">
        <f>IF($R41&gt;0,IF($I41&gt;0,$I41/$R41," ")," ")</f>
        <v/>
      </c>
      <c r="T41" s="105">
        <f>IF($R41&gt;0,IF($P41&gt;0,IF($R41=$P41,"No","Yes")," ")," ")</f>
        <v/>
      </c>
      <c r="U41" s="110" t="n"/>
      <c r="V41" s="107">
        <f>IF($U41&gt;0,TODAY()-$U41," ")</f>
        <v/>
      </c>
      <c r="W41" s="105" t="n"/>
    </row>
    <row r="42" ht="15" customHeight="1" s="46">
      <c r="A42" s="93">
        <f>IFERROR(ROW()-5,"")</f>
        <v/>
      </c>
      <c r="B42" s="94" t="n"/>
      <c r="C42" s="94" t="n"/>
      <c r="D42" s="95" t="n"/>
      <c r="E42" s="95" t="n"/>
      <c r="F42" s="96" t="n"/>
      <c r="G42" s="93" t="n"/>
      <c r="H42" s="97" t="n"/>
      <c r="I42" s="98" t="n"/>
      <c r="J42" s="99">
        <f>IF($I42&gt;0,$I42/$H42," ")</f>
        <v/>
      </c>
      <c r="K42" s="100" t="n"/>
      <c r="L42" s="101">
        <f>IF($K42&gt;0,($K42-TODAY())/365," ")</f>
        <v/>
      </c>
      <c r="M42" s="95" t="n"/>
      <c r="N42" s="95" t="n"/>
      <c r="O42" s="95" t="n"/>
      <c r="P42" s="98" t="n"/>
      <c r="Q42" s="102">
        <f>IF($P42&gt;0,IF($I42&gt;0,$I42/$P42," ")," ")</f>
        <v/>
      </c>
      <c r="R42" s="98" t="n"/>
      <c r="S42" s="102">
        <f>IF($R42&gt;0,IF($I42&gt;0,$I42/$R42," ")," ")</f>
        <v/>
      </c>
      <c r="T42" s="95">
        <f>IF($R42&gt;0,IF($P42&gt;0,IF($R42=$P42,"No","Yes")," ")," ")</f>
        <v/>
      </c>
      <c r="U42" s="100" t="n"/>
      <c r="V42" s="97">
        <f>IF($U42&gt;0,TODAY()-$U42," ")</f>
        <v/>
      </c>
      <c r="W42" s="95" t="n"/>
    </row>
    <row r="43" ht="15" customHeight="1" s="46">
      <c r="A43" s="103">
        <f>IFERROR(ROW()-5,"")</f>
        <v/>
      </c>
      <c r="B43" s="104" t="n"/>
      <c r="C43" s="104" t="n"/>
      <c r="D43" s="105" t="n"/>
      <c r="E43" s="105" t="n"/>
      <c r="F43" s="106" t="n"/>
      <c r="G43" s="103" t="n"/>
      <c r="H43" s="107" t="n"/>
      <c r="I43" s="108" t="n"/>
      <c r="J43" s="109">
        <f>IF($I43&gt;0,$I43/$H43," ")</f>
        <v/>
      </c>
      <c r="K43" s="110" t="n"/>
      <c r="L43" s="111">
        <f>IF($K43&gt;0,($K43-TODAY())/365," ")</f>
        <v/>
      </c>
      <c r="M43" s="105" t="n"/>
      <c r="N43" s="105" t="n"/>
      <c r="O43" s="105" t="n"/>
      <c r="P43" s="108" t="n"/>
      <c r="Q43" s="112">
        <f>IF($P43&gt;0,IF($I43&gt;0,$I43/$P43," ")," ")</f>
        <v/>
      </c>
      <c r="R43" s="108" t="n"/>
      <c r="S43" s="112">
        <f>IF($R43&gt;0,IF($I43&gt;0,$I43/$R43," ")," ")</f>
        <v/>
      </c>
      <c r="T43" s="105">
        <f>IF($R43&gt;0,IF($P43&gt;0,IF($R43=$P43,"No","Yes")," ")," ")</f>
        <v/>
      </c>
      <c r="U43" s="110" t="n"/>
      <c r="V43" s="107">
        <f>IF($U43&gt;0,TODAY()-$U43," ")</f>
        <v/>
      </c>
      <c r="W43" s="105" t="n"/>
    </row>
    <row r="44" ht="15" customHeight="1" s="46">
      <c r="A44" s="93">
        <f>IFERROR(ROW()-5,"")</f>
        <v/>
      </c>
      <c r="B44" s="94" t="n"/>
      <c r="C44" s="94" t="n"/>
      <c r="D44" s="95" t="n"/>
      <c r="E44" s="95" t="n"/>
      <c r="F44" s="96" t="n"/>
      <c r="G44" s="93" t="n"/>
      <c r="H44" s="97" t="n"/>
      <c r="I44" s="98" t="n"/>
      <c r="J44" s="99">
        <f>IF($I44&gt;0,$I44/$H44," ")</f>
        <v/>
      </c>
      <c r="K44" s="100" t="n"/>
      <c r="L44" s="101">
        <f>IF($K44&gt;0,($K44-TODAY())/365," ")</f>
        <v/>
      </c>
      <c r="M44" s="95" t="n"/>
      <c r="N44" s="95" t="n"/>
      <c r="O44" s="95" t="n"/>
      <c r="P44" s="98" t="n"/>
      <c r="Q44" s="102">
        <f>IF($P44&gt;0,IF($I44&gt;0,$I44/$P44," ")," ")</f>
        <v/>
      </c>
      <c r="R44" s="98" t="n"/>
      <c r="S44" s="102">
        <f>IF($R44&gt;0,IF($I44&gt;0,$I44/$R44," ")," ")</f>
        <v/>
      </c>
      <c r="T44" s="95">
        <f>IF($R44&gt;0,IF($P44&gt;0,IF($R44=$P44,"No","Yes")," ")," ")</f>
        <v/>
      </c>
      <c r="U44" s="100" t="n"/>
      <c r="V44" s="97">
        <f>IF($U44&gt;0,TODAY()-$U44," ")</f>
        <v/>
      </c>
      <c r="W44" s="95" t="n"/>
    </row>
    <row r="45" ht="15" customHeight="1" s="46">
      <c r="A45" s="103">
        <f>IFERROR(ROW()-5,"")</f>
        <v/>
      </c>
      <c r="B45" s="104" t="n"/>
      <c r="C45" s="104" t="n"/>
      <c r="D45" s="105" t="n"/>
      <c r="E45" s="105" t="n"/>
      <c r="F45" s="106" t="n"/>
      <c r="G45" s="103" t="n"/>
      <c r="H45" s="107" t="n"/>
      <c r="I45" s="108" t="n"/>
      <c r="J45" s="109">
        <f>IF($I45&gt;0,$I45/$H45," ")</f>
        <v/>
      </c>
      <c r="K45" s="110" t="n"/>
      <c r="L45" s="111">
        <f>IF($K45&gt;0,($K45-TODAY())/365," ")</f>
        <v/>
      </c>
      <c r="M45" s="105" t="n"/>
      <c r="N45" s="105" t="n"/>
      <c r="O45" s="105" t="n"/>
      <c r="P45" s="108" t="n"/>
      <c r="Q45" s="112">
        <f>IF($P45&gt;0,IF($I45&gt;0,$I45/$P45," ")," ")</f>
        <v/>
      </c>
      <c r="R45" s="108" t="n"/>
      <c r="S45" s="112">
        <f>IF($R45&gt;0,IF($I45&gt;0,$I45/$R45," ")," ")</f>
        <v/>
      </c>
      <c r="T45" s="105">
        <f>IF($R45&gt;0,IF($P45&gt;0,IF($R45=$P45,"No","Yes")," ")," ")</f>
        <v/>
      </c>
      <c r="U45" s="110" t="n"/>
      <c r="V45" s="107">
        <f>IF($U45&gt;0,TODAY()-$U45," ")</f>
        <v/>
      </c>
      <c r="W45" s="105" t="n"/>
    </row>
    <row r="46" ht="15" customHeight="1" s="46">
      <c r="A46" s="93">
        <f>IFERROR(ROW()-5,"")</f>
        <v/>
      </c>
      <c r="B46" s="94" t="n"/>
      <c r="C46" s="94" t="n"/>
      <c r="D46" s="95" t="n"/>
      <c r="E46" s="95" t="n"/>
      <c r="F46" s="96" t="n"/>
      <c r="G46" s="93" t="n"/>
      <c r="H46" s="97" t="n"/>
      <c r="I46" s="98" t="n"/>
      <c r="J46" s="99">
        <f>IF($I46&gt;0,$I46/$H46," ")</f>
        <v/>
      </c>
      <c r="K46" s="100" t="n"/>
      <c r="L46" s="101">
        <f>IF($K46&gt;0,($K46-TODAY())/365," ")</f>
        <v/>
      </c>
      <c r="M46" s="95" t="n"/>
      <c r="N46" s="95" t="n"/>
      <c r="O46" s="95" t="n"/>
      <c r="P46" s="98" t="n"/>
      <c r="Q46" s="102">
        <f>IF($P46&gt;0,IF($I46&gt;0,$I46/$P46," ")," ")</f>
        <v/>
      </c>
      <c r="R46" s="98" t="n"/>
      <c r="S46" s="102">
        <f>IF($R46&gt;0,IF($I46&gt;0,$I46/$R46," ")," ")</f>
        <v/>
      </c>
      <c r="T46" s="95">
        <f>IF($R46&gt;0,IF($P46&gt;0,IF($R46=$P46,"No","Yes")," ")," ")</f>
        <v/>
      </c>
      <c r="U46" s="100" t="n"/>
      <c r="V46" s="97">
        <f>IF($U46&gt;0,TODAY()-$U46," ")</f>
        <v/>
      </c>
      <c r="W46" s="95" t="n"/>
    </row>
    <row r="47" ht="15" customHeight="1" s="46">
      <c r="A47" s="103">
        <f>IFERROR(ROW()-5,"")</f>
        <v/>
      </c>
      <c r="B47" s="104" t="n"/>
      <c r="C47" s="104" t="n"/>
      <c r="D47" s="105" t="n"/>
      <c r="E47" s="105" t="n"/>
      <c r="F47" s="106" t="n"/>
      <c r="G47" s="103" t="n"/>
      <c r="H47" s="107" t="n"/>
      <c r="I47" s="108" t="n"/>
      <c r="J47" s="109">
        <f>IF($I47&gt;0,$I47/$H47," ")</f>
        <v/>
      </c>
      <c r="K47" s="110" t="n"/>
      <c r="L47" s="111">
        <f>IF($K47&gt;0,($K47-TODAY())/365," ")</f>
        <v/>
      </c>
      <c r="M47" s="105" t="n"/>
      <c r="N47" s="105" t="n"/>
      <c r="O47" s="105" t="n"/>
      <c r="P47" s="108" t="n"/>
      <c r="Q47" s="112">
        <f>IF($P47&gt;0,IF($I47&gt;0,$I47/$P47," ")," ")</f>
        <v/>
      </c>
      <c r="R47" s="108" t="n"/>
      <c r="S47" s="112">
        <f>IF($R47&gt;0,IF($I47&gt;0,$I47/$R47," ")," ")</f>
        <v/>
      </c>
      <c r="T47" s="105">
        <f>IF($R47&gt;0,IF($P47&gt;0,IF($R47=$P47,"No","Yes")," ")," ")</f>
        <v/>
      </c>
      <c r="U47" s="110" t="n"/>
      <c r="V47" s="107">
        <f>IF($U47&gt;0,TODAY()-$U47," ")</f>
        <v/>
      </c>
      <c r="W47" s="105" t="n"/>
    </row>
    <row r="48" ht="15" customHeight="1" s="46">
      <c r="A48" s="93">
        <f>IFERROR(ROW()-5,"")</f>
        <v/>
      </c>
      <c r="B48" s="94" t="n"/>
      <c r="C48" s="94" t="n"/>
      <c r="D48" s="95" t="n"/>
      <c r="E48" s="95" t="n"/>
      <c r="F48" s="96" t="n"/>
      <c r="G48" s="93" t="n"/>
      <c r="H48" s="97" t="n"/>
      <c r="I48" s="98" t="n"/>
      <c r="J48" s="99">
        <f>IF($I48&gt;0,$I48/$H48," ")</f>
        <v/>
      </c>
      <c r="K48" s="100" t="n"/>
      <c r="L48" s="101">
        <f>IF($K48&gt;0,($K48-TODAY())/365," ")</f>
        <v/>
      </c>
      <c r="M48" s="95" t="n"/>
      <c r="N48" s="95" t="n"/>
      <c r="O48" s="95" t="n"/>
      <c r="P48" s="98" t="n"/>
      <c r="Q48" s="102">
        <f>IF($P48&gt;0,IF($I48&gt;0,$I48/$P48," ")," ")</f>
        <v/>
      </c>
      <c r="R48" s="98" t="n"/>
      <c r="S48" s="102">
        <f>IF($R48&gt;0,IF($I48&gt;0,$I48/$R48," ")," ")</f>
        <v/>
      </c>
      <c r="T48" s="95">
        <f>IF($R48&gt;0,IF($P48&gt;0,IF($R48=$P48,"No","Yes")," ")," ")</f>
        <v/>
      </c>
      <c r="U48" s="100" t="n"/>
      <c r="V48" s="97">
        <f>IF($U48&gt;0,TODAY()-$U48," ")</f>
        <v/>
      </c>
      <c r="W48" s="95" t="n"/>
    </row>
    <row r="49" ht="15" customHeight="1" s="46">
      <c r="A49" s="103">
        <f>IFERROR(ROW()-5,"")</f>
        <v/>
      </c>
      <c r="B49" s="104" t="n"/>
      <c r="C49" s="104" t="n"/>
      <c r="D49" s="105" t="n"/>
      <c r="E49" s="105" t="n"/>
      <c r="F49" s="106" t="n"/>
      <c r="G49" s="103" t="n"/>
      <c r="H49" s="107" t="n"/>
      <c r="I49" s="108" t="n"/>
      <c r="J49" s="109">
        <f>IF($I49&gt;0,$I49/$H49," ")</f>
        <v/>
      </c>
      <c r="K49" s="110" t="n"/>
      <c r="L49" s="111">
        <f>IF($K49&gt;0,($K49-TODAY())/365," ")</f>
        <v/>
      </c>
      <c r="M49" s="105" t="n"/>
      <c r="N49" s="105" t="n"/>
      <c r="O49" s="105" t="n"/>
      <c r="P49" s="108" t="n"/>
      <c r="Q49" s="112">
        <f>IF($P49&gt;0,IF($I49&gt;0,$I49/$P49," ")," ")</f>
        <v/>
      </c>
      <c r="R49" s="108" t="n"/>
      <c r="S49" s="112">
        <f>IF($R49&gt;0,IF($I49&gt;0,$I49/$R49," ")," ")</f>
        <v/>
      </c>
      <c r="T49" s="105">
        <f>IF($R49&gt;0,IF($P49&gt;0,IF($R49=$P49,"No","Yes")," ")," ")</f>
        <v/>
      </c>
      <c r="U49" s="110" t="n"/>
      <c r="V49" s="107">
        <f>IF($U49&gt;0,TODAY()-$U49," ")</f>
        <v/>
      </c>
      <c r="W49" s="105" t="n"/>
    </row>
    <row r="50" ht="15" customHeight="1" s="46">
      <c r="A50" s="93">
        <f>IFERROR(ROW()-5,"")</f>
        <v/>
      </c>
      <c r="B50" s="94" t="n"/>
      <c r="C50" s="94" t="n"/>
      <c r="D50" s="95" t="n"/>
      <c r="E50" s="95" t="n"/>
      <c r="F50" s="96" t="n"/>
      <c r="G50" s="93" t="n"/>
      <c r="H50" s="97" t="n"/>
      <c r="I50" s="98" t="n"/>
      <c r="J50" s="99">
        <f>IF($I50&gt;0,$I50/$H50," ")</f>
        <v/>
      </c>
      <c r="K50" s="100" t="n"/>
      <c r="L50" s="101">
        <f>IF($K50&gt;0,($K50-TODAY())/365," ")</f>
        <v/>
      </c>
      <c r="M50" s="95" t="n"/>
      <c r="N50" s="95" t="n"/>
      <c r="O50" s="95" t="n"/>
      <c r="P50" s="98" t="n"/>
      <c r="Q50" s="102">
        <f>IF($P50&gt;0,IF($I50&gt;0,$I50/$P50," ")," ")</f>
        <v/>
      </c>
      <c r="R50" s="98" t="n"/>
      <c r="S50" s="102">
        <f>IF($R50&gt;0,IF($I50&gt;0,$I50/$R50," ")," ")</f>
        <v/>
      </c>
      <c r="T50" s="95">
        <f>IF($R50&gt;0,IF($P50&gt;0,IF($R50=$P50,"No","Yes")," ")," ")</f>
        <v/>
      </c>
      <c r="U50" s="100" t="n"/>
      <c r="V50" s="97">
        <f>IF($U50&gt;0,TODAY()-$U50," ")</f>
        <v/>
      </c>
      <c r="W50" s="95" t="n"/>
    </row>
    <row r="51" ht="15" customHeight="1" s="46">
      <c r="A51" s="103">
        <f>IFERROR(ROW()-5,"")</f>
        <v/>
      </c>
      <c r="B51" s="104" t="n"/>
      <c r="C51" s="104" t="n"/>
      <c r="D51" s="105" t="n"/>
      <c r="E51" s="105" t="n"/>
      <c r="F51" s="106" t="n"/>
      <c r="G51" s="103" t="n"/>
      <c r="H51" s="107" t="n"/>
      <c r="I51" s="108" t="n"/>
      <c r="J51" s="109">
        <f>IF($I51&gt;0,$I51/$H51," ")</f>
        <v/>
      </c>
      <c r="K51" s="110" t="n"/>
      <c r="L51" s="111">
        <f>IF($K51&gt;0,($K51-TODAY())/365," ")</f>
        <v/>
      </c>
      <c r="M51" s="105" t="n"/>
      <c r="N51" s="105" t="n"/>
      <c r="O51" s="105" t="n"/>
      <c r="P51" s="108" t="n"/>
      <c r="Q51" s="112">
        <f>IF($P51&gt;0,IF($I51&gt;0,$I51/$P51," ")," ")</f>
        <v/>
      </c>
      <c r="R51" s="108" t="n"/>
      <c r="S51" s="112">
        <f>IF($R51&gt;0,IF($I51&gt;0,$I51/$R51," ")," ")</f>
        <v/>
      </c>
      <c r="T51" s="105">
        <f>IF($R51&gt;0,IF($P51&gt;0,IF($R51=$P51,"No","Yes")," ")," ")</f>
        <v/>
      </c>
      <c r="U51" s="110" t="n"/>
      <c r="V51" s="107">
        <f>IF($U51&gt;0,TODAY()-$U51," ")</f>
        <v/>
      </c>
      <c r="W51" s="105" t="n"/>
    </row>
    <row r="52" ht="15" customHeight="1" s="46">
      <c r="A52" s="93">
        <f>IFERROR(ROW()-5,"")</f>
        <v/>
      </c>
      <c r="B52" s="94" t="n"/>
      <c r="C52" s="94" t="n"/>
      <c r="D52" s="95" t="n"/>
      <c r="E52" s="95" t="n"/>
      <c r="F52" s="96" t="n"/>
      <c r="G52" s="93" t="n"/>
      <c r="H52" s="97" t="n"/>
      <c r="I52" s="98" t="n"/>
      <c r="J52" s="99">
        <f>IF($I52&gt;0,$I52/$H52," ")</f>
        <v/>
      </c>
      <c r="K52" s="100" t="n"/>
      <c r="L52" s="101">
        <f>IF($K52&gt;0,($K52-TODAY())/365," ")</f>
        <v/>
      </c>
      <c r="M52" s="95" t="n"/>
      <c r="N52" s="95" t="n"/>
      <c r="O52" s="95" t="n"/>
      <c r="P52" s="98" t="n"/>
      <c r="Q52" s="102">
        <f>IF($P52&gt;0,IF($I52&gt;0,$I52/$P52," ")," ")</f>
        <v/>
      </c>
      <c r="R52" s="98" t="n"/>
      <c r="S52" s="102">
        <f>IF($R52&gt;0,IF($I52&gt;0,$I52/$R52," ")," ")</f>
        <v/>
      </c>
      <c r="T52" s="95">
        <f>IF($R52&gt;0,IF($P52&gt;0,IF($R52=$P52,"No","Yes")," ")," ")</f>
        <v/>
      </c>
      <c r="U52" s="100" t="n"/>
      <c r="V52" s="97">
        <f>IF($U52&gt;0,TODAY()-$U52," ")</f>
        <v/>
      </c>
      <c r="W52" s="95" t="n"/>
    </row>
    <row r="53" ht="15" customHeight="1" s="46">
      <c r="A53" s="103">
        <f>IFERROR(ROW()-5,"")</f>
        <v/>
      </c>
      <c r="B53" s="104" t="n"/>
      <c r="C53" s="104" t="n"/>
      <c r="D53" s="105" t="n"/>
      <c r="E53" s="105" t="n"/>
      <c r="F53" s="106" t="n"/>
      <c r="G53" s="103" t="n"/>
      <c r="H53" s="107" t="n"/>
      <c r="I53" s="108" t="n"/>
      <c r="J53" s="109">
        <f>IF($I53&gt;0,$I53/$H53," ")</f>
        <v/>
      </c>
      <c r="K53" s="110" t="n"/>
      <c r="L53" s="111">
        <f>IF($K53&gt;0,($K53-TODAY())/365," ")</f>
        <v/>
      </c>
      <c r="M53" s="105" t="n"/>
      <c r="N53" s="105" t="n"/>
      <c r="O53" s="105" t="n"/>
      <c r="P53" s="108" t="n"/>
      <c r="Q53" s="112">
        <f>IF($P53&gt;0,IF($I53&gt;0,$I53/$P53," ")," ")</f>
        <v/>
      </c>
      <c r="R53" s="108" t="n"/>
      <c r="S53" s="112">
        <f>IF($R53&gt;0,IF($I53&gt;0,$I53/$R53," ")," ")</f>
        <v/>
      </c>
      <c r="T53" s="105">
        <f>IF($R53&gt;0,IF($P53&gt;0,IF($R53=$P53,"No","Yes")," ")," ")</f>
        <v/>
      </c>
      <c r="U53" s="110" t="n"/>
      <c r="V53" s="107">
        <f>IF($U53&gt;0,TODAY()-$U53," ")</f>
        <v/>
      </c>
      <c r="W53" s="105" t="n"/>
    </row>
    <row r="54" ht="15" customHeight="1" s="46">
      <c r="A54" s="93">
        <f>IFERROR(ROW()-5,"")</f>
        <v/>
      </c>
      <c r="B54" s="94" t="n"/>
      <c r="C54" s="94" t="n"/>
      <c r="D54" s="95" t="n"/>
      <c r="E54" s="95" t="n"/>
      <c r="F54" s="96" t="n"/>
      <c r="G54" s="93" t="n"/>
      <c r="H54" s="97" t="n"/>
      <c r="I54" s="98" t="n"/>
      <c r="J54" s="99">
        <f>IF($I54&gt;0,$I54/$H54," ")</f>
        <v/>
      </c>
      <c r="K54" s="100" t="n"/>
      <c r="L54" s="101">
        <f>IF($K54&gt;0,($K54-TODAY())/365," ")</f>
        <v/>
      </c>
      <c r="M54" s="95" t="n"/>
      <c r="N54" s="95" t="n"/>
      <c r="O54" s="95" t="n"/>
      <c r="P54" s="98" t="n"/>
      <c r="Q54" s="102">
        <f>IF($P54&gt;0,IF($I54&gt;0,$I54/$P54," ")," ")</f>
        <v/>
      </c>
      <c r="R54" s="98" t="n"/>
      <c r="S54" s="102">
        <f>IF($R54&gt;0,IF($I54&gt;0,$I54/$R54," ")," ")</f>
        <v/>
      </c>
      <c r="T54" s="95">
        <f>IF($R54&gt;0,IF($P54&gt;0,IF($R54=$P54,"No","Yes")," ")," ")</f>
        <v/>
      </c>
      <c r="U54" s="100" t="n"/>
      <c r="V54" s="97">
        <f>IF($U54&gt;0,TODAY()-$U54," ")</f>
        <v/>
      </c>
      <c r="W54" s="95" t="n"/>
    </row>
    <row r="55" ht="15" customHeight="1" s="46">
      <c r="A55" s="103">
        <f>IFERROR(ROW()-5,"")</f>
        <v/>
      </c>
      <c r="B55" s="104" t="n"/>
      <c r="C55" s="104" t="n"/>
      <c r="D55" s="105" t="n"/>
      <c r="E55" s="105" t="n"/>
      <c r="F55" s="106" t="n"/>
      <c r="G55" s="103" t="n"/>
      <c r="H55" s="107" t="n"/>
      <c r="I55" s="108" t="n"/>
      <c r="J55" s="109">
        <f>IF($I55&gt;0,$I55/$H55," ")</f>
        <v/>
      </c>
      <c r="K55" s="110" t="n"/>
      <c r="L55" s="111">
        <f>IF($K55&gt;0,($K55-TODAY())/365," ")</f>
        <v/>
      </c>
      <c r="M55" s="105" t="n"/>
      <c r="N55" s="105" t="n"/>
      <c r="O55" s="105" t="n"/>
      <c r="P55" s="108" t="n"/>
      <c r="Q55" s="112">
        <f>IF($P55&gt;0,IF($I55&gt;0,$I55/$P55," ")," ")</f>
        <v/>
      </c>
      <c r="R55" s="108" t="n"/>
      <c r="S55" s="112">
        <f>IF($R55&gt;0,IF($I55&gt;0,$I55/$R55," ")," ")</f>
        <v/>
      </c>
      <c r="T55" s="105">
        <f>IF($R55&gt;0,IF($P55&gt;0,IF($R55=$P55,"No","Yes")," ")," ")</f>
        <v/>
      </c>
      <c r="U55" s="110" t="n"/>
      <c r="V55" s="107">
        <f>IF($U55&gt;0,TODAY()-$U55," ")</f>
        <v/>
      </c>
      <c r="W55" s="105" t="n"/>
    </row>
    <row r="56" ht="15" customHeight="1" s="46">
      <c r="A56" s="93">
        <f>IFERROR(ROW()-5,"")</f>
        <v/>
      </c>
      <c r="B56" s="94" t="n"/>
      <c r="C56" s="94" t="n"/>
      <c r="D56" s="95" t="n"/>
      <c r="E56" s="95" t="n"/>
      <c r="F56" s="96" t="n"/>
      <c r="G56" s="93" t="n"/>
      <c r="H56" s="97" t="n"/>
      <c r="I56" s="98" t="n"/>
      <c r="J56" s="99">
        <f>IF($I56&gt;0,$I56/$H56," ")</f>
        <v/>
      </c>
      <c r="K56" s="100" t="n"/>
      <c r="L56" s="101">
        <f>IF($K56&gt;0,($K56-TODAY())/365," ")</f>
        <v/>
      </c>
      <c r="M56" s="95" t="n"/>
      <c r="N56" s="95" t="n"/>
      <c r="O56" s="95" t="n"/>
      <c r="P56" s="98" t="n"/>
      <c r="Q56" s="102">
        <f>IF($P56&gt;0,IF($I56&gt;0,$I56/$P56," ")," ")</f>
        <v/>
      </c>
      <c r="R56" s="98" t="n"/>
      <c r="S56" s="102">
        <f>IF($R56&gt;0,IF($I56&gt;0,$I56/$R56," ")," ")</f>
        <v/>
      </c>
      <c r="T56" s="95">
        <f>IF($R56&gt;0,IF($P56&gt;0,IF($R56=$P56,"No","Yes")," ")," ")</f>
        <v/>
      </c>
      <c r="U56" s="100" t="n"/>
      <c r="V56" s="97">
        <f>IF($U56&gt;0,TODAY()-$U56," ")</f>
        <v/>
      </c>
      <c r="W56" s="95" t="n"/>
    </row>
    <row r="57" ht="15" customHeight="1" s="46">
      <c r="A57" s="103">
        <f>IFERROR(ROW()-5,"")</f>
        <v/>
      </c>
      <c r="B57" s="104" t="n"/>
      <c r="C57" s="104" t="n"/>
      <c r="D57" s="105" t="n"/>
      <c r="E57" s="105" t="n"/>
      <c r="F57" s="106" t="n"/>
      <c r="G57" s="103" t="n"/>
      <c r="H57" s="107" t="n"/>
      <c r="I57" s="108" t="n"/>
      <c r="J57" s="109">
        <f>IF($I57&gt;0,$I57/$H57," ")</f>
        <v/>
      </c>
      <c r="K57" s="110" t="n"/>
      <c r="L57" s="111">
        <f>IF($K57&gt;0,($K57-TODAY())/365," ")</f>
        <v/>
      </c>
      <c r="M57" s="105" t="n"/>
      <c r="N57" s="105" t="n"/>
      <c r="O57" s="105" t="n"/>
      <c r="P57" s="108" t="n"/>
      <c r="Q57" s="112">
        <f>IF($P57&gt;0,IF($I57&gt;0,$I57/$P57," ")," ")</f>
        <v/>
      </c>
      <c r="R57" s="108" t="n"/>
      <c r="S57" s="112">
        <f>IF($R57&gt;0,IF($I57&gt;0,$I57/$R57," ")," ")</f>
        <v/>
      </c>
      <c r="T57" s="105">
        <f>IF($R57&gt;0,IF($P57&gt;0,IF($R57=$P57,"No","Yes")," ")," ")</f>
        <v/>
      </c>
      <c r="U57" s="110" t="n"/>
      <c r="V57" s="107">
        <f>IF($U57&gt;0,TODAY()-$U57," ")</f>
        <v/>
      </c>
      <c r="W57" s="105" t="n"/>
    </row>
    <row r="58" ht="15" customHeight="1" s="46">
      <c r="A58" s="93">
        <f>IFERROR(ROW()-5,"")</f>
        <v/>
      </c>
      <c r="B58" s="94" t="n"/>
      <c r="C58" s="94" t="n"/>
      <c r="D58" s="95" t="n"/>
      <c r="E58" s="95" t="n"/>
      <c r="F58" s="96" t="n"/>
      <c r="G58" s="93" t="n"/>
      <c r="H58" s="97" t="n"/>
      <c r="I58" s="98" t="n"/>
      <c r="J58" s="99">
        <f>IF($I58&gt;0,$I58/$H58," ")</f>
        <v/>
      </c>
      <c r="K58" s="100" t="n"/>
      <c r="L58" s="101">
        <f>IF($K58&gt;0,($K58-TODAY())/365," ")</f>
        <v/>
      </c>
      <c r="M58" s="95" t="n"/>
      <c r="N58" s="95" t="n"/>
      <c r="O58" s="95" t="n"/>
      <c r="P58" s="98" t="n"/>
      <c r="Q58" s="102">
        <f>IF($P58&gt;0,IF($I58&gt;0,$I58/$P58," ")," ")</f>
        <v/>
      </c>
      <c r="R58" s="98" t="n"/>
      <c r="S58" s="102">
        <f>IF($R58&gt;0,IF($I58&gt;0,$I58/$R58," ")," ")</f>
        <v/>
      </c>
      <c r="T58" s="95">
        <f>IF($R58&gt;0,IF($P58&gt;0,IF($R58=$P58,"No","Yes")," ")," ")</f>
        <v/>
      </c>
      <c r="U58" s="100" t="n"/>
      <c r="V58" s="97">
        <f>IF($U58&gt;0,TODAY()-$U58," ")</f>
        <v/>
      </c>
      <c r="W58" s="95" t="n"/>
    </row>
    <row r="59" ht="15" customHeight="1" s="46">
      <c r="A59" s="103">
        <f>IFERROR(ROW()-5,"")</f>
        <v/>
      </c>
      <c r="B59" s="104" t="n"/>
      <c r="C59" s="104" t="n"/>
      <c r="D59" s="105" t="n"/>
      <c r="E59" s="105" t="n"/>
      <c r="F59" s="106" t="n"/>
      <c r="G59" s="103" t="n"/>
      <c r="H59" s="107" t="n"/>
      <c r="I59" s="108" t="n"/>
      <c r="J59" s="109">
        <f>IF($I59&gt;0,$I59/$H59," ")</f>
        <v/>
      </c>
      <c r="K59" s="110" t="n"/>
      <c r="L59" s="111">
        <f>IF($K59&gt;0,($K59-TODAY())/365," ")</f>
        <v/>
      </c>
      <c r="M59" s="105" t="n"/>
      <c r="N59" s="105" t="n"/>
      <c r="O59" s="105" t="n"/>
      <c r="P59" s="108" t="n"/>
      <c r="Q59" s="112">
        <f>IF($P59&gt;0,IF($I59&gt;0,$I59/$P59," ")," ")</f>
        <v/>
      </c>
      <c r="R59" s="108" t="n"/>
      <c r="S59" s="112">
        <f>IF($R59&gt;0,IF($I59&gt;0,$I59/$R59," ")," ")</f>
        <v/>
      </c>
      <c r="T59" s="105">
        <f>IF($R59&gt;0,IF($P59&gt;0,IF($R59=$P59,"No","Yes")," ")," ")</f>
        <v/>
      </c>
      <c r="U59" s="110" t="n"/>
      <c r="V59" s="107">
        <f>IF($U59&gt;0,TODAY()-$U59," ")</f>
        <v/>
      </c>
      <c r="W59" s="105" t="n"/>
    </row>
    <row r="60" ht="15" customHeight="1" s="46">
      <c r="A60" s="93">
        <f>IFERROR(ROW()-5,"")</f>
        <v/>
      </c>
      <c r="B60" s="94" t="n"/>
      <c r="C60" s="94" t="n"/>
      <c r="D60" s="95" t="n"/>
      <c r="E60" s="95" t="n"/>
      <c r="F60" s="96" t="n"/>
      <c r="G60" s="93" t="n"/>
      <c r="H60" s="97" t="n"/>
      <c r="I60" s="98" t="n"/>
      <c r="J60" s="99">
        <f>IF($I60&gt;0,$I60/$H60," ")</f>
        <v/>
      </c>
      <c r="K60" s="100" t="n"/>
      <c r="L60" s="101">
        <f>IF($K60&gt;0,($K60-TODAY())/365," ")</f>
        <v/>
      </c>
      <c r="M60" s="95" t="n"/>
      <c r="N60" s="95" t="n"/>
      <c r="O60" s="95" t="n"/>
      <c r="P60" s="98" t="n"/>
      <c r="Q60" s="102">
        <f>IF($P60&gt;0,IF($I60&gt;0,$I60/$P60," ")," ")</f>
        <v/>
      </c>
      <c r="R60" s="98" t="n"/>
      <c r="S60" s="102">
        <f>IF($R60&gt;0,IF($I60&gt;0,$I60/$R60," ")," ")</f>
        <v/>
      </c>
      <c r="T60" s="95">
        <f>IF($R60&gt;0,IF($P60&gt;0,IF($R60=$P60,"No","Yes")," ")," ")</f>
        <v/>
      </c>
      <c r="U60" s="100" t="n"/>
      <c r="V60" s="97">
        <f>IF($U60&gt;0,TODAY()-$U60," ")</f>
        <v/>
      </c>
      <c r="W60" s="95" t="n"/>
    </row>
    <row r="61" ht="15" customHeight="1" s="46">
      <c r="A61" s="103">
        <f>IFERROR(ROW()-5,"")</f>
        <v/>
      </c>
      <c r="B61" s="104" t="n"/>
      <c r="C61" s="104" t="n"/>
      <c r="D61" s="105" t="n"/>
      <c r="E61" s="105" t="n"/>
      <c r="F61" s="106" t="n"/>
      <c r="G61" s="103" t="n"/>
      <c r="H61" s="107" t="n"/>
      <c r="I61" s="108" t="n"/>
      <c r="J61" s="109">
        <f>IF($I61&gt;0,$I61/$H61," ")</f>
        <v/>
      </c>
      <c r="K61" s="110" t="n"/>
      <c r="L61" s="111">
        <f>IF($K61&gt;0,($K61-TODAY())/365," ")</f>
        <v/>
      </c>
      <c r="M61" s="105" t="n"/>
      <c r="N61" s="105" t="n"/>
      <c r="O61" s="105" t="n"/>
      <c r="P61" s="108" t="n"/>
      <c r="Q61" s="112">
        <f>IF($P61&gt;0,IF($I61&gt;0,$I61/$P61," ")," ")</f>
        <v/>
      </c>
      <c r="R61" s="108" t="n"/>
      <c r="S61" s="112">
        <f>IF($R61&gt;0,IF($I61&gt;0,$I61/$R61," ")," ")</f>
        <v/>
      </c>
      <c r="T61" s="105">
        <f>IF($R61&gt;0,IF($P61&gt;0,IF($R61=$P61,"No","Yes")," ")," ")</f>
        <v/>
      </c>
      <c r="U61" s="110" t="n"/>
      <c r="V61" s="107">
        <f>IF($U61&gt;0,TODAY()-$U61," ")</f>
        <v/>
      </c>
      <c r="W61" s="105" t="n"/>
    </row>
    <row r="62" ht="15" customHeight="1" s="46">
      <c r="A62" s="93">
        <f>IFERROR(ROW()-5,"")</f>
        <v/>
      </c>
      <c r="B62" s="94" t="n"/>
      <c r="C62" s="94" t="n"/>
      <c r="D62" s="95" t="n"/>
      <c r="E62" s="95" t="n"/>
      <c r="F62" s="96" t="n"/>
      <c r="G62" s="93" t="n"/>
      <c r="H62" s="97" t="n"/>
      <c r="I62" s="98" t="n"/>
      <c r="J62" s="99">
        <f>IF($I62&gt;0,$I62/$H62," ")</f>
        <v/>
      </c>
      <c r="K62" s="100" t="n"/>
      <c r="L62" s="101">
        <f>IF($K62&gt;0,($K62-TODAY())/365," ")</f>
        <v/>
      </c>
      <c r="M62" s="95" t="n"/>
      <c r="N62" s="95" t="n"/>
      <c r="O62" s="95" t="n"/>
      <c r="P62" s="98" t="n"/>
      <c r="Q62" s="102">
        <f>IF($P62&gt;0,IF($I62&gt;0,$I62/$P62," ")," ")</f>
        <v/>
      </c>
      <c r="R62" s="98" t="n"/>
      <c r="S62" s="102">
        <f>IF($R62&gt;0,IF($I62&gt;0,$I62/$R62," ")," ")</f>
        <v/>
      </c>
      <c r="T62" s="95">
        <f>IF($R62&gt;0,IF($P62&gt;0,IF($R62=$P62,"No","Yes")," ")," ")</f>
        <v/>
      </c>
      <c r="U62" s="100" t="n"/>
      <c r="V62" s="97">
        <f>IF($U62&gt;0,TODAY()-$U62," ")</f>
        <v/>
      </c>
      <c r="W62" s="95" t="n"/>
    </row>
    <row r="63" ht="15" customHeight="1" s="46">
      <c r="A63" s="103">
        <f>IFERROR(ROW()-5,"")</f>
        <v/>
      </c>
      <c r="B63" s="104" t="n"/>
      <c r="C63" s="104" t="n"/>
      <c r="D63" s="105" t="n"/>
      <c r="E63" s="105" t="n"/>
      <c r="F63" s="106" t="n"/>
      <c r="G63" s="103" t="n"/>
      <c r="H63" s="107" t="n"/>
      <c r="I63" s="108" t="n"/>
      <c r="J63" s="109">
        <f>IF($I63&gt;0,$I63/$H63," ")</f>
        <v/>
      </c>
      <c r="K63" s="110" t="n"/>
      <c r="L63" s="111">
        <f>IF($K63&gt;0,($K63-TODAY())/365," ")</f>
        <v/>
      </c>
      <c r="M63" s="105" t="n"/>
      <c r="N63" s="105" t="n"/>
      <c r="O63" s="105" t="n"/>
      <c r="P63" s="108" t="n"/>
      <c r="Q63" s="112">
        <f>IF($P63&gt;0,IF($I63&gt;0,$I63/$P63," ")," ")</f>
        <v/>
      </c>
      <c r="R63" s="108" t="n"/>
      <c r="S63" s="112">
        <f>IF($R63&gt;0,IF($I63&gt;0,$I63/$R63," ")," ")</f>
        <v/>
      </c>
      <c r="T63" s="105">
        <f>IF($R63&gt;0,IF($P63&gt;0,IF($R63=$P63,"No","Yes")," ")," ")</f>
        <v/>
      </c>
      <c r="U63" s="110" t="n"/>
      <c r="V63" s="107">
        <f>IF($U63&gt;0,TODAY()-$U63," ")</f>
        <v/>
      </c>
      <c r="W63" s="105" t="n"/>
    </row>
    <row r="64" ht="15" customHeight="1" s="46">
      <c r="A64" s="93">
        <f>IFERROR(ROW()-5,"")</f>
        <v/>
      </c>
      <c r="B64" s="94" t="n"/>
      <c r="C64" s="94" t="n"/>
      <c r="D64" s="95" t="n"/>
      <c r="E64" s="95" t="n"/>
      <c r="F64" s="96" t="n"/>
      <c r="G64" s="93" t="n"/>
      <c r="H64" s="97" t="n"/>
      <c r="I64" s="98" t="n"/>
      <c r="J64" s="99">
        <f>IF($I64&gt;0,$I64/$H64," ")</f>
        <v/>
      </c>
      <c r="K64" s="100" t="n"/>
      <c r="L64" s="101">
        <f>IF($K64&gt;0,($K64-TODAY())/365," ")</f>
        <v/>
      </c>
      <c r="M64" s="95" t="n"/>
      <c r="N64" s="95" t="n"/>
      <c r="O64" s="95" t="n"/>
      <c r="P64" s="98" t="n"/>
      <c r="Q64" s="102">
        <f>IF($P64&gt;0,IF($I64&gt;0,$I64/$P64," ")," ")</f>
        <v/>
      </c>
      <c r="R64" s="98" t="n"/>
      <c r="S64" s="102">
        <f>IF($R64&gt;0,IF($I64&gt;0,$I64/$R64," ")," ")</f>
        <v/>
      </c>
      <c r="T64" s="95">
        <f>IF($R64&gt;0,IF($P64&gt;0,IF($R64=$P64,"No","Yes")," ")," ")</f>
        <v/>
      </c>
      <c r="U64" s="100" t="n"/>
      <c r="V64" s="97">
        <f>IF($U64&gt;0,TODAY()-$U64," ")</f>
        <v/>
      </c>
      <c r="W64" s="95" t="n"/>
    </row>
    <row r="65" ht="15" customHeight="1" s="46">
      <c r="A65" s="103">
        <f>IFERROR(ROW()-5,"")</f>
        <v/>
      </c>
      <c r="B65" s="104" t="n"/>
      <c r="C65" s="104" t="n"/>
      <c r="D65" s="105" t="n"/>
      <c r="E65" s="105" t="n"/>
      <c r="F65" s="106" t="n"/>
      <c r="G65" s="103" t="n"/>
      <c r="H65" s="107" t="n"/>
      <c r="I65" s="108" t="n"/>
      <c r="J65" s="109">
        <f>IF($I65&gt;0,$I65/$H65," ")</f>
        <v/>
      </c>
      <c r="K65" s="110" t="n"/>
      <c r="L65" s="111">
        <f>IF($K65&gt;0,($K65-TODAY())/365," ")</f>
        <v/>
      </c>
      <c r="M65" s="105" t="n"/>
      <c r="N65" s="105" t="n"/>
      <c r="O65" s="105" t="n"/>
      <c r="P65" s="108" t="n"/>
      <c r="Q65" s="112">
        <f>IF($P65&gt;0,IF($I65&gt;0,$I65/$P65," ")," ")</f>
        <v/>
      </c>
      <c r="R65" s="108" t="n"/>
      <c r="S65" s="112">
        <f>IF($R65&gt;0,IF($I65&gt;0,$I65/$R65," ")," ")</f>
        <v/>
      </c>
      <c r="T65" s="105">
        <f>IF($R65&gt;0,IF($P65&gt;0,IF($R65=$P65,"No","Yes")," ")," ")</f>
        <v/>
      </c>
      <c r="U65" s="110" t="n"/>
      <c r="V65" s="107">
        <f>IF($U65&gt;0,TODAY()-$U65," ")</f>
        <v/>
      </c>
      <c r="W65" s="105" t="n"/>
    </row>
    <row r="66" ht="15" customHeight="1" s="46">
      <c r="A66" s="93">
        <f>IFERROR(ROW()-5,"")</f>
        <v/>
      </c>
      <c r="B66" s="94" t="n"/>
      <c r="C66" s="94" t="n"/>
      <c r="D66" s="95" t="n"/>
      <c r="E66" s="95" t="n"/>
      <c r="F66" s="96" t="n"/>
      <c r="G66" s="93" t="n"/>
      <c r="H66" s="97" t="n"/>
      <c r="I66" s="98" t="n"/>
      <c r="J66" s="99">
        <f>IF($I66&gt;0,$I66/$H66," ")</f>
        <v/>
      </c>
      <c r="K66" s="100" t="n"/>
      <c r="L66" s="101">
        <f>IF($K66&gt;0,($K66-TODAY())/365," ")</f>
        <v/>
      </c>
      <c r="M66" s="95" t="n"/>
      <c r="N66" s="95" t="n"/>
      <c r="O66" s="95" t="n"/>
      <c r="P66" s="98" t="n"/>
      <c r="Q66" s="102">
        <f>IF($P66&gt;0,IF($I66&gt;0,$I66/$P66," ")," ")</f>
        <v/>
      </c>
      <c r="R66" s="98" t="n"/>
      <c r="S66" s="102">
        <f>IF($R66&gt;0,IF($I66&gt;0,$I66/$R66," ")," ")</f>
        <v/>
      </c>
      <c r="T66" s="95">
        <f>IF($R66&gt;0,IF($P66&gt;0,IF($R66=$P66,"No","Yes")," ")," ")</f>
        <v/>
      </c>
      <c r="U66" s="100" t="n"/>
      <c r="V66" s="97">
        <f>IF($U66&gt;0,TODAY()-$U66," ")</f>
        <v/>
      </c>
      <c r="W66" s="95" t="n"/>
    </row>
    <row r="67" ht="15" customHeight="1" s="46">
      <c r="A67" s="103">
        <f>IFERROR(ROW()-5,"")</f>
        <v/>
      </c>
      <c r="B67" s="104" t="n"/>
      <c r="C67" s="104" t="n"/>
      <c r="D67" s="105" t="n"/>
      <c r="E67" s="105" t="n"/>
      <c r="F67" s="106" t="n"/>
      <c r="G67" s="103" t="n"/>
      <c r="H67" s="107" t="n"/>
      <c r="I67" s="108" t="n"/>
      <c r="J67" s="109">
        <f>IF($I67&gt;0,$I67/$H67," ")</f>
        <v/>
      </c>
      <c r="K67" s="110" t="n"/>
      <c r="L67" s="111">
        <f>IF($K67&gt;0,($K67-TODAY())/365," ")</f>
        <v/>
      </c>
      <c r="M67" s="105" t="n"/>
      <c r="N67" s="105" t="n"/>
      <c r="O67" s="105" t="n"/>
      <c r="P67" s="108" t="n"/>
      <c r="Q67" s="112">
        <f>IF($P67&gt;0,IF($I67&gt;0,$I67/$P67," ")," ")</f>
        <v/>
      </c>
      <c r="R67" s="108" t="n"/>
      <c r="S67" s="112">
        <f>IF($R67&gt;0,IF($I67&gt;0,$I67/$R67," ")," ")</f>
        <v/>
      </c>
      <c r="T67" s="105">
        <f>IF($R67&gt;0,IF($P67&gt;0,IF($R67=$P67,"No","Yes")," ")," ")</f>
        <v/>
      </c>
      <c r="U67" s="110" t="n"/>
      <c r="V67" s="107">
        <f>IF($U67&gt;0,TODAY()-$U67," ")</f>
        <v/>
      </c>
      <c r="W67" s="105" t="n"/>
    </row>
    <row r="68" ht="15" customHeight="1" s="46">
      <c r="A68" s="93">
        <f>IFERROR(ROW()-5,"")</f>
        <v/>
      </c>
      <c r="B68" s="94" t="n"/>
      <c r="C68" s="94" t="n"/>
      <c r="D68" s="95" t="n"/>
      <c r="E68" s="95" t="n"/>
      <c r="F68" s="96" t="n"/>
      <c r="G68" s="93" t="n"/>
      <c r="H68" s="97" t="n"/>
      <c r="I68" s="98" t="n"/>
      <c r="J68" s="99">
        <f>IF($I68&gt;0,$I68/$H68," ")</f>
        <v/>
      </c>
      <c r="K68" s="100" t="n"/>
      <c r="L68" s="101">
        <f>IF($K68&gt;0,($K68-TODAY())/365," ")</f>
        <v/>
      </c>
      <c r="M68" s="95" t="n"/>
      <c r="N68" s="95" t="n"/>
      <c r="O68" s="95" t="n"/>
      <c r="P68" s="98" t="n"/>
      <c r="Q68" s="102">
        <f>IF($P68&gt;0,IF($I68&gt;0,$I68/$P68," ")," ")</f>
        <v/>
      </c>
      <c r="R68" s="98" t="n"/>
      <c r="S68" s="102">
        <f>IF($R68&gt;0,IF($I68&gt;0,$I68/$R68," ")," ")</f>
        <v/>
      </c>
      <c r="T68" s="95">
        <f>IF($R68&gt;0,IF($P68&gt;0,IF($R68=$P68,"No","Yes")," ")," ")</f>
        <v/>
      </c>
      <c r="U68" s="100" t="n"/>
      <c r="V68" s="97">
        <f>IF($U68&gt;0,TODAY()-$U68," ")</f>
        <v/>
      </c>
      <c r="W68" s="95" t="n"/>
    </row>
    <row r="69" ht="15" customHeight="1" s="46">
      <c r="A69" s="103">
        <f>IFERROR(ROW()-5,"")</f>
        <v/>
      </c>
      <c r="B69" s="104" t="n"/>
      <c r="C69" s="104" t="n"/>
      <c r="D69" s="105" t="n"/>
      <c r="E69" s="105" t="n"/>
      <c r="F69" s="106" t="n"/>
      <c r="G69" s="103" t="n"/>
      <c r="H69" s="107" t="n"/>
      <c r="I69" s="108" t="n"/>
      <c r="J69" s="109">
        <f>IF($I69&gt;0,$I69/$H69," ")</f>
        <v/>
      </c>
      <c r="K69" s="110" t="n"/>
      <c r="L69" s="111">
        <f>IF($K69&gt;0,($K69-TODAY())/365," ")</f>
        <v/>
      </c>
      <c r="M69" s="105" t="n"/>
      <c r="N69" s="105" t="n"/>
      <c r="O69" s="105" t="n"/>
      <c r="P69" s="108" t="n"/>
      <c r="Q69" s="112">
        <f>IF($P69&gt;0,IF($I69&gt;0,$I69/$P69," ")," ")</f>
        <v/>
      </c>
      <c r="R69" s="108" t="n"/>
      <c r="S69" s="112">
        <f>IF($R69&gt;0,IF($I69&gt;0,$I69/$R69," ")," ")</f>
        <v/>
      </c>
      <c r="T69" s="105">
        <f>IF($R69&gt;0,IF($P69&gt;0,IF($R69=$P69,"No","Yes")," ")," ")</f>
        <v/>
      </c>
      <c r="U69" s="110" t="n"/>
      <c r="V69" s="107">
        <f>IF($U69&gt;0,TODAY()-$U69," ")</f>
        <v/>
      </c>
      <c r="W69" s="105" t="n"/>
    </row>
    <row r="70" ht="15" customHeight="1" s="46">
      <c r="A70" s="93">
        <f>IFERROR(ROW()-5,"")</f>
        <v/>
      </c>
      <c r="B70" s="94" t="n"/>
      <c r="C70" s="94" t="n"/>
      <c r="D70" s="95" t="n"/>
      <c r="E70" s="95" t="n"/>
      <c r="F70" s="96" t="n"/>
      <c r="G70" s="93" t="n"/>
      <c r="H70" s="97" t="n"/>
      <c r="I70" s="98" t="n"/>
      <c r="J70" s="99">
        <f>IF($I70&gt;0,$I70/$H70," ")</f>
        <v/>
      </c>
      <c r="K70" s="100" t="n"/>
      <c r="L70" s="101">
        <f>IF($K70&gt;0,($K70-TODAY())/365," ")</f>
        <v/>
      </c>
      <c r="M70" s="95" t="n"/>
      <c r="N70" s="95" t="n"/>
      <c r="O70" s="95" t="n"/>
      <c r="P70" s="98" t="n"/>
      <c r="Q70" s="102">
        <f>IF($P70&gt;0,IF($I70&gt;0,$I70/$P70," ")," ")</f>
        <v/>
      </c>
      <c r="R70" s="98" t="n"/>
      <c r="S70" s="102">
        <f>IF($R70&gt;0,IF($I70&gt;0,$I70/$R70," ")," ")</f>
        <v/>
      </c>
      <c r="T70" s="95">
        <f>IF($R70&gt;0,IF($P70&gt;0,IF($R70=$P70,"No","Yes")," ")," ")</f>
        <v/>
      </c>
      <c r="U70" s="100" t="n"/>
      <c r="V70" s="97">
        <f>IF($U70&gt;0,TODAY()-$U70," ")</f>
        <v/>
      </c>
      <c r="W70" s="95" t="n"/>
    </row>
    <row r="71" ht="15" customHeight="1" s="46">
      <c r="A71" s="103">
        <f>IFERROR(ROW()-5,"")</f>
        <v/>
      </c>
      <c r="B71" s="104" t="n"/>
      <c r="C71" s="104" t="n"/>
      <c r="D71" s="105" t="n"/>
      <c r="E71" s="105" t="n"/>
      <c r="F71" s="106" t="n"/>
      <c r="G71" s="103" t="n"/>
      <c r="H71" s="107" t="n"/>
      <c r="I71" s="108" t="n"/>
      <c r="J71" s="109">
        <f>IF($I71&gt;0,$I71/$H71," ")</f>
        <v/>
      </c>
      <c r="K71" s="110" t="n"/>
      <c r="L71" s="111">
        <f>IF($K71&gt;0,($K71-TODAY())/365," ")</f>
        <v/>
      </c>
      <c r="M71" s="105" t="n"/>
      <c r="N71" s="105" t="n"/>
      <c r="O71" s="105" t="n"/>
      <c r="P71" s="108" t="n"/>
      <c r="Q71" s="112">
        <f>IF($P71&gt;0,IF($I71&gt;0,$I71/$P71," ")," ")</f>
        <v/>
      </c>
      <c r="R71" s="108" t="n"/>
      <c r="S71" s="112">
        <f>IF($R71&gt;0,IF($I71&gt;0,$I71/$R71," ")," ")</f>
        <v/>
      </c>
      <c r="T71" s="105">
        <f>IF($R71&gt;0,IF($P71&gt;0,IF($R71=$P71,"No","Yes")," ")," ")</f>
        <v/>
      </c>
      <c r="U71" s="110" t="n"/>
      <c r="V71" s="107">
        <f>IF($U71&gt;0,TODAY()-$U71," ")</f>
        <v/>
      </c>
      <c r="W71" s="105" t="n"/>
    </row>
    <row r="72" ht="15" customHeight="1" s="46">
      <c r="A72" s="93">
        <f>IFERROR(ROW()-5,"")</f>
        <v/>
      </c>
      <c r="B72" s="94" t="n"/>
      <c r="C72" s="94" t="n"/>
      <c r="D72" s="95" t="n"/>
      <c r="E72" s="95" t="n"/>
      <c r="F72" s="96" t="n"/>
      <c r="G72" s="93" t="n"/>
      <c r="H72" s="97" t="n"/>
      <c r="I72" s="98" t="n"/>
      <c r="J72" s="99">
        <f>IF($I72&gt;0,$I72/$H72," ")</f>
        <v/>
      </c>
      <c r="K72" s="100" t="n"/>
      <c r="L72" s="101">
        <f>IF($K72&gt;0,($K72-TODAY())/365," ")</f>
        <v/>
      </c>
      <c r="M72" s="95" t="n"/>
      <c r="N72" s="95" t="n"/>
      <c r="O72" s="95" t="n"/>
      <c r="P72" s="98" t="n"/>
      <c r="Q72" s="102">
        <f>IF($P72&gt;0,IF($I72&gt;0,$I72/$P72," ")," ")</f>
        <v/>
      </c>
      <c r="R72" s="98" t="n"/>
      <c r="S72" s="102">
        <f>IF($R72&gt;0,IF($I72&gt;0,$I72/$R72," ")," ")</f>
        <v/>
      </c>
      <c r="T72" s="95">
        <f>IF($R72&gt;0,IF($P72&gt;0,IF($R72=$P72,"No","Yes")," ")," ")</f>
        <v/>
      </c>
      <c r="U72" s="100" t="n"/>
      <c r="V72" s="97">
        <f>IF($U72&gt;0,TODAY()-$U72," ")</f>
        <v/>
      </c>
      <c r="W72" s="95" t="n"/>
    </row>
    <row r="73" ht="15" customHeight="1" s="46">
      <c r="A73" s="103">
        <f>IFERROR(ROW()-5,"")</f>
        <v/>
      </c>
      <c r="B73" s="104" t="n"/>
      <c r="C73" s="104" t="n"/>
      <c r="D73" s="105" t="n"/>
      <c r="E73" s="105" t="n"/>
      <c r="F73" s="106" t="n"/>
      <c r="G73" s="103" t="n"/>
      <c r="H73" s="107" t="n"/>
      <c r="I73" s="108" t="n"/>
      <c r="J73" s="109">
        <f>IF($I73&gt;0,$I73/$H73," ")</f>
        <v/>
      </c>
      <c r="K73" s="110" t="n"/>
      <c r="L73" s="111">
        <f>IF($K73&gt;0,($K73-TODAY())/365," ")</f>
        <v/>
      </c>
      <c r="M73" s="105" t="n"/>
      <c r="N73" s="105" t="n"/>
      <c r="O73" s="105" t="n"/>
      <c r="P73" s="108" t="n"/>
      <c r="Q73" s="112">
        <f>IF($P73&gt;0,IF($I73&gt;0,$I73/$P73," ")," ")</f>
        <v/>
      </c>
      <c r="R73" s="108" t="n"/>
      <c r="S73" s="112">
        <f>IF($R73&gt;0,IF($I73&gt;0,$I73/$R73," ")," ")</f>
        <v/>
      </c>
      <c r="T73" s="105">
        <f>IF($R73&gt;0,IF($P73&gt;0,IF($R73=$P73,"No","Yes")," ")," ")</f>
        <v/>
      </c>
      <c r="U73" s="110" t="n"/>
      <c r="V73" s="107">
        <f>IF($U73&gt;0,TODAY()-$U73," ")</f>
        <v/>
      </c>
      <c r="W73" s="105" t="n"/>
    </row>
    <row r="74" ht="15" customHeight="1" s="46">
      <c r="A74" s="93">
        <f>IFERROR(ROW()-5,"")</f>
        <v/>
      </c>
      <c r="B74" s="94" t="n"/>
      <c r="C74" s="94" t="n"/>
      <c r="D74" s="95" t="n"/>
      <c r="E74" s="95" t="n"/>
      <c r="F74" s="96" t="n"/>
      <c r="G74" s="93" t="n"/>
      <c r="H74" s="97" t="n"/>
      <c r="I74" s="98" t="n"/>
      <c r="J74" s="99">
        <f>IF($I74&gt;0,$I74/$H74," ")</f>
        <v/>
      </c>
      <c r="K74" s="100" t="n"/>
      <c r="L74" s="101">
        <f>IF($K74&gt;0,($K74-TODAY())/365," ")</f>
        <v/>
      </c>
      <c r="M74" s="95" t="n"/>
      <c r="N74" s="95" t="n"/>
      <c r="O74" s="95" t="n"/>
      <c r="P74" s="98" t="n"/>
      <c r="Q74" s="102">
        <f>IF($P74&gt;0,IF($I74&gt;0,$I74/$P74," ")," ")</f>
        <v/>
      </c>
      <c r="R74" s="98" t="n"/>
      <c r="S74" s="102">
        <f>IF($R74&gt;0,IF($I74&gt;0,$I74/$R74," ")," ")</f>
        <v/>
      </c>
      <c r="T74" s="95">
        <f>IF($R74&gt;0,IF($P74&gt;0,IF($R74=$P74,"No","Yes")," ")," ")</f>
        <v/>
      </c>
      <c r="U74" s="100" t="n"/>
      <c r="V74" s="97">
        <f>IF($U74&gt;0,TODAY()-$U74," ")</f>
        <v/>
      </c>
      <c r="W74" s="95" t="n"/>
    </row>
    <row r="75" ht="15" customHeight="1" s="46">
      <c r="A75" s="103">
        <f>IFERROR(ROW()-5,"")</f>
        <v/>
      </c>
      <c r="B75" s="104" t="n"/>
      <c r="C75" s="104" t="n"/>
      <c r="D75" s="105" t="n"/>
      <c r="E75" s="105" t="n"/>
      <c r="F75" s="106" t="n"/>
      <c r="G75" s="103" t="n"/>
      <c r="H75" s="107" t="n"/>
      <c r="I75" s="108" t="n"/>
      <c r="J75" s="109">
        <f>IF($I75&gt;0,$I75/$H75," ")</f>
        <v/>
      </c>
      <c r="K75" s="110" t="n"/>
      <c r="L75" s="111">
        <f>IF($K75&gt;0,($K75-TODAY())/365," ")</f>
        <v/>
      </c>
      <c r="M75" s="105" t="n"/>
      <c r="N75" s="105" t="n"/>
      <c r="O75" s="105" t="n"/>
      <c r="P75" s="108" t="n"/>
      <c r="Q75" s="112">
        <f>IF($P75&gt;0,IF($I75&gt;0,$I75/$P75," ")," ")</f>
        <v/>
      </c>
      <c r="R75" s="108" t="n"/>
      <c r="S75" s="112">
        <f>IF($R75&gt;0,IF($I75&gt;0,$I75/$R75," ")," ")</f>
        <v/>
      </c>
      <c r="T75" s="105">
        <f>IF($R75&gt;0,IF($P75&gt;0,IF($R75=$P75,"No","Yes")," ")," ")</f>
        <v/>
      </c>
      <c r="U75" s="110" t="n"/>
      <c r="V75" s="107">
        <f>IF($U75&gt;0,TODAY()-$U75," ")</f>
        <v/>
      </c>
      <c r="W75" s="105" t="n"/>
    </row>
    <row r="76" ht="15" customHeight="1" s="46">
      <c r="A76" s="93">
        <f>IFERROR(ROW()-5,"")</f>
        <v/>
      </c>
      <c r="B76" s="94" t="n"/>
      <c r="C76" s="94" t="n"/>
      <c r="D76" s="95" t="n"/>
      <c r="E76" s="95" t="n"/>
      <c r="F76" s="96" t="n"/>
      <c r="G76" s="93" t="n"/>
      <c r="H76" s="97" t="n"/>
      <c r="I76" s="98" t="n"/>
      <c r="J76" s="99">
        <f>IF($I76&gt;0,$I76/$H76," ")</f>
        <v/>
      </c>
      <c r="K76" s="100" t="n"/>
      <c r="L76" s="101">
        <f>IF($K76&gt;0,($K76-TODAY())/365," ")</f>
        <v/>
      </c>
      <c r="M76" s="95" t="n"/>
      <c r="N76" s="95" t="n"/>
      <c r="O76" s="95" t="n"/>
      <c r="P76" s="98" t="n"/>
      <c r="Q76" s="102">
        <f>IF($P76&gt;0,IF($I76&gt;0,$I76/$P76," ")," ")</f>
        <v/>
      </c>
      <c r="R76" s="98" t="n"/>
      <c r="S76" s="102">
        <f>IF($R76&gt;0,IF($I76&gt;0,$I76/$R76," ")," ")</f>
        <v/>
      </c>
      <c r="T76" s="95">
        <f>IF($R76&gt;0,IF($P76&gt;0,IF($R76=$P76,"No","Yes")," ")," ")</f>
        <v/>
      </c>
      <c r="U76" s="100" t="n"/>
      <c r="V76" s="97">
        <f>IF($U76&gt;0,TODAY()-$U76," ")</f>
        <v/>
      </c>
      <c r="W76" s="95" t="n"/>
    </row>
    <row r="77" ht="15" customHeight="1" s="46">
      <c r="A77" s="103">
        <f>IFERROR(ROW()-5,"")</f>
        <v/>
      </c>
      <c r="B77" s="104" t="n"/>
      <c r="C77" s="104" t="n"/>
      <c r="D77" s="105" t="n"/>
      <c r="E77" s="105" t="n"/>
      <c r="F77" s="106" t="n"/>
      <c r="G77" s="103" t="n"/>
      <c r="H77" s="107" t="n"/>
      <c r="I77" s="108" t="n"/>
      <c r="J77" s="109">
        <f>IF($I77&gt;0,$I77/$H77," ")</f>
        <v/>
      </c>
      <c r="K77" s="110" t="n"/>
      <c r="L77" s="111">
        <f>IF($K77&gt;0,($K77-TODAY())/365," ")</f>
        <v/>
      </c>
      <c r="M77" s="105" t="n"/>
      <c r="N77" s="105" t="n"/>
      <c r="O77" s="105" t="n"/>
      <c r="P77" s="108" t="n"/>
      <c r="Q77" s="112">
        <f>IF($P77&gt;0,IF($I77&gt;0,$I77/$P77," ")," ")</f>
        <v/>
      </c>
      <c r="R77" s="108" t="n"/>
      <c r="S77" s="112">
        <f>IF($R77&gt;0,IF($I77&gt;0,$I77/$R77," ")," ")</f>
        <v/>
      </c>
      <c r="T77" s="105">
        <f>IF($R77&gt;0,IF($P77&gt;0,IF($R77=$P77,"No","Yes")," ")," ")</f>
        <v/>
      </c>
      <c r="U77" s="110" t="n"/>
      <c r="V77" s="107">
        <f>IF($U77&gt;0,TODAY()-$U77," ")</f>
        <v/>
      </c>
      <c r="W77" s="105" t="n"/>
    </row>
    <row r="78" ht="15" customHeight="1" s="46">
      <c r="A78" s="93">
        <f>IFERROR(ROW()-5,"")</f>
        <v/>
      </c>
      <c r="B78" s="94" t="n"/>
      <c r="C78" s="94" t="n"/>
      <c r="D78" s="95" t="n"/>
      <c r="E78" s="95" t="n"/>
      <c r="F78" s="96" t="n"/>
      <c r="G78" s="93" t="n"/>
      <c r="H78" s="97" t="n"/>
      <c r="I78" s="98" t="n"/>
      <c r="J78" s="99">
        <f>IF($I78&gt;0,$I78/$H78," ")</f>
        <v/>
      </c>
      <c r="K78" s="100" t="n"/>
      <c r="L78" s="101">
        <f>IF($K78&gt;0,($K78-TODAY())/365," ")</f>
        <v/>
      </c>
      <c r="M78" s="95" t="n"/>
      <c r="N78" s="95" t="n"/>
      <c r="O78" s="95" t="n"/>
      <c r="P78" s="98" t="n"/>
      <c r="Q78" s="102">
        <f>IF($P78&gt;0,IF($I78&gt;0,$I78/$P78," ")," ")</f>
        <v/>
      </c>
      <c r="R78" s="98" t="n"/>
      <c r="S78" s="102">
        <f>IF($R78&gt;0,IF($I78&gt;0,$I78/$R78," ")," ")</f>
        <v/>
      </c>
      <c r="T78" s="95">
        <f>IF($R78&gt;0,IF($P78&gt;0,IF($R78=$P78,"No","Yes")," ")," ")</f>
        <v/>
      </c>
      <c r="U78" s="100" t="n"/>
      <c r="V78" s="97">
        <f>IF($U78&gt;0,TODAY()-$U78," ")</f>
        <v/>
      </c>
      <c r="W78" s="95" t="n"/>
    </row>
    <row r="79" ht="15" customHeight="1" s="46">
      <c r="A79" s="103">
        <f>IFERROR(ROW()-5,"")</f>
        <v/>
      </c>
      <c r="B79" s="104" t="n"/>
      <c r="C79" s="104" t="n"/>
      <c r="D79" s="105" t="n"/>
      <c r="E79" s="105" t="n"/>
      <c r="F79" s="106" t="n"/>
      <c r="G79" s="103" t="n"/>
      <c r="H79" s="107" t="n"/>
      <c r="I79" s="108" t="n"/>
      <c r="J79" s="109">
        <f>IF($I79&gt;0,$I79/$H79," ")</f>
        <v/>
      </c>
      <c r="K79" s="110" t="n"/>
      <c r="L79" s="111">
        <f>IF($K79&gt;0,($K79-TODAY())/365," ")</f>
        <v/>
      </c>
      <c r="M79" s="105" t="n"/>
      <c r="N79" s="105" t="n"/>
      <c r="O79" s="105" t="n"/>
      <c r="P79" s="108" t="n"/>
      <c r="Q79" s="112">
        <f>IF($P79&gt;0,IF($I79&gt;0,$I79/$P79," ")," ")</f>
        <v/>
      </c>
      <c r="R79" s="108" t="n"/>
      <c r="S79" s="112">
        <f>IF($R79&gt;0,IF($I79&gt;0,$I79/$R79," ")," ")</f>
        <v/>
      </c>
      <c r="T79" s="105">
        <f>IF($R79&gt;0,IF($P79&gt;0,IF($R79=$P79,"No","Yes")," ")," ")</f>
        <v/>
      </c>
      <c r="U79" s="110" t="n"/>
      <c r="V79" s="107">
        <f>IF($U79&gt;0,TODAY()-$U79," ")</f>
        <v/>
      </c>
      <c r="W79" s="105" t="n"/>
    </row>
    <row r="80" ht="15" customHeight="1" s="46">
      <c r="A80" s="93">
        <f>IFERROR(ROW()-5,"")</f>
        <v/>
      </c>
      <c r="B80" s="94" t="n"/>
      <c r="C80" s="94" t="n"/>
      <c r="D80" s="95" t="n"/>
      <c r="E80" s="95" t="n"/>
      <c r="F80" s="96" t="n"/>
      <c r="G80" s="93" t="n"/>
      <c r="H80" s="97" t="n"/>
      <c r="I80" s="98" t="n"/>
      <c r="J80" s="99">
        <f>IF($I80&gt;0,$I80/$H80," ")</f>
        <v/>
      </c>
      <c r="K80" s="100" t="n"/>
      <c r="L80" s="101">
        <f>IF($K80&gt;0,($K80-TODAY())/365," ")</f>
        <v/>
      </c>
      <c r="M80" s="95" t="n"/>
      <c r="N80" s="95" t="n"/>
      <c r="O80" s="95" t="n"/>
      <c r="P80" s="98" t="n"/>
      <c r="Q80" s="102">
        <f>IF($P80&gt;0,IF($I80&gt;0,$I80/$P80," ")," ")</f>
        <v/>
      </c>
      <c r="R80" s="98" t="n"/>
      <c r="S80" s="102">
        <f>IF($R80&gt;0,IF($I80&gt;0,$I80/$R80," ")," ")</f>
        <v/>
      </c>
      <c r="T80" s="95">
        <f>IF($R80&gt;0,IF($P80&gt;0,IF($R80=$P80,"No","Yes")," ")," ")</f>
        <v/>
      </c>
      <c r="U80" s="100" t="n"/>
      <c r="V80" s="97">
        <f>IF($U80&gt;0,TODAY()-$U80," ")</f>
        <v/>
      </c>
      <c r="W80" s="95" t="n"/>
    </row>
    <row r="81" ht="15" customHeight="1" s="46">
      <c r="A81" s="103">
        <f>IFERROR(ROW()-5,"")</f>
        <v/>
      </c>
      <c r="B81" s="104" t="n"/>
      <c r="C81" s="104" t="n"/>
      <c r="D81" s="105" t="n"/>
      <c r="E81" s="105" t="n"/>
      <c r="F81" s="106" t="n"/>
      <c r="G81" s="103" t="n"/>
      <c r="H81" s="107" t="n"/>
      <c r="I81" s="108" t="n"/>
      <c r="J81" s="109">
        <f>IF($I81&gt;0,$I81/$H81," ")</f>
        <v/>
      </c>
      <c r="K81" s="110" t="n"/>
      <c r="L81" s="111">
        <f>IF($K81&gt;0,($K81-TODAY())/365," ")</f>
        <v/>
      </c>
      <c r="M81" s="105" t="n"/>
      <c r="N81" s="105" t="n"/>
      <c r="O81" s="105" t="n"/>
      <c r="P81" s="108" t="n"/>
      <c r="Q81" s="112">
        <f>IF($P81&gt;0,IF($I81&gt;0,$I81/$P81," ")," ")</f>
        <v/>
      </c>
      <c r="R81" s="108" t="n"/>
      <c r="S81" s="112">
        <f>IF($R81&gt;0,IF($I81&gt;0,$I81/$R81," ")," ")</f>
        <v/>
      </c>
      <c r="T81" s="105">
        <f>IF($R81&gt;0,IF($P81&gt;0,IF($R81=$P81,"No","Yes")," ")," ")</f>
        <v/>
      </c>
      <c r="U81" s="110" t="n"/>
      <c r="V81" s="107">
        <f>IF($U81&gt;0,TODAY()-$U81," ")</f>
        <v/>
      </c>
      <c r="W81" s="105" t="n"/>
    </row>
    <row r="82" ht="15" customHeight="1" s="46">
      <c r="A82" s="93">
        <f>IFERROR(ROW()-5,"")</f>
        <v/>
      </c>
      <c r="B82" s="94" t="n"/>
      <c r="C82" s="94" t="n"/>
      <c r="D82" s="95" t="n"/>
      <c r="E82" s="95" t="n"/>
      <c r="F82" s="96" t="n"/>
      <c r="G82" s="93" t="n"/>
      <c r="H82" s="97" t="n"/>
      <c r="I82" s="98" t="n"/>
      <c r="J82" s="99">
        <f>IF($I82&gt;0,$I82/$H82," ")</f>
        <v/>
      </c>
      <c r="K82" s="100" t="n"/>
      <c r="L82" s="101">
        <f>IF($K82&gt;0,($K82-TODAY())/365," ")</f>
        <v/>
      </c>
      <c r="M82" s="95" t="n"/>
      <c r="N82" s="95" t="n"/>
      <c r="O82" s="95" t="n"/>
      <c r="P82" s="98" t="n"/>
      <c r="Q82" s="102">
        <f>IF($P82&gt;0,IF($I82&gt;0,$I82/$P82," ")," ")</f>
        <v/>
      </c>
      <c r="R82" s="98" t="n"/>
      <c r="S82" s="102">
        <f>IF($R82&gt;0,IF($I82&gt;0,$I82/$R82," ")," ")</f>
        <v/>
      </c>
      <c r="T82" s="95">
        <f>IF($R82&gt;0,IF($P82&gt;0,IF($R82=$P82,"No","Yes")," ")," ")</f>
        <v/>
      </c>
      <c r="U82" s="100" t="n"/>
      <c r="V82" s="97">
        <f>IF($U82&gt;0,TODAY()-$U82," ")</f>
        <v/>
      </c>
      <c r="W82" s="95" t="n"/>
    </row>
    <row r="83" ht="15" customHeight="1" s="46">
      <c r="A83" s="103">
        <f>IFERROR(ROW()-5,"")</f>
        <v/>
      </c>
      <c r="B83" s="104" t="n"/>
      <c r="C83" s="104" t="n"/>
      <c r="D83" s="105" t="n"/>
      <c r="E83" s="105" t="n"/>
      <c r="F83" s="106" t="n"/>
      <c r="G83" s="103" t="n"/>
      <c r="H83" s="107" t="n"/>
      <c r="I83" s="108" t="n"/>
      <c r="J83" s="109">
        <f>IF($I83&gt;0,$I83/$H83," ")</f>
        <v/>
      </c>
      <c r="K83" s="110" t="n"/>
      <c r="L83" s="111">
        <f>IF($K83&gt;0,($K83-TODAY())/365," ")</f>
        <v/>
      </c>
      <c r="M83" s="105" t="n"/>
      <c r="N83" s="105" t="n"/>
      <c r="O83" s="105" t="n"/>
      <c r="P83" s="108" t="n"/>
      <c r="Q83" s="112">
        <f>IF($P83&gt;0,IF($I83&gt;0,$I83/$P83," ")," ")</f>
        <v/>
      </c>
      <c r="R83" s="108" t="n"/>
      <c r="S83" s="112">
        <f>IF($R83&gt;0,IF($I83&gt;0,$I83/$R83," ")," ")</f>
        <v/>
      </c>
      <c r="T83" s="105">
        <f>IF($R83&gt;0,IF($P83&gt;0,IF($R83=$P83,"No","Yes")," ")," ")</f>
        <v/>
      </c>
      <c r="U83" s="110" t="n"/>
      <c r="V83" s="107">
        <f>IF($U83&gt;0,TODAY()-$U83," ")</f>
        <v/>
      </c>
      <c r="W83" s="105" t="n"/>
    </row>
    <row r="84" ht="15" customHeight="1" s="46">
      <c r="A84" s="93">
        <f>IFERROR(ROW()-5,"")</f>
        <v/>
      </c>
      <c r="B84" s="94" t="n"/>
      <c r="C84" s="94" t="n"/>
      <c r="D84" s="95" t="n"/>
      <c r="E84" s="95" t="n"/>
      <c r="F84" s="96" t="n"/>
      <c r="G84" s="93" t="n"/>
      <c r="H84" s="97" t="n"/>
      <c r="I84" s="98" t="n"/>
      <c r="J84" s="99">
        <f>IF($I84&gt;0,$I84/$H84," ")</f>
        <v/>
      </c>
      <c r="K84" s="100" t="n"/>
      <c r="L84" s="101">
        <f>IF($K84&gt;0,($K84-TODAY())/365," ")</f>
        <v/>
      </c>
      <c r="M84" s="95" t="n"/>
      <c r="N84" s="95" t="n"/>
      <c r="O84" s="95" t="n"/>
      <c r="P84" s="98" t="n"/>
      <c r="Q84" s="102">
        <f>IF($P84&gt;0,IF($I84&gt;0,$I84/$P84," ")," ")</f>
        <v/>
      </c>
      <c r="R84" s="98" t="n"/>
      <c r="S84" s="102">
        <f>IF($R84&gt;0,IF($I84&gt;0,$I84/$R84," ")," ")</f>
        <v/>
      </c>
      <c r="T84" s="95">
        <f>IF($R84&gt;0,IF($P84&gt;0,IF($R84=$P84,"No","Yes")," ")," ")</f>
        <v/>
      </c>
      <c r="U84" s="100" t="n"/>
      <c r="V84" s="97">
        <f>IF($U84&gt;0,TODAY()-$U84," ")</f>
        <v/>
      </c>
      <c r="W84" s="95" t="n"/>
    </row>
    <row r="85" ht="15" customHeight="1" s="46">
      <c r="A85" s="103">
        <f>IFERROR(ROW()-5,"")</f>
        <v/>
      </c>
      <c r="B85" s="104" t="n"/>
      <c r="C85" s="104" t="n"/>
      <c r="D85" s="105" t="n"/>
      <c r="E85" s="105" t="n"/>
      <c r="F85" s="106" t="n"/>
      <c r="G85" s="103" t="n"/>
      <c r="H85" s="107" t="n"/>
      <c r="I85" s="108" t="n"/>
      <c r="J85" s="109">
        <f>IF($I85&gt;0,$I85/$H85," ")</f>
        <v/>
      </c>
      <c r="K85" s="110" t="n"/>
      <c r="L85" s="111">
        <f>IF($K85&gt;0,($K85-TODAY())/365," ")</f>
        <v/>
      </c>
      <c r="M85" s="105" t="n"/>
      <c r="N85" s="105" t="n"/>
      <c r="O85" s="105" t="n"/>
      <c r="P85" s="108" t="n"/>
      <c r="Q85" s="112">
        <f>IF($P85&gt;0,IF($I85&gt;0,$I85/$P85," ")," ")</f>
        <v/>
      </c>
      <c r="R85" s="108" t="n"/>
      <c r="S85" s="112">
        <f>IF($R85&gt;0,IF($I85&gt;0,$I85/$R85," ")," ")</f>
        <v/>
      </c>
      <c r="T85" s="105">
        <f>IF($R85&gt;0,IF($P85&gt;0,IF($R85=$P85,"No","Yes")," ")," ")</f>
        <v/>
      </c>
      <c r="U85" s="110" t="n"/>
      <c r="V85" s="107">
        <f>IF($U85&gt;0,TODAY()-$U85," ")</f>
        <v/>
      </c>
      <c r="W85" s="105" t="n"/>
    </row>
    <row r="86" ht="15" customHeight="1" s="46">
      <c r="A86" s="93">
        <f>IFERROR(ROW()-5,"")</f>
        <v/>
      </c>
      <c r="B86" s="94" t="n"/>
      <c r="C86" s="94" t="n"/>
      <c r="D86" s="95" t="n"/>
      <c r="E86" s="95" t="n"/>
      <c r="F86" s="96" t="n"/>
      <c r="G86" s="93" t="n"/>
      <c r="H86" s="97" t="n"/>
      <c r="I86" s="98" t="n"/>
      <c r="J86" s="99">
        <f>IF($I86&gt;0,$I86/$H86," ")</f>
        <v/>
      </c>
      <c r="K86" s="100" t="n"/>
      <c r="L86" s="101">
        <f>IF($K86&gt;0,($K86-TODAY())/365," ")</f>
        <v/>
      </c>
      <c r="M86" s="95" t="n"/>
      <c r="N86" s="95" t="n"/>
      <c r="O86" s="95" t="n"/>
      <c r="P86" s="98" t="n"/>
      <c r="Q86" s="102">
        <f>IF($P86&gt;0,IF($I86&gt;0,$I86/$P86," ")," ")</f>
        <v/>
      </c>
      <c r="R86" s="98" t="n"/>
      <c r="S86" s="102">
        <f>IF($R86&gt;0,IF($I86&gt;0,$I86/$R86," ")," ")</f>
        <v/>
      </c>
      <c r="T86" s="95">
        <f>IF($R86&gt;0,IF($P86&gt;0,IF($R86=$P86,"No","Yes")," ")," ")</f>
        <v/>
      </c>
      <c r="U86" s="100" t="n"/>
      <c r="V86" s="97">
        <f>IF($U86&gt;0,TODAY()-$U86," ")</f>
        <v/>
      </c>
      <c r="W86" s="95" t="n"/>
    </row>
    <row r="87" ht="15" customHeight="1" s="46">
      <c r="A87" s="103">
        <f>IFERROR(ROW()-5,"")</f>
        <v/>
      </c>
      <c r="B87" s="104" t="n"/>
      <c r="C87" s="104" t="n"/>
      <c r="D87" s="105" t="n"/>
      <c r="E87" s="105" t="n"/>
      <c r="F87" s="106" t="n"/>
      <c r="G87" s="103" t="n"/>
      <c r="H87" s="107" t="n"/>
      <c r="I87" s="108" t="n"/>
      <c r="J87" s="109">
        <f>IF($I87&gt;0,$I87/$H87," ")</f>
        <v/>
      </c>
      <c r="K87" s="110" t="n"/>
      <c r="L87" s="111">
        <f>IF($K87&gt;0,($K87-TODAY())/365," ")</f>
        <v/>
      </c>
      <c r="M87" s="105" t="n"/>
      <c r="N87" s="105" t="n"/>
      <c r="O87" s="105" t="n"/>
      <c r="P87" s="108" t="n"/>
      <c r="Q87" s="112">
        <f>IF($P87&gt;0,IF($I87&gt;0,$I87/$P87," ")," ")</f>
        <v/>
      </c>
      <c r="R87" s="108" t="n"/>
      <c r="S87" s="112">
        <f>IF($R87&gt;0,IF($I87&gt;0,$I87/$R87," ")," ")</f>
        <v/>
      </c>
      <c r="T87" s="105">
        <f>IF($R87&gt;0,IF($P87&gt;0,IF($R87=$P87,"No","Yes")," ")," ")</f>
        <v/>
      </c>
      <c r="U87" s="110" t="n"/>
      <c r="V87" s="107">
        <f>IF($U87&gt;0,TODAY()-$U87," ")</f>
        <v/>
      </c>
      <c r="W87" s="105" t="n"/>
    </row>
    <row r="88" ht="15" customHeight="1" s="46">
      <c r="A88" s="93">
        <f>IFERROR(ROW()-5,"")</f>
        <v/>
      </c>
      <c r="B88" s="94" t="n"/>
      <c r="C88" s="94" t="n"/>
      <c r="D88" s="95" t="n"/>
      <c r="E88" s="95" t="n"/>
      <c r="F88" s="96" t="n"/>
      <c r="G88" s="93" t="n"/>
      <c r="H88" s="97" t="n"/>
      <c r="I88" s="98" t="n"/>
      <c r="J88" s="99">
        <f>IF($I88&gt;0,$I88/$H88," ")</f>
        <v/>
      </c>
      <c r="K88" s="100" t="n"/>
      <c r="L88" s="101">
        <f>IF($K88&gt;0,($K88-TODAY())/365," ")</f>
        <v/>
      </c>
      <c r="M88" s="95" t="n"/>
      <c r="N88" s="95" t="n"/>
      <c r="O88" s="95" t="n"/>
      <c r="P88" s="98" t="n"/>
      <c r="Q88" s="102">
        <f>IF($P88&gt;0,IF($I88&gt;0,$I88/$P88," ")," ")</f>
        <v/>
      </c>
      <c r="R88" s="98" t="n"/>
      <c r="S88" s="102">
        <f>IF($R88&gt;0,IF($I88&gt;0,$I88/$R88," ")," ")</f>
        <v/>
      </c>
      <c r="T88" s="95">
        <f>IF($R88&gt;0,IF($P88&gt;0,IF($R88=$P88,"No","Yes")," ")," ")</f>
        <v/>
      </c>
      <c r="U88" s="100" t="n"/>
      <c r="V88" s="97">
        <f>IF($U88&gt;0,TODAY()-$U88," ")</f>
        <v/>
      </c>
      <c r="W88" s="95" t="n"/>
    </row>
    <row r="89" ht="15" customHeight="1" s="46">
      <c r="A89" s="103">
        <f>IFERROR(ROW()-5,"")</f>
        <v/>
      </c>
      <c r="B89" s="104" t="n"/>
      <c r="C89" s="104" t="n"/>
      <c r="D89" s="105" t="n"/>
      <c r="E89" s="105" t="n"/>
      <c r="F89" s="106" t="n"/>
      <c r="G89" s="103" t="n"/>
      <c r="H89" s="107" t="n"/>
      <c r="I89" s="108" t="n"/>
      <c r="J89" s="109">
        <f>IF($I89&gt;0,$I89/$H89," ")</f>
        <v/>
      </c>
      <c r="K89" s="110" t="n"/>
      <c r="L89" s="111">
        <f>IF($K89&gt;0,($K89-TODAY())/365," ")</f>
        <v/>
      </c>
      <c r="M89" s="105" t="n"/>
      <c r="N89" s="105" t="n"/>
      <c r="O89" s="105" t="n"/>
      <c r="P89" s="108" t="n"/>
      <c r="Q89" s="112">
        <f>IF($P89&gt;0,IF($I89&gt;0,$I89/$P89," ")," ")</f>
        <v/>
      </c>
      <c r="R89" s="108" t="n"/>
      <c r="S89" s="112">
        <f>IF($R89&gt;0,IF($I89&gt;0,$I89/$R89," ")," ")</f>
        <v/>
      </c>
      <c r="T89" s="105">
        <f>IF($R89&gt;0,IF($P89&gt;0,IF($R89=$P89,"No","Yes")," ")," ")</f>
        <v/>
      </c>
      <c r="U89" s="110" t="n"/>
      <c r="V89" s="107">
        <f>IF($U89&gt;0,TODAY()-$U89," ")</f>
        <v/>
      </c>
      <c r="W89" s="105" t="n"/>
    </row>
    <row r="90" ht="15" customHeight="1" s="46">
      <c r="A90" s="93">
        <f>IFERROR(ROW()-5,"")</f>
        <v/>
      </c>
      <c r="B90" s="94" t="n"/>
      <c r="C90" s="94" t="n"/>
      <c r="D90" s="95" t="n"/>
      <c r="E90" s="95" t="n"/>
      <c r="F90" s="96" t="n"/>
      <c r="G90" s="93" t="n"/>
      <c r="H90" s="97" t="n"/>
      <c r="I90" s="98" t="n"/>
      <c r="J90" s="99">
        <f>IF($I90&gt;0,$I90/$H90," ")</f>
        <v/>
      </c>
      <c r="K90" s="100" t="n"/>
      <c r="L90" s="101">
        <f>IF($K90&gt;0,($K90-TODAY())/365," ")</f>
        <v/>
      </c>
      <c r="M90" s="95" t="n"/>
      <c r="N90" s="95" t="n"/>
      <c r="O90" s="95" t="n"/>
      <c r="P90" s="98" t="n"/>
      <c r="Q90" s="102">
        <f>IF($P90&gt;0,IF($I90&gt;0,$I90/$P90," ")," ")</f>
        <v/>
      </c>
      <c r="R90" s="98" t="n"/>
      <c r="S90" s="102">
        <f>IF($R90&gt;0,IF($I90&gt;0,$I90/$R90," ")," ")</f>
        <v/>
      </c>
      <c r="T90" s="95">
        <f>IF($R90&gt;0,IF($P90&gt;0,IF($R90=$P90,"No","Yes")," ")," ")</f>
        <v/>
      </c>
      <c r="U90" s="100" t="n"/>
      <c r="V90" s="97">
        <f>IF($U90&gt;0,TODAY()-$U90," ")</f>
        <v/>
      </c>
      <c r="W90" s="95" t="n"/>
    </row>
    <row r="91" ht="15" customHeight="1" s="46">
      <c r="A91" s="103">
        <f>IFERROR(ROW()-5,"")</f>
        <v/>
      </c>
      <c r="B91" s="104" t="n"/>
      <c r="C91" s="104" t="n"/>
      <c r="D91" s="105" t="n"/>
      <c r="E91" s="105" t="n"/>
      <c r="F91" s="106" t="n"/>
      <c r="G91" s="103" t="n"/>
      <c r="H91" s="107" t="n"/>
      <c r="I91" s="108" t="n"/>
      <c r="J91" s="109">
        <f>IF($I91&gt;0,$I91/$H91," ")</f>
        <v/>
      </c>
      <c r="K91" s="110" t="n"/>
      <c r="L91" s="111">
        <f>IF($K91&gt;0,($K91-TODAY())/365," ")</f>
        <v/>
      </c>
      <c r="M91" s="105" t="n"/>
      <c r="N91" s="105" t="n"/>
      <c r="O91" s="105" t="n"/>
      <c r="P91" s="108" t="n"/>
      <c r="Q91" s="112">
        <f>IF($P91&gt;0,IF($I91&gt;0,$I91/$P91," ")," ")</f>
        <v/>
      </c>
      <c r="R91" s="108" t="n"/>
      <c r="S91" s="112">
        <f>IF($R91&gt;0,IF($I91&gt;0,$I91/$R91," ")," ")</f>
        <v/>
      </c>
      <c r="T91" s="105">
        <f>IF($R91&gt;0,IF($P91&gt;0,IF($R91=$P91,"No","Yes")," ")," ")</f>
        <v/>
      </c>
      <c r="U91" s="110" t="n"/>
      <c r="V91" s="107">
        <f>IF($U91&gt;0,TODAY()-$U91," ")</f>
        <v/>
      </c>
      <c r="W91" s="105" t="n"/>
    </row>
    <row r="92" ht="15" customHeight="1" s="46">
      <c r="A92" s="93">
        <f>IFERROR(ROW()-5,"")</f>
        <v/>
      </c>
      <c r="B92" s="94" t="n"/>
      <c r="C92" s="94" t="n"/>
      <c r="D92" s="95" t="n"/>
      <c r="E92" s="95" t="n"/>
      <c r="F92" s="96" t="n"/>
      <c r="G92" s="93" t="n"/>
      <c r="H92" s="97" t="n"/>
      <c r="I92" s="98" t="n"/>
      <c r="J92" s="99">
        <f>IF($I92&gt;0,$I92/$H92," ")</f>
        <v/>
      </c>
      <c r="K92" s="100" t="n"/>
      <c r="L92" s="101">
        <f>IF($K92&gt;0,($K92-TODAY())/365," ")</f>
        <v/>
      </c>
      <c r="M92" s="95" t="n"/>
      <c r="N92" s="95" t="n"/>
      <c r="O92" s="95" t="n"/>
      <c r="P92" s="98" t="n"/>
      <c r="Q92" s="102">
        <f>IF($P92&gt;0,IF($I92&gt;0,$I92/$P92," ")," ")</f>
        <v/>
      </c>
      <c r="R92" s="98" t="n"/>
      <c r="S92" s="102">
        <f>IF($R92&gt;0,IF($I92&gt;0,$I92/$R92," ")," ")</f>
        <v/>
      </c>
      <c r="T92" s="95">
        <f>IF($R92&gt;0,IF($P92&gt;0,IF($R92=$P92,"No","Yes")," ")," ")</f>
        <v/>
      </c>
      <c r="U92" s="100" t="n"/>
      <c r="V92" s="97">
        <f>IF($U92&gt;0,TODAY()-$U92," ")</f>
        <v/>
      </c>
      <c r="W92" s="95" t="n"/>
    </row>
    <row r="93" ht="15" customHeight="1" s="46">
      <c r="A93" s="103">
        <f>IFERROR(ROW()-5,"")</f>
        <v/>
      </c>
      <c r="B93" s="104" t="n"/>
      <c r="C93" s="104" t="n"/>
      <c r="D93" s="105" t="n"/>
      <c r="E93" s="105" t="n"/>
      <c r="F93" s="106" t="n"/>
      <c r="G93" s="103" t="n"/>
      <c r="H93" s="107" t="n"/>
      <c r="I93" s="108" t="n"/>
      <c r="J93" s="109">
        <f>IF($I93&gt;0,$I93/$H93," ")</f>
        <v/>
      </c>
      <c r="K93" s="110" t="n"/>
      <c r="L93" s="111">
        <f>IF($K93&gt;0,($K93-TODAY())/365," ")</f>
        <v/>
      </c>
      <c r="M93" s="105" t="n"/>
      <c r="N93" s="105" t="n"/>
      <c r="O93" s="105" t="n"/>
      <c r="P93" s="108" t="n"/>
      <c r="Q93" s="112">
        <f>IF($P93&gt;0,IF($I93&gt;0,$I93/$P93," ")," ")</f>
        <v/>
      </c>
      <c r="R93" s="108" t="n"/>
      <c r="S93" s="112">
        <f>IF($R93&gt;0,IF($I93&gt;0,$I93/$R93," ")," ")</f>
        <v/>
      </c>
      <c r="T93" s="105">
        <f>IF($R93&gt;0,IF($P93&gt;0,IF($R93=$P93,"No","Yes")," ")," ")</f>
        <v/>
      </c>
      <c r="U93" s="110" t="n"/>
      <c r="V93" s="107">
        <f>IF($U93&gt;0,TODAY()-$U93," ")</f>
        <v/>
      </c>
      <c r="W93" s="105" t="n"/>
    </row>
    <row r="94" ht="15" customHeight="1" s="46">
      <c r="A94" s="93">
        <f>IFERROR(ROW()-5,"")</f>
        <v/>
      </c>
      <c r="B94" s="94" t="n"/>
      <c r="C94" s="94" t="n"/>
      <c r="D94" s="95" t="n"/>
      <c r="E94" s="95" t="n"/>
      <c r="F94" s="96" t="n"/>
      <c r="G94" s="93" t="n"/>
      <c r="H94" s="97" t="n"/>
      <c r="I94" s="98" t="n"/>
      <c r="J94" s="99">
        <f>IF($I94&gt;0,$I94/$H94," ")</f>
        <v/>
      </c>
      <c r="K94" s="100" t="n"/>
      <c r="L94" s="101">
        <f>IF($K94&gt;0,($K94-TODAY())/365," ")</f>
        <v/>
      </c>
      <c r="M94" s="95" t="n"/>
      <c r="N94" s="95" t="n"/>
      <c r="O94" s="95" t="n"/>
      <c r="P94" s="98" t="n"/>
      <c r="Q94" s="102">
        <f>IF($P94&gt;0,IF($I94&gt;0,$I94/$P94," ")," ")</f>
        <v/>
      </c>
      <c r="R94" s="98" t="n"/>
      <c r="S94" s="102">
        <f>IF($R94&gt;0,IF($I94&gt;0,$I94/$R94," ")," ")</f>
        <v/>
      </c>
      <c r="T94" s="95">
        <f>IF($R94&gt;0,IF($P94&gt;0,IF($R94=$P94,"No","Yes")," ")," ")</f>
        <v/>
      </c>
      <c r="U94" s="100" t="n"/>
      <c r="V94" s="97">
        <f>IF($U94&gt;0,TODAY()-$U94," ")</f>
        <v/>
      </c>
      <c r="W94" s="95" t="n"/>
    </row>
    <row r="95" ht="15" customHeight="1" s="46">
      <c r="A95" s="103">
        <f>IFERROR(ROW()-5,"")</f>
        <v/>
      </c>
      <c r="B95" s="104" t="n"/>
      <c r="C95" s="104" t="n"/>
      <c r="D95" s="105" t="n"/>
      <c r="E95" s="105" t="n"/>
      <c r="F95" s="106" t="n"/>
      <c r="G95" s="103" t="n"/>
      <c r="H95" s="107" t="n"/>
      <c r="I95" s="108" t="n"/>
      <c r="J95" s="109">
        <f>IF($I95&gt;0,$I95/$H95," ")</f>
        <v/>
      </c>
      <c r="K95" s="110" t="n"/>
      <c r="L95" s="111">
        <f>IF($K95&gt;0,($K95-TODAY())/365," ")</f>
        <v/>
      </c>
      <c r="M95" s="105" t="n"/>
      <c r="N95" s="105" t="n"/>
      <c r="O95" s="105" t="n"/>
      <c r="P95" s="108" t="n"/>
      <c r="Q95" s="112">
        <f>IF($P95&gt;0,IF($I95&gt;0,$I95/$P95," ")," ")</f>
        <v/>
      </c>
      <c r="R95" s="108" t="n"/>
      <c r="S95" s="112">
        <f>IF($R95&gt;0,IF($I95&gt;0,$I95/$R95," ")," ")</f>
        <v/>
      </c>
      <c r="T95" s="105">
        <f>IF($R95&gt;0,IF($P95&gt;0,IF($R95=$P95,"No","Yes")," ")," ")</f>
        <v/>
      </c>
      <c r="U95" s="110" t="n"/>
      <c r="V95" s="107">
        <f>IF($U95&gt;0,TODAY()-$U95," ")</f>
        <v/>
      </c>
      <c r="W95" s="105" t="n"/>
    </row>
    <row r="96" ht="15" customHeight="1" s="46">
      <c r="A96" s="93">
        <f>IFERROR(ROW()-5,"")</f>
        <v/>
      </c>
      <c r="B96" s="94" t="n"/>
      <c r="C96" s="94" t="n"/>
      <c r="D96" s="95" t="n"/>
      <c r="E96" s="95" t="n"/>
      <c r="F96" s="96" t="n"/>
      <c r="G96" s="93" t="n"/>
      <c r="H96" s="97" t="n"/>
      <c r="I96" s="98" t="n"/>
      <c r="J96" s="99">
        <f>IF($I96&gt;0,$I96/$H96," ")</f>
        <v/>
      </c>
      <c r="K96" s="100" t="n"/>
      <c r="L96" s="101">
        <f>IF($K96&gt;0,($K96-TODAY())/365," ")</f>
        <v/>
      </c>
      <c r="M96" s="95" t="n"/>
      <c r="N96" s="95" t="n"/>
      <c r="O96" s="95" t="n"/>
      <c r="P96" s="98" t="n"/>
      <c r="Q96" s="102">
        <f>IF($P96&gt;0,IF($I96&gt;0,$I96/$P96," ")," ")</f>
        <v/>
      </c>
      <c r="R96" s="98" t="n"/>
      <c r="S96" s="102">
        <f>IF($R96&gt;0,IF($I96&gt;0,$I96/$R96," ")," ")</f>
        <v/>
      </c>
      <c r="T96" s="95">
        <f>IF($R96&gt;0,IF($P96&gt;0,IF($R96=$P96,"No","Yes")," ")," ")</f>
        <v/>
      </c>
      <c r="U96" s="100" t="n"/>
      <c r="V96" s="97">
        <f>IF($U96&gt;0,TODAY()-$U96," ")</f>
        <v/>
      </c>
      <c r="W96" s="95" t="n"/>
    </row>
    <row r="97" ht="15" customHeight="1" s="46">
      <c r="A97" s="103">
        <f>IFERROR(ROW()-5,"")</f>
        <v/>
      </c>
      <c r="B97" s="104" t="n"/>
      <c r="C97" s="104" t="n"/>
      <c r="D97" s="105" t="n"/>
      <c r="E97" s="105" t="n"/>
      <c r="F97" s="106" t="n"/>
      <c r="G97" s="103" t="n"/>
      <c r="H97" s="107" t="n"/>
      <c r="I97" s="108" t="n"/>
      <c r="J97" s="109">
        <f>IF($I97&gt;0,$I97/$H97," ")</f>
        <v/>
      </c>
      <c r="K97" s="110" t="n"/>
      <c r="L97" s="111">
        <f>IF($K97&gt;0,($K97-TODAY())/365," ")</f>
        <v/>
      </c>
      <c r="M97" s="105" t="n"/>
      <c r="N97" s="105" t="n"/>
      <c r="O97" s="105" t="n"/>
      <c r="P97" s="108" t="n"/>
      <c r="Q97" s="112">
        <f>IF($P97&gt;0,IF($I97&gt;0,$I97/$P97," ")," ")</f>
        <v/>
      </c>
      <c r="R97" s="108" t="n"/>
      <c r="S97" s="112">
        <f>IF($R97&gt;0,IF($I97&gt;0,$I97/$R97," ")," ")</f>
        <v/>
      </c>
      <c r="T97" s="105">
        <f>IF($R97&gt;0,IF($P97&gt;0,IF($R97=$P97,"No","Yes")," ")," ")</f>
        <v/>
      </c>
      <c r="U97" s="110" t="n"/>
      <c r="V97" s="107">
        <f>IF($U97&gt;0,TODAY()-$U97," ")</f>
        <v/>
      </c>
      <c r="W97" s="105" t="n"/>
    </row>
    <row r="98" ht="15" customHeight="1" s="46">
      <c r="A98" s="93">
        <f>IFERROR(ROW()-5,"")</f>
        <v/>
      </c>
      <c r="B98" s="94" t="n"/>
      <c r="C98" s="94" t="n"/>
      <c r="D98" s="95" t="n"/>
      <c r="E98" s="95" t="n"/>
      <c r="F98" s="96" t="n"/>
      <c r="G98" s="93" t="n"/>
      <c r="H98" s="97" t="n"/>
      <c r="I98" s="98" t="n"/>
      <c r="J98" s="99">
        <f>IF($I98&gt;0,$I98/$H98," ")</f>
        <v/>
      </c>
      <c r="K98" s="100" t="n"/>
      <c r="L98" s="101">
        <f>IF($K98&gt;0,($K98-TODAY())/365," ")</f>
        <v/>
      </c>
      <c r="M98" s="95" t="n"/>
      <c r="N98" s="95" t="n"/>
      <c r="O98" s="95" t="n"/>
      <c r="P98" s="98" t="n"/>
      <c r="Q98" s="102">
        <f>IF($P98&gt;0,IF($I98&gt;0,$I98/$P98," ")," ")</f>
        <v/>
      </c>
      <c r="R98" s="98" t="n"/>
      <c r="S98" s="102">
        <f>IF($R98&gt;0,IF($I98&gt;0,$I98/$R98," ")," ")</f>
        <v/>
      </c>
      <c r="T98" s="95">
        <f>IF($R98&gt;0,IF($P98&gt;0,IF($R98=$P98,"No","Yes")," ")," ")</f>
        <v/>
      </c>
      <c r="U98" s="100" t="n"/>
      <c r="V98" s="97">
        <f>IF($U98&gt;0,TODAY()-$U98," ")</f>
        <v/>
      </c>
      <c r="W98" s="95" t="n"/>
    </row>
    <row r="99" ht="15" customHeight="1" s="46">
      <c r="A99" s="103">
        <f>IFERROR(ROW()-5,"")</f>
        <v/>
      </c>
      <c r="B99" s="104" t="n"/>
      <c r="C99" s="104" t="n"/>
      <c r="D99" s="105" t="n"/>
      <c r="E99" s="105" t="n"/>
      <c r="F99" s="106" t="n"/>
      <c r="G99" s="103" t="n"/>
      <c r="H99" s="107" t="n"/>
      <c r="I99" s="108" t="n"/>
      <c r="J99" s="109">
        <f>IF($I99&gt;0,$I99/$H99," ")</f>
        <v/>
      </c>
      <c r="K99" s="110" t="n"/>
      <c r="L99" s="111">
        <f>IF($K99&gt;0,($K99-TODAY())/365," ")</f>
        <v/>
      </c>
      <c r="M99" s="105" t="n"/>
      <c r="N99" s="105" t="n"/>
      <c r="O99" s="105" t="n"/>
      <c r="P99" s="108" t="n"/>
      <c r="Q99" s="112">
        <f>IF($P99&gt;0,IF($I99&gt;0,$I99/$P99," ")," ")</f>
        <v/>
      </c>
      <c r="R99" s="108" t="n"/>
      <c r="S99" s="112">
        <f>IF($R99&gt;0,IF($I99&gt;0,$I99/$R99," ")," ")</f>
        <v/>
      </c>
      <c r="T99" s="105">
        <f>IF($R99&gt;0,IF($P99&gt;0,IF($R99=$P99,"No","Yes")," ")," ")</f>
        <v/>
      </c>
      <c r="U99" s="110" t="n"/>
      <c r="V99" s="107">
        <f>IF($U99&gt;0,TODAY()-$U99," ")</f>
        <v/>
      </c>
      <c r="W99" s="105" t="n"/>
    </row>
    <row r="100" ht="15" customHeight="1" s="46">
      <c r="A100" s="93">
        <f>IFERROR(ROW()-5,"")</f>
        <v/>
      </c>
      <c r="B100" s="94" t="n"/>
      <c r="C100" s="94" t="n"/>
      <c r="D100" s="95" t="n"/>
      <c r="E100" s="95" t="n"/>
      <c r="F100" s="96" t="n"/>
      <c r="G100" s="93" t="n"/>
      <c r="H100" s="97" t="n"/>
      <c r="I100" s="98" t="n"/>
      <c r="J100" s="99">
        <f>IF($I100&gt;0,$I100/$H100," ")</f>
        <v/>
      </c>
      <c r="K100" s="100" t="n"/>
      <c r="L100" s="101">
        <f>IF($K100&gt;0,($K100-TODAY())/365," ")</f>
        <v/>
      </c>
      <c r="M100" s="95" t="n"/>
      <c r="N100" s="95" t="n"/>
      <c r="O100" s="95" t="n"/>
      <c r="P100" s="98" t="n"/>
      <c r="Q100" s="102">
        <f>IF($P100&gt;0,IF($I100&gt;0,$I100/$P100," ")," ")</f>
        <v/>
      </c>
      <c r="R100" s="98" t="n"/>
      <c r="S100" s="102">
        <f>IF($R100&gt;0,IF($I100&gt;0,$I100/$R100," ")," ")</f>
        <v/>
      </c>
      <c r="T100" s="95">
        <f>IF($R100&gt;0,IF($P100&gt;0,IF($R100=$P100,"No","Yes")," ")," ")</f>
        <v/>
      </c>
      <c r="U100" s="100" t="n"/>
      <c r="V100" s="97">
        <f>IF($U100&gt;0,TODAY()-$U100," ")</f>
        <v/>
      </c>
      <c r="W100" s="95" t="n"/>
    </row>
    <row r="101" ht="15" customHeight="1" s="46">
      <c r="A101" s="103">
        <f>IFERROR(ROW()-5,"")</f>
        <v/>
      </c>
      <c r="B101" s="104" t="n"/>
      <c r="C101" s="104" t="n"/>
      <c r="D101" s="105" t="n"/>
      <c r="E101" s="105" t="n"/>
      <c r="F101" s="106" t="n"/>
      <c r="G101" s="103" t="n"/>
      <c r="H101" s="107" t="n"/>
      <c r="I101" s="108" t="n"/>
      <c r="J101" s="109">
        <f>IF($I101&gt;0,$I101/$H101," ")</f>
        <v/>
      </c>
      <c r="K101" s="110" t="n"/>
      <c r="L101" s="111">
        <f>IF($K101&gt;0,($K101-TODAY())/365," ")</f>
        <v/>
      </c>
      <c r="M101" s="105" t="n"/>
      <c r="N101" s="105" t="n"/>
      <c r="O101" s="105" t="n"/>
      <c r="P101" s="108" t="n"/>
      <c r="Q101" s="112">
        <f>IF($P101&gt;0,IF($I101&gt;0,$I101/$P101," ")," ")</f>
        <v/>
      </c>
      <c r="R101" s="108" t="n"/>
      <c r="S101" s="112">
        <f>IF($R101&gt;0,IF($I101&gt;0,$I101/$R101," ")," ")</f>
        <v/>
      </c>
      <c r="T101" s="105">
        <f>IF($R101&gt;0,IF($P101&gt;0,IF($R101=$P101,"No","Yes")," ")," ")</f>
        <v/>
      </c>
      <c r="U101" s="110" t="n"/>
      <c r="V101" s="107">
        <f>IF($U101&gt;0,TODAY()-$U101," ")</f>
        <v/>
      </c>
      <c r="W101" s="105" t="n"/>
    </row>
    <row r="102" ht="15" customHeight="1" s="46">
      <c r="A102" s="93">
        <f>IFERROR(ROW()-5,"")</f>
        <v/>
      </c>
      <c r="B102" s="94" t="n"/>
      <c r="C102" s="94" t="n"/>
      <c r="D102" s="95" t="n"/>
      <c r="E102" s="95" t="n"/>
      <c r="F102" s="96" t="n"/>
      <c r="G102" s="93" t="n"/>
      <c r="H102" s="97" t="n"/>
      <c r="I102" s="98" t="n"/>
      <c r="J102" s="99">
        <f>IF($I102&gt;0,$I102/$H102," ")</f>
        <v/>
      </c>
      <c r="K102" s="100" t="n"/>
      <c r="L102" s="101">
        <f>IF($K102&gt;0,($K102-TODAY())/365," ")</f>
        <v/>
      </c>
      <c r="M102" s="95" t="n"/>
      <c r="N102" s="95" t="n"/>
      <c r="O102" s="95" t="n"/>
      <c r="P102" s="98" t="n"/>
      <c r="Q102" s="102">
        <f>IF($P102&gt;0,IF($I102&gt;0,$I102/$P102," ")," ")</f>
        <v/>
      </c>
      <c r="R102" s="98" t="n"/>
      <c r="S102" s="102">
        <f>IF($R102&gt;0,IF($I102&gt;0,$I102/$R102," ")," ")</f>
        <v/>
      </c>
      <c r="T102" s="95">
        <f>IF($R102&gt;0,IF($P102&gt;0,IF($R102=$P102,"No","Yes")," ")," ")</f>
        <v/>
      </c>
      <c r="U102" s="100" t="n"/>
      <c r="V102" s="97">
        <f>IF($U102&gt;0,TODAY()-$U102," ")</f>
        <v/>
      </c>
      <c r="W102" s="95" t="n"/>
    </row>
    <row r="103" ht="15" customHeight="1" s="46">
      <c r="A103" s="103">
        <f>IFERROR(ROW()-5,"")</f>
        <v/>
      </c>
      <c r="B103" s="104" t="n"/>
      <c r="C103" s="104" t="n"/>
      <c r="D103" s="105" t="n"/>
      <c r="E103" s="105" t="n"/>
      <c r="F103" s="106" t="n"/>
      <c r="G103" s="103" t="n"/>
      <c r="H103" s="107" t="n"/>
      <c r="I103" s="108" t="n"/>
      <c r="J103" s="109">
        <f>IF($I103&gt;0,$I103/$H103," ")</f>
        <v/>
      </c>
      <c r="K103" s="110" t="n"/>
      <c r="L103" s="111">
        <f>IF($K103&gt;0,($K103-TODAY())/365," ")</f>
        <v/>
      </c>
      <c r="M103" s="105" t="n"/>
      <c r="N103" s="105" t="n"/>
      <c r="O103" s="105" t="n"/>
      <c r="P103" s="108" t="n"/>
      <c r="Q103" s="112">
        <f>IF($P103&gt;0,IF($I103&gt;0,$I103/$P103," ")," ")</f>
        <v/>
      </c>
      <c r="R103" s="108" t="n"/>
      <c r="S103" s="112">
        <f>IF($R103&gt;0,IF($I103&gt;0,$I103/$R103," ")," ")</f>
        <v/>
      </c>
      <c r="T103" s="105">
        <f>IF($R103&gt;0,IF($P103&gt;0,IF($R103=$P103,"No","Yes")," ")," ")</f>
        <v/>
      </c>
      <c r="U103" s="110" t="n"/>
      <c r="V103" s="107">
        <f>IF($U103&gt;0,TODAY()-$U103," ")</f>
        <v/>
      </c>
      <c r="W103" s="105" t="n"/>
    </row>
    <row r="104" ht="15" customHeight="1" s="46">
      <c r="A104" s="93">
        <f>IFERROR(ROW()-5,"")</f>
        <v/>
      </c>
      <c r="B104" s="94" t="n"/>
      <c r="C104" s="94" t="n"/>
      <c r="D104" s="95" t="n"/>
      <c r="E104" s="95" t="n"/>
      <c r="F104" s="96" t="n"/>
      <c r="G104" s="93" t="n"/>
      <c r="H104" s="97" t="n"/>
      <c r="I104" s="98" t="n"/>
      <c r="J104" s="99">
        <f>IF($I104&gt;0,$I104/$H104," ")</f>
        <v/>
      </c>
      <c r="K104" s="100" t="n"/>
      <c r="L104" s="101">
        <f>IF($K104&gt;0,($K104-TODAY())/365," ")</f>
        <v/>
      </c>
      <c r="M104" s="95" t="n"/>
      <c r="N104" s="95" t="n"/>
      <c r="O104" s="95" t="n"/>
      <c r="P104" s="98" t="n"/>
      <c r="Q104" s="102">
        <f>IF($P104&gt;0,IF($I104&gt;0,$I104/$P104," ")," ")</f>
        <v/>
      </c>
      <c r="R104" s="98" t="n"/>
      <c r="S104" s="102">
        <f>IF($R104&gt;0,IF($I104&gt;0,$I104/$R104," ")," ")</f>
        <v/>
      </c>
      <c r="T104" s="95">
        <f>IF($R104&gt;0,IF($P104&gt;0,IF($R104=$P104,"No","Yes")," ")," ")</f>
        <v/>
      </c>
      <c r="U104" s="100" t="n"/>
      <c r="V104" s="97">
        <f>IF($U104&gt;0,TODAY()-$U104," ")</f>
        <v/>
      </c>
      <c r="W104" s="95" t="n"/>
    </row>
    <row r="105" ht="15" customHeight="1" s="46">
      <c r="A105" s="103">
        <f>IFERROR(ROW()-5,"")</f>
        <v/>
      </c>
      <c r="B105" s="104" t="n"/>
      <c r="C105" s="104" t="n"/>
      <c r="D105" s="105" t="n"/>
      <c r="E105" s="105" t="n"/>
      <c r="F105" s="106" t="n"/>
      <c r="G105" s="103" t="n"/>
      <c r="H105" s="107" t="n"/>
      <c r="I105" s="108" t="n"/>
      <c r="J105" s="109">
        <f>IF($I105&gt;0,$I105/$H105," ")</f>
        <v/>
      </c>
      <c r="K105" s="110" t="n"/>
      <c r="L105" s="111">
        <f>IF($K105&gt;0,($K105-TODAY())/365," ")</f>
        <v/>
      </c>
      <c r="M105" s="105" t="n"/>
      <c r="N105" s="105" t="n"/>
      <c r="O105" s="105" t="n"/>
      <c r="P105" s="108" t="n"/>
      <c r="Q105" s="112">
        <f>IF($P105&gt;0,IF($I105&gt;0,$I105/$P105," ")," ")</f>
        <v/>
      </c>
      <c r="R105" s="108" t="n"/>
      <c r="S105" s="112">
        <f>IF($R105&gt;0,IF($I105&gt;0,$I105/$R105," ")," ")</f>
        <v/>
      </c>
      <c r="T105" s="105">
        <f>IF($R105&gt;0,IF($P105&gt;0,IF($R105=$P105,"No","Yes")," ")," ")</f>
        <v/>
      </c>
      <c r="U105" s="110" t="n"/>
      <c r="V105" s="107">
        <f>IF($U105&gt;0,TODAY()-$U105," ")</f>
        <v/>
      </c>
      <c r="W105" s="105" t="n"/>
    </row>
    <row r="106" ht="16.5" customHeight="1" s="46">
      <c r="A106" s="113" t="inlineStr">
        <is>
          <t>AVG</t>
        </is>
      </c>
      <c r="B106" s="114">
        <f>COUNTA(B6:B105)&amp;" comps"</f>
        <v/>
      </c>
      <c r="C106" s="114" t="n"/>
      <c r="D106" s="115" t="n"/>
      <c r="E106" s="115" t="n"/>
      <c r="F106" s="116">
        <f>IF(COUNT(F6:F105)=0,"",AVERAGE(F6:F105))</f>
        <v/>
      </c>
      <c r="G106" s="113">
        <f>IF(COUNT(G6:G105)=0,"",AVERAGE(G6:G105))</f>
        <v/>
      </c>
      <c r="H106" s="117">
        <f>IF(COUNT(H6:H105)=0,"",AVERAGE(H6:H105))</f>
        <v/>
      </c>
      <c r="I106" s="118">
        <f>IF(COUNT(I6:I105)=0,"",AVERAGE(I6:I105))</f>
        <v/>
      </c>
      <c r="J106" s="119">
        <f>IF(COUNT(J6:J105)=0,"",AVERAGE(J6:J105))</f>
        <v/>
      </c>
      <c r="K106" s="120" t="n"/>
      <c r="L106" s="121">
        <f>IF(COUNT(L6:L105)=0,"",AVERAGE(L6:L105))</f>
        <v/>
      </c>
      <c r="M106" s="115" t="n"/>
      <c r="N106" s="115" t="n"/>
      <c r="O106" s="115" t="n"/>
      <c r="P106" s="118">
        <f>IF(COUNT(P6:P105)=0,"",AVERAGE(P6:P105))</f>
        <v/>
      </c>
      <c r="Q106" s="122">
        <f>IF(COUNT(Q6:Q105)=0,"",AVERAGE(Q6:Q105))</f>
        <v/>
      </c>
      <c r="R106" s="118">
        <f>IF(COUNT(R6:R105)=0,"",AVERAGE(R6:R105))</f>
        <v/>
      </c>
      <c r="S106" s="122">
        <f>IF(COUNT(S6:S105)=0,"",AVERAGE(S6:S105))</f>
        <v/>
      </c>
      <c r="T106" s="115" t="n"/>
      <c r="U106" s="120" t="n"/>
      <c r="V106" s="117">
        <f>IF(COUNT(V6:V105)=0,"",AVERAGE(V6:V105))</f>
        <v/>
      </c>
      <c r="W106" s="115" t="n"/>
    </row>
    <row r="10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</row>
    <row r="108" ht="12.75" customHeight="1" s="46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3DA5"/>
    <outlinePr summaryBelow="1" summaryRight="1"/>
    <pageSetUpPr fitToPage="0"/>
  </sheetPr>
  <dimension ref="A2:AA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45" min="1" max="1"/>
    <col width="34" customWidth="1" style="45" min="2" max="2"/>
    <col width="30" customWidth="1" style="45" min="3" max="3"/>
    <col width="15" customWidth="1" style="45" min="4" max="4"/>
    <col width="7" customWidth="1" style="45" min="5" max="5"/>
    <col width="6" customWidth="1" style="45" min="6" max="6"/>
    <col width="7" customWidth="1" style="45" min="7" max="7"/>
    <col width="8" customWidth="1" style="45" min="8" max="8"/>
    <col width="8" customWidth="1" style="45" min="9" max="10"/>
    <col width="10" customWidth="1" style="46" min="10" max="10"/>
    <col width="9" customWidth="1" style="45" min="11" max="11"/>
    <col width="9" customWidth="1" style="45" min="12" max="13"/>
    <col width="8" customWidth="1" style="46" min="13" max="13"/>
    <col width="12" customWidth="1" style="45" min="14" max="14"/>
    <col width="14" customWidth="1" style="45" min="15" max="15"/>
    <col width="9" customWidth="1" style="45" min="16" max="16"/>
    <col width="17" customWidth="1" style="45" min="17" max="18"/>
    <col width="12" customWidth="1" style="46" min="18" max="18"/>
    <col width="9" customWidth="1" style="45" min="19" max="19"/>
    <col width="10" customWidth="1" style="45" min="20" max="20"/>
    <col width="8" customWidth="1" style="45" min="21" max="23"/>
    <col width="15" customWidth="1" style="46" min="22" max="22"/>
    <col width="13" customWidth="1" style="46" min="23" max="23"/>
    <col width="12" customWidth="1" style="45" min="24" max="24"/>
    <col width="10" customWidth="1" style="45" min="25" max="25"/>
    <col width="16" customWidth="1" style="46" min="26" max="26"/>
    <col width="11" customWidth="1" style="46" min="27" max="27"/>
    <col width="11" customWidth="1" style="46" min="28" max="28"/>
    <col width="7" customWidth="1" style="46" min="29" max="29"/>
    <col width="18" customWidth="1" style="46" min="30" max="30"/>
    <col width="18" customWidth="1" style="46" min="31" max="31"/>
    <col width="14" customWidth="1" style="46" min="32" max="32"/>
    <col width="18" customWidth="1" style="46" min="33" max="33"/>
    <col width="35" customWidth="1" style="46" min="34" max="34"/>
  </cols>
  <sheetData>
    <row r="1" ht="12" customHeight="1" s="46"/>
    <row r="2" ht="25.5" customHeight="1" s="46">
      <c r="A2" s="58" t="inlineStr">
        <is>
          <t>Briggs CRE — Sales Comps · Sold</t>
        </is>
      </c>
    </row>
    <row r="3" ht="13.5" customHeight="1" s="46">
      <c r="A3" s="52" t="inlineStr">
        <is>
          <t>Source: CoStar / Salesforce · Shaded columns are formula-protected — do not overwrite · TERM = remaining term as of sale date · BPS = Sale Cap − Last Cap</t>
        </is>
      </c>
    </row>
    <row r="4" ht="7.5" customHeight="1" s="46"/>
    <row r="5" ht="21.75" customHeight="1" s="46">
      <c r="A5" s="92" t="inlineStr">
        <is>
          <t>#</t>
        </is>
      </c>
      <c r="B5" s="92" t="inlineStr">
        <is>
          <t>TENANT</t>
        </is>
      </c>
      <c r="C5" s="92" t="inlineStr">
        <is>
          <t>ADDRESS</t>
        </is>
      </c>
      <c r="D5" s="92" t="inlineStr">
        <is>
          <t>CITY</t>
        </is>
      </c>
      <c r="E5" s="92" t="inlineStr">
        <is>
          <t>STATE</t>
        </is>
      </c>
      <c r="F5" s="92" t="inlineStr">
        <is>
          <t>LAND</t>
        </is>
      </c>
      <c r="G5" s="92" t="inlineStr">
        <is>
          <t>BUILT</t>
        </is>
      </c>
      <c r="H5" s="92" t="inlineStr">
        <is>
          <t>RBA</t>
        </is>
      </c>
      <c r="I5" s="92" t="inlineStr">
        <is>
          <t>RENT</t>
        </is>
      </c>
      <c r="J5" s="92" t="inlineStr">
        <is>
          <t>RENT/SF</t>
        </is>
      </c>
      <c r="K5" s="92" t="inlineStr">
        <is>
          <t>EXP</t>
        </is>
      </c>
      <c r="L5" s="92" t="inlineStr">
        <is>
          <t>TERM</t>
        </is>
      </c>
      <c r="M5" s="92" t="inlineStr">
        <is>
          <t>EXPENSES</t>
        </is>
      </c>
      <c r="N5" s="92" t="inlineStr">
        <is>
          <t>BUMPS</t>
        </is>
      </c>
      <c r="O5" s="92" t="inlineStr">
        <is>
          <t>OPTIONS</t>
        </is>
      </c>
      <c r="P5" s="92" t="inlineStr">
        <is>
          <t>SOLD PRICE</t>
        </is>
      </c>
      <c r="Q5" s="92" t="inlineStr">
        <is>
          <t>SOLD/SF</t>
        </is>
      </c>
      <c r="R5" s="92" t="inlineStr">
        <is>
          <t>SOLD CAP</t>
        </is>
      </c>
      <c r="S5" s="92" t="inlineStr">
        <is>
          <t>DATE</t>
        </is>
      </c>
      <c r="T5" s="92" t="inlineStr">
        <is>
          <t>INITIAL PRICE</t>
        </is>
      </c>
      <c r="U5" s="92" t="inlineStr">
        <is>
          <t>INITIAL CAP</t>
        </is>
      </c>
      <c r="V5" s="92" t="inlineStr">
        <is>
          <t>LAST PRICE</t>
        </is>
      </c>
      <c r="W5" s="92" t="inlineStr">
        <is>
          <t>LAST CAP</t>
        </is>
      </c>
      <c r="X5" s="92" t="inlineStr">
        <is>
          <t>BID-ASK SPREAD</t>
        </is>
      </c>
      <c r="Y5" s="92" t="inlineStr">
        <is>
          <t>PRICE CHG</t>
        </is>
      </c>
      <c r="Z5" s="92" t="inlineStr">
        <is>
          <t>ON MARKET</t>
        </is>
      </c>
      <c r="AA5" s="92" t="inlineStr">
        <is>
          <t>DOM</t>
        </is>
      </c>
    </row>
    <row r="6" ht="15" customHeight="1" s="46">
      <c r="A6" s="93">
        <f>IFERROR(ROW()-5,"")</f>
        <v/>
      </c>
      <c r="B6" s="94" t="n"/>
      <c r="C6" s="94" t="n"/>
      <c r="D6" s="95" t="n"/>
      <c r="E6" s="95" t="n"/>
      <c r="F6" s="96" t="n"/>
      <c r="G6" s="93" t="n"/>
      <c r="H6" s="97" t="n"/>
      <c r="I6" s="98" t="n"/>
      <c r="J6" s="99">
        <f>IF($I6&gt;0,$I6/$H6," ")</f>
        <v/>
      </c>
      <c r="K6" s="100" t="n"/>
      <c r="L6" s="101">
        <f>IF($K6&gt;0,($K6-$S6)/365," ")</f>
        <v/>
      </c>
      <c r="M6" s="95" t="n"/>
      <c r="N6" s="95" t="n"/>
      <c r="O6" s="95" t="n"/>
      <c r="P6" s="98" t="n"/>
      <c r="Q6" s="98">
        <f>IF($P6&gt;0,IF($H6&gt;0,$P6/$H6," ")," ")</f>
        <v/>
      </c>
      <c r="R6" s="102">
        <f>IF($P6&gt;0,IF($I6&gt;0,$I6/$P6," ")," ")</f>
        <v/>
      </c>
      <c r="S6" s="100" t="n"/>
      <c r="T6" s="98" t="n"/>
      <c r="U6" s="102">
        <f>IF($T6&gt;0,IF($I6&gt;0,$I6/$T6," ")," ")</f>
        <v/>
      </c>
      <c r="V6" s="98" t="n"/>
      <c r="W6" s="102">
        <f>IF($V6&gt;0,IF($I6&gt;0,$I6/$V6," ")," ")</f>
        <v/>
      </c>
      <c r="X6" s="102">
        <f>IF(ISNUMBER($R6),IF(ISNUMBER($W6),$R6-$W6," ")," ")</f>
        <v/>
      </c>
      <c r="Y6" s="95">
        <f>IF($V6&gt;0,IF($T6&gt;0,IF($V6=$T6,"No","Yes")," ")," ")</f>
        <v/>
      </c>
      <c r="Z6" s="100" t="n"/>
      <c r="AA6" s="97">
        <f>IF($Z6&gt;0,$S6-$Z6," ")</f>
        <v/>
      </c>
    </row>
    <row r="7" ht="15" customHeight="1" s="46">
      <c r="A7" s="103">
        <f>IFERROR(ROW()-5,"")</f>
        <v/>
      </c>
      <c r="B7" s="104" t="n"/>
      <c r="C7" s="104" t="n"/>
      <c r="D7" s="105" t="n"/>
      <c r="E7" s="105" t="n"/>
      <c r="F7" s="106" t="n"/>
      <c r="G7" s="103" t="n"/>
      <c r="H7" s="107" t="n"/>
      <c r="I7" s="108" t="n"/>
      <c r="J7" s="109">
        <f>IF($I7&gt;0,$I7/$H7," ")</f>
        <v/>
      </c>
      <c r="K7" s="110" t="n"/>
      <c r="L7" s="111">
        <f>IF($K7&gt;0,($K7-$S7)/365," ")</f>
        <v/>
      </c>
      <c r="M7" s="105" t="n"/>
      <c r="N7" s="105" t="n"/>
      <c r="O7" s="105" t="n"/>
      <c r="P7" s="108" t="n"/>
      <c r="Q7" s="108">
        <f>IF($P7&gt;0,IF($H7&gt;0,$P7/$H7," ")," ")</f>
        <v/>
      </c>
      <c r="R7" s="112">
        <f>IF($P7&gt;0,IF($I7&gt;0,$I7/$P7," ")," ")</f>
        <v/>
      </c>
      <c r="S7" s="110" t="n"/>
      <c r="T7" s="108" t="n"/>
      <c r="U7" s="112">
        <f>IF($T7&gt;0,IF($I7&gt;0,$I7/$T7," ")," ")</f>
        <v/>
      </c>
      <c r="V7" s="108" t="n"/>
      <c r="W7" s="112">
        <f>IF($V7&gt;0,IF($I7&gt;0,$I7/$V7," ")," ")</f>
        <v/>
      </c>
      <c r="X7" s="112">
        <f>IF(ISNUMBER($R7),IF(ISNUMBER($W7),$R7-$W7," ")," ")</f>
        <v/>
      </c>
      <c r="Y7" s="105">
        <f>IF($V7&gt;0,IF($T7&gt;0,IF($V7=$T7,"No","Yes")," ")," ")</f>
        <v/>
      </c>
      <c r="Z7" s="110" t="n"/>
      <c r="AA7" s="107">
        <f>IF($Z7&gt;0,$S7-$Z7," ")</f>
        <v/>
      </c>
    </row>
    <row r="8" ht="15" customHeight="1" s="46">
      <c r="A8" s="93">
        <f>IFERROR(ROW()-5,"")</f>
        <v/>
      </c>
      <c r="B8" s="94" t="n"/>
      <c r="C8" s="94" t="n"/>
      <c r="D8" s="95" t="n"/>
      <c r="E8" s="95" t="n"/>
      <c r="F8" s="96" t="n"/>
      <c r="G8" s="93" t="n"/>
      <c r="H8" s="97" t="n"/>
      <c r="I8" s="98" t="n"/>
      <c r="J8" s="99">
        <f>IF($I8&gt;0,$I8/$H8," ")</f>
        <v/>
      </c>
      <c r="K8" s="100" t="n"/>
      <c r="L8" s="101">
        <f>IF($K8&gt;0,($K8-$S8)/365," ")</f>
        <v/>
      </c>
      <c r="M8" s="95" t="n"/>
      <c r="N8" s="95" t="n"/>
      <c r="O8" s="95" t="n"/>
      <c r="P8" s="98" t="n"/>
      <c r="Q8" s="98">
        <f>IF($P8&gt;0,IF($H8&gt;0,$P8/$H8," ")," ")</f>
        <v/>
      </c>
      <c r="R8" s="102">
        <f>IF($P8&gt;0,IF($I8&gt;0,$I8/$P8," ")," ")</f>
        <v/>
      </c>
      <c r="S8" s="100" t="n"/>
      <c r="T8" s="98" t="n"/>
      <c r="U8" s="102">
        <f>IF($T8&gt;0,IF($I8&gt;0,$I8/$T8," ")," ")</f>
        <v/>
      </c>
      <c r="V8" s="98" t="n"/>
      <c r="W8" s="102">
        <f>IF($V8&gt;0,IF($I8&gt;0,$I8/$V8," ")," ")</f>
        <v/>
      </c>
      <c r="X8" s="102">
        <f>IF(ISNUMBER($R8),IF(ISNUMBER($W8),$R8-$W8," ")," ")</f>
        <v/>
      </c>
      <c r="Y8" s="95">
        <f>IF($V8&gt;0,IF($T8&gt;0,IF($V8=$T8,"No","Yes")," ")," ")</f>
        <v/>
      </c>
      <c r="Z8" s="100" t="n"/>
      <c r="AA8" s="97">
        <f>IF($Z8&gt;0,$S8-$Z8," ")</f>
        <v/>
      </c>
    </row>
    <row r="9" ht="15" customHeight="1" s="46">
      <c r="A9" s="103">
        <f>IFERROR(ROW()-5,"")</f>
        <v/>
      </c>
      <c r="B9" s="104" t="n"/>
      <c r="C9" s="104" t="n"/>
      <c r="D9" s="105" t="n"/>
      <c r="E9" s="105" t="n"/>
      <c r="F9" s="106" t="n"/>
      <c r="G9" s="103" t="n"/>
      <c r="H9" s="107" t="n"/>
      <c r="I9" s="108" t="n"/>
      <c r="J9" s="109">
        <f>IF($I9&gt;0,$I9/$H9," ")</f>
        <v/>
      </c>
      <c r="K9" s="110" t="n"/>
      <c r="L9" s="111">
        <f>IF($K9&gt;0,($K9-$S9)/365," ")</f>
        <v/>
      </c>
      <c r="M9" s="105" t="n"/>
      <c r="N9" s="105" t="n"/>
      <c r="O9" s="105" t="n"/>
      <c r="P9" s="108" t="n"/>
      <c r="Q9" s="108">
        <f>IF($P9&gt;0,IF($H9&gt;0,$P9/$H9," ")," ")</f>
        <v/>
      </c>
      <c r="R9" s="112">
        <f>IF($P9&gt;0,IF($I9&gt;0,$I9/$P9," ")," ")</f>
        <v/>
      </c>
      <c r="S9" s="110" t="n"/>
      <c r="T9" s="108" t="n"/>
      <c r="U9" s="112">
        <f>IF($T9&gt;0,IF($I9&gt;0,$I9/$T9," ")," ")</f>
        <v/>
      </c>
      <c r="V9" s="108" t="n"/>
      <c r="W9" s="112">
        <f>IF($V9&gt;0,IF($I9&gt;0,$I9/$V9," ")," ")</f>
        <v/>
      </c>
      <c r="X9" s="112">
        <f>IF(ISNUMBER($R9),IF(ISNUMBER($W9),$R9-$W9," ")," ")</f>
        <v/>
      </c>
      <c r="Y9" s="105">
        <f>IF($V9&gt;0,IF($T9&gt;0,IF($V9=$T9,"No","Yes")," ")," ")</f>
        <v/>
      </c>
      <c r="Z9" s="110" t="n"/>
      <c r="AA9" s="107">
        <f>IF($Z9&gt;0,$S9-$Z9," ")</f>
        <v/>
      </c>
    </row>
    <row r="10" ht="15" customHeight="1" s="46">
      <c r="A10" s="93">
        <f>IFERROR(ROW()-5,"")</f>
        <v/>
      </c>
      <c r="B10" s="94" t="n"/>
      <c r="C10" s="94" t="n"/>
      <c r="D10" s="95" t="n"/>
      <c r="E10" s="95" t="n"/>
      <c r="F10" s="96" t="n"/>
      <c r="G10" s="93" t="n"/>
      <c r="H10" s="97" t="n"/>
      <c r="I10" s="98" t="n"/>
      <c r="J10" s="99">
        <f>IF($I10&gt;0,$I10/$H10," ")</f>
        <v/>
      </c>
      <c r="K10" s="100" t="n"/>
      <c r="L10" s="101">
        <f>IF($K10&gt;0,($K10-$S10)/365," ")</f>
        <v/>
      </c>
      <c r="M10" s="95" t="n"/>
      <c r="N10" s="95" t="n"/>
      <c r="O10" s="95" t="n"/>
      <c r="P10" s="98" t="n"/>
      <c r="Q10" s="98">
        <f>IF($P10&gt;0,IF($H10&gt;0,$P10/$H10," ")," ")</f>
        <v/>
      </c>
      <c r="R10" s="102">
        <f>IF($P10&gt;0,IF($I10&gt;0,$I10/$P10," ")," ")</f>
        <v/>
      </c>
      <c r="S10" s="100" t="n"/>
      <c r="T10" s="98" t="n"/>
      <c r="U10" s="102">
        <f>IF($T10&gt;0,IF($I10&gt;0,$I10/$T10," ")," ")</f>
        <v/>
      </c>
      <c r="V10" s="98" t="n"/>
      <c r="W10" s="102">
        <f>IF($V10&gt;0,IF($I10&gt;0,$I10/$V10," ")," ")</f>
        <v/>
      </c>
      <c r="X10" s="102">
        <f>IF(ISNUMBER($R10),IF(ISNUMBER($W10),$R10-$W10," ")," ")</f>
        <v/>
      </c>
      <c r="Y10" s="95">
        <f>IF($V10&gt;0,IF($T10&gt;0,IF($V10=$T10,"No","Yes")," ")," ")</f>
        <v/>
      </c>
      <c r="Z10" s="100" t="n"/>
      <c r="AA10" s="97">
        <f>IF($Z10&gt;0,$S10-$Z10," ")</f>
        <v/>
      </c>
    </row>
    <row r="11" ht="15" customHeight="1" s="46">
      <c r="A11" s="103">
        <f>IFERROR(ROW()-5,"")</f>
        <v/>
      </c>
      <c r="B11" s="104" t="n"/>
      <c r="C11" s="104" t="n"/>
      <c r="D11" s="105" t="n"/>
      <c r="E11" s="105" t="n"/>
      <c r="F11" s="106" t="n"/>
      <c r="G11" s="103" t="n"/>
      <c r="H11" s="107" t="n"/>
      <c r="I11" s="108" t="n"/>
      <c r="J11" s="109">
        <f>IF($I11&gt;0,$I11/$H11," ")</f>
        <v/>
      </c>
      <c r="K11" s="110" t="n"/>
      <c r="L11" s="111">
        <f>IF($K11&gt;0,($K11-$S11)/365," ")</f>
        <v/>
      </c>
      <c r="M11" s="105" t="n"/>
      <c r="N11" s="105" t="n"/>
      <c r="O11" s="105" t="n"/>
      <c r="P11" s="108" t="n"/>
      <c r="Q11" s="108">
        <f>IF($P11&gt;0,IF($H11&gt;0,$P11/$H11," ")," ")</f>
        <v/>
      </c>
      <c r="R11" s="112">
        <f>IF($P11&gt;0,IF($I11&gt;0,$I11/$P11," ")," ")</f>
        <v/>
      </c>
      <c r="S11" s="110" t="n"/>
      <c r="T11" s="108" t="n"/>
      <c r="U11" s="112">
        <f>IF($T11&gt;0,IF($I11&gt;0,$I11/$T11," ")," ")</f>
        <v/>
      </c>
      <c r="V11" s="108" t="n"/>
      <c r="W11" s="112">
        <f>IF($V11&gt;0,IF($I11&gt;0,$I11/$V11," ")," ")</f>
        <v/>
      </c>
      <c r="X11" s="112">
        <f>IF(ISNUMBER($R11),IF(ISNUMBER($W11),$R11-$W11," ")," ")</f>
        <v/>
      </c>
      <c r="Y11" s="105">
        <f>IF($V11&gt;0,IF($T11&gt;0,IF($V11=$T11,"No","Yes")," ")," ")</f>
        <v/>
      </c>
      <c r="Z11" s="110" t="n"/>
      <c r="AA11" s="107">
        <f>IF($Z11&gt;0,$S11-$Z11," ")</f>
        <v/>
      </c>
    </row>
    <row r="12" ht="15" customHeight="1" s="46">
      <c r="A12" s="93">
        <f>IFERROR(ROW()-5,"")</f>
        <v/>
      </c>
      <c r="B12" s="94" t="n"/>
      <c r="C12" s="94" t="n"/>
      <c r="D12" s="95" t="n"/>
      <c r="E12" s="95" t="n"/>
      <c r="F12" s="96" t="n"/>
      <c r="G12" s="93" t="n"/>
      <c r="H12" s="97" t="n"/>
      <c r="I12" s="98" t="n"/>
      <c r="J12" s="99">
        <f>IF($I12&gt;0,$I12/$H12," ")</f>
        <v/>
      </c>
      <c r="K12" s="100" t="n"/>
      <c r="L12" s="101">
        <f>IF($K12&gt;0,($K12-$S12)/365," ")</f>
        <v/>
      </c>
      <c r="M12" s="95" t="n"/>
      <c r="N12" s="95" t="n"/>
      <c r="O12" s="95" t="n"/>
      <c r="P12" s="98" t="n"/>
      <c r="Q12" s="98">
        <f>IF($P12&gt;0,IF($H12&gt;0,$P12/$H12," ")," ")</f>
        <v/>
      </c>
      <c r="R12" s="102">
        <f>IF($P12&gt;0,IF($I12&gt;0,$I12/$P12," ")," ")</f>
        <v/>
      </c>
      <c r="S12" s="100" t="n"/>
      <c r="T12" s="98" t="n"/>
      <c r="U12" s="102">
        <f>IF($T12&gt;0,IF($I12&gt;0,$I12/$T12," ")," ")</f>
        <v/>
      </c>
      <c r="V12" s="98" t="n"/>
      <c r="W12" s="102">
        <f>IF($V12&gt;0,IF($I12&gt;0,$I12/$V12," ")," ")</f>
        <v/>
      </c>
      <c r="X12" s="102">
        <f>IF(ISNUMBER($R12),IF(ISNUMBER($W12),$R12-$W12," ")," ")</f>
        <v/>
      </c>
      <c r="Y12" s="95">
        <f>IF($V12&gt;0,IF($T12&gt;0,IF($V12=$T12,"No","Yes")," ")," ")</f>
        <v/>
      </c>
      <c r="Z12" s="100" t="n"/>
      <c r="AA12" s="97">
        <f>IF($Z12&gt;0,$S12-$Z12," ")</f>
        <v/>
      </c>
    </row>
    <row r="13" ht="15" customHeight="1" s="46">
      <c r="A13" s="103">
        <f>IFERROR(ROW()-5,"")</f>
        <v/>
      </c>
      <c r="B13" s="104" t="n"/>
      <c r="C13" s="104" t="n"/>
      <c r="D13" s="105" t="n"/>
      <c r="E13" s="105" t="n"/>
      <c r="F13" s="106" t="n"/>
      <c r="G13" s="103" t="n"/>
      <c r="H13" s="107" t="n"/>
      <c r="I13" s="108" t="n"/>
      <c r="J13" s="109">
        <f>IF($I13&gt;0,$I13/$H13," ")</f>
        <v/>
      </c>
      <c r="K13" s="110" t="n"/>
      <c r="L13" s="111">
        <f>IF($K13&gt;0,($K13-$S13)/365," ")</f>
        <v/>
      </c>
      <c r="M13" s="105" t="n"/>
      <c r="N13" s="105" t="n"/>
      <c r="O13" s="105" t="n"/>
      <c r="P13" s="108" t="n"/>
      <c r="Q13" s="108">
        <f>IF($P13&gt;0,IF($H13&gt;0,$P13/$H13," ")," ")</f>
        <v/>
      </c>
      <c r="R13" s="112">
        <f>IF($P13&gt;0,IF($I13&gt;0,$I13/$P13," ")," ")</f>
        <v/>
      </c>
      <c r="S13" s="110" t="n"/>
      <c r="T13" s="108" t="n"/>
      <c r="U13" s="112">
        <f>IF($T13&gt;0,IF($I13&gt;0,$I13/$T13," ")," ")</f>
        <v/>
      </c>
      <c r="V13" s="108" t="n"/>
      <c r="W13" s="112">
        <f>IF($V13&gt;0,IF($I13&gt;0,$I13/$V13," ")," ")</f>
        <v/>
      </c>
      <c r="X13" s="112">
        <f>IF(ISNUMBER($R13),IF(ISNUMBER($W13),$R13-$W13," ")," ")</f>
        <v/>
      </c>
      <c r="Y13" s="105">
        <f>IF($V13&gt;0,IF($T13&gt;0,IF($V13=$T13,"No","Yes")," ")," ")</f>
        <v/>
      </c>
      <c r="Z13" s="110" t="n"/>
      <c r="AA13" s="107">
        <f>IF($Z13&gt;0,$S13-$Z13," ")</f>
        <v/>
      </c>
    </row>
    <row r="14" ht="15" customHeight="1" s="46">
      <c r="A14" s="93">
        <f>IFERROR(ROW()-5,"")</f>
        <v/>
      </c>
      <c r="B14" s="94" t="n"/>
      <c r="C14" s="94" t="n"/>
      <c r="D14" s="95" t="n"/>
      <c r="E14" s="95" t="n"/>
      <c r="F14" s="96" t="n"/>
      <c r="G14" s="93" t="n"/>
      <c r="H14" s="97" t="n"/>
      <c r="I14" s="98" t="n"/>
      <c r="J14" s="99">
        <f>IF($I14&gt;0,$I14/$H14," ")</f>
        <v/>
      </c>
      <c r="K14" s="100" t="n"/>
      <c r="L14" s="101">
        <f>IF($K14&gt;0,($K14-$S14)/365," ")</f>
        <v/>
      </c>
      <c r="M14" s="95" t="n"/>
      <c r="N14" s="95" t="n"/>
      <c r="O14" s="95" t="n"/>
      <c r="P14" s="98" t="n"/>
      <c r="Q14" s="98">
        <f>IF($P14&gt;0,IF($H14&gt;0,$P14/$H14," ")," ")</f>
        <v/>
      </c>
      <c r="R14" s="102">
        <f>IF($P14&gt;0,IF($I14&gt;0,$I14/$P14," ")," ")</f>
        <v/>
      </c>
      <c r="S14" s="100" t="n"/>
      <c r="T14" s="98" t="n"/>
      <c r="U14" s="102">
        <f>IF($T14&gt;0,IF($I14&gt;0,$I14/$T14," ")," ")</f>
        <v/>
      </c>
      <c r="V14" s="98" t="n"/>
      <c r="W14" s="102">
        <f>IF($V14&gt;0,IF($I14&gt;0,$I14/$V14," ")," ")</f>
        <v/>
      </c>
      <c r="X14" s="102">
        <f>IF(ISNUMBER($R14),IF(ISNUMBER($W14),$R14-$W14," ")," ")</f>
        <v/>
      </c>
      <c r="Y14" s="95">
        <f>IF($V14&gt;0,IF($T14&gt;0,IF($V14=$T14,"No","Yes")," ")," ")</f>
        <v/>
      </c>
      <c r="Z14" s="100" t="n"/>
      <c r="AA14" s="97">
        <f>IF($Z14&gt;0,$S14-$Z14," ")</f>
        <v/>
      </c>
    </row>
    <row r="15" ht="15" customHeight="1" s="46">
      <c r="A15" s="103">
        <f>IFERROR(ROW()-5,"")</f>
        <v/>
      </c>
      <c r="B15" s="104" t="n"/>
      <c r="C15" s="104" t="n"/>
      <c r="D15" s="105" t="n"/>
      <c r="E15" s="105" t="n"/>
      <c r="F15" s="106" t="n"/>
      <c r="G15" s="103" t="n"/>
      <c r="H15" s="107" t="n"/>
      <c r="I15" s="108" t="n"/>
      <c r="J15" s="109">
        <f>IF($I15&gt;0,$I15/$H15," ")</f>
        <v/>
      </c>
      <c r="K15" s="110" t="n"/>
      <c r="L15" s="111">
        <f>IF($K15&gt;0,($K15-$S15)/365," ")</f>
        <v/>
      </c>
      <c r="M15" s="105" t="n"/>
      <c r="N15" s="105" t="n"/>
      <c r="O15" s="105" t="n"/>
      <c r="P15" s="108" t="n"/>
      <c r="Q15" s="108">
        <f>IF($P15&gt;0,IF($H15&gt;0,$P15/$H15," ")," ")</f>
        <v/>
      </c>
      <c r="R15" s="112">
        <f>IF($P15&gt;0,IF($I15&gt;0,$I15/$P15," ")," ")</f>
        <v/>
      </c>
      <c r="S15" s="110" t="n"/>
      <c r="T15" s="108" t="n"/>
      <c r="U15" s="112">
        <f>IF($T15&gt;0,IF($I15&gt;0,$I15/$T15," ")," ")</f>
        <v/>
      </c>
      <c r="V15" s="108" t="n"/>
      <c r="W15" s="112">
        <f>IF($V15&gt;0,IF($I15&gt;0,$I15/$V15," ")," ")</f>
        <v/>
      </c>
      <c r="X15" s="112">
        <f>IF(ISNUMBER($R15),IF(ISNUMBER($W15),$R15-$W15," ")," ")</f>
        <v/>
      </c>
      <c r="Y15" s="105">
        <f>IF($V15&gt;0,IF($T15&gt;0,IF($V15=$T15,"No","Yes")," ")," ")</f>
        <v/>
      </c>
      <c r="Z15" s="110" t="n"/>
      <c r="AA15" s="107">
        <f>IF($Z15&gt;0,$S15-$Z15," ")</f>
        <v/>
      </c>
    </row>
    <row r="16" ht="15" customHeight="1" s="46">
      <c r="A16" s="93">
        <f>IFERROR(ROW()-5,"")</f>
        <v/>
      </c>
      <c r="B16" s="94" t="n"/>
      <c r="C16" s="94" t="n"/>
      <c r="D16" s="95" t="n"/>
      <c r="E16" s="95" t="n"/>
      <c r="F16" s="96" t="n"/>
      <c r="G16" s="93" t="n"/>
      <c r="H16" s="97" t="n"/>
      <c r="I16" s="98" t="n"/>
      <c r="J16" s="99">
        <f>IF($I16&gt;0,$I16/$H16," ")</f>
        <v/>
      </c>
      <c r="K16" s="100" t="n"/>
      <c r="L16" s="101">
        <f>IF($K16&gt;0,($K16-$S16)/365," ")</f>
        <v/>
      </c>
      <c r="M16" s="95" t="n"/>
      <c r="N16" s="95" t="n"/>
      <c r="O16" s="95" t="n"/>
      <c r="P16" s="98" t="n"/>
      <c r="Q16" s="98">
        <f>IF($P16&gt;0,IF($H16&gt;0,$P16/$H16," ")," ")</f>
        <v/>
      </c>
      <c r="R16" s="102">
        <f>IF($P16&gt;0,IF($I16&gt;0,$I16/$P16," ")," ")</f>
        <v/>
      </c>
      <c r="S16" s="100" t="n"/>
      <c r="T16" s="98" t="n"/>
      <c r="U16" s="102">
        <f>IF($T16&gt;0,IF($I16&gt;0,$I16/$T16," ")," ")</f>
        <v/>
      </c>
      <c r="V16" s="98" t="n"/>
      <c r="W16" s="102">
        <f>IF($V16&gt;0,IF($I16&gt;0,$I16/$V16," ")," ")</f>
        <v/>
      </c>
      <c r="X16" s="102">
        <f>IF(ISNUMBER($R16),IF(ISNUMBER($W16),$R16-$W16," ")," ")</f>
        <v/>
      </c>
      <c r="Y16" s="95">
        <f>IF($V16&gt;0,IF($T16&gt;0,IF($V16=$T16,"No","Yes")," ")," ")</f>
        <v/>
      </c>
      <c r="Z16" s="100" t="n"/>
      <c r="AA16" s="97">
        <f>IF($Z16&gt;0,$S16-$Z16," ")</f>
        <v/>
      </c>
    </row>
    <row r="17" ht="15" customHeight="1" s="46">
      <c r="A17" s="103">
        <f>IFERROR(ROW()-5,"")</f>
        <v/>
      </c>
      <c r="B17" s="104" t="n"/>
      <c r="C17" s="104" t="n"/>
      <c r="D17" s="105" t="n"/>
      <c r="E17" s="105" t="n"/>
      <c r="F17" s="106" t="n"/>
      <c r="G17" s="103" t="n"/>
      <c r="H17" s="107" t="n"/>
      <c r="I17" s="108" t="n"/>
      <c r="J17" s="109">
        <f>IF($I17&gt;0,$I17/$H17," ")</f>
        <v/>
      </c>
      <c r="K17" s="110" t="n"/>
      <c r="L17" s="111">
        <f>IF($K17&gt;0,($K17-$S17)/365," ")</f>
        <v/>
      </c>
      <c r="M17" s="105" t="n"/>
      <c r="N17" s="105" t="n"/>
      <c r="O17" s="105" t="n"/>
      <c r="P17" s="108" t="n"/>
      <c r="Q17" s="108">
        <f>IF($P17&gt;0,IF($H17&gt;0,$P17/$H17," ")," ")</f>
        <v/>
      </c>
      <c r="R17" s="112">
        <f>IF($P17&gt;0,IF($I17&gt;0,$I17/$P17," ")," ")</f>
        <v/>
      </c>
      <c r="S17" s="110" t="n"/>
      <c r="T17" s="108" t="n"/>
      <c r="U17" s="112">
        <f>IF($T17&gt;0,IF($I17&gt;0,$I17/$T17," ")," ")</f>
        <v/>
      </c>
      <c r="V17" s="108" t="n"/>
      <c r="W17" s="112">
        <f>IF($V17&gt;0,IF($I17&gt;0,$I17/$V17," ")," ")</f>
        <v/>
      </c>
      <c r="X17" s="112">
        <f>IF(ISNUMBER($R17),IF(ISNUMBER($W17),$R17-$W17," ")," ")</f>
        <v/>
      </c>
      <c r="Y17" s="105">
        <f>IF($V17&gt;0,IF($T17&gt;0,IF($V17=$T17,"No","Yes")," ")," ")</f>
        <v/>
      </c>
      <c r="Z17" s="110" t="n"/>
      <c r="AA17" s="107">
        <f>IF($Z17&gt;0,$S17-$Z17," ")</f>
        <v/>
      </c>
    </row>
    <row r="18" ht="15" customHeight="1" s="46">
      <c r="A18" s="93">
        <f>IFERROR(ROW()-5,"")</f>
        <v/>
      </c>
      <c r="B18" s="94" t="n"/>
      <c r="C18" s="94" t="n"/>
      <c r="D18" s="95" t="n"/>
      <c r="E18" s="95" t="n"/>
      <c r="F18" s="96" t="n"/>
      <c r="G18" s="93" t="n"/>
      <c r="H18" s="97" t="n"/>
      <c r="I18" s="98" t="n"/>
      <c r="J18" s="99">
        <f>IF($I18&gt;0,$I18/$H18," ")</f>
        <v/>
      </c>
      <c r="K18" s="100" t="n"/>
      <c r="L18" s="101">
        <f>IF($K18&gt;0,($K18-$S18)/365," ")</f>
        <v/>
      </c>
      <c r="M18" s="95" t="n"/>
      <c r="N18" s="95" t="n"/>
      <c r="O18" s="95" t="n"/>
      <c r="P18" s="98" t="n"/>
      <c r="Q18" s="98">
        <f>IF($P18&gt;0,IF($H18&gt;0,$P18/$H18," ")," ")</f>
        <v/>
      </c>
      <c r="R18" s="102">
        <f>IF($P18&gt;0,IF($I18&gt;0,$I18/$P18," ")," ")</f>
        <v/>
      </c>
      <c r="S18" s="100" t="n"/>
      <c r="T18" s="98" t="n"/>
      <c r="U18" s="102">
        <f>IF($T18&gt;0,IF($I18&gt;0,$I18/$T18," ")," ")</f>
        <v/>
      </c>
      <c r="V18" s="98" t="n"/>
      <c r="W18" s="102">
        <f>IF($V18&gt;0,IF($I18&gt;0,$I18/$V18," ")," ")</f>
        <v/>
      </c>
      <c r="X18" s="102">
        <f>IF(ISNUMBER($R18),IF(ISNUMBER($W18),$R18-$W18," ")," ")</f>
        <v/>
      </c>
      <c r="Y18" s="95">
        <f>IF($V18&gt;0,IF($T18&gt;0,IF($V18=$T18,"No","Yes")," ")," ")</f>
        <v/>
      </c>
      <c r="Z18" s="100" t="n"/>
      <c r="AA18" s="97">
        <f>IF($Z18&gt;0,$S18-$Z18," ")</f>
        <v/>
      </c>
    </row>
    <row r="19" ht="15" customHeight="1" s="46">
      <c r="A19" s="103">
        <f>IFERROR(ROW()-5,"")</f>
        <v/>
      </c>
      <c r="B19" s="104" t="n"/>
      <c r="C19" s="104" t="n"/>
      <c r="D19" s="105" t="n"/>
      <c r="E19" s="105" t="n"/>
      <c r="F19" s="106" t="n"/>
      <c r="G19" s="103" t="n"/>
      <c r="H19" s="107" t="n"/>
      <c r="I19" s="108" t="n"/>
      <c r="J19" s="109">
        <f>IF($I19&gt;0,$I19/$H19," ")</f>
        <v/>
      </c>
      <c r="K19" s="110" t="n"/>
      <c r="L19" s="111">
        <f>IF($K19&gt;0,($K19-$S19)/365," ")</f>
        <v/>
      </c>
      <c r="M19" s="105" t="n"/>
      <c r="N19" s="105" t="n"/>
      <c r="O19" s="105" t="n"/>
      <c r="P19" s="108" t="n"/>
      <c r="Q19" s="108">
        <f>IF($P19&gt;0,IF($H19&gt;0,$P19/$H19," ")," ")</f>
        <v/>
      </c>
      <c r="R19" s="112">
        <f>IF($P19&gt;0,IF($I19&gt;0,$I19/$P19," ")," ")</f>
        <v/>
      </c>
      <c r="S19" s="110" t="n"/>
      <c r="T19" s="108" t="n"/>
      <c r="U19" s="112">
        <f>IF($T19&gt;0,IF($I19&gt;0,$I19/$T19," ")," ")</f>
        <v/>
      </c>
      <c r="V19" s="108" t="n"/>
      <c r="W19" s="112">
        <f>IF($V19&gt;0,IF($I19&gt;0,$I19/$V19," ")," ")</f>
        <v/>
      </c>
      <c r="X19" s="112">
        <f>IF(ISNUMBER($R19),IF(ISNUMBER($W19),$R19-$W19," ")," ")</f>
        <v/>
      </c>
      <c r="Y19" s="105">
        <f>IF($V19&gt;0,IF($T19&gt;0,IF($V19=$T19,"No","Yes")," ")," ")</f>
        <v/>
      </c>
      <c r="Z19" s="110" t="n"/>
      <c r="AA19" s="107">
        <f>IF($Z19&gt;0,$S19-$Z19," ")</f>
        <v/>
      </c>
    </row>
    <row r="20" ht="15" customHeight="1" s="46">
      <c r="A20" s="93">
        <f>IFERROR(ROW()-5,"")</f>
        <v/>
      </c>
      <c r="B20" s="94" t="n"/>
      <c r="C20" s="94" t="n"/>
      <c r="D20" s="95" t="n"/>
      <c r="E20" s="95" t="n"/>
      <c r="F20" s="96" t="n"/>
      <c r="G20" s="93" t="n"/>
      <c r="H20" s="97" t="n"/>
      <c r="I20" s="98" t="n"/>
      <c r="J20" s="99">
        <f>IF($I20&gt;0,$I20/$H20," ")</f>
        <v/>
      </c>
      <c r="K20" s="100" t="n"/>
      <c r="L20" s="101">
        <f>IF($K20&gt;0,($K20-$S20)/365," ")</f>
        <v/>
      </c>
      <c r="M20" s="95" t="n"/>
      <c r="N20" s="95" t="n"/>
      <c r="O20" s="95" t="n"/>
      <c r="P20" s="98" t="n"/>
      <c r="Q20" s="98">
        <f>IF($P20&gt;0,IF($H20&gt;0,$P20/$H20," ")," ")</f>
        <v/>
      </c>
      <c r="R20" s="102">
        <f>IF($P20&gt;0,IF($I20&gt;0,$I20/$P20," ")," ")</f>
        <v/>
      </c>
      <c r="S20" s="100" t="n"/>
      <c r="T20" s="98" t="n"/>
      <c r="U20" s="102">
        <f>IF($T20&gt;0,IF($I20&gt;0,$I20/$T20," ")," ")</f>
        <v/>
      </c>
      <c r="V20" s="98" t="n"/>
      <c r="W20" s="102">
        <f>IF($V20&gt;0,IF($I20&gt;0,$I20/$V20," ")," ")</f>
        <v/>
      </c>
      <c r="X20" s="102">
        <f>IF(ISNUMBER($R20),IF(ISNUMBER($W20),$R20-$W20," ")," ")</f>
        <v/>
      </c>
      <c r="Y20" s="95">
        <f>IF($V20&gt;0,IF($T20&gt;0,IF($V20=$T20,"No","Yes")," ")," ")</f>
        <v/>
      </c>
      <c r="Z20" s="100" t="n"/>
      <c r="AA20" s="97">
        <f>IF($Z20&gt;0,$S20-$Z20," ")</f>
        <v/>
      </c>
    </row>
    <row r="21" ht="15" customHeight="1" s="46">
      <c r="A21" s="103">
        <f>IFERROR(ROW()-5,"")</f>
        <v/>
      </c>
      <c r="B21" s="104" t="n"/>
      <c r="C21" s="104" t="n"/>
      <c r="D21" s="105" t="n"/>
      <c r="E21" s="105" t="n"/>
      <c r="F21" s="106" t="n"/>
      <c r="G21" s="103" t="n"/>
      <c r="H21" s="107" t="n"/>
      <c r="I21" s="108" t="n"/>
      <c r="J21" s="109">
        <f>IF($I21&gt;0,$I21/$H21," ")</f>
        <v/>
      </c>
      <c r="K21" s="110" t="n"/>
      <c r="L21" s="111">
        <f>IF($K21&gt;0,($K21-$S21)/365," ")</f>
        <v/>
      </c>
      <c r="M21" s="105" t="n"/>
      <c r="N21" s="105" t="n"/>
      <c r="O21" s="105" t="n"/>
      <c r="P21" s="108" t="n"/>
      <c r="Q21" s="108">
        <f>IF($P21&gt;0,IF($H21&gt;0,$P21/$H21," ")," ")</f>
        <v/>
      </c>
      <c r="R21" s="112">
        <f>IF($P21&gt;0,IF($I21&gt;0,$I21/$P21," ")," ")</f>
        <v/>
      </c>
      <c r="S21" s="110" t="n"/>
      <c r="T21" s="108" t="n"/>
      <c r="U21" s="112">
        <f>IF($T21&gt;0,IF($I21&gt;0,$I21/$T21," ")," ")</f>
        <v/>
      </c>
      <c r="V21" s="108" t="n"/>
      <c r="W21" s="112">
        <f>IF($V21&gt;0,IF($I21&gt;0,$I21/$V21," ")," ")</f>
        <v/>
      </c>
      <c r="X21" s="112">
        <f>IF(ISNUMBER($R21),IF(ISNUMBER($W21),$R21-$W21," ")," ")</f>
        <v/>
      </c>
      <c r="Y21" s="105">
        <f>IF($V21&gt;0,IF($T21&gt;0,IF($V21=$T21,"No","Yes")," ")," ")</f>
        <v/>
      </c>
      <c r="Z21" s="110" t="n"/>
      <c r="AA21" s="107">
        <f>IF($Z21&gt;0,$S21-$Z21," ")</f>
        <v/>
      </c>
    </row>
    <row r="22" ht="15" customHeight="1" s="46">
      <c r="A22" s="93">
        <f>IFERROR(ROW()-5,"")</f>
        <v/>
      </c>
      <c r="B22" s="94" t="n"/>
      <c r="C22" s="94" t="n"/>
      <c r="D22" s="95" t="n"/>
      <c r="E22" s="95" t="n"/>
      <c r="F22" s="96" t="n"/>
      <c r="G22" s="93" t="n"/>
      <c r="H22" s="97" t="n"/>
      <c r="I22" s="98" t="n"/>
      <c r="J22" s="99">
        <f>IF($I22&gt;0,$I22/$H22," ")</f>
        <v/>
      </c>
      <c r="K22" s="100" t="n"/>
      <c r="L22" s="101">
        <f>IF($K22&gt;0,($K22-$S22)/365," ")</f>
        <v/>
      </c>
      <c r="M22" s="95" t="n"/>
      <c r="N22" s="95" t="n"/>
      <c r="O22" s="95" t="n"/>
      <c r="P22" s="98" t="n"/>
      <c r="Q22" s="98">
        <f>IF($P22&gt;0,IF($H22&gt;0,$P22/$H22," ")," ")</f>
        <v/>
      </c>
      <c r="R22" s="102">
        <f>IF($P22&gt;0,IF($I22&gt;0,$I22/$P22," ")," ")</f>
        <v/>
      </c>
      <c r="S22" s="100" t="n"/>
      <c r="T22" s="98" t="n"/>
      <c r="U22" s="102">
        <f>IF($T22&gt;0,IF($I22&gt;0,$I22/$T22," ")," ")</f>
        <v/>
      </c>
      <c r="V22" s="98" t="n"/>
      <c r="W22" s="102">
        <f>IF($V22&gt;0,IF($I22&gt;0,$I22/$V22," ")," ")</f>
        <v/>
      </c>
      <c r="X22" s="102">
        <f>IF(ISNUMBER($R22),IF(ISNUMBER($W22),$R22-$W22," ")," ")</f>
        <v/>
      </c>
      <c r="Y22" s="95">
        <f>IF($V22&gt;0,IF($T22&gt;0,IF($V22=$T22,"No","Yes")," ")," ")</f>
        <v/>
      </c>
      <c r="Z22" s="100" t="n"/>
      <c r="AA22" s="97">
        <f>IF($Z22&gt;0,$S22-$Z22," ")</f>
        <v/>
      </c>
    </row>
    <row r="23" ht="15" customHeight="1" s="46">
      <c r="A23" s="103">
        <f>IFERROR(ROW()-5,"")</f>
        <v/>
      </c>
      <c r="B23" s="104" t="n"/>
      <c r="C23" s="104" t="n"/>
      <c r="D23" s="105" t="n"/>
      <c r="E23" s="105" t="n"/>
      <c r="F23" s="106" t="n"/>
      <c r="G23" s="103" t="n"/>
      <c r="H23" s="107" t="n"/>
      <c r="I23" s="108" t="n"/>
      <c r="J23" s="109">
        <f>IF($I23&gt;0,$I23/$H23," ")</f>
        <v/>
      </c>
      <c r="K23" s="110" t="n"/>
      <c r="L23" s="111">
        <f>IF($K23&gt;0,($K23-$S23)/365," ")</f>
        <v/>
      </c>
      <c r="M23" s="105" t="n"/>
      <c r="N23" s="105" t="n"/>
      <c r="O23" s="105" t="n"/>
      <c r="P23" s="108" t="n"/>
      <c r="Q23" s="108">
        <f>IF($P23&gt;0,IF($H23&gt;0,$P23/$H23," ")," ")</f>
        <v/>
      </c>
      <c r="R23" s="112">
        <f>IF($P23&gt;0,IF($I23&gt;0,$I23/$P23," ")," ")</f>
        <v/>
      </c>
      <c r="S23" s="110" t="n"/>
      <c r="T23" s="108" t="n"/>
      <c r="U23" s="112">
        <f>IF($T23&gt;0,IF($I23&gt;0,$I23/$T23," ")," ")</f>
        <v/>
      </c>
      <c r="V23" s="108" t="n"/>
      <c r="W23" s="112">
        <f>IF($V23&gt;0,IF($I23&gt;0,$I23/$V23," ")," ")</f>
        <v/>
      </c>
      <c r="X23" s="112">
        <f>IF(ISNUMBER($R23),IF(ISNUMBER($W23),$R23-$W23," ")," ")</f>
        <v/>
      </c>
      <c r="Y23" s="105">
        <f>IF($V23&gt;0,IF($T23&gt;0,IF($V23=$T23,"No","Yes")," ")," ")</f>
        <v/>
      </c>
      <c r="Z23" s="110" t="n"/>
      <c r="AA23" s="107">
        <f>IF($Z23&gt;0,$S23-$Z23," ")</f>
        <v/>
      </c>
    </row>
    <row r="24" ht="15" customHeight="1" s="46">
      <c r="A24" s="93">
        <f>IFERROR(ROW()-5,"")</f>
        <v/>
      </c>
      <c r="B24" s="94" t="n"/>
      <c r="C24" s="94" t="n"/>
      <c r="D24" s="95" t="n"/>
      <c r="E24" s="95" t="n"/>
      <c r="F24" s="96" t="n"/>
      <c r="G24" s="93" t="n"/>
      <c r="H24" s="97" t="n"/>
      <c r="I24" s="98" t="n"/>
      <c r="J24" s="99">
        <f>IF($I24&gt;0,$I24/$H24," ")</f>
        <v/>
      </c>
      <c r="K24" s="100" t="n"/>
      <c r="L24" s="101">
        <f>IF($K24&gt;0,($K24-$S24)/365," ")</f>
        <v/>
      </c>
      <c r="M24" s="95" t="n"/>
      <c r="N24" s="95" t="n"/>
      <c r="O24" s="95" t="n"/>
      <c r="P24" s="98" t="n"/>
      <c r="Q24" s="98">
        <f>IF($P24&gt;0,IF($H24&gt;0,$P24/$H24," ")," ")</f>
        <v/>
      </c>
      <c r="R24" s="102">
        <f>IF($P24&gt;0,IF($I24&gt;0,$I24/$P24," ")," ")</f>
        <v/>
      </c>
      <c r="S24" s="100" t="n"/>
      <c r="T24" s="98" t="n"/>
      <c r="U24" s="102">
        <f>IF($T24&gt;0,IF($I24&gt;0,$I24/$T24," ")," ")</f>
        <v/>
      </c>
      <c r="V24" s="98" t="n"/>
      <c r="W24" s="102">
        <f>IF($V24&gt;0,IF($I24&gt;0,$I24/$V24," ")," ")</f>
        <v/>
      </c>
      <c r="X24" s="102">
        <f>IF(ISNUMBER($R24),IF(ISNUMBER($W24),$R24-$W24," ")," ")</f>
        <v/>
      </c>
      <c r="Y24" s="95">
        <f>IF($V24&gt;0,IF($T24&gt;0,IF($V24=$T24,"No","Yes")," ")," ")</f>
        <v/>
      </c>
      <c r="Z24" s="100" t="n"/>
      <c r="AA24" s="97">
        <f>IF($Z24&gt;0,$S24-$Z24," ")</f>
        <v/>
      </c>
    </row>
    <row r="25" ht="15" customHeight="1" s="46">
      <c r="A25" s="103">
        <f>IFERROR(ROW()-5,"")</f>
        <v/>
      </c>
      <c r="B25" s="104" t="n"/>
      <c r="C25" s="104" t="n"/>
      <c r="D25" s="105" t="n"/>
      <c r="E25" s="105" t="n"/>
      <c r="F25" s="106" t="n"/>
      <c r="G25" s="103" t="n"/>
      <c r="H25" s="107" t="n"/>
      <c r="I25" s="108" t="n"/>
      <c r="J25" s="109">
        <f>IF($I25&gt;0,$I25/$H25," ")</f>
        <v/>
      </c>
      <c r="K25" s="110" t="n"/>
      <c r="L25" s="111">
        <f>IF($K25&gt;0,($K25-$S25)/365," ")</f>
        <v/>
      </c>
      <c r="M25" s="105" t="n"/>
      <c r="N25" s="105" t="n"/>
      <c r="O25" s="105" t="n"/>
      <c r="P25" s="108" t="n"/>
      <c r="Q25" s="108">
        <f>IF($P25&gt;0,IF($H25&gt;0,$P25/$H25," ")," ")</f>
        <v/>
      </c>
      <c r="R25" s="112">
        <f>IF($P25&gt;0,IF($I25&gt;0,$I25/$P25," ")," ")</f>
        <v/>
      </c>
      <c r="S25" s="110" t="n"/>
      <c r="T25" s="108" t="n"/>
      <c r="U25" s="112">
        <f>IF($T25&gt;0,IF($I25&gt;0,$I25/$T25," ")," ")</f>
        <v/>
      </c>
      <c r="V25" s="108" t="n"/>
      <c r="W25" s="112">
        <f>IF($V25&gt;0,IF($I25&gt;0,$I25/$V25," ")," ")</f>
        <v/>
      </c>
      <c r="X25" s="112">
        <f>IF(ISNUMBER($R25),IF(ISNUMBER($W25),$R25-$W25," ")," ")</f>
        <v/>
      </c>
      <c r="Y25" s="105">
        <f>IF($V25&gt;0,IF($T25&gt;0,IF($V25=$T25,"No","Yes")," ")," ")</f>
        <v/>
      </c>
      <c r="Z25" s="110" t="n"/>
      <c r="AA25" s="107">
        <f>IF($Z25&gt;0,$S25-$Z25," ")</f>
        <v/>
      </c>
    </row>
    <row r="26" ht="15" customHeight="1" s="46">
      <c r="A26" s="93">
        <f>IFERROR(ROW()-5,"")</f>
        <v/>
      </c>
      <c r="B26" s="94" t="n"/>
      <c r="C26" s="94" t="n"/>
      <c r="D26" s="95" t="n"/>
      <c r="E26" s="95" t="n"/>
      <c r="F26" s="96" t="n"/>
      <c r="G26" s="93" t="n"/>
      <c r="H26" s="97" t="n"/>
      <c r="I26" s="98" t="n"/>
      <c r="J26" s="99">
        <f>IF($I26&gt;0,$I26/$H26," ")</f>
        <v/>
      </c>
      <c r="K26" s="100" t="n"/>
      <c r="L26" s="101">
        <f>IF($K26&gt;0,($K26-$S26)/365," ")</f>
        <v/>
      </c>
      <c r="M26" s="95" t="n"/>
      <c r="N26" s="95" t="n"/>
      <c r="O26" s="95" t="n"/>
      <c r="P26" s="98" t="n"/>
      <c r="Q26" s="98">
        <f>IF($P26&gt;0,IF($H26&gt;0,$P26/$H26," ")," ")</f>
        <v/>
      </c>
      <c r="R26" s="102">
        <f>IF($P26&gt;0,IF($I26&gt;0,$I26/$P26," ")," ")</f>
        <v/>
      </c>
      <c r="S26" s="100" t="n"/>
      <c r="T26" s="98" t="n"/>
      <c r="U26" s="102">
        <f>IF($T26&gt;0,IF($I26&gt;0,$I26/$T26," ")," ")</f>
        <v/>
      </c>
      <c r="V26" s="98" t="n"/>
      <c r="W26" s="102">
        <f>IF($V26&gt;0,IF($I26&gt;0,$I26/$V26," ")," ")</f>
        <v/>
      </c>
      <c r="X26" s="102">
        <f>IF(ISNUMBER($R26),IF(ISNUMBER($W26),$R26-$W26," ")," ")</f>
        <v/>
      </c>
      <c r="Y26" s="95">
        <f>IF($V26&gt;0,IF($T26&gt;0,IF($V26=$T26,"No","Yes")," ")," ")</f>
        <v/>
      </c>
      <c r="Z26" s="100" t="n"/>
      <c r="AA26" s="97">
        <f>IF($Z26&gt;0,$S26-$Z26," ")</f>
        <v/>
      </c>
    </row>
    <row r="27" ht="15" customHeight="1" s="46">
      <c r="A27" s="103">
        <f>IFERROR(ROW()-5,"")</f>
        <v/>
      </c>
      <c r="B27" s="104" t="n"/>
      <c r="C27" s="104" t="n"/>
      <c r="D27" s="105" t="n"/>
      <c r="E27" s="105" t="n"/>
      <c r="F27" s="106" t="n"/>
      <c r="G27" s="103" t="n"/>
      <c r="H27" s="107" t="n"/>
      <c r="I27" s="108" t="n"/>
      <c r="J27" s="109">
        <f>IF($I27&gt;0,$I27/$H27," ")</f>
        <v/>
      </c>
      <c r="K27" s="110" t="n"/>
      <c r="L27" s="111">
        <f>IF($K27&gt;0,($K27-$S27)/365," ")</f>
        <v/>
      </c>
      <c r="M27" s="105" t="n"/>
      <c r="N27" s="105" t="n"/>
      <c r="O27" s="105" t="n"/>
      <c r="P27" s="108" t="n"/>
      <c r="Q27" s="108">
        <f>IF($P27&gt;0,IF($H27&gt;0,$P27/$H27," ")," ")</f>
        <v/>
      </c>
      <c r="R27" s="112">
        <f>IF($P27&gt;0,IF($I27&gt;0,$I27/$P27," ")," ")</f>
        <v/>
      </c>
      <c r="S27" s="110" t="n"/>
      <c r="T27" s="108" t="n"/>
      <c r="U27" s="112">
        <f>IF($T27&gt;0,IF($I27&gt;0,$I27/$T27," ")," ")</f>
        <v/>
      </c>
      <c r="V27" s="108" t="n"/>
      <c r="W27" s="112">
        <f>IF($V27&gt;0,IF($I27&gt;0,$I27/$V27," ")," ")</f>
        <v/>
      </c>
      <c r="X27" s="112">
        <f>IF(ISNUMBER($R27),IF(ISNUMBER($W27),$R27-$W27," ")," ")</f>
        <v/>
      </c>
      <c r="Y27" s="105">
        <f>IF($V27&gt;0,IF($T27&gt;0,IF($V27=$T27,"No","Yes")," ")," ")</f>
        <v/>
      </c>
      <c r="Z27" s="110" t="n"/>
      <c r="AA27" s="107">
        <f>IF($Z27&gt;0,$S27-$Z27," ")</f>
        <v/>
      </c>
    </row>
    <row r="28" ht="15" customHeight="1" s="46">
      <c r="A28" s="93">
        <f>IFERROR(ROW()-5,"")</f>
        <v/>
      </c>
      <c r="B28" s="94" t="n"/>
      <c r="C28" s="94" t="n"/>
      <c r="D28" s="95" t="n"/>
      <c r="E28" s="95" t="n"/>
      <c r="F28" s="96" t="n"/>
      <c r="G28" s="93" t="n"/>
      <c r="H28" s="97" t="n"/>
      <c r="I28" s="98" t="n"/>
      <c r="J28" s="99">
        <f>IF($I28&gt;0,$I28/$H28," ")</f>
        <v/>
      </c>
      <c r="K28" s="100" t="n"/>
      <c r="L28" s="101">
        <f>IF($K28&gt;0,($K28-$S28)/365," ")</f>
        <v/>
      </c>
      <c r="M28" s="95" t="n"/>
      <c r="N28" s="95" t="n"/>
      <c r="O28" s="95" t="n"/>
      <c r="P28" s="98" t="n"/>
      <c r="Q28" s="98">
        <f>IF($P28&gt;0,IF($H28&gt;0,$P28/$H28," ")," ")</f>
        <v/>
      </c>
      <c r="R28" s="102">
        <f>IF($P28&gt;0,IF($I28&gt;0,$I28/$P28," ")," ")</f>
        <v/>
      </c>
      <c r="S28" s="100" t="n"/>
      <c r="T28" s="98" t="n"/>
      <c r="U28" s="102">
        <f>IF($T28&gt;0,IF($I28&gt;0,$I28/$T28," ")," ")</f>
        <v/>
      </c>
      <c r="V28" s="98" t="n"/>
      <c r="W28" s="102">
        <f>IF($V28&gt;0,IF($I28&gt;0,$I28/$V28," ")," ")</f>
        <v/>
      </c>
      <c r="X28" s="102">
        <f>IF(ISNUMBER($R28),IF(ISNUMBER($W28),$R28-$W28," ")," ")</f>
        <v/>
      </c>
      <c r="Y28" s="95">
        <f>IF($V28&gt;0,IF($T28&gt;0,IF($V28=$T28,"No","Yes")," ")," ")</f>
        <v/>
      </c>
      <c r="Z28" s="100" t="n"/>
      <c r="AA28" s="97">
        <f>IF($Z28&gt;0,$S28-$Z28," ")</f>
        <v/>
      </c>
    </row>
    <row r="29" ht="15" customHeight="1" s="46">
      <c r="A29" s="103">
        <f>IFERROR(ROW()-5,"")</f>
        <v/>
      </c>
      <c r="B29" s="104" t="n"/>
      <c r="C29" s="104" t="n"/>
      <c r="D29" s="105" t="n"/>
      <c r="E29" s="105" t="n"/>
      <c r="F29" s="106" t="n"/>
      <c r="G29" s="103" t="n"/>
      <c r="H29" s="107" t="n"/>
      <c r="I29" s="108" t="n"/>
      <c r="J29" s="109">
        <f>IF($I29&gt;0,$I29/$H29," ")</f>
        <v/>
      </c>
      <c r="K29" s="110" t="n"/>
      <c r="L29" s="111">
        <f>IF($K29&gt;0,($K29-$S29)/365," ")</f>
        <v/>
      </c>
      <c r="M29" s="105" t="n"/>
      <c r="N29" s="105" t="n"/>
      <c r="O29" s="105" t="n"/>
      <c r="P29" s="108" t="n"/>
      <c r="Q29" s="108">
        <f>IF($P29&gt;0,IF($H29&gt;0,$P29/$H29," ")," ")</f>
        <v/>
      </c>
      <c r="R29" s="112">
        <f>IF($P29&gt;0,IF($I29&gt;0,$I29/$P29," ")," ")</f>
        <v/>
      </c>
      <c r="S29" s="110" t="n"/>
      <c r="T29" s="108" t="n"/>
      <c r="U29" s="112">
        <f>IF($T29&gt;0,IF($I29&gt;0,$I29/$T29," ")," ")</f>
        <v/>
      </c>
      <c r="V29" s="108" t="n"/>
      <c r="W29" s="112">
        <f>IF($V29&gt;0,IF($I29&gt;0,$I29/$V29," ")," ")</f>
        <v/>
      </c>
      <c r="X29" s="112">
        <f>IF(ISNUMBER($R29),IF(ISNUMBER($W29),$R29-$W29," ")," ")</f>
        <v/>
      </c>
      <c r="Y29" s="105">
        <f>IF($V29&gt;0,IF($T29&gt;0,IF($V29=$T29,"No","Yes")," ")," ")</f>
        <v/>
      </c>
      <c r="Z29" s="110" t="n"/>
      <c r="AA29" s="107">
        <f>IF($Z29&gt;0,$S29-$Z29," ")</f>
        <v/>
      </c>
    </row>
    <row r="30" ht="15" customHeight="1" s="46">
      <c r="A30" s="93">
        <f>IFERROR(ROW()-5,"")</f>
        <v/>
      </c>
      <c r="B30" s="94" t="n"/>
      <c r="C30" s="94" t="n"/>
      <c r="D30" s="95" t="n"/>
      <c r="E30" s="95" t="n"/>
      <c r="F30" s="96" t="n"/>
      <c r="G30" s="93" t="n"/>
      <c r="H30" s="97" t="n"/>
      <c r="I30" s="98" t="n"/>
      <c r="J30" s="99">
        <f>IF($I30&gt;0,$I30/$H30," ")</f>
        <v/>
      </c>
      <c r="K30" s="100" t="n"/>
      <c r="L30" s="101">
        <f>IF($K30&gt;0,($K30-$S30)/365," ")</f>
        <v/>
      </c>
      <c r="M30" s="95" t="n"/>
      <c r="N30" s="95" t="n"/>
      <c r="O30" s="95" t="n"/>
      <c r="P30" s="98" t="n"/>
      <c r="Q30" s="98">
        <f>IF($P30&gt;0,IF($H30&gt;0,$P30/$H30," ")," ")</f>
        <v/>
      </c>
      <c r="R30" s="102">
        <f>IF($P30&gt;0,IF($I30&gt;0,$I30/$P30," ")," ")</f>
        <v/>
      </c>
      <c r="S30" s="100" t="n"/>
      <c r="T30" s="98" t="n"/>
      <c r="U30" s="102">
        <f>IF($T30&gt;0,IF($I30&gt;0,$I30/$T30," ")," ")</f>
        <v/>
      </c>
      <c r="V30" s="98" t="n"/>
      <c r="W30" s="102">
        <f>IF($V30&gt;0,IF($I30&gt;0,$I30/$V30," ")," ")</f>
        <v/>
      </c>
      <c r="X30" s="102">
        <f>IF(ISNUMBER($R30),IF(ISNUMBER($W30),$R30-$W30," ")," ")</f>
        <v/>
      </c>
      <c r="Y30" s="95">
        <f>IF($V30&gt;0,IF($T30&gt;0,IF($V30=$T30,"No","Yes")," ")," ")</f>
        <v/>
      </c>
      <c r="Z30" s="100" t="n"/>
      <c r="AA30" s="97">
        <f>IF($Z30&gt;0,$S30-$Z30," ")</f>
        <v/>
      </c>
    </row>
    <row r="31" ht="15" customHeight="1" s="46">
      <c r="A31" s="103">
        <f>IFERROR(ROW()-5,"")</f>
        <v/>
      </c>
      <c r="B31" s="104" t="n"/>
      <c r="C31" s="104" t="n"/>
      <c r="D31" s="105" t="n"/>
      <c r="E31" s="105" t="n"/>
      <c r="F31" s="106" t="n"/>
      <c r="G31" s="103" t="n"/>
      <c r="H31" s="107" t="n"/>
      <c r="I31" s="108" t="n"/>
      <c r="J31" s="109">
        <f>IF($I31&gt;0,$I31/$H31," ")</f>
        <v/>
      </c>
      <c r="K31" s="110" t="n"/>
      <c r="L31" s="111">
        <f>IF($K31&gt;0,($K31-$S31)/365," ")</f>
        <v/>
      </c>
      <c r="M31" s="105" t="n"/>
      <c r="N31" s="105" t="n"/>
      <c r="O31" s="105" t="n"/>
      <c r="P31" s="108" t="n"/>
      <c r="Q31" s="108">
        <f>IF($P31&gt;0,IF($H31&gt;0,$P31/$H31," ")," ")</f>
        <v/>
      </c>
      <c r="R31" s="112">
        <f>IF($P31&gt;0,IF($I31&gt;0,$I31/$P31," ")," ")</f>
        <v/>
      </c>
      <c r="S31" s="110" t="n"/>
      <c r="T31" s="108" t="n"/>
      <c r="U31" s="112">
        <f>IF($T31&gt;0,IF($I31&gt;0,$I31/$T31," ")," ")</f>
        <v/>
      </c>
      <c r="V31" s="108" t="n"/>
      <c r="W31" s="112">
        <f>IF($V31&gt;0,IF($I31&gt;0,$I31/$V31," ")," ")</f>
        <v/>
      </c>
      <c r="X31" s="112">
        <f>IF(ISNUMBER($R31),IF(ISNUMBER($W31),$R31-$W31," ")," ")</f>
        <v/>
      </c>
      <c r="Y31" s="105">
        <f>IF($V31&gt;0,IF($T31&gt;0,IF($V31=$T31,"No","Yes")," ")," ")</f>
        <v/>
      </c>
      <c r="Z31" s="110" t="n"/>
      <c r="AA31" s="107">
        <f>IF($Z31&gt;0,$S31-$Z31," ")</f>
        <v/>
      </c>
    </row>
    <row r="32" ht="15" customHeight="1" s="46">
      <c r="A32" s="93">
        <f>IFERROR(ROW()-5,"")</f>
        <v/>
      </c>
      <c r="B32" s="94" t="n"/>
      <c r="C32" s="94" t="n"/>
      <c r="D32" s="95" t="n"/>
      <c r="E32" s="95" t="n"/>
      <c r="F32" s="96" t="n"/>
      <c r="G32" s="93" t="n"/>
      <c r="H32" s="97" t="n"/>
      <c r="I32" s="98" t="n"/>
      <c r="J32" s="99">
        <f>IF($I32&gt;0,$I32/$H32," ")</f>
        <v/>
      </c>
      <c r="K32" s="100" t="n"/>
      <c r="L32" s="101">
        <f>IF($K32&gt;0,($K32-$S32)/365," ")</f>
        <v/>
      </c>
      <c r="M32" s="95" t="n"/>
      <c r="N32" s="95" t="n"/>
      <c r="O32" s="95" t="n"/>
      <c r="P32" s="98" t="n"/>
      <c r="Q32" s="98">
        <f>IF($P32&gt;0,IF($H32&gt;0,$P32/$H32," ")," ")</f>
        <v/>
      </c>
      <c r="R32" s="102">
        <f>IF($P32&gt;0,IF($I32&gt;0,$I32/$P32," ")," ")</f>
        <v/>
      </c>
      <c r="S32" s="100" t="n"/>
      <c r="T32" s="98" t="n"/>
      <c r="U32" s="102">
        <f>IF($T32&gt;0,IF($I32&gt;0,$I32/$T32," ")," ")</f>
        <v/>
      </c>
      <c r="V32" s="98" t="n"/>
      <c r="W32" s="102">
        <f>IF($V32&gt;0,IF($I32&gt;0,$I32/$V32," ")," ")</f>
        <v/>
      </c>
      <c r="X32" s="102">
        <f>IF(ISNUMBER($R32),IF(ISNUMBER($W32),$R32-$W32," ")," ")</f>
        <v/>
      </c>
      <c r="Y32" s="95">
        <f>IF($V32&gt;0,IF($T32&gt;0,IF($V32=$T32,"No","Yes")," ")," ")</f>
        <v/>
      </c>
      <c r="Z32" s="100" t="n"/>
      <c r="AA32" s="97">
        <f>IF($Z32&gt;0,$S32-$Z32," ")</f>
        <v/>
      </c>
    </row>
    <row r="33" ht="15" customHeight="1" s="46">
      <c r="A33" s="103">
        <f>IFERROR(ROW()-5,"")</f>
        <v/>
      </c>
      <c r="B33" s="104" t="n"/>
      <c r="C33" s="104" t="n"/>
      <c r="D33" s="105" t="n"/>
      <c r="E33" s="105" t="n"/>
      <c r="F33" s="106" t="n"/>
      <c r="G33" s="103" t="n"/>
      <c r="H33" s="107" t="n"/>
      <c r="I33" s="108" t="n"/>
      <c r="J33" s="109">
        <f>IF($I33&gt;0,$I33/$H33," ")</f>
        <v/>
      </c>
      <c r="K33" s="110" t="n"/>
      <c r="L33" s="111">
        <f>IF($K33&gt;0,($K33-$S33)/365," ")</f>
        <v/>
      </c>
      <c r="M33" s="105" t="n"/>
      <c r="N33" s="105" t="n"/>
      <c r="O33" s="105" t="n"/>
      <c r="P33" s="108" t="n"/>
      <c r="Q33" s="108">
        <f>IF($P33&gt;0,IF($H33&gt;0,$P33/$H33," ")," ")</f>
        <v/>
      </c>
      <c r="R33" s="112">
        <f>IF($P33&gt;0,IF($I33&gt;0,$I33/$P33," ")," ")</f>
        <v/>
      </c>
      <c r="S33" s="110" t="n"/>
      <c r="T33" s="108" t="n"/>
      <c r="U33" s="112">
        <f>IF($T33&gt;0,IF($I33&gt;0,$I33/$T33," ")," ")</f>
        <v/>
      </c>
      <c r="V33" s="108" t="n"/>
      <c r="W33" s="112">
        <f>IF($V33&gt;0,IF($I33&gt;0,$I33/$V33," ")," ")</f>
        <v/>
      </c>
      <c r="X33" s="112">
        <f>IF(ISNUMBER($R33),IF(ISNUMBER($W33),$R33-$W33," ")," ")</f>
        <v/>
      </c>
      <c r="Y33" s="105">
        <f>IF($V33&gt;0,IF($T33&gt;0,IF($V33=$T33,"No","Yes")," ")," ")</f>
        <v/>
      </c>
      <c r="Z33" s="110" t="n"/>
      <c r="AA33" s="107">
        <f>IF($Z33&gt;0,$S33-$Z33," ")</f>
        <v/>
      </c>
    </row>
    <row r="34" ht="15" customHeight="1" s="46">
      <c r="A34" s="93">
        <f>IFERROR(ROW()-5,"")</f>
        <v/>
      </c>
      <c r="B34" s="94" t="n"/>
      <c r="C34" s="94" t="n"/>
      <c r="D34" s="95" t="n"/>
      <c r="E34" s="95" t="n"/>
      <c r="F34" s="96" t="n"/>
      <c r="G34" s="93" t="n"/>
      <c r="H34" s="97" t="n"/>
      <c r="I34" s="98" t="n"/>
      <c r="J34" s="99">
        <f>IF($I34&gt;0,$I34/$H34," ")</f>
        <v/>
      </c>
      <c r="K34" s="100" t="n"/>
      <c r="L34" s="101">
        <f>IF($K34&gt;0,($K34-$S34)/365," ")</f>
        <v/>
      </c>
      <c r="M34" s="95" t="n"/>
      <c r="N34" s="95" t="n"/>
      <c r="O34" s="95" t="n"/>
      <c r="P34" s="98" t="n"/>
      <c r="Q34" s="98">
        <f>IF($P34&gt;0,IF($H34&gt;0,$P34/$H34," ")," ")</f>
        <v/>
      </c>
      <c r="R34" s="102">
        <f>IF($P34&gt;0,IF($I34&gt;0,$I34/$P34," ")," ")</f>
        <v/>
      </c>
      <c r="S34" s="100" t="n"/>
      <c r="T34" s="98" t="n"/>
      <c r="U34" s="102">
        <f>IF($T34&gt;0,IF($I34&gt;0,$I34/$T34," ")," ")</f>
        <v/>
      </c>
      <c r="V34" s="98" t="n"/>
      <c r="W34" s="102">
        <f>IF($V34&gt;0,IF($I34&gt;0,$I34/$V34," ")," ")</f>
        <v/>
      </c>
      <c r="X34" s="102">
        <f>IF(ISNUMBER($R34),IF(ISNUMBER($W34),$R34-$W34," ")," ")</f>
        <v/>
      </c>
      <c r="Y34" s="95">
        <f>IF($V34&gt;0,IF($T34&gt;0,IF($V34=$T34,"No","Yes")," ")," ")</f>
        <v/>
      </c>
      <c r="Z34" s="100" t="n"/>
      <c r="AA34" s="97">
        <f>IF($Z34&gt;0,$S34-$Z34," ")</f>
        <v/>
      </c>
    </row>
    <row r="35" ht="15" customHeight="1" s="46">
      <c r="A35" s="103">
        <f>IFERROR(ROW()-5,"")</f>
        <v/>
      </c>
      <c r="B35" s="104" t="n"/>
      <c r="C35" s="104" t="n"/>
      <c r="D35" s="105" t="n"/>
      <c r="E35" s="105" t="n"/>
      <c r="F35" s="106" t="n"/>
      <c r="G35" s="103" t="n"/>
      <c r="H35" s="107" t="n"/>
      <c r="I35" s="108" t="n"/>
      <c r="J35" s="109">
        <f>IF($I35&gt;0,$I35/$H35," ")</f>
        <v/>
      </c>
      <c r="K35" s="110" t="n"/>
      <c r="L35" s="111">
        <f>IF($K35&gt;0,($K35-$S35)/365," ")</f>
        <v/>
      </c>
      <c r="M35" s="105" t="n"/>
      <c r="N35" s="105" t="n"/>
      <c r="O35" s="105" t="n"/>
      <c r="P35" s="108" t="n"/>
      <c r="Q35" s="108">
        <f>IF($P35&gt;0,IF($H35&gt;0,$P35/$H35," ")," ")</f>
        <v/>
      </c>
      <c r="R35" s="112">
        <f>IF($P35&gt;0,IF($I35&gt;0,$I35/$P35," ")," ")</f>
        <v/>
      </c>
      <c r="S35" s="110" t="n"/>
      <c r="T35" s="108" t="n"/>
      <c r="U35" s="112">
        <f>IF($T35&gt;0,IF($I35&gt;0,$I35/$T35," ")," ")</f>
        <v/>
      </c>
      <c r="V35" s="108" t="n"/>
      <c r="W35" s="112">
        <f>IF($V35&gt;0,IF($I35&gt;0,$I35/$V35," ")," ")</f>
        <v/>
      </c>
      <c r="X35" s="112">
        <f>IF(ISNUMBER($R35),IF(ISNUMBER($W35),$R35-$W35," ")," ")</f>
        <v/>
      </c>
      <c r="Y35" s="105">
        <f>IF($V35&gt;0,IF($T35&gt;0,IF($V35=$T35,"No","Yes")," ")," ")</f>
        <v/>
      </c>
      <c r="Z35" s="110" t="n"/>
      <c r="AA35" s="107">
        <f>IF($Z35&gt;0,$S35-$Z35," ")</f>
        <v/>
      </c>
    </row>
    <row r="36" ht="15" customHeight="1" s="46">
      <c r="A36" s="93">
        <f>IFERROR(ROW()-5,"")</f>
        <v/>
      </c>
      <c r="B36" s="94" t="n"/>
      <c r="C36" s="94" t="n"/>
      <c r="D36" s="95" t="n"/>
      <c r="E36" s="95" t="n"/>
      <c r="F36" s="96" t="n"/>
      <c r="G36" s="93" t="n"/>
      <c r="H36" s="97" t="n"/>
      <c r="I36" s="98" t="n"/>
      <c r="J36" s="99">
        <f>IF($I36&gt;0,$I36/$H36," ")</f>
        <v/>
      </c>
      <c r="K36" s="100" t="n"/>
      <c r="L36" s="101">
        <f>IF($K36&gt;0,($K36-$S36)/365," ")</f>
        <v/>
      </c>
      <c r="M36" s="95" t="n"/>
      <c r="N36" s="95" t="n"/>
      <c r="O36" s="95" t="n"/>
      <c r="P36" s="98" t="n"/>
      <c r="Q36" s="98">
        <f>IF($P36&gt;0,IF($H36&gt;0,$P36/$H36," ")," ")</f>
        <v/>
      </c>
      <c r="R36" s="102">
        <f>IF($P36&gt;0,IF($I36&gt;0,$I36/$P36," ")," ")</f>
        <v/>
      </c>
      <c r="S36" s="100" t="n"/>
      <c r="T36" s="98" t="n"/>
      <c r="U36" s="102">
        <f>IF($T36&gt;0,IF($I36&gt;0,$I36/$T36," ")," ")</f>
        <v/>
      </c>
      <c r="V36" s="98" t="n"/>
      <c r="W36" s="102">
        <f>IF($V36&gt;0,IF($I36&gt;0,$I36/$V36," ")," ")</f>
        <v/>
      </c>
      <c r="X36" s="102">
        <f>IF(ISNUMBER($R36),IF(ISNUMBER($W36),$R36-$W36," ")," ")</f>
        <v/>
      </c>
      <c r="Y36" s="95">
        <f>IF($V36&gt;0,IF($T36&gt;0,IF($V36=$T36,"No","Yes")," ")," ")</f>
        <v/>
      </c>
      <c r="Z36" s="100" t="n"/>
      <c r="AA36" s="97">
        <f>IF($Z36&gt;0,$S36-$Z36," ")</f>
        <v/>
      </c>
    </row>
    <row r="37" ht="15" customHeight="1" s="46">
      <c r="A37" s="103">
        <f>IFERROR(ROW()-5,"")</f>
        <v/>
      </c>
      <c r="B37" s="104" t="n"/>
      <c r="C37" s="104" t="n"/>
      <c r="D37" s="105" t="n"/>
      <c r="E37" s="105" t="n"/>
      <c r="F37" s="106" t="n"/>
      <c r="G37" s="103" t="n"/>
      <c r="H37" s="107" t="n"/>
      <c r="I37" s="108" t="n"/>
      <c r="J37" s="109">
        <f>IF($I37&gt;0,$I37/$H37," ")</f>
        <v/>
      </c>
      <c r="K37" s="110" t="n"/>
      <c r="L37" s="111">
        <f>IF($K37&gt;0,($K37-$S37)/365," ")</f>
        <v/>
      </c>
      <c r="M37" s="105" t="n"/>
      <c r="N37" s="105" t="n"/>
      <c r="O37" s="105" t="n"/>
      <c r="P37" s="108" t="n"/>
      <c r="Q37" s="108">
        <f>IF($P37&gt;0,IF($H37&gt;0,$P37/$H37," ")," ")</f>
        <v/>
      </c>
      <c r="R37" s="112">
        <f>IF($P37&gt;0,IF($I37&gt;0,$I37/$P37," ")," ")</f>
        <v/>
      </c>
      <c r="S37" s="110" t="n"/>
      <c r="T37" s="108" t="n"/>
      <c r="U37" s="112">
        <f>IF($T37&gt;0,IF($I37&gt;0,$I37/$T37," ")," ")</f>
        <v/>
      </c>
      <c r="V37" s="108" t="n"/>
      <c r="W37" s="112">
        <f>IF($V37&gt;0,IF($I37&gt;0,$I37/$V37," ")," ")</f>
        <v/>
      </c>
      <c r="X37" s="112">
        <f>IF(ISNUMBER($R37),IF(ISNUMBER($W37),$R37-$W37," ")," ")</f>
        <v/>
      </c>
      <c r="Y37" s="105">
        <f>IF($V37&gt;0,IF($T37&gt;0,IF($V37=$T37,"No","Yes")," ")," ")</f>
        <v/>
      </c>
      <c r="Z37" s="110" t="n"/>
      <c r="AA37" s="107">
        <f>IF($Z37&gt;0,$S37-$Z37," ")</f>
        <v/>
      </c>
    </row>
    <row r="38" ht="15" customHeight="1" s="46">
      <c r="A38" s="93">
        <f>IFERROR(ROW()-5,"")</f>
        <v/>
      </c>
      <c r="B38" s="94" t="n"/>
      <c r="C38" s="94" t="n"/>
      <c r="D38" s="95" t="n"/>
      <c r="E38" s="95" t="n"/>
      <c r="F38" s="96" t="n"/>
      <c r="G38" s="93" t="n"/>
      <c r="H38" s="97" t="n"/>
      <c r="I38" s="98" t="n"/>
      <c r="J38" s="99">
        <f>IF($I38&gt;0,$I38/$H38," ")</f>
        <v/>
      </c>
      <c r="K38" s="100" t="n"/>
      <c r="L38" s="101">
        <f>IF($K38&gt;0,($K38-$S38)/365," ")</f>
        <v/>
      </c>
      <c r="M38" s="95" t="n"/>
      <c r="N38" s="95" t="n"/>
      <c r="O38" s="95" t="n"/>
      <c r="P38" s="98" t="n"/>
      <c r="Q38" s="98">
        <f>IF($P38&gt;0,IF($H38&gt;0,$P38/$H38," ")," ")</f>
        <v/>
      </c>
      <c r="R38" s="102">
        <f>IF($P38&gt;0,IF($I38&gt;0,$I38/$P38," ")," ")</f>
        <v/>
      </c>
      <c r="S38" s="100" t="n"/>
      <c r="T38" s="98" t="n"/>
      <c r="U38" s="102">
        <f>IF($T38&gt;0,IF($I38&gt;0,$I38/$T38," ")," ")</f>
        <v/>
      </c>
      <c r="V38" s="98" t="n"/>
      <c r="W38" s="102">
        <f>IF($V38&gt;0,IF($I38&gt;0,$I38/$V38," ")," ")</f>
        <v/>
      </c>
      <c r="X38" s="102">
        <f>IF(ISNUMBER($R38),IF(ISNUMBER($W38),$R38-$W38," ")," ")</f>
        <v/>
      </c>
      <c r="Y38" s="95">
        <f>IF($V38&gt;0,IF($T38&gt;0,IF($V38=$T38,"No","Yes")," ")," ")</f>
        <v/>
      </c>
      <c r="Z38" s="100" t="n"/>
      <c r="AA38" s="97">
        <f>IF($Z38&gt;0,$S38-$Z38," ")</f>
        <v/>
      </c>
    </row>
    <row r="39" ht="15" customHeight="1" s="46">
      <c r="A39" s="103">
        <f>IFERROR(ROW()-5,"")</f>
        <v/>
      </c>
      <c r="B39" s="104" t="n"/>
      <c r="C39" s="104" t="n"/>
      <c r="D39" s="105" t="n"/>
      <c r="E39" s="105" t="n"/>
      <c r="F39" s="106" t="n"/>
      <c r="G39" s="103" t="n"/>
      <c r="H39" s="107" t="n"/>
      <c r="I39" s="108" t="n"/>
      <c r="J39" s="109">
        <f>IF($I39&gt;0,$I39/$H39," ")</f>
        <v/>
      </c>
      <c r="K39" s="110" t="n"/>
      <c r="L39" s="111">
        <f>IF($K39&gt;0,($K39-$S39)/365," ")</f>
        <v/>
      </c>
      <c r="M39" s="105" t="n"/>
      <c r="N39" s="105" t="n"/>
      <c r="O39" s="105" t="n"/>
      <c r="P39" s="108" t="n"/>
      <c r="Q39" s="108">
        <f>IF($P39&gt;0,IF($H39&gt;0,$P39/$H39," ")," ")</f>
        <v/>
      </c>
      <c r="R39" s="112">
        <f>IF($P39&gt;0,IF($I39&gt;0,$I39/$P39," ")," ")</f>
        <v/>
      </c>
      <c r="S39" s="110" t="n"/>
      <c r="T39" s="108" t="n"/>
      <c r="U39" s="112">
        <f>IF($T39&gt;0,IF($I39&gt;0,$I39/$T39," ")," ")</f>
        <v/>
      </c>
      <c r="V39" s="108" t="n"/>
      <c r="W39" s="112">
        <f>IF($V39&gt;0,IF($I39&gt;0,$I39/$V39," ")," ")</f>
        <v/>
      </c>
      <c r="X39" s="112">
        <f>IF(ISNUMBER($R39),IF(ISNUMBER($W39),$R39-$W39," ")," ")</f>
        <v/>
      </c>
      <c r="Y39" s="105">
        <f>IF($V39&gt;0,IF($T39&gt;0,IF($V39=$T39,"No","Yes")," ")," ")</f>
        <v/>
      </c>
      <c r="Z39" s="110" t="n"/>
      <c r="AA39" s="107">
        <f>IF($Z39&gt;0,$S39-$Z39," ")</f>
        <v/>
      </c>
    </row>
    <row r="40" ht="15" customHeight="1" s="46">
      <c r="A40" s="93">
        <f>IFERROR(ROW()-5,"")</f>
        <v/>
      </c>
      <c r="B40" s="94" t="n"/>
      <c r="C40" s="94" t="n"/>
      <c r="D40" s="95" t="n"/>
      <c r="E40" s="95" t="n"/>
      <c r="F40" s="96" t="n"/>
      <c r="G40" s="93" t="n"/>
      <c r="H40" s="97" t="n"/>
      <c r="I40" s="98" t="n"/>
      <c r="J40" s="99">
        <f>IF($I40&gt;0,$I40/$H40," ")</f>
        <v/>
      </c>
      <c r="K40" s="100" t="n"/>
      <c r="L40" s="101">
        <f>IF($K40&gt;0,($K40-$S40)/365," ")</f>
        <v/>
      </c>
      <c r="M40" s="95" t="n"/>
      <c r="N40" s="95" t="n"/>
      <c r="O40" s="95" t="n"/>
      <c r="P40" s="98" t="n"/>
      <c r="Q40" s="98">
        <f>IF($P40&gt;0,IF($H40&gt;0,$P40/$H40," ")," ")</f>
        <v/>
      </c>
      <c r="R40" s="102">
        <f>IF($P40&gt;0,IF($I40&gt;0,$I40/$P40," ")," ")</f>
        <v/>
      </c>
      <c r="S40" s="100" t="n"/>
      <c r="T40" s="98" t="n"/>
      <c r="U40" s="102">
        <f>IF($T40&gt;0,IF($I40&gt;0,$I40/$T40," ")," ")</f>
        <v/>
      </c>
      <c r="V40" s="98" t="n"/>
      <c r="W40" s="102">
        <f>IF($V40&gt;0,IF($I40&gt;0,$I40/$V40," ")," ")</f>
        <v/>
      </c>
      <c r="X40" s="102">
        <f>IF(ISNUMBER($R40),IF(ISNUMBER($W40),$R40-$W40," ")," ")</f>
        <v/>
      </c>
      <c r="Y40" s="95">
        <f>IF($V40&gt;0,IF($T40&gt;0,IF($V40=$T40,"No","Yes")," ")," ")</f>
        <v/>
      </c>
      <c r="Z40" s="100" t="n"/>
      <c r="AA40" s="97">
        <f>IF($Z40&gt;0,$S40-$Z40," ")</f>
        <v/>
      </c>
    </row>
    <row r="41" ht="15" customHeight="1" s="46">
      <c r="A41" s="103">
        <f>IFERROR(ROW()-5,"")</f>
        <v/>
      </c>
      <c r="B41" s="104" t="n"/>
      <c r="C41" s="104" t="n"/>
      <c r="D41" s="105" t="n"/>
      <c r="E41" s="105" t="n"/>
      <c r="F41" s="106" t="n"/>
      <c r="G41" s="103" t="n"/>
      <c r="H41" s="107" t="n"/>
      <c r="I41" s="108" t="n"/>
      <c r="J41" s="109">
        <f>IF($I41&gt;0,$I41/$H41," ")</f>
        <v/>
      </c>
      <c r="K41" s="110" t="n"/>
      <c r="L41" s="111">
        <f>IF($K41&gt;0,($K41-$S41)/365," ")</f>
        <v/>
      </c>
      <c r="M41" s="105" t="n"/>
      <c r="N41" s="105" t="n"/>
      <c r="O41" s="105" t="n"/>
      <c r="P41" s="108" t="n"/>
      <c r="Q41" s="108">
        <f>IF($P41&gt;0,IF($H41&gt;0,$P41/$H41," ")," ")</f>
        <v/>
      </c>
      <c r="R41" s="112">
        <f>IF($P41&gt;0,IF($I41&gt;0,$I41/$P41," ")," ")</f>
        <v/>
      </c>
      <c r="S41" s="110" t="n"/>
      <c r="T41" s="108" t="n"/>
      <c r="U41" s="112">
        <f>IF($T41&gt;0,IF($I41&gt;0,$I41/$T41," ")," ")</f>
        <v/>
      </c>
      <c r="V41" s="108" t="n"/>
      <c r="W41" s="112">
        <f>IF($V41&gt;0,IF($I41&gt;0,$I41/$V41," ")," ")</f>
        <v/>
      </c>
      <c r="X41" s="112">
        <f>IF(ISNUMBER($R41),IF(ISNUMBER($W41),$R41-$W41," ")," ")</f>
        <v/>
      </c>
      <c r="Y41" s="105">
        <f>IF($V41&gt;0,IF($T41&gt;0,IF($V41=$T41,"No","Yes")," ")," ")</f>
        <v/>
      </c>
      <c r="Z41" s="110" t="n"/>
      <c r="AA41" s="107">
        <f>IF($Z41&gt;0,$S41-$Z41," ")</f>
        <v/>
      </c>
    </row>
    <row r="42" ht="15" customHeight="1" s="46">
      <c r="A42" s="93">
        <f>IFERROR(ROW()-5,"")</f>
        <v/>
      </c>
      <c r="B42" s="94" t="n"/>
      <c r="C42" s="94" t="n"/>
      <c r="D42" s="95" t="n"/>
      <c r="E42" s="95" t="n"/>
      <c r="F42" s="96" t="n"/>
      <c r="G42" s="93" t="n"/>
      <c r="H42" s="97" t="n"/>
      <c r="I42" s="98" t="n"/>
      <c r="J42" s="99">
        <f>IF($I42&gt;0,$I42/$H42," ")</f>
        <v/>
      </c>
      <c r="K42" s="100" t="n"/>
      <c r="L42" s="101">
        <f>IF($K42&gt;0,($K42-$S42)/365," ")</f>
        <v/>
      </c>
      <c r="M42" s="95" t="n"/>
      <c r="N42" s="95" t="n"/>
      <c r="O42" s="95" t="n"/>
      <c r="P42" s="98" t="n"/>
      <c r="Q42" s="98">
        <f>IF($P42&gt;0,IF($H42&gt;0,$P42/$H42," ")," ")</f>
        <v/>
      </c>
      <c r="R42" s="102">
        <f>IF($P42&gt;0,IF($I42&gt;0,$I42/$P42," ")," ")</f>
        <v/>
      </c>
      <c r="S42" s="100" t="n"/>
      <c r="T42" s="98" t="n"/>
      <c r="U42" s="102">
        <f>IF($T42&gt;0,IF($I42&gt;0,$I42/$T42," ")," ")</f>
        <v/>
      </c>
      <c r="V42" s="98" t="n"/>
      <c r="W42" s="102">
        <f>IF($V42&gt;0,IF($I42&gt;0,$I42/$V42," ")," ")</f>
        <v/>
      </c>
      <c r="X42" s="102">
        <f>IF(ISNUMBER($R42),IF(ISNUMBER($W42),$R42-$W42," ")," ")</f>
        <v/>
      </c>
      <c r="Y42" s="95">
        <f>IF($V42&gt;0,IF($T42&gt;0,IF($V42=$T42,"No","Yes")," ")," ")</f>
        <v/>
      </c>
      <c r="Z42" s="100" t="n"/>
      <c r="AA42" s="97">
        <f>IF($Z42&gt;0,$S42-$Z42," ")</f>
        <v/>
      </c>
    </row>
    <row r="43" ht="15" customHeight="1" s="46">
      <c r="A43" s="103">
        <f>IFERROR(ROW()-5,"")</f>
        <v/>
      </c>
      <c r="B43" s="104" t="n"/>
      <c r="C43" s="104" t="n"/>
      <c r="D43" s="105" t="n"/>
      <c r="E43" s="105" t="n"/>
      <c r="F43" s="106" t="n"/>
      <c r="G43" s="103" t="n"/>
      <c r="H43" s="107" t="n"/>
      <c r="I43" s="108" t="n"/>
      <c r="J43" s="109">
        <f>IF($I43&gt;0,$I43/$H43," ")</f>
        <v/>
      </c>
      <c r="K43" s="110" t="n"/>
      <c r="L43" s="111">
        <f>IF($K43&gt;0,($K43-$S43)/365," ")</f>
        <v/>
      </c>
      <c r="M43" s="105" t="n"/>
      <c r="N43" s="105" t="n"/>
      <c r="O43" s="105" t="n"/>
      <c r="P43" s="108" t="n"/>
      <c r="Q43" s="108">
        <f>IF($P43&gt;0,IF($H43&gt;0,$P43/$H43," ")," ")</f>
        <v/>
      </c>
      <c r="R43" s="112">
        <f>IF($P43&gt;0,IF($I43&gt;0,$I43/$P43," ")," ")</f>
        <v/>
      </c>
      <c r="S43" s="110" t="n"/>
      <c r="T43" s="108" t="n"/>
      <c r="U43" s="112">
        <f>IF($T43&gt;0,IF($I43&gt;0,$I43/$T43," ")," ")</f>
        <v/>
      </c>
      <c r="V43" s="108" t="n"/>
      <c r="W43" s="112">
        <f>IF($V43&gt;0,IF($I43&gt;0,$I43/$V43," ")," ")</f>
        <v/>
      </c>
      <c r="X43" s="112">
        <f>IF(ISNUMBER($R43),IF(ISNUMBER($W43),$R43-$W43," ")," ")</f>
        <v/>
      </c>
      <c r="Y43" s="105">
        <f>IF($V43&gt;0,IF($T43&gt;0,IF($V43=$T43,"No","Yes")," ")," ")</f>
        <v/>
      </c>
      <c r="Z43" s="110" t="n"/>
      <c r="AA43" s="107">
        <f>IF($Z43&gt;0,$S43-$Z43," ")</f>
        <v/>
      </c>
    </row>
    <row r="44" ht="15" customHeight="1" s="46">
      <c r="A44" s="93">
        <f>IFERROR(ROW()-5,"")</f>
        <v/>
      </c>
      <c r="B44" s="94" t="n"/>
      <c r="C44" s="94" t="n"/>
      <c r="D44" s="95" t="n"/>
      <c r="E44" s="95" t="n"/>
      <c r="F44" s="96" t="n"/>
      <c r="G44" s="93" t="n"/>
      <c r="H44" s="97" t="n"/>
      <c r="I44" s="98" t="n"/>
      <c r="J44" s="99">
        <f>IF($I44&gt;0,$I44/$H44," ")</f>
        <v/>
      </c>
      <c r="K44" s="100" t="n"/>
      <c r="L44" s="101">
        <f>IF($K44&gt;0,($K44-$S44)/365," ")</f>
        <v/>
      </c>
      <c r="M44" s="95" t="n"/>
      <c r="N44" s="95" t="n"/>
      <c r="O44" s="95" t="n"/>
      <c r="P44" s="98" t="n"/>
      <c r="Q44" s="98">
        <f>IF($P44&gt;0,IF($H44&gt;0,$P44/$H44," ")," ")</f>
        <v/>
      </c>
      <c r="R44" s="102">
        <f>IF($P44&gt;0,IF($I44&gt;0,$I44/$P44," ")," ")</f>
        <v/>
      </c>
      <c r="S44" s="100" t="n"/>
      <c r="T44" s="98" t="n"/>
      <c r="U44" s="102">
        <f>IF($T44&gt;0,IF($I44&gt;0,$I44/$T44," ")," ")</f>
        <v/>
      </c>
      <c r="V44" s="98" t="n"/>
      <c r="W44" s="102">
        <f>IF($V44&gt;0,IF($I44&gt;0,$I44/$V44," ")," ")</f>
        <v/>
      </c>
      <c r="X44" s="102">
        <f>IF(ISNUMBER($R44),IF(ISNUMBER($W44),$R44-$W44," ")," ")</f>
        <v/>
      </c>
      <c r="Y44" s="95">
        <f>IF($V44&gt;0,IF($T44&gt;0,IF($V44=$T44,"No","Yes")," ")," ")</f>
        <v/>
      </c>
      <c r="Z44" s="100" t="n"/>
      <c r="AA44" s="97">
        <f>IF($Z44&gt;0,$S44-$Z44," ")</f>
        <v/>
      </c>
    </row>
    <row r="45" ht="15" customHeight="1" s="46">
      <c r="A45" s="103">
        <f>IFERROR(ROW()-5,"")</f>
        <v/>
      </c>
      <c r="B45" s="104" t="n"/>
      <c r="C45" s="104" t="n"/>
      <c r="D45" s="105" t="n"/>
      <c r="E45" s="105" t="n"/>
      <c r="F45" s="106" t="n"/>
      <c r="G45" s="103" t="n"/>
      <c r="H45" s="107" t="n"/>
      <c r="I45" s="108" t="n"/>
      <c r="J45" s="109">
        <f>IF($I45&gt;0,$I45/$H45," ")</f>
        <v/>
      </c>
      <c r="K45" s="110" t="n"/>
      <c r="L45" s="111">
        <f>IF($K45&gt;0,($K45-$S45)/365," ")</f>
        <v/>
      </c>
      <c r="M45" s="105" t="n"/>
      <c r="N45" s="105" t="n"/>
      <c r="O45" s="105" t="n"/>
      <c r="P45" s="108" t="n"/>
      <c r="Q45" s="108">
        <f>IF($P45&gt;0,IF($H45&gt;0,$P45/$H45," ")," ")</f>
        <v/>
      </c>
      <c r="R45" s="112">
        <f>IF($P45&gt;0,IF($I45&gt;0,$I45/$P45," ")," ")</f>
        <v/>
      </c>
      <c r="S45" s="110" t="n"/>
      <c r="T45" s="108" t="n"/>
      <c r="U45" s="112">
        <f>IF($T45&gt;0,IF($I45&gt;0,$I45/$T45," ")," ")</f>
        <v/>
      </c>
      <c r="V45" s="108" t="n"/>
      <c r="W45" s="112">
        <f>IF($V45&gt;0,IF($I45&gt;0,$I45/$V45," ")," ")</f>
        <v/>
      </c>
      <c r="X45" s="112">
        <f>IF(ISNUMBER($R45),IF(ISNUMBER($W45),$R45-$W45," ")," ")</f>
        <v/>
      </c>
      <c r="Y45" s="105">
        <f>IF($V45&gt;0,IF($T45&gt;0,IF($V45=$T45,"No","Yes")," ")," ")</f>
        <v/>
      </c>
      <c r="Z45" s="110" t="n"/>
      <c r="AA45" s="107">
        <f>IF($Z45&gt;0,$S45-$Z45," ")</f>
        <v/>
      </c>
    </row>
    <row r="46" ht="15" customHeight="1" s="46">
      <c r="A46" s="93">
        <f>IFERROR(ROW()-5,"")</f>
        <v/>
      </c>
      <c r="B46" s="94" t="n"/>
      <c r="C46" s="94" t="n"/>
      <c r="D46" s="95" t="n"/>
      <c r="E46" s="95" t="n"/>
      <c r="F46" s="96" t="n"/>
      <c r="G46" s="93" t="n"/>
      <c r="H46" s="97" t="n"/>
      <c r="I46" s="98" t="n"/>
      <c r="J46" s="99">
        <f>IF($I46&gt;0,$I46/$H46," ")</f>
        <v/>
      </c>
      <c r="K46" s="100" t="n"/>
      <c r="L46" s="101">
        <f>IF($K46&gt;0,($K46-$S46)/365," ")</f>
        <v/>
      </c>
      <c r="M46" s="95" t="n"/>
      <c r="N46" s="95" t="n"/>
      <c r="O46" s="95" t="n"/>
      <c r="P46" s="98" t="n"/>
      <c r="Q46" s="98">
        <f>IF($P46&gt;0,IF($H46&gt;0,$P46/$H46," ")," ")</f>
        <v/>
      </c>
      <c r="R46" s="102">
        <f>IF($P46&gt;0,IF($I46&gt;0,$I46/$P46," ")," ")</f>
        <v/>
      </c>
      <c r="S46" s="100" t="n"/>
      <c r="T46" s="98" t="n"/>
      <c r="U46" s="102">
        <f>IF($T46&gt;0,IF($I46&gt;0,$I46/$T46," ")," ")</f>
        <v/>
      </c>
      <c r="V46" s="98" t="n"/>
      <c r="W46" s="102">
        <f>IF($V46&gt;0,IF($I46&gt;0,$I46/$V46," ")," ")</f>
        <v/>
      </c>
      <c r="X46" s="102">
        <f>IF(ISNUMBER($R46),IF(ISNUMBER($W46),$R46-$W46," ")," ")</f>
        <v/>
      </c>
      <c r="Y46" s="95">
        <f>IF($V46&gt;0,IF($T46&gt;0,IF($V46=$T46,"No","Yes")," ")," ")</f>
        <v/>
      </c>
      <c r="Z46" s="100" t="n"/>
      <c r="AA46" s="97">
        <f>IF($Z46&gt;0,$S46-$Z46," ")</f>
        <v/>
      </c>
    </row>
    <row r="47" ht="15" customHeight="1" s="46">
      <c r="A47" s="103">
        <f>IFERROR(ROW()-5,"")</f>
        <v/>
      </c>
      <c r="B47" s="104" t="n"/>
      <c r="C47" s="104" t="n"/>
      <c r="D47" s="105" t="n"/>
      <c r="E47" s="105" t="n"/>
      <c r="F47" s="106" t="n"/>
      <c r="G47" s="103" t="n"/>
      <c r="H47" s="107" t="n"/>
      <c r="I47" s="108" t="n"/>
      <c r="J47" s="109">
        <f>IF($I47&gt;0,$I47/$H47," ")</f>
        <v/>
      </c>
      <c r="K47" s="110" t="n"/>
      <c r="L47" s="111">
        <f>IF($K47&gt;0,($K47-$S47)/365," ")</f>
        <v/>
      </c>
      <c r="M47" s="105" t="n"/>
      <c r="N47" s="105" t="n"/>
      <c r="O47" s="105" t="n"/>
      <c r="P47" s="108" t="n"/>
      <c r="Q47" s="108">
        <f>IF($P47&gt;0,IF($H47&gt;0,$P47/$H47," ")," ")</f>
        <v/>
      </c>
      <c r="R47" s="112">
        <f>IF($P47&gt;0,IF($I47&gt;0,$I47/$P47," ")," ")</f>
        <v/>
      </c>
      <c r="S47" s="110" t="n"/>
      <c r="T47" s="108" t="n"/>
      <c r="U47" s="112">
        <f>IF($T47&gt;0,IF($I47&gt;0,$I47/$T47," ")," ")</f>
        <v/>
      </c>
      <c r="V47" s="108" t="n"/>
      <c r="W47" s="112">
        <f>IF($V47&gt;0,IF($I47&gt;0,$I47/$V47," ")," ")</f>
        <v/>
      </c>
      <c r="X47" s="112">
        <f>IF(ISNUMBER($R47),IF(ISNUMBER($W47),$R47-$W47," ")," ")</f>
        <v/>
      </c>
      <c r="Y47" s="105">
        <f>IF($V47&gt;0,IF($T47&gt;0,IF($V47=$T47,"No","Yes")," ")," ")</f>
        <v/>
      </c>
      <c r="Z47" s="110" t="n"/>
      <c r="AA47" s="107">
        <f>IF($Z47&gt;0,$S47-$Z47," ")</f>
        <v/>
      </c>
    </row>
    <row r="48" ht="15" customHeight="1" s="46">
      <c r="A48" s="93">
        <f>IFERROR(ROW()-5,"")</f>
        <v/>
      </c>
      <c r="B48" s="94" t="n"/>
      <c r="C48" s="94" t="n"/>
      <c r="D48" s="95" t="n"/>
      <c r="E48" s="95" t="n"/>
      <c r="F48" s="96" t="n"/>
      <c r="G48" s="93" t="n"/>
      <c r="H48" s="97" t="n"/>
      <c r="I48" s="98" t="n"/>
      <c r="J48" s="99">
        <f>IF($I48&gt;0,$I48/$H48," ")</f>
        <v/>
      </c>
      <c r="K48" s="100" t="n"/>
      <c r="L48" s="101">
        <f>IF($K48&gt;0,($K48-$S48)/365," ")</f>
        <v/>
      </c>
      <c r="M48" s="95" t="n"/>
      <c r="N48" s="95" t="n"/>
      <c r="O48" s="95" t="n"/>
      <c r="P48" s="98" t="n"/>
      <c r="Q48" s="98">
        <f>IF($P48&gt;0,IF($H48&gt;0,$P48/$H48," ")," ")</f>
        <v/>
      </c>
      <c r="R48" s="102">
        <f>IF($P48&gt;0,IF($I48&gt;0,$I48/$P48," ")," ")</f>
        <v/>
      </c>
      <c r="S48" s="100" t="n"/>
      <c r="T48" s="98" t="n"/>
      <c r="U48" s="102">
        <f>IF($T48&gt;0,IF($I48&gt;0,$I48/$T48," ")," ")</f>
        <v/>
      </c>
      <c r="V48" s="98" t="n"/>
      <c r="W48" s="102">
        <f>IF($V48&gt;0,IF($I48&gt;0,$I48/$V48," ")," ")</f>
        <v/>
      </c>
      <c r="X48" s="102">
        <f>IF(ISNUMBER($R48),IF(ISNUMBER($W48),$R48-$W48," ")," ")</f>
        <v/>
      </c>
      <c r="Y48" s="95">
        <f>IF($V48&gt;0,IF($T48&gt;0,IF($V48=$T48,"No","Yes")," ")," ")</f>
        <v/>
      </c>
      <c r="Z48" s="100" t="n"/>
      <c r="AA48" s="97">
        <f>IF($Z48&gt;0,$S48-$Z48," ")</f>
        <v/>
      </c>
    </row>
    <row r="49" ht="15" customHeight="1" s="46">
      <c r="A49" s="103">
        <f>IFERROR(ROW()-5,"")</f>
        <v/>
      </c>
      <c r="B49" s="104" t="n"/>
      <c r="C49" s="104" t="n"/>
      <c r="D49" s="105" t="n"/>
      <c r="E49" s="105" t="n"/>
      <c r="F49" s="106" t="n"/>
      <c r="G49" s="103" t="n"/>
      <c r="H49" s="107" t="n"/>
      <c r="I49" s="108" t="n"/>
      <c r="J49" s="109">
        <f>IF($I49&gt;0,$I49/$H49," ")</f>
        <v/>
      </c>
      <c r="K49" s="110" t="n"/>
      <c r="L49" s="111">
        <f>IF($K49&gt;0,($K49-$S49)/365," ")</f>
        <v/>
      </c>
      <c r="M49" s="105" t="n"/>
      <c r="N49" s="105" t="n"/>
      <c r="O49" s="105" t="n"/>
      <c r="P49" s="108" t="n"/>
      <c r="Q49" s="108">
        <f>IF($P49&gt;0,IF($H49&gt;0,$P49/$H49," ")," ")</f>
        <v/>
      </c>
      <c r="R49" s="112">
        <f>IF($P49&gt;0,IF($I49&gt;0,$I49/$P49," ")," ")</f>
        <v/>
      </c>
      <c r="S49" s="110" t="n"/>
      <c r="T49" s="108" t="n"/>
      <c r="U49" s="112">
        <f>IF($T49&gt;0,IF($I49&gt;0,$I49/$T49," ")," ")</f>
        <v/>
      </c>
      <c r="V49" s="108" t="n"/>
      <c r="W49" s="112">
        <f>IF($V49&gt;0,IF($I49&gt;0,$I49/$V49," ")," ")</f>
        <v/>
      </c>
      <c r="X49" s="112">
        <f>IF(ISNUMBER($R49),IF(ISNUMBER($W49),$R49-$W49," ")," ")</f>
        <v/>
      </c>
      <c r="Y49" s="105">
        <f>IF($V49&gt;0,IF($T49&gt;0,IF($V49=$T49,"No","Yes")," ")," ")</f>
        <v/>
      </c>
      <c r="Z49" s="110" t="n"/>
      <c r="AA49" s="107">
        <f>IF($Z49&gt;0,$S49-$Z49," ")</f>
        <v/>
      </c>
    </row>
    <row r="50" ht="15" customHeight="1" s="46">
      <c r="A50" s="93">
        <f>IFERROR(ROW()-5,"")</f>
        <v/>
      </c>
      <c r="B50" s="94" t="n"/>
      <c r="C50" s="94" t="n"/>
      <c r="D50" s="95" t="n"/>
      <c r="E50" s="95" t="n"/>
      <c r="F50" s="96" t="n"/>
      <c r="G50" s="93" t="n"/>
      <c r="H50" s="97" t="n"/>
      <c r="I50" s="98" t="n"/>
      <c r="J50" s="99">
        <f>IF($I50&gt;0,$I50/$H50," ")</f>
        <v/>
      </c>
      <c r="K50" s="100" t="n"/>
      <c r="L50" s="101">
        <f>IF($K50&gt;0,($K50-$S50)/365," ")</f>
        <v/>
      </c>
      <c r="M50" s="95" t="n"/>
      <c r="N50" s="95" t="n"/>
      <c r="O50" s="95" t="n"/>
      <c r="P50" s="98" t="n"/>
      <c r="Q50" s="98">
        <f>IF($P50&gt;0,IF($H50&gt;0,$P50/$H50," ")," ")</f>
        <v/>
      </c>
      <c r="R50" s="102">
        <f>IF($P50&gt;0,IF($I50&gt;0,$I50/$P50," ")," ")</f>
        <v/>
      </c>
      <c r="S50" s="100" t="n"/>
      <c r="T50" s="98" t="n"/>
      <c r="U50" s="102">
        <f>IF($T50&gt;0,IF($I50&gt;0,$I50/$T50," ")," ")</f>
        <v/>
      </c>
      <c r="V50" s="98" t="n"/>
      <c r="W50" s="102">
        <f>IF($V50&gt;0,IF($I50&gt;0,$I50/$V50," ")," ")</f>
        <v/>
      </c>
      <c r="X50" s="102">
        <f>IF(ISNUMBER($R50),IF(ISNUMBER($W50),$R50-$W50," ")," ")</f>
        <v/>
      </c>
      <c r="Y50" s="95">
        <f>IF($V50&gt;0,IF($T50&gt;0,IF($V50=$T50,"No","Yes")," ")," ")</f>
        <v/>
      </c>
      <c r="Z50" s="100" t="n"/>
      <c r="AA50" s="97">
        <f>IF($Z50&gt;0,$S50-$Z50," ")</f>
        <v/>
      </c>
    </row>
    <row r="51" ht="15" customHeight="1" s="46">
      <c r="A51" s="103">
        <f>IFERROR(ROW()-5,"")</f>
        <v/>
      </c>
      <c r="B51" s="104" t="n"/>
      <c r="C51" s="104" t="n"/>
      <c r="D51" s="105" t="n"/>
      <c r="E51" s="105" t="n"/>
      <c r="F51" s="106" t="n"/>
      <c r="G51" s="103" t="n"/>
      <c r="H51" s="107" t="n"/>
      <c r="I51" s="108" t="n"/>
      <c r="J51" s="109">
        <f>IF($I51&gt;0,$I51/$H51," ")</f>
        <v/>
      </c>
      <c r="K51" s="110" t="n"/>
      <c r="L51" s="111">
        <f>IF($K51&gt;0,($K51-$S51)/365," ")</f>
        <v/>
      </c>
      <c r="M51" s="105" t="n"/>
      <c r="N51" s="105" t="n"/>
      <c r="O51" s="105" t="n"/>
      <c r="P51" s="108" t="n"/>
      <c r="Q51" s="108">
        <f>IF($P51&gt;0,IF($H51&gt;0,$P51/$H51," ")," ")</f>
        <v/>
      </c>
      <c r="R51" s="112">
        <f>IF($P51&gt;0,IF($I51&gt;0,$I51/$P51," ")," ")</f>
        <v/>
      </c>
      <c r="S51" s="110" t="n"/>
      <c r="T51" s="108" t="n"/>
      <c r="U51" s="112">
        <f>IF($T51&gt;0,IF($I51&gt;0,$I51/$T51," ")," ")</f>
        <v/>
      </c>
      <c r="V51" s="108" t="n"/>
      <c r="W51" s="112">
        <f>IF($V51&gt;0,IF($I51&gt;0,$I51/$V51," ")," ")</f>
        <v/>
      </c>
      <c r="X51" s="112">
        <f>IF(ISNUMBER($R51),IF(ISNUMBER($W51),$R51-$W51," ")," ")</f>
        <v/>
      </c>
      <c r="Y51" s="105">
        <f>IF($V51&gt;0,IF($T51&gt;0,IF($V51=$T51,"No","Yes")," ")," ")</f>
        <v/>
      </c>
      <c r="Z51" s="110" t="n"/>
      <c r="AA51" s="107">
        <f>IF($Z51&gt;0,$S51-$Z51," ")</f>
        <v/>
      </c>
    </row>
    <row r="52" ht="15" customHeight="1" s="46">
      <c r="A52" s="93">
        <f>IFERROR(ROW()-5,"")</f>
        <v/>
      </c>
      <c r="B52" s="94" t="n"/>
      <c r="C52" s="94" t="n"/>
      <c r="D52" s="95" t="n"/>
      <c r="E52" s="95" t="n"/>
      <c r="F52" s="96" t="n"/>
      <c r="G52" s="93" t="n"/>
      <c r="H52" s="97" t="n"/>
      <c r="I52" s="98" t="n"/>
      <c r="J52" s="99">
        <f>IF($I52&gt;0,$I52/$H52," ")</f>
        <v/>
      </c>
      <c r="K52" s="100" t="n"/>
      <c r="L52" s="101">
        <f>IF($K52&gt;0,($K52-$S52)/365," ")</f>
        <v/>
      </c>
      <c r="M52" s="95" t="n"/>
      <c r="N52" s="95" t="n"/>
      <c r="O52" s="95" t="n"/>
      <c r="P52" s="98" t="n"/>
      <c r="Q52" s="98">
        <f>IF($P52&gt;0,IF($H52&gt;0,$P52/$H52," ")," ")</f>
        <v/>
      </c>
      <c r="R52" s="102">
        <f>IF($P52&gt;0,IF($I52&gt;0,$I52/$P52," ")," ")</f>
        <v/>
      </c>
      <c r="S52" s="100" t="n"/>
      <c r="T52" s="98" t="n"/>
      <c r="U52" s="102">
        <f>IF($T52&gt;0,IF($I52&gt;0,$I52/$T52," ")," ")</f>
        <v/>
      </c>
      <c r="V52" s="98" t="n"/>
      <c r="W52" s="102">
        <f>IF($V52&gt;0,IF($I52&gt;0,$I52/$V52," ")," ")</f>
        <v/>
      </c>
      <c r="X52" s="102">
        <f>IF(ISNUMBER($R52),IF(ISNUMBER($W52),$R52-$W52," ")," ")</f>
        <v/>
      </c>
      <c r="Y52" s="95">
        <f>IF($V52&gt;0,IF($T52&gt;0,IF($V52=$T52,"No","Yes")," ")," ")</f>
        <v/>
      </c>
      <c r="Z52" s="100" t="n"/>
      <c r="AA52" s="97">
        <f>IF($Z52&gt;0,$S52-$Z52," ")</f>
        <v/>
      </c>
    </row>
    <row r="53" ht="15" customHeight="1" s="46">
      <c r="A53" s="103">
        <f>IFERROR(ROW()-5,"")</f>
        <v/>
      </c>
      <c r="B53" s="104" t="n"/>
      <c r="C53" s="104" t="n"/>
      <c r="D53" s="105" t="n"/>
      <c r="E53" s="105" t="n"/>
      <c r="F53" s="106" t="n"/>
      <c r="G53" s="103" t="n"/>
      <c r="H53" s="107" t="n"/>
      <c r="I53" s="108" t="n"/>
      <c r="J53" s="109">
        <f>IF($I53&gt;0,$I53/$H53," ")</f>
        <v/>
      </c>
      <c r="K53" s="110" t="n"/>
      <c r="L53" s="111">
        <f>IF($K53&gt;0,($K53-$S53)/365," ")</f>
        <v/>
      </c>
      <c r="M53" s="105" t="n"/>
      <c r="N53" s="105" t="n"/>
      <c r="O53" s="105" t="n"/>
      <c r="P53" s="108" t="n"/>
      <c r="Q53" s="108">
        <f>IF($P53&gt;0,IF($H53&gt;0,$P53/$H53," ")," ")</f>
        <v/>
      </c>
      <c r="R53" s="112">
        <f>IF($P53&gt;0,IF($I53&gt;0,$I53/$P53," ")," ")</f>
        <v/>
      </c>
      <c r="S53" s="110" t="n"/>
      <c r="T53" s="108" t="n"/>
      <c r="U53" s="112">
        <f>IF($T53&gt;0,IF($I53&gt;0,$I53/$T53," ")," ")</f>
        <v/>
      </c>
      <c r="V53" s="108" t="n"/>
      <c r="W53" s="112">
        <f>IF($V53&gt;0,IF($I53&gt;0,$I53/$V53," ")," ")</f>
        <v/>
      </c>
      <c r="X53" s="112">
        <f>IF(ISNUMBER($R53),IF(ISNUMBER($W53),$R53-$W53," ")," ")</f>
        <v/>
      </c>
      <c r="Y53" s="105">
        <f>IF($V53&gt;0,IF($T53&gt;0,IF($V53=$T53,"No","Yes")," ")," ")</f>
        <v/>
      </c>
      <c r="Z53" s="110" t="n"/>
      <c r="AA53" s="107">
        <f>IF($Z53&gt;0,$S53-$Z53," ")</f>
        <v/>
      </c>
    </row>
    <row r="54" ht="15" customHeight="1" s="46">
      <c r="A54" s="93">
        <f>IFERROR(ROW()-5,"")</f>
        <v/>
      </c>
      <c r="B54" s="94" t="n"/>
      <c r="C54" s="94" t="n"/>
      <c r="D54" s="95" t="n"/>
      <c r="E54" s="95" t="n"/>
      <c r="F54" s="96" t="n"/>
      <c r="G54" s="93" t="n"/>
      <c r="H54" s="97" t="n"/>
      <c r="I54" s="98" t="n"/>
      <c r="J54" s="99">
        <f>IF($I54&gt;0,$I54/$H54," ")</f>
        <v/>
      </c>
      <c r="K54" s="100" t="n"/>
      <c r="L54" s="101">
        <f>IF($K54&gt;0,($K54-$S54)/365," ")</f>
        <v/>
      </c>
      <c r="M54" s="95" t="n"/>
      <c r="N54" s="95" t="n"/>
      <c r="O54" s="95" t="n"/>
      <c r="P54" s="98" t="n"/>
      <c r="Q54" s="98">
        <f>IF($P54&gt;0,IF($H54&gt;0,$P54/$H54," ")," ")</f>
        <v/>
      </c>
      <c r="R54" s="102">
        <f>IF($P54&gt;0,IF($I54&gt;0,$I54/$P54," ")," ")</f>
        <v/>
      </c>
      <c r="S54" s="100" t="n"/>
      <c r="T54" s="98" t="n"/>
      <c r="U54" s="102">
        <f>IF($T54&gt;0,IF($I54&gt;0,$I54/$T54," ")," ")</f>
        <v/>
      </c>
      <c r="V54" s="98" t="n"/>
      <c r="W54" s="102">
        <f>IF($V54&gt;0,IF($I54&gt;0,$I54/$V54," ")," ")</f>
        <v/>
      </c>
      <c r="X54" s="102">
        <f>IF(ISNUMBER($R54),IF(ISNUMBER($W54),$R54-$W54," ")," ")</f>
        <v/>
      </c>
      <c r="Y54" s="95">
        <f>IF($V54&gt;0,IF($T54&gt;0,IF($V54=$T54,"No","Yes")," ")," ")</f>
        <v/>
      </c>
      <c r="Z54" s="100" t="n"/>
      <c r="AA54" s="97">
        <f>IF($Z54&gt;0,$S54-$Z54," ")</f>
        <v/>
      </c>
    </row>
    <row r="55" ht="15" customHeight="1" s="46">
      <c r="A55" s="103">
        <f>IFERROR(ROW()-5,"")</f>
        <v/>
      </c>
      <c r="B55" s="104" t="n"/>
      <c r="C55" s="104" t="n"/>
      <c r="D55" s="105" t="n"/>
      <c r="E55" s="105" t="n"/>
      <c r="F55" s="106" t="n"/>
      <c r="G55" s="103" t="n"/>
      <c r="H55" s="107" t="n"/>
      <c r="I55" s="108" t="n"/>
      <c r="J55" s="109">
        <f>IF($I55&gt;0,$I55/$H55," ")</f>
        <v/>
      </c>
      <c r="K55" s="110" t="n"/>
      <c r="L55" s="111">
        <f>IF($K55&gt;0,($K55-$S55)/365," ")</f>
        <v/>
      </c>
      <c r="M55" s="105" t="n"/>
      <c r="N55" s="105" t="n"/>
      <c r="O55" s="105" t="n"/>
      <c r="P55" s="108" t="n"/>
      <c r="Q55" s="108">
        <f>IF($P55&gt;0,IF($H55&gt;0,$P55/$H55," ")," ")</f>
        <v/>
      </c>
      <c r="R55" s="112">
        <f>IF($P55&gt;0,IF($I55&gt;0,$I55/$P55," ")," ")</f>
        <v/>
      </c>
      <c r="S55" s="110" t="n"/>
      <c r="T55" s="108" t="n"/>
      <c r="U55" s="112">
        <f>IF($T55&gt;0,IF($I55&gt;0,$I55/$T55," ")," ")</f>
        <v/>
      </c>
      <c r="V55" s="108" t="n"/>
      <c r="W55" s="112">
        <f>IF($V55&gt;0,IF($I55&gt;0,$I55/$V55," ")," ")</f>
        <v/>
      </c>
      <c r="X55" s="112">
        <f>IF(ISNUMBER($R55),IF(ISNUMBER($W55),$R55-$W55," ")," ")</f>
        <v/>
      </c>
      <c r="Y55" s="105">
        <f>IF($V55&gt;0,IF($T55&gt;0,IF($V55=$T55,"No","Yes")," ")," ")</f>
        <v/>
      </c>
      <c r="Z55" s="110" t="n"/>
      <c r="AA55" s="107">
        <f>IF($Z55&gt;0,$S55-$Z55," ")</f>
        <v/>
      </c>
    </row>
    <row r="56" ht="15" customHeight="1" s="46">
      <c r="A56" s="93">
        <f>IFERROR(ROW()-5,"")</f>
        <v/>
      </c>
      <c r="B56" s="94" t="n"/>
      <c r="C56" s="94" t="n"/>
      <c r="D56" s="95" t="n"/>
      <c r="E56" s="95" t="n"/>
      <c r="F56" s="96" t="n"/>
      <c r="G56" s="93" t="n"/>
      <c r="H56" s="97" t="n"/>
      <c r="I56" s="98" t="n"/>
      <c r="J56" s="99">
        <f>IF($I56&gt;0,$I56/$H56," ")</f>
        <v/>
      </c>
      <c r="K56" s="100" t="n"/>
      <c r="L56" s="101">
        <f>IF($K56&gt;0,($K56-$S56)/365," ")</f>
        <v/>
      </c>
      <c r="M56" s="95" t="n"/>
      <c r="N56" s="95" t="n"/>
      <c r="O56" s="95" t="n"/>
      <c r="P56" s="98" t="n"/>
      <c r="Q56" s="98">
        <f>IF($P56&gt;0,IF($H56&gt;0,$P56/$H56," ")," ")</f>
        <v/>
      </c>
      <c r="R56" s="102">
        <f>IF($P56&gt;0,IF($I56&gt;0,$I56/$P56," ")," ")</f>
        <v/>
      </c>
      <c r="S56" s="100" t="n"/>
      <c r="T56" s="98" t="n"/>
      <c r="U56" s="102">
        <f>IF($T56&gt;0,IF($I56&gt;0,$I56/$T56," ")," ")</f>
        <v/>
      </c>
      <c r="V56" s="98" t="n"/>
      <c r="W56" s="102">
        <f>IF($V56&gt;0,IF($I56&gt;0,$I56/$V56," ")," ")</f>
        <v/>
      </c>
      <c r="X56" s="102">
        <f>IF(ISNUMBER($R56),IF(ISNUMBER($W56),$R56-$W56," ")," ")</f>
        <v/>
      </c>
      <c r="Y56" s="95">
        <f>IF($V56&gt;0,IF($T56&gt;0,IF($V56=$T56,"No","Yes")," ")," ")</f>
        <v/>
      </c>
      <c r="Z56" s="100" t="n"/>
      <c r="AA56" s="97">
        <f>IF($Z56&gt;0,$S56-$Z56," ")</f>
        <v/>
      </c>
    </row>
    <row r="57" ht="15" customHeight="1" s="46">
      <c r="A57" s="103">
        <f>IFERROR(ROW()-5,"")</f>
        <v/>
      </c>
      <c r="B57" s="104" t="n"/>
      <c r="C57" s="104" t="n"/>
      <c r="D57" s="105" t="n"/>
      <c r="E57" s="105" t="n"/>
      <c r="F57" s="106" t="n"/>
      <c r="G57" s="103" t="n"/>
      <c r="H57" s="107" t="n"/>
      <c r="I57" s="108" t="n"/>
      <c r="J57" s="109">
        <f>IF($I57&gt;0,$I57/$H57," ")</f>
        <v/>
      </c>
      <c r="K57" s="110" t="n"/>
      <c r="L57" s="111">
        <f>IF($K57&gt;0,($K57-$S57)/365," ")</f>
        <v/>
      </c>
      <c r="M57" s="105" t="n"/>
      <c r="N57" s="105" t="n"/>
      <c r="O57" s="105" t="n"/>
      <c r="P57" s="108" t="n"/>
      <c r="Q57" s="108">
        <f>IF($P57&gt;0,IF($H57&gt;0,$P57/$H57," ")," ")</f>
        <v/>
      </c>
      <c r="R57" s="112">
        <f>IF($P57&gt;0,IF($I57&gt;0,$I57/$P57," ")," ")</f>
        <v/>
      </c>
      <c r="S57" s="110" t="n"/>
      <c r="T57" s="108" t="n"/>
      <c r="U57" s="112">
        <f>IF($T57&gt;0,IF($I57&gt;0,$I57/$T57," ")," ")</f>
        <v/>
      </c>
      <c r="V57" s="108" t="n"/>
      <c r="W57" s="112">
        <f>IF($V57&gt;0,IF($I57&gt;0,$I57/$V57," ")," ")</f>
        <v/>
      </c>
      <c r="X57" s="112">
        <f>IF(ISNUMBER($R57),IF(ISNUMBER($W57),$R57-$W57," ")," ")</f>
        <v/>
      </c>
      <c r="Y57" s="105">
        <f>IF($V57&gt;0,IF($T57&gt;0,IF($V57=$T57,"No","Yes")," ")," ")</f>
        <v/>
      </c>
      <c r="Z57" s="110" t="n"/>
      <c r="AA57" s="107">
        <f>IF($Z57&gt;0,$S57-$Z57," ")</f>
        <v/>
      </c>
    </row>
    <row r="58" ht="15" customHeight="1" s="46">
      <c r="A58" s="93">
        <f>IFERROR(ROW()-5,"")</f>
        <v/>
      </c>
      <c r="B58" s="94" t="n"/>
      <c r="C58" s="94" t="n"/>
      <c r="D58" s="95" t="n"/>
      <c r="E58" s="95" t="n"/>
      <c r="F58" s="96" t="n"/>
      <c r="G58" s="93" t="n"/>
      <c r="H58" s="97" t="n"/>
      <c r="I58" s="98" t="n"/>
      <c r="J58" s="99">
        <f>IF($I58&gt;0,$I58/$H58," ")</f>
        <v/>
      </c>
      <c r="K58" s="100" t="n"/>
      <c r="L58" s="101">
        <f>IF($K58&gt;0,($K58-$S58)/365," ")</f>
        <v/>
      </c>
      <c r="M58" s="95" t="n"/>
      <c r="N58" s="95" t="n"/>
      <c r="O58" s="95" t="n"/>
      <c r="P58" s="98" t="n"/>
      <c r="Q58" s="98">
        <f>IF($P58&gt;0,IF($H58&gt;0,$P58/$H58," ")," ")</f>
        <v/>
      </c>
      <c r="R58" s="102">
        <f>IF($P58&gt;0,IF($I58&gt;0,$I58/$P58," ")," ")</f>
        <v/>
      </c>
      <c r="S58" s="100" t="n"/>
      <c r="T58" s="98" t="n"/>
      <c r="U58" s="102">
        <f>IF($T58&gt;0,IF($I58&gt;0,$I58/$T58," ")," ")</f>
        <v/>
      </c>
      <c r="V58" s="98" t="n"/>
      <c r="W58" s="102">
        <f>IF($V58&gt;0,IF($I58&gt;0,$I58/$V58," ")," ")</f>
        <v/>
      </c>
      <c r="X58" s="102">
        <f>IF(ISNUMBER($R58),IF(ISNUMBER($W58),$R58-$W58," ")," ")</f>
        <v/>
      </c>
      <c r="Y58" s="95">
        <f>IF($V58&gt;0,IF($T58&gt;0,IF($V58=$T58,"No","Yes")," ")," ")</f>
        <v/>
      </c>
      <c r="Z58" s="100" t="n"/>
      <c r="AA58" s="97">
        <f>IF($Z58&gt;0,$S58-$Z58," ")</f>
        <v/>
      </c>
    </row>
    <row r="59" ht="15" customHeight="1" s="46">
      <c r="A59" s="103">
        <f>IFERROR(ROW()-5,"")</f>
        <v/>
      </c>
      <c r="B59" s="104" t="n"/>
      <c r="C59" s="104" t="n"/>
      <c r="D59" s="105" t="n"/>
      <c r="E59" s="105" t="n"/>
      <c r="F59" s="106" t="n"/>
      <c r="G59" s="103" t="n"/>
      <c r="H59" s="107" t="n"/>
      <c r="I59" s="108" t="n"/>
      <c r="J59" s="109">
        <f>IF($I59&gt;0,$I59/$H59," ")</f>
        <v/>
      </c>
      <c r="K59" s="110" t="n"/>
      <c r="L59" s="111">
        <f>IF($K59&gt;0,($K59-$S59)/365," ")</f>
        <v/>
      </c>
      <c r="M59" s="105" t="n"/>
      <c r="N59" s="105" t="n"/>
      <c r="O59" s="105" t="n"/>
      <c r="P59" s="108" t="n"/>
      <c r="Q59" s="108">
        <f>IF($P59&gt;0,IF($H59&gt;0,$P59/$H59," ")," ")</f>
        <v/>
      </c>
      <c r="R59" s="112">
        <f>IF($P59&gt;0,IF($I59&gt;0,$I59/$P59," ")," ")</f>
        <v/>
      </c>
      <c r="S59" s="110" t="n"/>
      <c r="T59" s="108" t="n"/>
      <c r="U59" s="112">
        <f>IF($T59&gt;0,IF($I59&gt;0,$I59/$T59," ")," ")</f>
        <v/>
      </c>
      <c r="V59" s="108" t="n"/>
      <c r="W59" s="112">
        <f>IF($V59&gt;0,IF($I59&gt;0,$I59/$V59," ")," ")</f>
        <v/>
      </c>
      <c r="X59" s="112">
        <f>IF(ISNUMBER($R59),IF(ISNUMBER($W59),$R59-$W59," ")," ")</f>
        <v/>
      </c>
      <c r="Y59" s="105">
        <f>IF($V59&gt;0,IF($T59&gt;0,IF($V59=$T59,"No","Yes")," ")," ")</f>
        <v/>
      </c>
      <c r="Z59" s="110" t="n"/>
      <c r="AA59" s="107">
        <f>IF($Z59&gt;0,$S59-$Z59," ")</f>
        <v/>
      </c>
    </row>
    <row r="60" ht="15" customHeight="1" s="46">
      <c r="A60" s="93">
        <f>IFERROR(ROW()-5,"")</f>
        <v/>
      </c>
      <c r="B60" s="94" t="n"/>
      <c r="C60" s="94" t="n"/>
      <c r="D60" s="95" t="n"/>
      <c r="E60" s="95" t="n"/>
      <c r="F60" s="96" t="n"/>
      <c r="G60" s="93" t="n"/>
      <c r="H60" s="97" t="n"/>
      <c r="I60" s="98" t="n"/>
      <c r="J60" s="99">
        <f>IF($I60&gt;0,$I60/$H60," ")</f>
        <v/>
      </c>
      <c r="K60" s="100" t="n"/>
      <c r="L60" s="101">
        <f>IF($K60&gt;0,($K60-$S60)/365," ")</f>
        <v/>
      </c>
      <c r="M60" s="95" t="n"/>
      <c r="N60" s="95" t="n"/>
      <c r="O60" s="95" t="n"/>
      <c r="P60" s="98" t="n"/>
      <c r="Q60" s="98">
        <f>IF($P60&gt;0,IF($H60&gt;0,$P60/$H60," ")," ")</f>
        <v/>
      </c>
      <c r="R60" s="102">
        <f>IF($P60&gt;0,IF($I60&gt;0,$I60/$P60," ")," ")</f>
        <v/>
      </c>
      <c r="S60" s="100" t="n"/>
      <c r="T60" s="98" t="n"/>
      <c r="U60" s="102">
        <f>IF($T60&gt;0,IF($I60&gt;0,$I60/$T60," ")," ")</f>
        <v/>
      </c>
      <c r="V60" s="98" t="n"/>
      <c r="W60" s="102">
        <f>IF($V60&gt;0,IF($I60&gt;0,$I60/$V60," ")," ")</f>
        <v/>
      </c>
      <c r="X60" s="102">
        <f>IF(ISNUMBER($R60),IF(ISNUMBER($W60),$R60-$W60," ")," ")</f>
        <v/>
      </c>
      <c r="Y60" s="95">
        <f>IF($V60&gt;0,IF($T60&gt;0,IF($V60=$T60,"No","Yes")," ")," ")</f>
        <v/>
      </c>
      <c r="Z60" s="100" t="n"/>
      <c r="AA60" s="97">
        <f>IF($Z60&gt;0,$S60-$Z60," ")</f>
        <v/>
      </c>
    </row>
    <row r="61" ht="15" customHeight="1" s="46">
      <c r="A61" s="103">
        <f>IFERROR(ROW()-5,"")</f>
        <v/>
      </c>
      <c r="B61" s="104" t="n"/>
      <c r="C61" s="104" t="n"/>
      <c r="D61" s="105" t="n"/>
      <c r="E61" s="105" t="n"/>
      <c r="F61" s="106" t="n"/>
      <c r="G61" s="103" t="n"/>
      <c r="H61" s="107" t="n"/>
      <c r="I61" s="108" t="n"/>
      <c r="J61" s="109">
        <f>IF($I61&gt;0,$I61/$H61," ")</f>
        <v/>
      </c>
      <c r="K61" s="110" t="n"/>
      <c r="L61" s="111">
        <f>IF($K61&gt;0,($K61-$S61)/365," ")</f>
        <v/>
      </c>
      <c r="M61" s="105" t="n"/>
      <c r="N61" s="105" t="n"/>
      <c r="O61" s="105" t="n"/>
      <c r="P61" s="108" t="n"/>
      <c r="Q61" s="108">
        <f>IF($P61&gt;0,IF($H61&gt;0,$P61/$H61," ")," ")</f>
        <v/>
      </c>
      <c r="R61" s="112">
        <f>IF($P61&gt;0,IF($I61&gt;0,$I61/$P61," ")," ")</f>
        <v/>
      </c>
      <c r="S61" s="110" t="n"/>
      <c r="T61" s="108" t="n"/>
      <c r="U61" s="112">
        <f>IF($T61&gt;0,IF($I61&gt;0,$I61/$T61," ")," ")</f>
        <v/>
      </c>
      <c r="V61" s="108" t="n"/>
      <c r="W61" s="112">
        <f>IF($V61&gt;0,IF($I61&gt;0,$I61/$V61," ")," ")</f>
        <v/>
      </c>
      <c r="X61" s="112">
        <f>IF(ISNUMBER($R61),IF(ISNUMBER($W61),$R61-$W61," ")," ")</f>
        <v/>
      </c>
      <c r="Y61" s="105">
        <f>IF($V61&gt;0,IF($T61&gt;0,IF($V61=$T61,"No","Yes")," ")," ")</f>
        <v/>
      </c>
      <c r="Z61" s="110" t="n"/>
      <c r="AA61" s="107">
        <f>IF($Z61&gt;0,$S61-$Z61," ")</f>
        <v/>
      </c>
    </row>
    <row r="62" ht="15" customHeight="1" s="46">
      <c r="A62" s="93">
        <f>IFERROR(ROW()-5,"")</f>
        <v/>
      </c>
      <c r="B62" s="94" t="n"/>
      <c r="C62" s="94" t="n"/>
      <c r="D62" s="95" t="n"/>
      <c r="E62" s="95" t="n"/>
      <c r="F62" s="96" t="n"/>
      <c r="G62" s="93" t="n"/>
      <c r="H62" s="97" t="n"/>
      <c r="I62" s="98" t="n"/>
      <c r="J62" s="99">
        <f>IF($I62&gt;0,$I62/$H62," ")</f>
        <v/>
      </c>
      <c r="K62" s="100" t="n"/>
      <c r="L62" s="101">
        <f>IF($K62&gt;0,($K62-$S62)/365," ")</f>
        <v/>
      </c>
      <c r="M62" s="95" t="n"/>
      <c r="N62" s="95" t="n"/>
      <c r="O62" s="95" t="n"/>
      <c r="P62" s="98" t="n"/>
      <c r="Q62" s="98">
        <f>IF($P62&gt;0,IF($H62&gt;0,$P62/$H62," ")," ")</f>
        <v/>
      </c>
      <c r="R62" s="102">
        <f>IF($P62&gt;0,IF($I62&gt;0,$I62/$P62," ")," ")</f>
        <v/>
      </c>
      <c r="S62" s="100" t="n"/>
      <c r="T62" s="98" t="n"/>
      <c r="U62" s="102">
        <f>IF($T62&gt;0,IF($I62&gt;0,$I62/$T62," ")," ")</f>
        <v/>
      </c>
      <c r="V62" s="98" t="n"/>
      <c r="W62" s="102">
        <f>IF($V62&gt;0,IF($I62&gt;0,$I62/$V62," ")," ")</f>
        <v/>
      </c>
      <c r="X62" s="102">
        <f>IF(ISNUMBER($R62),IF(ISNUMBER($W62),$R62-$W62," ")," ")</f>
        <v/>
      </c>
      <c r="Y62" s="95">
        <f>IF($V62&gt;0,IF($T62&gt;0,IF($V62=$T62,"No","Yes")," ")," ")</f>
        <v/>
      </c>
      <c r="Z62" s="100" t="n"/>
      <c r="AA62" s="97">
        <f>IF($Z62&gt;0,$S62-$Z62," ")</f>
        <v/>
      </c>
    </row>
    <row r="63" ht="15" customHeight="1" s="46">
      <c r="A63" s="103">
        <f>IFERROR(ROW()-5,"")</f>
        <v/>
      </c>
      <c r="B63" s="104" t="n"/>
      <c r="C63" s="104" t="n"/>
      <c r="D63" s="105" t="n"/>
      <c r="E63" s="105" t="n"/>
      <c r="F63" s="106" t="n"/>
      <c r="G63" s="103" t="n"/>
      <c r="H63" s="107" t="n"/>
      <c r="I63" s="108" t="n"/>
      <c r="J63" s="109">
        <f>IF($I63&gt;0,$I63/$H63," ")</f>
        <v/>
      </c>
      <c r="K63" s="110" t="n"/>
      <c r="L63" s="111">
        <f>IF($K63&gt;0,($K63-$S63)/365," ")</f>
        <v/>
      </c>
      <c r="M63" s="105" t="n"/>
      <c r="N63" s="105" t="n"/>
      <c r="O63" s="105" t="n"/>
      <c r="P63" s="108" t="n"/>
      <c r="Q63" s="108">
        <f>IF($P63&gt;0,IF($H63&gt;0,$P63/$H63," ")," ")</f>
        <v/>
      </c>
      <c r="R63" s="112">
        <f>IF($P63&gt;0,IF($I63&gt;0,$I63/$P63," ")," ")</f>
        <v/>
      </c>
      <c r="S63" s="110" t="n"/>
      <c r="T63" s="108" t="n"/>
      <c r="U63" s="112">
        <f>IF($T63&gt;0,IF($I63&gt;0,$I63/$T63," ")," ")</f>
        <v/>
      </c>
      <c r="V63" s="108" t="n"/>
      <c r="W63" s="112">
        <f>IF($V63&gt;0,IF($I63&gt;0,$I63/$V63," ")," ")</f>
        <v/>
      </c>
      <c r="X63" s="112">
        <f>IF(ISNUMBER($R63),IF(ISNUMBER($W63),$R63-$W63," ")," ")</f>
        <v/>
      </c>
      <c r="Y63" s="105">
        <f>IF($V63&gt;0,IF($T63&gt;0,IF($V63=$T63,"No","Yes")," ")," ")</f>
        <v/>
      </c>
      <c r="Z63" s="110" t="n"/>
      <c r="AA63" s="107">
        <f>IF($Z63&gt;0,$S63-$Z63," ")</f>
        <v/>
      </c>
    </row>
    <row r="64" ht="15" customHeight="1" s="46">
      <c r="A64" s="93">
        <f>IFERROR(ROW()-5,"")</f>
        <v/>
      </c>
      <c r="B64" s="94" t="n"/>
      <c r="C64" s="94" t="n"/>
      <c r="D64" s="95" t="n"/>
      <c r="E64" s="95" t="n"/>
      <c r="F64" s="96" t="n"/>
      <c r="G64" s="93" t="n"/>
      <c r="H64" s="97" t="n"/>
      <c r="I64" s="98" t="n"/>
      <c r="J64" s="99">
        <f>IF($I64&gt;0,$I64/$H64," ")</f>
        <v/>
      </c>
      <c r="K64" s="100" t="n"/>
      <c r="L64" s="101">
        <f>IF($K64&gt;0,($K64-$S64)/365," ")</f>
        <v/>
      </c>
      <c r="M64" s="95" t="n"/>
      <c r="N64" s="95" t="n"/>
      <c r="O64" s="95" t="n"/>
      <c r="P64" s="98" t="n"/>
      <c r="Q64" s="98">
        <f>IF($P64&gt;0,IF($H64&gt;0,$P64/$H64," ")," ")</f>
        <v/>
      </c>
      <c r="R64" s="102">
        <f>IF($P64&gt;0,IF($I64&gt;0,$I64/$P64," ")," ")</f>
        <v/>
      </c>
      <c r="S64" s="100" t="n"/>
      <c r="T64" s="98" t="n"/>
      <c r="U64" s="102">
        <f>IF($T64&gt;0,IF($I64&gt;0,$I64/$T64," ")," ")</f>
        <v/>
      </c>
      <c r="V64" s="98" t="n"/>
      <c r="W64" s="102">
        <f>IF($V64&gt;0,IF($I64&gt;0,$I64/$V64," ")," ")</f>
        <v/>
      </c>
      <c r="X64" s="102">
        <f>IF(ISNUMBER($R64),IF(ISNUMBER($W64),$R64-$W64," ")," ")</f>
        <v/>
      </c>
      <c r="Y64" s="95">
        <f>IF($V64&gt;0,IF($T64&gt;0,IF($V64=$T64,"No","Yes")," ")," ")</f>
        <v/>
      </c>
      <c r="Z64" s="100" t="n"/>
      <c r="AA64" s="97">
        <f>IF($Z64&gt;0,$S64-$Z64," ")</f>
        <v/>
      </c>
    </row>
    <row r="65" ht="15" customHeight="1" s="46">
      <c r="A65" s="103">
        <f>IFERROR(ROW()-5,"")</f>
        <v/>
      </c>
      <c r="B65" s="104" t="n"/>
      <c r="C65" s="104" t="n"/>
      <c r="D65" s="105" t="n"/>
      <c r="E65" s="105" t="n"/>
      <c r="F65" s="106" t="n"/>
      <c r="G65" s="103" t="n"/>
      <c r="H65" s="107" t="n"/>
      <c r="I65" s="108" t="n"/>
      <c r="J65" s="109">
        <f>IF($I65&gt;0,$I65/$H65," ")</f>
        <v/>
      </c>
      <c r="K65" s="110" t="n"/>
      <c r="L65" s="111">
        <f>IF($K65&gt;0,($K65-$S65)/365," ")</f>
        <v/>
      </c>
      <c r="M65" s="105" t="n"/>
      <c r="N65" s="105" t="n"/>
      <c r="O65" s="105" t="n"/>
      <c r="P65" s="108" t="n"/>
      <c r="Q65" s="108">
        <f>IF($P65&gt;0,IF($H65&gt;0,$P65/$H65," ")," ")</f>
        <v/>
      </c>
      <c r="R65" s="112">
        <f>IF($P65&gt;0,IF($I65&gt;0,$I65/$P65," ")," ")</f>
        <v/>
      </c>
      <c r="S65" s="110" t="n"/>
      <c r="T65" s="108" t="n"/>
      <c r="U65" s="112">
        <f>IF($T65&gt;0,IF($I65&gt;0,$I65/$T65," ")," ")</f>
        <v/>
      </c>
      <c r="V65" s="108" t="n"/>
      <c r="W65" s="112">
        <f>IF($V65&gt;0,IF($I65&gt;0,$I65/$V65," ")," ")</f>
        <v/>
      </c>
      <c r="X65" s="112">
        <f>IF(ISNUMBER($R65),IF(ISNUMBER($W65),$R65-$W65," ")," ")</f>
        <v/>
      </c>
      <c r="Y65" s="105">
        <f>IF($V65&gt;0,IF($T65&gt;0,IF($V65=$T65,"No","Yes")," ")," ")</f>
        <v/>
      </c>
      <c r="Z65" s="110" t="n"/>
      <c r="AA65" s="107">
        <f>IF($Z65&gt;0,$S65-$Z65," ")</f>
        <v/>
      </c>
    </row>
    <row r="66" ht="15" customHeight="1" s="46">
      <c r="A66" s="93">
        <f>IFERROR(ROW()-5,"")</f>
        <v/>
      </c>
      <c r="B66" s="94" t="n"/>
      <c r="C66" s="94" t="n"/>
      <c r="D66" s="95" t="n"/>
      <c r="E66" s="95" t="n"/>
      <c r="F66" s="96" t="n"/>
      <c r="G66" s="93" t="n"/>
      <c r="H66" s="97" t="n"/>
      <c r="I66" s="98" t="n"/>
      <c r="J66" s="99">
        <f>IF($I66&gt;0,$I66/$H66," ")</f>
        <v/>
      </c>
      <c r="K66" s="100" t="n"/>
      <c r="L66" s="101">
        <f>IF($K66&gt;0,($K66-$S66)/365," ")</f>
        <v/>
      </c>
      <c r="M66" s="95" t="n"/>
      <c r="N66" s="95" t="n"/>
      <c r="O66" s="95" t="n"/>
      <c r="P66" s="98" t="n"/>
      <c r="Q66" s="98">
        <f>IF($P66&gt;0,IF($H66&gt;0,$P66/$H66," ")," ")</f>
        <v/>
      </c>
      <c r="R66" s="102">
        <f>IF($P66&gt;0,IF($I66&gt;0,$I66/$P66," ")," ")</f>
        <v/>
      </c>
      <c r="S66" s="100" t="n"/>
      <c r="T66" s="98" t="n"/>
      <c r="U66" s="102">
        <f>IF($T66&gt;0,IF($I66&gt;0,$I66/$T66," ")," ")</f>
        <v/>
      </c>
      <c r="V66" s="98" t="n"/>
      <c r="W66" s="102">
        <f>IF($V66&gt;0,IF($I66&gt;0,$I66/$V66," ")," ")</f>
        <v/>
      </c>
      <c r="X66" s="102">
        <f>IF(ISNUMBER($R66),IF(ISNUMBER($W66),$R66-$W66," ")," ")</f>
        <v/>
      </c>
      <c r="Y66" s="95">
        <f>IF($V66&gt;0,IF($T66&gt;0,IF($V66=$T66,"No","Yes")," ")," ")</f>
        <v/>
      </c>
      <c r="Z66" s="100" t="n"/>
      <c r="AA66" s="97">
        <f>IF($Z66&gt;0,$S66-$Z66," ")</f>
        <v/>
      </c>
    </row>
    <row r="67" ht="15" customHeight="1" s="46">
      <c r="A67" s="103">
        <f>IFERROR(ROW()-5,"")</f>
        <v/>
      </c>
      <c r="B67" s="104" t="n"/>
      <c r="C67" s="104" t="n"/>
      <c r="D67" s="105" t="n"/>
      <c r="E67" s="105" t="n"/>
      <c r="F67" s="106" t="n"/>
      <c r="G67" s="103" t="n"/>
      <c r="H67" s="107" t="n"/>
      <c r="I67" s="108" t="n"/>
      <c r="J67" s="109">
        <f>IF($I67&gt;0,$I67/$H67," ")</f>
        <v/>
      </c>
      <c r="K67" s="110" t="n"/>
      <c r="L67" s="111">
        <f>IF($K67&gt;0,($K67-$S67)/365," ")</f>
        <v/>
      </c>
      <c r="M67" s="105" t="n"/>
      <c r="N67" s="105" t="n"/>
      <c r="O67" s="105" t="n"/>
      <c r="P67" s="108" t="n"/>
      <c r="Q67" s="108">
        <f>IF($P67&gt;0,IF($H67&gt;0,$P67/$H67," ")," ")</f>
        <v/>
      </c>
      <c r="R67" s="112">
        <f>IF($P67&gt;0,IF($I67&gt;0,$I67/$P67," ")," ")</f>
        <v/>
      </c>
      <c r="S67" s="110" t="n"/>
      <c r="T67" s="108" t="n"/>
      <c r="U67" s="112">
        <f>IF($T67&gt;0,IF($I67&gt;0,$I67/$T67," ")," ")</f>
        <v/>
      </c>
      <c r="V67" s="108" t="n"/>
      <c r="W67" s="112">
        <f>IF($V67&gt;0,IF($I67&gt;0,$I67/$V67," ")," ")</f>
        <v/>
      </c>
      <c r="X67" s="112">
        <f>IF(ISNUMBER($R67),IF(ISNUMBER($W67),$R67-$W67," ")," ")</f>
        <v/>
      </c>
      <c r="Y67" s="105">
        <f>IF($V67&gt;0,IF($T67&gt;0,IF($V67=$T67,"No","Yes")," ")," ")</f>
        <v/>
      </c>
      <c r="Z67" s="110" t="n"/>
      <c r="AA67" s="107">
        <f>IF($Z67&gt;0,$S67-$Z67," ")</f>
        <v/>
      </c>
    </row>
    <row r="68" ht="15" customHeight="1" s="46">
      <c r="A68" s="93">
        <f>IFERROR(ROW()-5,"")</f>
        <v/>
      </c>
      <c r="B68" s="94" t="n"/>
      <c r="C68" s="94" t="n"/>
      <c r="D68" s="95" t="n"/>
      <c r="E68" s="95" t="n"/>
      <c r="F68" s="96" t="n"/>
      <c r="G68" s="93" t="n"/>
      <c r="H68" s="97" t="n"/>
      <c r="I68" s="98" t="n"/>
      <c r="J68" s="99">
        <f>IF($I68&gt;0,$I68/$H68," ")</f>
        <v/>
      </c>
      <c r="K68" s="100" t="n"/>
      <c r="L68" s="101">
        <f>IF($K68&gt;0,($K68-$S68)/365," ")</f>
        <v/>
      </c>
      <c r="M68" s="95" t="n"/>
      <c r="N68" s="95" t="n"/>
      <c r="O68" s="95" t="n"/>
      <c r="P68" s="98" t="n"/>
      <c r="Q68" s="98">
        <f>IF($P68&gt;0,IF($H68&gt;0,$P68/$H68," ")," ")</f>
        <v/>
      </c>
      <c r="R68" s="102">
        <f>IF($P68&gt;0,IF($I68&gt;0,$I68/$P68," ")," ")</f>
        <v/>
      </c>
      <c r="S68" s="100" t="n"/>
      <c r="T68" s="98" t="n"/>
      <c r="U68" s="102">
        <f>IF($T68&gt;0,IF($I68&gt;0,$I68/$T68," ")," ")</f>
        <v/>
      </c>
      <c r="V68" s="98" t="n"/>
      <c r="W68" s="102">
        <f>IF($V68&gt;0,IF($I68&gt;0,$I68/$V68," ")," ")</f>
        <v/>
      </c>
      <c r="X68" s="102">
        <f>IF(ISNUMBER($R68),IF(ISNUMBER($W68),$R68-$W68," ")," ")</f>
        <v/>
      </c>
      <c r="Y68" s="95">
        <f>IF($V68&gt;0,IF($T68&gt;0,IF($V68=$T68,"No","Yes")," ")," ")</f>
        <v/>
      </c>
      <c r="Z68" s="100" t="n"/>
      <c r="AA68" s="97">
        <f>IF($Z68&gt;0,$S68-$Z68," ")</f>
        <v/>
      </c>
    </row>
    <row r="69" ht="15" customHeight="1" s="46">
      <c r="A69" s="103">
        <f>IFERROR(ROW()-5,"")</f>
        <v/>
      </c>
      <c r="B69" s="104" t="n"/>
      <c r="C69" s="104" t="n"/>
      <c r="D69" s="105" t="n"/>
      <c r="E69" s="105" t="n"/>
      <c r="F69" s="106" t="n"/>
      <c r="G69" s="103" t="n"/>
      <c r="H69" s="107" t="n"/>
      <c r="I69" s="108" t="n"/>
      <c r="J69" s="109">
        <f>IF($I69&gt;0,$I69/$H69," ")</f>
        <v/>
      </c>
      <c r="K69" s="110" t="n"/>
      <c r="L69" s="111">
        <f>IF($K69&gt;0,($K69-$S69)/365," ")</f>
        <v/>
      </c>
      <c r="M69" s="105" t="n"/>
      <c r="N69" s="105" t="n"/>
      <c r="O69" s="105" t="n"/>
      <c r="P69" s="108" t="n"/>
      <c r="Q69" s="108">
        <f>IF($P69&gt;0,IF($H69&gt;0,$P69/$H69," ")," ")</f>
        <v/>
      </c>
      <c r="R69" s="112">
        <f>IF($P69&gt;0,IF($I69&gt;0,$I69/$P69," ")," ")</f>
        <v/>
      </c>
      <c r="S69" s="110" t="n"/>
      <c r="T69" s="108" t="n"/>
      <c r="U69" s="112">
        <f>IF($T69&gt;0,IF($I69&gt;0,$I69/$T69," ")," ")</f>
        <v/>
      </c>
      <c r="V69" s="108" t="n"/>
      <c r="W69" s="112">
        <f>IF($V69&gt;0,IF($I69&gt;0,$I69/$V69," ")," ")</f>
        <v/>
      </c>
      <c r="X69" s="112">
        <f>IF(ISNUMBER($R69),IF(ISNUMBER($W69),$R69-$W69," ")," ")</f>
        <v/>
      </c>
      <c r="Y69" s="105">
        <f>IF($V69&gt;0,IF($T69&gt;0,IF($V69=$T69,"No","Yes")," ")," ")</f>
        <v/>
      </c>
      <c r="Z69" s="110" t="n"/>
      <c r="AA69" s="107">
        <f>IF($Z69&gt;0,$S69-$Z69," ")</f>
        <v/>
      </c>
    </row>
    <row r="70" ht="15" customHeight="1" s="46">
      <c r="A70" s="93">
        <f>IFERROR(ROW()-5,"")</f>
        <v/>
      </c>
      <c r="B70" s="94" t="n"/>
      <c r="C70" s="94" t="n"/>
      <c r="D70" s="95" t="n"/>
      <c r="E70" s="95" t="n"/>
      <c r="F70" s="96" t="n"/>
      <c r="G70" s="93" t="n"/>
      <c r="H70" s="97" t="n"/>
      <c r="I70" s="98" t="n"/>
      <c r="J70" s="99">
        <f>IF($I70&gt;0,$I70/$H70," ")</f>
        <v/>
      </c>
      <c r="K70" s="100" t="n"/>
      <c r="L70" s="101">
        <f>IF($K70&gt;0,($K70-$S70)/365," ")</f>
        <v/>
      </c>
      <c r="M70" s="95" t="n"/>
      <c r="N70" s="95" t="n"/>
      <c r="O70" s="95" t="n"/>
      <c r="P70" s="98" t="n"/>
      <c r="Q70" s="98">
        <f>IF($P70&gt;0,IF($H70&gt;0,$P70/$H70," ")," ")</f>
        <v/>
      </c>
      <c r="R70" s="102">
        <f>IF($P70&gt;0,IF($I70&gt;0,$I70/$P70," ")," ")</f>
        <v/>
      </c>
      <c r="S70" s="100" t="n"/>
      <c r="T70" s="98" t="n"/>
      <c r="U70" s="102">
        <f>IF($T70&gt;0,IF($I70&gt;0,$I70/$T70," ")," ")</f>
        <v/>
      </c>
      <c r="V70" s="98" t="n"/>
      <c r="W70" s="102">
        <f>IF($V70&gt;0,IF($I70&gt;0,$I70/$V70," ")," ")</f>
        <v/>
      </c>
      <c r="X70" s="102">
        <f>IF(ISNUMBER($R70),IF(ISNUMBER($W70),$R70-$W70," ")," ")</f>
        <v/>
      </c>
      <c r="Y70" s="95">
        <f>IF($V70&gt;0,IF($T70&gt;0,IF($V70=$T70,"No","Yes")," ")," ")</f>
        <v/>
      </c>
      <c r="Z70" s="100" t="n"/>
      <c r="AA70" s="97">
        <f>IF($Z70&gt;0,$S70-$Z70," ")</f>
        <v/>
      </c>
    </row>
    <row r="71" ht="15" customHeight="1" s="46">
      <c r="A71" s="103">
        <f>IFERROR(ROW()-5,"")</f>
        <v/>
      </c>
      <c r="B71" s="104" t="n"/>
      <c r="C71" s="104" t="n"/>
      <c r="D71" s="105" t="n"/>
      <c r="E71" s="105" t="n"/>
      <c r="F71" s="106" t="n"/>
      <c r="G71" s="103" t="n"/>
      <c r="H71" s="107" t="n"/>
      <c r="I71" s="108" t="n"/>
      <c r="J71" s="109">
        <f>IF($I71&gt;0,$I71/$H71," ")</f>
        <v/>
      </c>
      <c r="K71" s="110" t="n"/>
      <c r="L71" s="111">
        <f>IF($K71&gt;0,($K71-$S71)/365," ")</f>
        <v/>
      </c>
      <c r="M71" s="105" t="n"/>
      <c r="N71" s="105" t="n"/>
      <c r="O71" s="105" t="n"/>
      <c r="P71" s="108" t="n"/>
      <c r="Q71" s="108">
        <f>IF($P71&gt;0,IF($H71&gt;0,$P71/$H71," ")," ")</f>
        <v/>
      </c>
      <c r="R71" s="112">
        <f>IF($P71&gt;0,IF($I71&gt;0,$I71/$P71," ")," ")</f>
        <v/>
      </c>
      <c r="S71" s="110" t="n"/>
      <c r="T71" s="108" t="n"/>
      <c r="U71" s="112">
        <f>IF($T71&gt;0,IF($I71&gt;0,$I71/$T71," ")," ")</f>
        <v/>
      </c>
      <c r="V71" s="108" t="n"/>
      <c r="W71" s="112">
        <f>IF($V71&gt;0,IF($I71&gt;0,$I71/$V71," ")," ")</f>
        <v/>
      </c>
      <c r="X71" s="112">
        <f>IF(ISNUMBER($R71),IF(ISNUMBER($W71),$R71-$W71," ")," ")</f>
        <v/>
      </c>
      <c r="Y71" s="105">
        <f>IF($V71&gt;0,IF($T71&gt;0,IF($V71=$T71,"No","Yes")," ")," ")</f>
        <v/>
      </c>
      <c r="Z71" s="110" t="n"/>
      <c r="AA71" s="107">
        <f>IF($Z71&gt;0,$S71-$Z71," ")</f>
        <v/>
      </c>
    </row>
    <row r="72" ht="15" customHeight="1" s="46">
      <c r="A72" s="93">
        <f>IFERROR(ROW()-5,"")</f>
        <v/>
      </c>
      <c r="B72" s="94" t="n"/>
      <c r="C72" s="94" t="n"/>
      <c r="D72" s="95" t="n"/>
      <c r="E72" s="95" t="n"/>
      <c r="F72" s="96" t="n"/>
      <c r="G72" s="93" t="n"/>
      <c r="H72" s="97" t="n"/>
      <c r="I72" s="98" t="n"/>
      <c r="J72" s="99">
        <f>IF($I72&gt;0,$I72/$H72," ")</f>
        <v/>
      </c>
      <c r="K72" s="100" t="n"/>
      <c r="L72" s="101">
        <f>IF($K72&gt;0,($K72-$S72)/365," ")</f>
        <v/>
      </c>
      <c r="M72" s="95" t="n"/>
      <c r="N72" s="95" t="n"/>
      <c r="O72" s="95" t="n"/>
      <c r="P72" s="98" t="n"/>
      <c r="Q72" s="98">
        <f>IF($P72&gt;0,IF($H72&gt;0,$P72/$H72," ")," ")</f>
        <v/>
      </c>
      <c r="R72" s="102">
        <f>IF($P72&gt;0,IF($I72&gt;0,$I72/$P72," ")," ")</f>
        <v/>
      </c>
      <c r="S72" s="100" t="n"/>
      <c r="T72" s="98" t="n"/>
      <c r="U72" s="102">
        <f>IF($T72&gt;0,IF($I72&gt;0,$I72/$T72," ")," ")</f>
        <v/>
      </c>
      <c r="V72" s="98" t="n"/>
      <c r="W72" s="102">
        <f>IF($V72&gt;0,IF($I72&gt;0,$I72/$V72," ")," ")</f>
        <v/>
      </c>
      <c r="X72" s="102">
        <f>IF(ISNUMBER($R72),IF(ISNUMBER($W72),$R72-$W72," ")," ")</f>
        <v/>
      </c>
      <c r="Y72" s="95">
        <f>IF($V72&gt;0,IF($T72&gt;0,IF($V72=$T72,"No","Yes")," ")," ")</f>
        <v/>
      </c>
      <c r="Z72" s="100" t="n"/>
      <c r="AA72" s="97">
        <f>IF($Z72&gt;0,$S72-$Z72," ")</f>
        <v/>
      </c>
    </row>
    <row r="73" ht="15" customHeight="1" s="46">
      <c r="A73" s="103">
        <f>IFERROR(ROW()-5,"")</f>
        <v/>
      </c>
      <c r="B73" s="104" t="n"/>
      <c r="C73" s="104" t="n"/>
      <c r="D73" s="105" t="n"/>
      <c r="E73" s="105" t="n"/>
      <c r="F73" s="106" t="n"/>
      <c r="G73" s="103" t="n"/>
      <c r="H73" s="107" t="n"/>
      <c r="I73" s="108" t="n"/>
      <c r="J73" s="109">
        <f>IF($I73&gt;0,$I73/$H73," ")</f>
        <v/>
      </c>
      <c r="K73" s="110" t="n"/>
      <c r="L73" s="111">
        <f>IF($K73&gt;0,($K73-$S73)/365," ")</f>
        <v/>
      </c>
      <c r="M73" s="105" t="n"/>
      <c r="N73" s="105" t="n"/>
      <c r="O73" s="105" t="n"/>
      <c r="P73" s="108" t="n"/>
      <c r="Q73" s="108">
        <f>IF($P73&gt;0,IF($H73&gt;0,$P73/$H73," ")," ")</f>
        <v/>
      </c>
      <c r="R73" s="112">
        <f>IF($P73&gt;0,IF($I73&gt;0,$I73/$P73," ")," ")</f>
        <v/>
      </c>
      <c r="S73" s="110" t="n"/>
      <c r="T73" s="108" t="n"/>
      <c r="U73" s="112">
        <f>IF($T73&gt;0,IF($I73&gt;0,$I73/$T73," ")," ")</f>
        <v/>
      </c>
      <c r="V73" s="108" t="n"/>
      <c r="W73" s="112">
        <f>IF($V73&gt;0,IF($I73&gt;0,$I73/$V73," ")," ")</f>
        <v/>
      </c>
      <c r="X73" s="112">
        <f>IF(ISNUMBER($R73),IF(ISNUMBER($W73),$R73-$W73," ")," ")</f>
        <v/>
      </c>
      <c r="Y73" s="105">
        <f>IF($V73&gt;0,IF($T73&gt;0,IF($V73=$T73,"No","Yes")," ")," ")</f>
        <v/>
      </c>
      <c r="Z73" s="110" t="n"/>
      <c r="AA73" s="107">
        <f>IF($Z73&gt;0,$S73-$Z73," ")</f>
        <v/>
      </c>
    </row>
    <row r="74" ht="15" customHeight="1" s="46">
      <c r="A74" s="93">
        <f>IFERROR(ROW()-5,"")</f>
        <v/>
      </c>
      <c r="B74" s="94" t="n"/>
      <c r="C74" s="94" t="n"/>
      <c r="D74" s="95" t="n"/>
      <c r="E74" s="95" t="n"/>
      <c r="F74" s="96" t="n"/>
      <c r="G74" s="93" t="n"/>
      <c r="H74" s="97" t="n"/>
      <c r="I74" s="98" t="n"/>
      <c r="J74" s="99">
        <f>IF($I74&gt;0,$I74/$H74," ")</f>
        <v/>
      </c>
      <c r="K74" s="100" t="n"/>
      <c r="L74" s="101">
        <f>IF($K74&gt;0,($K74-$S74)/365," ")</f>
        <v/>
      </c>
      <c r="M74" s="95" t="n"/>
      <c r="N74" s="95" t="n"/>
      <c r="O74" s="95" t="n"/>
      <c r="P74" s="98" t="n"/>
      <c r="Q74" s="98">
        <f>IF($P74&gt;0,IF($H74&gt;0,$P74/$H74," ")," ")</f>
        <v/>
      </c>
      <c r="R74" s="102">
        <f>IF($P74&gt;0,IF($I74&gt;0,$I74/$P74," ")," ")</f>
        <v/>
      </c>
      <c r="S74" s="100" t="n"/>
      <c r="T74" s="98" t="n"/>
      <c r="U74" s="102">
        <f>IF($T74&gt;0,IF($I74&gt;0,$I74/$T74," ")," ")</f>
        <v/>
      </c>
      <c r="V74" s="98" t="n"/>
      <c r="W74" s="102">
        <f>IF($V74&gt;0,IF($I74&gt;0,$I74/$V74," ")," ")</f>
        <v/>
      </c>
      <c r="X74" s="102">
        <f>IF(ISNUMBER($R74),IF(ISNUMBER($W74),$R74-$W74," ")," ")</f>
        <v/>
      </c>
      <c r="Y74" s="95">
        <f>IF($V74&gt;0,IF($T74&gt;0,IF($V74=$T74,"No","Yes")," ")," ")</f>
        <v/>
      </c>
      <c r="Z74" s="100" t="n"/>
      <c r="AA74" s="97">
        <f>IF($Z74&gt;0,$S74-$Z74," ")</f>
        <v/>
      </c>
    </row>
    <row r="75" ht="15" customHeight="1" s="46">
      <c r="A75" s="103">
        <f>IFERROR(ROW()-5,"")</f>
        <v/>
      </c>
      <c r="B75" s="104" t="n"/>
      <c r="C75" s="104" t="n"/>
      <c r="D75" s="105" t="n"/>
      <c r="E75" s="105" t="n"/>
      <c r="F75" s="106" t="n"/>
      <c r="G75" s="103" t="n"/>
      <c r="H75" s="107" t="n"/>
      <c r="I75" s="108" t="n"/>
      <c r="J75" s="109">
        <f>IF($I75&gt;0,$I75/$H75," ")</f>
        <v/>
      </c>
      <c r="K75" s="110" t="n"/>
      <c r="L75" s="111">
        <f>IF($K75&gt;0,($K75-$S75)/365," ")</f>
        <v/>
      </c>
      <c r="M75" s="105" t="n"/>
      <c r="N75" s="105" t="n"/>
      <c r="O75" s="105" t="n"/>
      <c r="P75" s="108" t="n"/>
      <c r="Q75" s="108">
        <f>IF($P75&gt;0,IF($H75&gt;0,$P75/$H75," ")," ")</f>
        <v/>
      </c>
      <c r="R75" s="112">
        <f>IF($P75&gt;0,IF($I75&gt;0,$I75/$P75," ")," ")</f>
        <v/>
      </c>
      <c r="S75" s="110" t="n"/>
      <c r="T75" s="108" t="n"/>
      <c r="U75" s="112">
        <f>IF($T75&gt;0,IF($I75&gt;0,$I75/$T75," ")," ")</f>
        <v/>
      </c>
      <c r="V75" s="108" t="n"/>
      <c r="W75" s="112">
        <f>IF($V75&gt;0,IF($I75&gt;0,$I75/$V75," ")," ")</f>
        <v/>
      </c>
      <c r="X75" s="112">
        <f>IF(ISNUMBER($R75),IF(ISNUMBER($W75),$R75-$W75," ")," ")</f>
        <v/>
      </c>
      <c r="Y75" s="105">
        <f>IF($V75&gt;0,IF($T75&gt;0,IF($V75=$T75,"No","Yes")," ")," ")</f>
        <v/>
      </c>
      <c r="Z75" s="110" t="n"/>
      <c r="AA75" s="107">
        <f>IF($Z75&gt;0,$S75-$Z75," ")</f>
        <v/>
      </c>
    </row>
    <row r="76" ht="15" customHeight="1" s="46">
      <c r="A76" s="93">
        <f>IFERROR(ROW()-5,"")</f>
        <v/>
      </c>
      <c r="B76" s="94" t="n"/>
      <c r="C76" s="94" t="n"/>
      <c r="D76" s="95" t="n"/>
      <c r="E76" s="95" t="n"/>
      <c r="F76" s="96" t="n"/>
      <c r="G76" s="93" t="n"/>
      <c r="H76" s="97" t="n"/>
      <c r="I76" s="98" t="n"/>
      <c r="J76" s="99">
        <f>IF($I76&gt;0,$I76/$H76," ")</f>
        <v/>
      </c>
      <c r="K76" s="100" t="n"/>
      <c r="L76" s="101">
        <f>IF($K76&gt;0,($K76-$S76)/365," ")</f>
        <v/>
      </c>
      <c r="M76" s="95" t="n"/>
      <c r="N76" s="95" t="n"/>
      <c r="O76" s="95" t="n"/>
      <c r="P76" s="98" t="n"/>
      <c r="Q76" s="98">
        <f>IF($P76&gt;0,IF($H76&gt;0,$P76/$H76," ")," ")</f>
        <v/>
      </c>
      <c r="R76" s="102">
        <f>IF($P76&gt;0,IF($I76&gt;0,$I76/$P76," ")," ")</f>
        <v/>
      </c>
      <c r="S76" s="100" t="n"/>
      <c r="T76" s="98" t="n"/>
      <c r="U76" s="102">
        <f>IF($T76&gt;0,IF($I76&gt;0,$I76/$T76," ")," ")</f>
        <v/>
      </c>
      <c r="V76" s="98" t="n"/>
      <c r="W76" s="102">
        <f>IF($V76&gt;0,IF($I76&gt;0,$I76/$V76," ")," ")</f>
        <v/>
      </c>
      <c r="X76" s="102">
        <f>IF(ISNUMBER($R76),IF(ISNUMBER($W76),$R76-$W76," ")," ")</f>
        <v/>
      </c>
      <c r="Y76" s="95">
        <f>IF($V76&gt;0,IF($T76&gt;0,IF($V76=$T76,"No","Yes")," ")," ")</f>
        <v/>
      </c>
      <c r="Z76" s="100" t="n"/>
      <c r="AA76" s="97">
        <f>IF($Z76&gt;0,$S76-$Z76," ")</f>
        <v/>
      </c>
    </row>
    <row r="77" ht="15" customHeight="1" s="46">
      <c r="A77" s="103">
        <f>IFERROR(ROW()-5,"")</f>
        <v/>
      </c>
      <c r="B77" s="104" t="n"/>
      <c r="C77" s="104" t="n"/>
      <c r="D77" s="105" t="n"/>
      <c r="E77" s="105" t="n"/>
      <c r="F77" s="106" t="n"/>
      <c r="G77" s="103" t="n"/>
      <c r="H77" s="107" t="n"/>
      <c r="I77" s="108" t="n"/>
      <c r="J77" s="109">
        <f>IF($I77&gt;0,$I77/$H77," ")</f>
        <v/>
      </c>
      <c r="K77" s="110" t="n"/>
      <c r="L77" s="111">
        <f>IF($K77&gt;0,($K77-$S77)/365," ")</f>
        <v/>
      </c>
      <c r="M77" s="105" t="n"/>
      <c r="N77" s="105" t="n"/>
      <c r="O77" s="105" t="n"/>
      <c r="P77" s="108" t="n"/>
      <c r="Q77" s="108">
        <f>IF($P77&gt;0,IF($H77&gt;0,$P77/$H77," ")," ")</f>
        <v/>
      </c>
      <c r="R77" s="112">
        <f>IF($P77&gt;0,IF($I77&gt;0,$I77/$P77," ")," ")</f>
        <v/>
      </c>
      <c r="S77" s="110" t="n"/>
      <c r="T77" s="108" t="n"/>
      <c r="U77" s="112">
        <f>IF($T77&gt;0,IF($I77&gt;0,$I77/$T77," ")," ")</f>
        <v/>
      </c>
      <c r="V77" s="108" t="n"/>
      <c r="W77" s="112">
        <f>IF($V77&gt;0,IF($I77&gt;0,$I77/$V77," ")," ")</f>
        <v/>
      </c>
      <c r="X77" s="112">
        <f>IF(ISNUMBER($R77),IF(ISNUMBER($W77),$R77-$W77," ")," ")</f>
        <v/>
      </c>
      <c r="Y77" s="105">
        <f>IF($V77&gt;0,IF($T77&gt;0,IF($V77=$T77,"No","Yes")," ")," ")</f>
        <v/>
      </c>
      <c r="Z77" s="110" t="n"/>
      <c r="AA77" s="107">
        <f>IF($Z77&gt;0,$S77-$Z77," ")</f>
        <v/>
      </c>
    </row>
    <row r="78" ht="15" customHeight="1" s="46">
      <c r="A78" s="93">
        <f>IFERROR(ROW()-5,"")</f>
        <v/>
      </c>
      <c r="B78" s="94" t="n"/>
      <c r="C78" s="94" t="n"/>
      <c r="D78" s="95" t="n"/>
      <c r="E78" s="95" t="n"/>
      <c r="F78" s="96" t="n"/>
      <c r="G78" s="93" t="n"/>
      <c r="H78" s="97" t="n"/>
      <c r="I78" s="98" t="n"/>
      <c r="J78" s="99">
        <f>IF($I78&gt;0,$I78/$H78," ")</f>
        <v/>
      </c>
      <c r="K78" s="100" t="n"/>
      <c r="L78" s="101">
        <f>IF($K78&gt;0,($K78-$S78)/365," ")</f>
        <v/>
      </c>
      <c r="M78" s="95" t="n"/>
      <c r="N78" s="95" t="n"/>
      <c r="O78" s="95" t="n"/>
      <c r="P78" s="98" t="n"/>
      <c r="Q78" s="98">
        <f>IF($P78&gt;0,IF($H78&gt;0,$P78/$H78," ")," ")</f>
        <v/>
      </c>
      <c r="R78" s="102">
        <f>IF($P78&gt;0,IF($I78&gt;0,$I78/$P78," ")," ")</f>
        <v/>
      </c>
      <c r="S78" s="100" t="n"/>
      <c r="T78" s="98" t="n"/>
      <c r="U78" s="102">
        <f>IF($T78&gt;0,IF($I78&gt;0,$I78/$T78," ")," ")</f>
        <v/>
      </c>
      <c r="V78" s="98" t="n"/>
      <c r="W78" s="102">
        <f>IF($V78&gt;0,IF($I78&gt;0,$I78/$V78," ")," ")</f>
        <v/>
      </c>
      <c r="X78" s="102">
        <f>IF(ISNUMBER($R78),IF(ISNUMBER($W78),$R78-$W78," ")," ")</f>
        <v/>
      </c>
      <c r="Y78" s="95">
        <f>IF($V78&gt;0,IF($T78&gt;0,IF($V78=$T78,"No","Yes")," ")," ")</f>
        <v/>
      </c>
      <c r="Z78" s="100" t="n"/>
      <c r="AA78" s="97">
        <f>IF($Z78&gt;0,$S78-$Z78," ")</f>
        <v/>
      </c>
    </row>
    <row r="79" ht="15" customHeight="1" s="46">
      <c r="A79" s="103">
        <f>IFERROR(ROW()-5,"")</f>
        <v/>
      </c>
      <c r="B79" s="104" t="n"/>
      <c r="C79" s="104" t="n"/>
      <c r="D79" s="105" t="n"/>
      <c r="E79" s="105" t="n"/>
      <c r="F79" s="106" t="n"/>
      <c r="G79" s="103" t="n"/>
      <c r="H79" s="107" t="n"/>
      <c r="I79" s="108" t="n"/>
      <c r="J79" s="109">
        <f>IF($I79&gt;0,$I79/$H79," ")</f>
        <v/>
      </c>
      <c r="K79" s="110" t="n"/>
      <c r="L79" s="111">
        <f>IF($K79&gt;0,($K79-$S79)/365," ")</f>
        <v/>
      </c>
      <c r="M79" s="105" t="n"/>
      <c r="N79" s="105" t="n"/>
      <c r="O79" s="105" t="n"/>
      <c r="P79" s="108" t="n"/>
      <c r="Q79" s="108">
        <f>IF($P79&gt;0,IF($H79&gt;0,$P79/$H79," ")," ")</f>
        <v/>
      </c>
      <c r="R79" s="112">
        <f>IF($P79&gt;0,IF($I79&gt;0,$I79/$P79," ")," ")</f>
        <v/>
      </c>
      <c r="S79" s="110" t="n"/>
      <c r="T79" s="108" t="n"/>
      <c r="U79" s="112">
        <f>IF($T79&gt;0,IF($I79&gt;0,$I79/$T79," ")," ")</f>
        <v/>
      </c>
      <c r="V79" s="108" t="n"/>
      <c r="W79" s="112">
        <f>IF($V79&gt;0,IF($I79&gt;0,$I79/$V79," ")," ")</f>
        <v/>
      </c>
      <c r="X79" s="112">
        <f>IF(ISNUMBER($R79),IF(ISNUMBER($W79),$R79-$W79," ")," ")</f>
        <v/>
      </c>
      <c r="Y79" s="105">
        <f>IF($V79&gt;0,IF($T79&gt;0,IF($V79=$T79,"No","Yes")," ")," ")</f>
        <v/>
      </c>
      <c r="Z79" s="110" t="n"/>
      <c r="AA79" s="107">
        <f>IF($Z79&gt;0,$S79-$Z79," ")</f>
        <v/>
      </c>
    </row>
    <row r="80" ht="15" customHeight="1" s="46">
      <c r="A80" s="93">
        <f>IFERROR(ROW()-5,"")</f>
        <v/>
      </c>
      <c r="B80" s="94" t="n"/>
      <c r="C80" s="94" t="n"/>
      <c r="D80" s="95" t="n"/>
      <c r="E80" s="95" t="n"/>
      <c r="F80" s="96" t="n"/>
      <c r="G80" s="93" t="n"/>
      <c r="H80" s="97" t="n"/>
      <c r="I80" s="98" t="n"/>
      <c r="J80" s="99">
        <f>IF($I80&gt;0,$I80/$H80," ")</f>
        <v/>
      </c>
      <c r="K80" s="100" t="n"/>
      <c r="L80" s="101">
        <f>IF($K80&gt;0,($K80-$S80)/365," ")</f>
        <v/>
      </c>
      <c r="M80" s="95" t="n"/>
      <c r="N80" s="95" t="n"/>
      <c r="O80" s="95" t="n"/>
      <c r="P80" s="98" t="n"/>
      <c r="Q80" s="98">
        <f>IF($P80&gt;0,IF($H80&gt;0,$P80/$H80," ")," ")</f>
        <v/>
      </c>
      <c r="R80" s="102">
        <f>IF($P80&gt;0,IF($I80&gt;0,$I80/$P80," ")," ")</f>
        <v/>
      </c>
      <c r="S80" s="100" t="n"/>
      <c r="T80" s="98" t="n"/>
      <c r="U80" s="102">
        <f>IF($T80&gt;0,IF($I80&gt;0,$I80/$T80," ")," ")</f>
        <v/>
      </c>
      <c r="V80" s="98" t="n"/>
      <c r="W80" s="102">
        <f>IF($V80&gt;0,IF($I80&gt;0,$I80/$V80," ")," ")</f>
        <v/>
      </c>
      <c r="X80" s="102">
        <f>IF(ISNUMBER($R80),IF(ISNUMBER($W80),$R80-$W80," ")," ")</f>
        <v/>
      </c>
      <c r="Y80" s="95">
        <f>IF($V80&gt;0,IF($T80&gt;0,IF($V80=$T80,"No","Yes")," ")," ")</f>
        <v/>
      </c>
      <c r="Z80" s="100" t="n"/>
      <c r="AA80" s="97">
        <f>IF($Z80&gt;0,$S80-$Z80," ")</f>
        <v/>
      </c>
    </row>
    <row r="81" ht="15" customHeight="1" s="46">
      <c r="A81" s="103">
        <f>IFERROR(ROW()-5,"")</f>
        <v/>
      </c>
      <c r="B81" s="104" t="n"/>
      <c r="C81" s="104" t="n"/>
      <c r="D81" s="105" t="n"/>
      <c r="E81" s="105" t="n"/>
      <c r="F81" s="106" t="n"/>
      <c r="G81" s="103" t="n"/>
      <c r="H81" s="107" t="n"/>
      <c r="I81" s="108" t="n"/>
      <c r="J81" s="109">
        <f>IF($I81&gt;0,$I81/$H81," ")</f>
        <v/>
      </c>
      <c r="K81" s="110" t="n"/>
      <c r="L81" s="111">
        <f>IF($K81&gt;0,($K81-$S81)/365," ")</f>
        <v/>
      </c>
      <c r="M81" s="105" t="n"/>
      <c r="N81" s="105" t="n"/>
      <c r="O81" s="105" t="n"/>
      <c r="P81" s="108" t="n"/>
      <c r="Q81" s="108">
        <f>IF($P81&gt;0,IF($H81&gt;0,$P81/$H81," ")," ")</f>
        <v/>
      </c>
      <c r="R81" s="112">
        <f>IF($P81&gt;0,IF($I81&gt;0,$I81/$P81," ")," ")</f>
        <v/>
      </c>
      <c r="S81" s="110" t="n"/>
      <c r="T81" s="108" t="n"/>
      <c r="U81" s="112">
        <f>IF($T81&gt;0,IF($I81&gt;0,$I81/$T81," ")," ")</f>
        <v/>
      </c>
      <c r="V81" s="108" t="n"/>
      <c r="W81" s="112">
        <f>IF($V81&gt;0,IF($I81&gt;0,$I81/$V81," ")," ")</f>
        <v/>
      </c>
      <c r="X81" s="112">
        <f>IF(ISNUMBER($R81),IF(ISNUMBER($W81),$R81-$W81," ")," ")</f>
        <v/>
      </c>
      <c r="Y81" s="105">
        <f>IF($V81&gt;0,IF($T81&gt;0,IF($V81=$T81,"No","Yes")," ")," ")</f>
        <v/>
      </c>
      <c r="Z81" s="110" t="n"/>
      <c r="AA81" s="107">
        <f>IF($Z81&gt;0,$S81-$Z81," ")</f>
        <v/>
      </c>
    </row>
    <row r="82" ht="15" customHeight="1" s="46">
      <c r="A82" s="93">
        <f>IFERROR(ROW()-5,"")</f>
        <v/>
      </c>
      <c r="B82" s="94" t="n"/>
      <c r="C82" s="94" t="n"/>
      <c r="D82" s="95" t="n"/>
      <c r="E82" s="95" t="n"/>
      <c r="F82" s="96" t="n"/>
      <c r="G82" s="93" t="n"/>
      <c r="H82" s="97" t="n"/>
      <c r="I82" s="98" t="n"/>
      <c r="J82" s="99">
        <f>IF($I82&gt;0,$I82/$H82," ")</f>
        <v/>
      </c>
      <c r="K82" s="100" t="n"/>
      <c r="L82" s="101">
        <f>IF($K82&gt;0,($K82-$S82)/365," ")</f>
        <v/>
      </c>
      <c r="M82" s="95" t="n"/>
      <c r="N82" s="95" t="n"/>
      <c r="O82" s="95" t="n"/>
      <c r="P82" s="98" t="n"/>
      <c r="Q82" s="98">
        <f>IF($P82&gt;0,IF($H82&gt;0,$P82/$H82," ")," ")</f>
        <v/>
      </c>
      <c r="R82" s="102">
        <f>IF($P82&gt;0,IF($I82&gt;0,$I82/$P82," ")," ")</f>
        <v/>
      </c>
      <c r="S82" s="100" t="n"/>
      <c r="T82" s="98" t="n"/>
      <c r="U82" s="102">
        <f>IF($T82&gt;0,IF($I82&gt;0,$I82/$T82," ")," ")</f>
        <v/>
      </c>
      <c r="V82" s="98" t="n"/>
      <c r="W82" s="102">
        <f>IF($V82&gt;0,IF($I82&gt;0,$I82/$V82," ")," ")</f>
        <v/>
      </c>
      <c r="X82" s="102">
        <f>IF(ISNUMBER($R82),IF(ISNUMBER($W82),$R82-$W82," ")," ")</f>
        <v/>
      </c>
      <c r="Y82" s="95">
        <f>IF($V82&gt;0,IF($T82&gt;0,IF($V82=$T82,"No","Yes")," ")," ")</f>
        <v/>
      </c>
      <c r="Z82" s="100" t="n"/>
      <c r="AA82" s="97">
        <f>IF($Z82&gt;0,$S82-$Z82," ")</f>
        <v/>
      </c>
    </row>
    <row r="83" ht="15" customHeight="1" s="46">
      <c r="A83" s="103">
        <f>IFERROR(ROW()-5,"")</f>
        <v/>
      </c>
      <c r="B83" s="104" t="n"/>
      <c r="C83" s="104" t="n"/>
      <c r="D83" s="105" t="n"/>
      <c r="E83" s="105" t="n"/>
      <c r="F83" s="106" t="n"/>
      <c r="G83" s="103" t="n"/>
      <c r="H83" s="107" t="n"/>
      <c r="I83" s="108" t="n"/>
      <c r="J83" s="109">
        <f>IF($I83&gt;0,$I83/$H83," ")</f>
        <v/>
      </c>
      <c r="K83" s="110" t="n"/>
      <c r="L83" s="111">
        <f>IF($K83&gt;0,($K83-$S83)/365," ")</f>
        <v/>
      </c>
      <c r="M83" s="105" t="n"/>
      <c r="N83" s="105" t="n"/>
      <c r="O83" s="105" t="n"/>
      <c r="P83" s="108" t="n"/>
      <c r="Q83" s="108">
        <f>IF($P83&gt;0,IF($H83&gt;0,$P83/$H83," ")," ")</f>
        <v/>
      </c>
      <c r="R83" s="112">
        <f>IF($P83&gt;0,IF($I83&gt;0,$I83/$P83," ")," ")</f>
        <v/>
      </c>
      <c r="S83" s="110" t="n"/>
      <c r="T83" s="108" t="n"/>
      <c r="U83" s="112">
        <f>IF($T83&gt;0,IF($I83&gt;0,$I83/$T83," ")," ")</f>
        <v/>
      </c>
      <c r="V83" s="108" t="n"/>
      <c r="W83" s="112">
        <f>IF($V83&gt;0,IF($I83&gt;0,$I83/$V83," ")," ")</f>
        <v/>
      </c>
      <c r="X83" s="112">
        <f>IF(ISNUMBER($R83),IF(ISNUMBER($W83),$R83-$W83," ")," ")</f>
        <v/>
      </c>
      <c r="Y83" s="105">
        <f>IF($V83&gt;0,IF($T83&gt;0,IF($V83=$T83,"No","Yes")," ")," ")</f>
        <v/>
      </c>
      <c r="Z83" s="110" t="n"/>
      <c r="AA83" s="107">
        <f>IF($Z83&gt;0,$S83-$Z83," ")</f>
        <v/>
      </c>
    </row>
    <row r="84" ht="15" customHeight="1" s="46">
      <c r="A84" s="93">
        <f>IFERROR(ROW()-5,"")</f>
        <v/>
      </c>
      <c r="B84" s="94" t="n"/>
      <c r="C84" s="94" t="n"/>
      <c r="D84" s="95" t="n"/>
      <c r="E84" s="95" t="n"/>
      <c r="F84" s="96" t="n"/>
      <c r="G84" s="93" t="n"/>
      <c r="H84" s="97" t="n"/>
      <c r="I84" s="98" t="n"/>
      <c r="J84" s="99">
        <f>IF($I84&gt;0,$I84/$H84," ")</f>
        <v/>
      </c>
      <c r="K84" s="100" t="n"/>
      <c r="L84" s="101">
        <f>IF($K84&gt;0,($K84-$S84)/365," ")</f>
        <v/>
      </c>
      <c r="M84" s="95" t="n"/>
      <c r="N84" s="95" t="n"/>
      <c r="O84" s="95" t="n"/>
      <c r="P84" s="98" t="n"/>
      <c r="Q84" s="98">
        <f>IF($P84&gt;0,IF($H84&gt;0,$P84/$H84," ")," ")</f>
        <v/>
      </c>
      <c r="R84" s="102">
        <f>IF($P84&gt;0,IF($I84&gt;0,$I84/$P84," ")," ")</f>
        <v/>
      </c>
      <c r="S84" s="100" t="n"/>
      <c r="T84" s="98" t="n"/>
      <c r="U84" s="102">
        <f>IF($T84&gt;0,IF($I84&gt;0,$I84/$T84," ")," ")</f>
        <v/>
      </c>
      <c r="V84" s="98" t="n"/>
      <c r="W84" s="102">
        <f>IF($V84&gt;0,IF($I84&gt;0,$I84/$V84," ")," ")</f>
        <v/>
      </c>
      <c r="X84" s="102">
        <f>IF(ISNUMBER($R84),IF(ISNUMBER($W84),$R84-$W84," ")," ")</f>
        <v/>
      </c>
      <c r="Y84" s="95">
        <f>IF($V84&gt;0,IF($T84&gt;0,IF($V84=$T84,"No","Yes")," ")," ")</f>
        <v/>
      </c>
      <c r="Z84" s="100" t="n"/>
      <c r="AA84" s="97">
        <f>IF($Z84&gt;0,$S84-$Z84," ")</f>
        <v/>
      </c>
    </row>
    <row r="85" ht="15" customHeight="1" s="46">
      <c r="A85" s="103">
        <f>IFERROR(ROW()-5,"")</f>
        <v/>
      </c>
      <c r="B85" s="104" t="n"/>
      <c r="C85" s="104" t="n"/>
      <c r="D85" s="105" t="n"/>
      <c r="E85" s="105" t="n"/>
      <c r="F85" s="106" t="n"/>
      <c r="G85" s="103" t="n"/>
      <c r="H85" s="107" t="n"/>
      <c r="I85" s="108" t="n"/>
      <c r="J85" s="109">
        <f>IF($I85&gt;0,$I85/$H85," ")</f>
        <v/>
      </c>
      <c r="K85" s="110" t="n"/>
      <c r="L85" s="111">
        <f>IF($K85&gt;0,($K85-$S85)/365," ")</f>
        <v/>
      </c>
      <c r="M85" s="105" t="n"/>
      <c r="N85" s="105" t="n"/>
      <c r="O85" s="105" t="n"/>
      <c r="P85" s="108" t="n"/>
      <c r="Q85" s="108">
        <f>IF($P85&gt;0,IF($H85&gt;0,$P85/$H85," ")," ")</f>
        <v/>
      </c>
      <c r="R85" s="112">
        <f>IF($P85&gt;0,IF($I85&gt;0,$I85/$P85," ")," ")</f>
        <v/>
      </c>
      <c r="S85" s="110" t="n"/>
      <c r="T85" s="108" t="n"/>
      <c r="U85" s="112">
        <f>IF($T85&gt;0,IF($I85&gt;0,$I85/$T85," ")," ")</f>
        <v/>
      </c>
      <c r="V85" s="108" t="n"/>
      <c r="W85" s="112">
        <f>IF($V85&gt;0,IF($I85&gt;0,$I85/$V85," ")," ")</f>
        <v/>
      </c>
      <c r="X85" s="112">
        <f>IF(ISNUMBER($R85),IF(ISNUMBER($W85),$R85-$W85," ")," ")</f>
        <v/>
      </c>
      <c r="Y85" s="105">
        <f>IF($V85&gt;0,IF($T85&gt;0,IF($V85=$T85,"No","Yes")," ")," ")</f>
        <v/>
      </c>
      <c r="Z85" s="110" t="n"/>
      <c r="AA85" s="107">
        <f>IF($Z85&gt;0,$S85-$Z85," ")</f>
        <v/>
      </c>
    </row>
    <row r="86" ht="15" customHeight="1" s="46">
      <c r="A86" s="93">
        <f>IFERROR(ROW()-5,"")</f>
        <v/>
      </c>
      <c r="B86" s="94" t="n"/>
      <c r="C86" s="94" t="n"/>
      <c r="D86" s="95" t="n"/>
      <c r="E86" s="95" t="n"/>
      <c r="F86" s="96" t="n"/>
      <c r="G86" s="93" t="n"/>
      <c r="H86" s="97" t="n"/>
      <c r="I86" s="98" t="n"/>
      <c r="J86" s="99">
        <f>IF($I86&gt;0,$I86/$H86," ")</f>
        <v/>
      </c>
      <c r="K86" s="100" t="n"/>
      <c r="L86" s="101">
        <f>IF($K86&gt;0,($K86-$S86)/365," ")</f>
        <v/>
      </c>
      <c r="M86" s="95" t="n"/>
      <c r="N86" s="95" t="n"/>
      <c r="O86" s="95" t="n"/>
      <c r="P86" s="98" t="n"/>
      <c r="Q86" s="98">
        <f>IF($P86&gt;0,IF($H86&gt;0,$P86/$H86," ")," ")</f>
        <v/>
      </c>
      <c r="R86" s="102">
        <f>IF($P86&gt;0,IF($I86&gt;0,$I86/$P86," ")," ")</f>
        <v/>
      </c>
      <c r="S86" s="100" t="n"/>
      <c r="T86" s="98" t="n"/>
      <c r="U86" s="102">
        <f>IF($T86&gt;0,IF($I86&gt;0,$I86/$T86," ")," ")</f>
        <v/>
      </c>
      <c r="V86" s="98" t="n"/>
      <c r="W86" s="102">
        <f>IF($V86&gt;0,IF($I86&gt;0,$I86/$V86," ")," ")</f>
        <v/>
      </c>
      <c r="X86" s="102">
        <f>IF(ISNUMBER($R86),IF(ISNUMBER($W86),$R86-$W86," ")," ")</f>
        <v/>
      </c>
      <c r="Y86" s="95">
        <f>IF($V86&gt;0,IF($T86&gt;0,IF($V86=$T86,"No","Yes")," ")," ")</f>
        <v/>
      </c>
      <c r="Z86" s="100" t="n"/>
      <c r="AA86" s="97">
        <f>IF($Z86&gt;0,$S86-$Z86," ")</f>
        <v/>
      </c>
    </row>
    <row r="87" ht="15" customHeight="1" s="46">
      <c r="A87" s="103">
        <f>IFERROR(ROW()-5,"")</f>
        <v/>
      </c>
      <c r="B87" s="104" t="n"/>
      <c r="C87" s="104" t="n"/>
      <c r="D87" s="105" t="n"/>
      <c r="E87" s="105" t="n"/>
      <c r="F87" s="106" t="n"/>
      <c r="G87" s="103" t="n"/>
      <c r="H87" s="107" t="n"/>
      <c r="I87" s="108" t="n"/>
      <c r="J87" s="109">
        <f>IF($I87&gt;0,$I87/$H87," ")</f>
        <v/>
      </c>
      <c r="K87" s="110" t="n"/>
      <c r="L87" s="111">
        <f>IF($K87&gt;0,($K87-$S87)/365," ")</f>
        <v/>
      </c>
      <c r="M87" s="105" t="n"/>
      <c r="N87" s="105" t="n"/>
      <c r="O87" s="105" t="n"/>
      <c r="P87" s="108" t="n"/>
      <c r="Q87" s="108">
        <f>IF($P87&gt;0,IF($H87&gt;0,$P87/$H87," ")," ")</f>
        <v/>
      </c>
      <c r="R87" s="112">
        <f>IF($P87&gt;0,IF($I87&gt;0,$I87/$P87," ")," ")</f>
        <v/>
      </c>
      <c r="S87" s="110" t="n"/>
      <c r="T87" s="108" t="n"/>
      <c r="U87" s="112">
        <f>IF($T87&gt;0,IF($I87&gt;0,$I87/$T87," ")," ")</f>
        <v/>
      </c>
      <c r="V87" s="108" t="n"/>
      <c r="W87" s="112">
        <f>IF($V87&gt;0,IF($I87&gt;0,$I87/$V87," ")," ")</f>
        <v/>
      </c>
      <c r="X87" s="112">
        <f>IF(ISNUMBER($R87),IF(ISNUMBER($W87),$R87-$W87," ")," ")</f>
        <v/>
      </c>
      <c r="Y87" s="105">
        <f>IF($V87&gt;0,IF($T87&gt;0,IF($V87=$T87,"No","Yes")," ")," ")</f>
        <v/>
      </c>
      <c r="Z87" s="110" t="n"/>
      <c r="AA87" s="107">
        <f>IF($Z87&gt;0,$S87-$Z87," ")</f>
        <v/>
      </c>
    </row>
    <row r="88" ht="15" customHeight="1" s="46">
      <c r="A88" s="93">
        <f>IFERROR(ROW()-5,"")</f>
        <v/>
      </c>
      <c r="B88" s="94" t="n"/>
      <c r="C88" s="94" t="n"/>
      <c r="D88" s="95" t="n"/>
      <c r="E88" s="95" t="n"/>
      <c r="F88" s="96" t="n"/>
      <c r="G88" s="93" t="n"/>
      <c r="H88" s="97" t="n"/>
      <c r="I88" s="98" t="n"/>
      <c r="J88" s="99">
        <f>IF($I88&gt;0,$I88/$H88," ")</f>
        <v/>
      </c>
      <c r="K88" s="100" t="n"/>
      <c r="L88" s="101">
        <f>IF($K88&gt;0,($K88-$S88)/365," ")</f>
        <v/>
      </c>
      <c r="M88" s="95" t="n"/>
      <c r="N88" s="95" t="n"/>
      <c r="O88" s="95" t="n"/>
      <c r="P88" s="98" t="n"/>
      <c r="Q88" s="98">
        <f>IF($P88&gt;0,IF($H88&gt;0,$P88/$H88," ")," ")</f>
        <v/>
      </c>
      <c r="R88" s="102">
        <f>IF($P88&gt;0,IF($I88&gt;0,$I88/$P88," ")," ")</f>
        <v/>
      </c>
      <c r="S88" s="100" t="n"/>
      <c r="T88" s="98" t="n"/>
      <c r="U88" s="102">
        <f>IF($T88&gt;0,IF($I88&gt;0,$I88/$T88," ")," ")</f>
        <v/>
      </c>
      <c r="V88" s="98" t="n"/>
      <c r="W88" s="102">
        <f>IF($V88&gt;0,IF($I88&gt;0,$I88/$V88," ")," ")</f>
        <v/>
      </c>
      <c r="X88" s="102">
        <f>IF(ISNUMBER($R88),IF(ISNUMBER($W88),$R88-$W88," ")," ")</f>
        <v/>
      </c>
      <c r="Y88" s="95">
        <f>IF($V88&gt;0,IF($T88&gt;0,IF($V88=$T88,"No","Yes")," ")," ")</f>
        <v/>
      </c>
      <c r="Z88" s="100" t="n"/>
      <c r="AA88" s="97">
        <f>IF($Z88&gt;0,$S88-$Z88," ")</f>
        <v/>
      </c>
    </row>
    <row r="89" ht="15" customHeight="1" s="46">
      <c r="A89" s="103">
        <f>IFERROR(ROW()-5,"")</f>
        <v/>
      </c>
      <c r="B89" s="104" t="n"/>
      <c r="C89" s="104" t="n"/>
      <c r="D89" s="105" t="n"/>
      <c r="E89" s="105" t="n"/>
      <c r="F89" s="106" t="n"/>
      <c r="G89" s="103" t="n"/>
      <c r="H89" s="107" t="n"/>
      <c r="I89" s="108" t="n"/>
      <c r="J89" s="109">
        <f>IF($I89&gt;0,$I89/$H89," ")</f>
        <v/>
      </c>
      <c r="K89" s="110" t="n"/>
      <c r="L89" s="111">
        <f>IF($K89&gt;0,($K89-$S89)/365," ")</f>
        <v/>
      </c>
      <c r="M89" s="105" t="n"/>
      <c r="N89" s="105" t="n"/>
      <c r="O89" s="105" t="n"/>
      <c r="P89" s="108" t="n"/>
      <c r="Q89" s="108">
        <f>IF($P89&gt;0,IF($H89&gt;0,$P89/$H89," ")," ")</f>
        <v/>
      </c>
      <c r="R89" s="112">
        <f>IF($P89&gt;0,IF($I89&gt;0,$I89/$P89," ")," ")</f>
        <v/>
      </c>
      <c r="S89" s="110" t="n"/>
      <c r="T89" s="108" t="n"/>
      <c r="U89" s="112">
        <f>IF($T89&gt;0,IF($I89&gt;0,$I89/$T89," ")," ")</f>
        <v/>
      </c>
      <c r="V89" s="108" t="n"/>
      <c r="W89" s="112">
        <f>IF($V89&gt;0,IF($I89&gt;0,$I89/$V89," ")," ")</f>
        <v/>
      </c>
      <c r="X89" s="112">
        <f>IF(ISNUMBER($R89),IF(ISNUMBER($W89),$R89-$W89," ")," ")</f>
        <v/>
      </c>
      <c r="Y89" s="105">
        <f>IF($V89&gt;0,IF($T89&gt;0,IF($V89=$T89,"No","Yes")," ")," ")</f>
        <v/>
      </c>
      <c r="Z89" s="110" t="n"/>
      <c r="AA89" s="107">
        <f>IF($Z89&gt;0,$S89-$Z89," ")</f>
        <v/>
      </c>
    </row>
    <row r="90" ht="15" customHeight="1" s="46">
      <c r="A90" s="93">
        <f>IFERROR(ROW()-5,"")</f>
        <v/>
      </c>
      <c r="B90" s="94" t="n"/>
      <c r="C90" s="94" t="n"/>
      <c r="D90" s="95" t="n"/>
      <c r="E90" s="95" t="n"/>
      <c r="F90" s="96" t="n"/>
      <c r="G90" s="93" t="n"/>
      <c r="H90" s="97" t="n"/>
      <c r="I90" s="98" t="n"/>
      <c r="J90" s="99">
        <f>IF($I90&gt;0,$I90/$H90," ")</f>
        <v/>
      </c>
      <c r="K90" s="100" t="n"/>
      <c r="L90" s="101">
        <f>IF($K90&gt;0,($K90-$S90)/365," ")</f>
        <v/>
      </c>
      <c r="M90" s="95" t="n"/>
      <c r="N90" s="95" t="n"/>
      <c r="O90" s="95" t="n"/>
      <c r="P90" s="98" t="n"/>
      <c r="Q90" s="98">
        <f>IF($P90&gt;0,IF($H90&gt;0,$P90/$H90," ")," ")</f>
        <v/>
      </c>
      <c r="R90" s="102">
        <f>IF($P90&gt;0,IF($I90&gt;0,$I90/$P90," ")," ")</f>
        <v/>
      </c>
      <c r="S90" s="100" t="n"/>
      <c r="T90" s="98" t="n"/>
      <c r="U90" s="102">
        <f>IF($T90&gt;0,IF($I90&gt;0,$I90/$T90," ")," ")</f>
        <v/>
      </c>
      <c r="V90" s="98" t="n"/>
      <c r="W90" s="102">
        <f>IF($V90&gt;0,IF($I90&gt;0,$I90/$V90," ")," ")</f>
        <v/>
      </c>
      <c r="X90" s="102">
        <f>IF(ISNUMBER($R90),IF(ISNUMBER($W90),$R90-$W90," ")," ")</f>
        <v/>
      </c>
      <c r="Y90" s="95">
        <f>IF($V90&gt;0,IF($T90&gt;0,IF($V90=$T90,"No","Yes")," ")," ")</f>
        <v/>
      </c>
      <c r="Z90" s="100" t="n"/>
      <c r="AA90" s="97">
        <f>IF($Z90&gt;0,$S90-$Z90," ")</f>
        <v/>
      </c>
    </row>
    <row r="91" ht="15" customHeight="1" s="46">
      <c r="A91" s="103">
        <f>IFERROR(ROW()-5,"")</f>
        <v/>
      </c>
      <c r="B91" s="104" t="n"/>
      <c r="C91" s="104" t="n"/>
      <c r="D91" s="105" t="n"/>
      <c r="E91" s="105" t="n"/>
      <c r="F91" s="106" t="n"/>
      <c r="G91" s="103" t="n"/>
      <c r="H91" s="107" t="n"/>
      <c r="I91" s="108" t="n"/>
      <c r="J91" s="109">
        <f>IF($I91&gt;0,$I91/$H91," ")</f>
        <v/>
      </c>
      <c r="K91" s="110" t="n"/>
      <c r="L91" s="111">
        <f>IF($K91&gt;0,($K91-$S91)/365," ")</f>
        <v/>
      </c>
      <c r="M91" s="105" t="n"/>
      <c r="N91" s="105" t="n"/>
      <c r="O91" s="105" t="n"/>
      <c r="P91" s="108" t="n"/>
      <c r="Q91" s="108">
        <f>IF($P91&gt;0,IF($H91&gt;0,$P91/$H91," ")," ")</f>
        <v/>
      </c>
      <c r="R91" s="112">
        <f>IF($P91&gt;0,IF($I91&gt;0,$I91/$P91," ")," ")</f>
        <v/>
      </c>
      <c r="S91" s="110" t="n"/>
      <c r="T91" s="108" t="n"/>
      <c r="U91" s="112">
        <f>IF($T91&gt;0,IF($I91&gt;0,$I91/$T91," ")," ")</f>
        <v/>
      </c>
      <c r="V91" s="108" t="n"/>
      <c r="W91" s="112">
        <f>IF($V91&gt;0,IF($I91&gt;0,$I91/$V91," ")," ")</f>
        <v/>
      </c>
      <c r="X91" s="112">
        <f>IF(ISNUMBER($R91),IF(ISNUMBER($W91),$R91-$W91," ")," ")</f>
        <v/>
      </c>
      <c r="Y91" s="105">
        <f>IF($V91&gt;0,IF($T91&gt;0,IF($V91=$T91,"No","Yes")," ")," ")</f>
        <v/>
      </c>
      <c r="Z91" s="110" t="n"/>
      <c r="AA91" s="107">
        <f>IF($Z91&gt;0,$S91-$Z91," ")</f>
        <v/>
      </c>
    </row>
    <row r="92" ht="15" customHeight="1" s="46">
      <c r="A92" s="93">
        <f>IFERROR(ROW()-5,"")</f>
        <v/>
      </c>
      <c r="B92" s="94" t="n"/>
      <c r="C92" s="94" t="n"/>
      <c r="D92" s="95" t="n"/>
      <c r="E92" s="95" t="n"/>
      <c r="F92" s="96" t="n"/>
      <c r="G92" s="93" t="n"/>
      <c r="H92" s="97" t="n"/>
      <c r="I92" s="98" t="n"/>
      <c r="J92" s="99">
        <f>IF($I92&gt;0,$I92/$H92," ")</f>
        <v/>
      </c>
      <c r="K92" s="100" t="n"/>
      <c r="L92" s="101">
        <f>IF($K92&gt;0,($K92-$S92)/365," ")</f>
        <v/>
      </c>
      <c r="M92" s="95" t="n"/>
      <c r="N92" s="95" t="n"/>
      <c r="O92" s="95" t="n"/>
      <c r="P92" s="98" t="n"/>
      <c r="Q92" s="98">
        <f>IF($P92&gt;0,IF($H92&gt;0,$P92/$H92," ")," ")</f>
        <v/>
      </c>
      <c r="R92" s="102">
        <f>IF($P92&gt;0,IF($I92&gt;0,$I92/$P92," ")," ")</f>
        <v/>
      </c>
      <c r="S92" s="100" t="n"/>
      <c r="T92" s="98" t="n"/>
      <c r="U92" s="102">
        <f>IF($T92&gt;0,IF($I92&gt;0,$I92/$T92," ")," ")</f>
        <v/>
      </c>
      <c r="V92" s="98" t="n"/>
      <c r="W92" s="102">
        <f>IF($V92&gt;0,IF($I92&gt;0,$I92/$V92," ")," ")</f>
        <v/>
      </c>
      <c r="X92" s="102">
        <f>IF(ISNUMBER($R92),IF(ISNUMBER($W92),$R92-$W92," ")," ")</f>
        <v/>
      </c>
      <c r="Y92" s="95">
        <f>IF($V92&gt;0,IF($T92&gt;0,IF($V92=$T92,"No","Yes")," ")," ")</f>
        <v/>
      </c>
      <c r="Z92" s="100" t="n"/>
      <c r="AA92" s="97">
        <f>IF($Z92&gt;0,$S92-$Z92," ")</f>
        <v/>
      </c>
    </row>
    <row r="93" ht="15" customHeight="1" s="46">
      <c r="A93" s="103">
        <f>IFERROR(ROW()-5,"")</f>
        <v/>
      </c>
      <c r="B93" s="104" t="n"/>
      <c r="C93" s="104" t="n"/>
      <c r="D93" s="105" t="n"/>
      <c r="E93" s="105" t="n"/>
      <c r="F93" s="106" t="n"/>
      <c r="G93" s="103" t="n"/>
      <c r="H93" s="107" t="n"/>
      <c r="I93" s="108" t="n"/>
      <c r="J93" s="109">
        <f>IF($I93&gt;0,$I93/$H93," ")</f>
        <v/>
      </c>
      <c r="K93" s="110" t="n"/>
      <c r="L93" s="111">
        <f>IF($K93&gt;0,($K93-$S93)/365," ")</f>
        <v/>
      </c>
      <c r="M93" s="105" t="n"/>
      <c r="N93" s="105" t="n"/>
      <c r="O93" s="105" t="n"/>
      <c r="P93" s="108" t="n"/>
      <c r="Q93" s="108">
        <f>IF($P93&gt;0,IF($H93&gt;0,$P93/$H93," ")," ")</f>
        <v/>
      </c>
      <c r="R93" s="112">
        <f>IF($P93&gt;0,IF($I93&gt;0,$I93/$P93," ")," ")</f>
        <v/>
      </c>
      <c r="S93" s="110" t="n"/>
      <c r="T93" s="108" t="n"/>
      <c r="U93" s="112">
        <f>IF($T93&gt;0,IF($I93&gt;0,$I93/$T93," ")," ")</f>
        <v/>
      </c>
      <c r="V93" s="108" t="n"/>
      <c r="W93" s="112">
        <f>IF($V93&gt;0,IF($I93&gt;0,$I93/$V93," ")," ")</f>
        <v/>
      </c>
      <c r="X93" s="112">
        <f>IF(ISNUMBER($R93),IF(ISNUMBER($W93),$R93-$W93," ")," ")</f>
        <v/>
      </c>
      <c r="Y93" s="105">
        <f>IF($V93&gt;0,IF($T93&gt;0,IF($V93=$T93,"No","Yes")," ")," ")</f>
        <v/>
      </c>
      <c r="Z93" s="110" t="n"/>
      <c r="AA93" s="107">
        <f>IF($Z93&gt;0,$S93-$Z93," ")</f>
        <v/>
      </c>
    </row>
    <row r="94" ht="15" customHeight="1" s="46">
      <c r="A94" s="93">
        <f>IFERROR(ROW()-5,"")</f>
        <v/>
      </c>
      <c r="B94" s="94" t="n"/>
      <c r="C94" s="94" t="n"/>
      <c r="D94" s="95" t="n"/>
      <c r="E94" s="95" t="n"/>
      <c r="F94" s="96" t="n"/>
      <c r="G94" s="93" t="n"/>
      <c r="H94" s="97" t="n"/>
      <c r="I94" s="98" t="n"/>
      <c r="J94" s="99">
        <f>IF($I94&gt;0,$I94/$H94," ")</f>
        <v/>
      </c>
      <c r="K94" s="100" t="n"/>
      <c r="L94" s="101">
        <f>IF($K94&gt;0,($K94-$S94)/365," ")</f>
        <v/>
      </c>
      <c r="M94" s="95" t="n"/>
      <c r="N94" s="95" t="n"/>
      <c r="O94" s="95" t="n"/>
      <c r="P94" s="98" t="n"/>
      <c r="Q94" s="98">
        <f>IF($P94&gt;0,IF($H94&gt;0,$P94/$H94," ")," ")</f>
        <v/>
      </c>
      <c r="R94" s="102">
        <f>IF($P94&gt;0,IF($I94&gt;0,$I94/$P94," ")," ")</f>
        <v/>
      </c>
      <c r="S94" s="100" t="n"/>
      <c r="T94" s="98" t="n"/>
      <c r="U94" s="102">
        <f>IF($T94&gt;0,IF($I94&gt;0,$I94/$T94," ")," ")</f>
        <v/>
      </c>
      <c r="V94" s="98" t="n"/>
      <c r="W94" s="102">
        <f>IF($V94&gt;0,IF($I94&gt;0,$I94/$V94," ")," ")</f>
        <v/>
      </c>
      <c r="X94" s="102">
        <f>IF(ISNUMBER($R94),IF(ISNUMBER($W94),$R94-$W94," ")," ")</f>
        <v/>
      </c>
      <c r="Y94" s="95">
        <f>IF($V94&gt;0,IF($T94&gt;0,IF($V94=$T94,"No","Yes")," ")," ")</f>
        <v/>
      </c>
      <c r="Z94" s="100" t="n"/>
      <c r="AA94" s="97">
        <f>IF($Z94&gt;0,$S94-$Z94," ")</f>
        <v/>
      </c>
    </row>
    <row r="95" ht="15" customHeight="1" s="46">
      <c r="A95" s="103">
        <f>IFERROR(ROW()-5,"")</f>
        <v/>
      </c>
      <c r="B95" s="104" t="n"/>
      <c r="C95" s="104" t="n"/>
      <c r="D95" s="105" t="n"/>
      <c r="E95" s="105" t="n"/>
      <c r="F95" s="106" t="n"/>
      <c r="G95" s="103" t="n"/>
      <c r="H95" s="107" t="n"/>
      <c r="I95" s="108" t="n"/>
      <c r="J95" s="109">
        <f>IF($I95&gt;0,$I95/$H95," ")</f>
        <v/>
      </c>
      <c r="K95" s="110" t="n"/>
      <c r="L95" s="111">
        <f>IF($K95&gt;0,($K95-$S95)/365," ")</f>
        <v/>
      </c>
      <c r="M95" s="105" t="n"/>
      <c r="N95" s="105" t="n"/>
      <c r="O95" s="105" t="n"/>
      <c r="P95" s="108" t="n"/>
      <c r="Q95" s="108">
        <f>IF($P95&gt;0,IF($H95&gt;0,$P95/$H95," ")," ")</f>
        <v/>
      </c>
      <c r="R95" s="112">
        <f>IF($P95&gt;0,IF($I95&gt;0,$I95/$P95," ")," ")</f>
        <v/>
      </c>
      <c r="S95" s="110" t="n"/>
      <c r="T95" s="108" t="n"/>
      <c r="U95" s="112">
        <f>IF($T95&gt;0,IF($I95&gt;0,$I95/$T95," ")," ")</f>
        <v/>
      </c>
      <c r="V95" s="108" t="n"/>
      <c r="W95" s="112">
        <f>IF($V95&gt;0,IF($I95&gt;0,$I95/$V95," ")," ")</f>
        <v/>
      </c>
      <c r="X95" s="112">
        <f>IF(ISNUMBER($R95),IF(ISNUMBER($W95),$R95-$W95," ")," ")</f>
        <v/>
      </c>
      <c r="Y95" s="105">
        <f>IF($V95&gt;0,IF($T95&gt;0,IF($V95=$T95,"No","Yes")," ")," ")</f>
        <v/>
      </c>
      <c r="Z95" s="110" t="n"/>
      <c r="AA95" s="107">
        <f>IF($Z95&gt;0,$S95-$Z95," ")</f>
        <v/>
      </c>
    </row>
    <row r="96" ht="15" customHeight="1" s="46">
      <c r="A96" s="93">
        <f>IFERROR(ROW()-5,"")</f>
        <v/>
      </c>
      <c r="B96" s="94" t="n"/>
      <c r="C96" s="94" t="n"/>
      <c r="D96" s="95" t="n"/>
      <c r="E96" s="95" t="n"/>
      <c r="F96" s="96" t="n"/>
      <c r="G96" s="93" t="n"/>
      <c r="H96" s="97" t="n"/>
      <c r="I96" s="98" t="n"/>
      <c r="J96" s="99">
        <f>IF($I96&gt;0,$I96/$H96," ")</f>
        <v/>
      </c>
      <c r="K96" s="100" t="n"/>
      <c r="L96" s="101">
        <f>IF($K96&gt;0,($K96-$S96)/365," ")</f>
        <v/>
      </c>
      <c r="M96" s="95" t="n"/>
      <c r="N96" s="95" t="n"/>
      <c r="O96" s="95" t="n"/>
      <c r="P96" s="98" t="n"/>
      <c r="Q96" s="98">
        <f>IF($P96&gt;0,IF($H96&gt;0,$P96/$H96," ")," ")</f>
        <v/>
      </c>
      <c r="R96" s="102">
        <f>IF($P96&gt;0,IF($I96&gt;0,$I96/$P96," ")," ")</f>
        <v/>
      </c>
      <c r="S96" s="100" t="n"/>
      <c r="T96" s="98" t="n"/>
      <c r="U96" s="102">
        <f>IF($T96&gt;0,IF($I96&gt;0,$I96/$T96," ")," ")</f>
        <v/>
      </c>
      <c r="V96" s="98" t="n"/>
      <c r="W96" s="102">
        <f>IF($V96&gt;0,IF($I96&gt;0,$I96/$V96," ")," ")</f>
        <v/>
      </c>
      <c r="X96" s="102">
        <f>IF(ISNUMBER($R96),IF(ISNUMBER($W96),$R96-$W96," ")," ")</f>
        <v/>
      </c>
      <c r="Y96" s="95">
        <f>IF($V96&gt;0,IF($T96&gt;0,IF($V96=$T96,"No","Yes")," ")," ")</f>
        <v/>
      </c>
      <c r="Z96" s="100" t="n"/>
      <c r="AA96" s="97">
        <f>IF($Z96&gt;0,$S96-$Z96," ")</f>
        <v/>
      </c>
    </row>
    <row r="97" ht="15" customHeight="1" s="46">
      <c r="A97" s="103">
        <f>IFERROR(ROW()-5,"")</f>
        <v/>
      </c>
      <c r="B97" s="104" t="n"/>
      <c r="C97" s="104" t="n"/>
      <c r="D97" s="105" t="n"/>
      <c r="E97" s="105" t="n"/>
      <c r="F97" s="106" t="n"/>
      <c r="G97" s="103" t="n"/>
      <c r="H97" s="107" t="n"/>
      <c r="I97" s="108" t="n"/>
      <c r="J97" s="109">
        <f>IF($I97&gt;0,$I97/$H97," ")</f>
        <v/>
      </c>
      <c r="K97" s="110" t="n"/>
      <c r="L97" s="111">
        <f>IF($K97&gt;0,($K97-$S97)/365," ")</f>
        <v/>
      </c>
      <c r="M97" s="105" t="n"/>
      <c r="N97" s="105" t="n"/>
      <c r="O97" s="105" t="n"/>
      <c r="P97" s="108" t="n"/>
      <c r="Q97" s="108">
        <f>IF($P97&gt;0,IF($H97&gt;0,$P97/$H97," ")," ")</f>
        <v/>
      </c>
      <c r="R97" s="112">
        <f>IF($P97&gt;0,IF($I97&gt;0,$I97/$P97," ")," ")</f>
        <v/>
      </c>
      <c r="S97" s="110" t="n"/>
      <c r="T97" s="108" t="n"/>
      <c r="U97" s="112">
        <f>IF($T97&gt;0,IF($I97&gt;0,$I97/$T97," ")," ")</f>
        <v/>
      </c>
      <c r="V97" s="108" t="n"/>
      <c r="W97" s="112">
        <f>IF($V97&gt;0,IF($I97&gt;0,$I97/$V97," ")," ")</f>
        <v/>
      </c>
      <c r="X97" s="112">
        <f>IF(ISNUMBER($R97),IF(ISNUMBER($W97),$R97-$W97," ")," ")</f>
        <v/>
      </c>
      <c r="Y97" s="105">
        <f>IF($V97&gt;0,IF($T97&gt;0,IF($V97=$T97,"No","Yes")," ")," ")</f>
        <v/>
      </c>
      <c r="Z97" s="110" t="n"/>
      <c r="AA97" s="107">
        <f>IF($Z97&gt;0,$S97-$Z97," ")</f>
        <v/>
      </c>
    </row>
    <row r="98" ht="15" customHeight="1" s="46">
      <c r="A98" s="93">
        <f>IFERROR(ROW()-5,"")</f>
        <v/>
      </c>
      <c r="B98" s="94" t="n"/>
      <c r="C98" s="94" t="n"/>
      <c r="D98" s="95" t="n"/>
      <c r="E98" s="95" t="n"/>
      <c r="F98" s="96" t="n"/>
      <c r="G98" s="93" t="n"/>
      <c r="H98" s="97" t="n"/>
      <c r="I98" s="98" t="n"/>
      <c r="J98" s="99">
        <f>IF($I98&gt;0,$I98/$H98," ")</f>
        <v/>
      </c>
      <c r="K98" s="100" t="n"/>
      <c r="L98" s="101">
        <f>IF($K98&gt;0,($K98-$S98)/365," ")</f>
        <v/>
      </c>
      <c r="M98" s="95" t="n"/>
      <c r="N98" s="95" t="n"/>
      <c r="O98" s="95" t="n"/>
      <c r="P98" s="98" t="n"/>
      <c r="Q98" s="98">
        <f>IF($P98&gt;0,IF($H98&gt;0,$P98/$H98," ")," ")</f>
        <v/>
      </c>
      <c r="R98" s="102">
        <f>IF($P98&gt;0,IF($I98&gt;0,$I98/$P98," ")," ")</f>
        <v/>
      </c>
      <c r="S98" s="100" t="n"/>
      <c r="T98" s="98" t="n"/>
      <c r="U98" s="102">
        <f>IF($T98&gt;0,IF($I98&gt;0,$I98/$T98," ")," ")</f>
        <v/>
      </c>
      <c r="V98" s="98" t="n"/>
      <c r="W98" s="102">
        <f>IF($V98&gt;0,IF($I98&gt;0,$I98/$V98," ")," ")</f>
        <v/>
      </c>
      <c r="X98" s="102">
        <f>IF(ISNUMBER($R98),IF(ISNUMBER($W98),$R98-$W98," ")," ")</f>
        <v/>
      </c>
      <c r="Y98" s="95">
        <f>IF($V98&gt;0,IF($T98&gt;0,IF($V98=$T98,"No","Yes")," ")," ")</f>
        <v/>
      </c>
      <c r="Z98" s="100" t="n"/>
      <c r="AA98" s="97">
        <f>IF($Z98&gt;0,$S98-$Z98," ")</f>
        <v/>
      </c>
    </row>
    <row r="99" ht="15" customHeight="1" s="46">
      <c r="A99" s="103">
        <f>IFERROR(ROW()-5,"")</f>
        <v/>
      </c>
      <c r="B99" s="104" t="n"/>
      <c r="C99" s="104" t="n"/>
      <c r="D99" s="105" t="n"/>
      <c r="E99" s="105" t="n"/>
      <c r="F99" s="106" t="n"/>
      <c r="G99" s="103" t="n"/>
      <c r="H99" s="107" t="n"/>
      <c r="I99" s="108" t="n"/>
      <c r="J99" s="109">
        <f>IF($I99&gt;0,$I99/$H99," ")</f>
        <v/>
      </c>
      <c r="K99" s="110" t="n"/>
      <c r="L99" s="111">
        <f>IF($K99&gt;0,($K99-$S99)/365," ")</f>
        <v/>
      </c>
      <c r="M99" s="105" t="n"/>
      <c r="N99" s="105" t="n"/>
      <c r="O99" s="105" t="n"/>
      <c r="P99" s="108" t="n"/>
      <c r="Q99" s="108">
        <f>IF($P99&gt;0,IF($H99&gt;0,$P99/$H99," ")," ")</f>
        <v/>
      </c>
      <c r="R99" s="112">
        <f>IF($P99&gt;0,IF($I99&gt;0,$I99/$P99," ")," ")</f>
        <v/>
      </c>
      <c r="S99" s="110" t="n"/>
      <c r="T99" s="108" t="n"/>
      <c r="U99" s="112">
        <f>IF($T99&gt;0,IF($I99&gt;0,$I99/$T99," ")," ")</f>
        <v/>
      </c>
      <c r="V99" s="108" t="n"/>
      <c r="W99" s="112">
        <f>IF($V99&gt;0,IF($I99&gt;0,$I99/$V99," ")," ")</f>
        <v/>
      </c>
      <c r="X99" s="112">
        <f>IF(ISNUMBER($R99),IF(ISNUMBER($W99),$R99-$W99," ")," ")</f>
        <v/>
      </c>
      <c r="Y99" s="105">
        <f>IF($V99&gt;0,IF($T99&gt;0,IF($V99=$T99,"No","Yes")," ")," ")</f>
        <v/>
      </c>
      <c r="Z99" s="110" t="n"/>
      <c r="AA99" s="107">
        <f>IF($Z99&gt;0,$S99-$Z99," ")</f>
        <v/>
      </c>
    </row>
    <row r="100" ht="15" customHeight="1" s="46">
      <c r="A100" s="93">
        <f>IFERROR(ROW()-5,"")</f>
        <v/>
      </c>
      <c r="B100" s="94" t="n"/>
      <c r="C100" s="94" t="n"/>
      <c r="D100" s="95" t="n"/>
      <c r="E100" s="95" t="n"/>
      <c r="F100" s="96" t="n"/>
      <c r="G100" s="93" t="n"/>
      <c r="H100" s="97" t="n"/>
      <c r="I100" s="98" t="n"/>
      <c r="J100" s="99">
        <f>IF($I100&gt;0,$I100/$H100," ")</f>
        <v/>
      </c>
      <c r="K100" s="100" t="n"/>
      <c r="L100" s="101">
        <f>IF($K100&gt;0,($K100-$S100)/365," ")</f>
        <v/>
      </c>
      <c r="M100" s="95" t="n"/>
      <c r="N100" s="95" t="n"/>
      <c r="O100" s="95" t="n"/>
      <c r="P100" s="98" t="n"/>
      <c r="Q100" s="98">
        <f>IF($P100&gt;0,IF($H100&gt;0,$P100/$H100," ")," ")</f>
        <v/>
      </c>
      <c r="R100" s="102">
        <f>IF($P100&gt;0,IF($I100&gt;0,$I100/$P100," ")," ")</f>
        <v/>
      </c>
      <c r="S100" s="100" t="n"/>
      <c r="T100" s="98" t="n"/>
      <c r="U100" s="102">
        <f>IF($T100&gt;0,IF($I100&gt;0,$I100/$T100," ")," ")</f>
        <v/>
      </c>
      <c r="V100" s="98" t="n"/>
      <c r="W100" s="102">
        <f>IF($V100&gt;0,IF($I100&gt;0,$I100/$V100," ")," ")</f>
        <v/>
      </c>
      <c r="X100" s="102">
        <f>IF(ISNUMBER($R100),IF(ISNUMBER($W100),$R100-$W100," ")," ")</f>
        <v/>
      </c>
      <c r="Y100" s="95">
        <f>IF($V100&gt;0,IF($T100&gt;0,IF($V100=$T100,"No","Yes")," ")," ")</f>
        <v/>
      </c>
      <c r="Z100" s="100" t="n"/>
      <c r="AA100" s="97">
        <f>IF($Z100&gt;0,$S100-$Z100," ")</f>
        <v/>
      </c>
    </row>
    <row r="101" ht="15" customHeight="1" s="46">
      <c r="A101" s="103">
        <f>IFERROR(ROW()-5,"")</f>
        <v/>
      </c>
      <c r="B101" s="104" t="n"/>
      <c r="C101" s="104" t="n"/>
      <c r="D101" s="105" t="n"/>
      <c r="E101" s="105" t="n"/>
      <c r="F101" s="106" t="n"/>
      <c r="G101" s="103" t="n"/>
      <c r="H101" s="107" t="n"/>
      <c r="I101" s="108" t="n"/>
      <c r="J101" s="109">
        <f>IF($I101&gt;0,$I101/$H101," ")</f>
        <v/>
      </c>
      <c r="K101" s="110" t="n"/>
      <c r="L101" s="111">
        <f>IF($K101&gt;0,($K101-$S101)/365," ")</f>
        <v/>
      </c>
      <c r="M101" s="105" t="n"/>
      <c r="N101" s="105" t="n"/>
      <c r="O101" s="105" t="n"/>
      <c r="P101" s="108" t="n"/>
      <c r="Q101" s="108">
        <f>IF($P101&gt;0,IF($H101&gt;0,$P101/$H101," ")," ")</f>
        <v/>
      </c>
      <c r="R101" s="112">
        <f>IF($P101&gt;0,IF($I101&gt;0,$I101/$P101," ")," ")</f>
        <v/>
      </c>
      <c r="S101" s="110" t="n"/>
      <c r="T101" s="108" t="n"/>
      <c r="U101" s="112">
        <f>IF($T101&gt;0,IF($I101&gt;0,$I101/$T101," ")," ")</f>
        <v/>
      </c>
      <c r="V101" s="108" t="n"/>
      <c r="W101" s="112">
        <f>IF($V101&gt;0,IF($I101&gt;0,$I101/$V101," ")," ")</f>
        <v/>
      </c>
      <c r="X101" s="112">
        <f>IF(ISNUMBER($R101),IF(ISNUMBER($W101),$R101-$W101," ")," ")</f>
        <v/>
      </c>
      <c r="Y101" s="105">
        <f>IF($V101&gt;0,IF($T101&gt;0,IF($V101=$T101,"No","Yes")," ")," ")</f>
        <v/>
      </c>
      <c r="Z101" s="110" t="n"/>
      <c r="AA101" s="107">
        <f>IF($Z101&gt;0,$S101-$Z101," ")</f>
        <v/>
      </c>
    </row>
    <row r="102" ht="15" customHeight="1" s="46">
      <c r="A102" s="93">
        <f>IFERROR(ROW()-5,"")</f>
        <v/>
      </c>
      <c r="B102" s="94" t="n"/>
      <c r="C102" s="94" t="n"/>
      <c r="D102" s="95" t="n"/>
      <c r="E102" s="95" t="n"/>
      <c r="F102" s="96" t="n"/>
      <c r="G102" s="93" t="n"/>
      <c r="H102" s="97" t="n"/>
      <c r="I102" s="98" t="n"/>
      <c r="J102" s="99">
        <f>IF($I102&gt;0,$I102/$H102," ")</f>
        <v/>
      </c>
      <c r="K102" s="100" t="n"/>
      <c r="L102" s="101">
        <f>IF($K102&gt;0,($K102-$S102)/365," ")</f>
        <v/>
      </c>
      <c r="M102" s="95" t="n"/>
      <c r="N102" s="95" t="n"/>
      <c r="O102" s="95" t="n"/>
      <c r="P102" s="98" t="n"/>
      <c r="Q102" s="98">
        <f>IF($P102&gt;0,IF($H102&gt;0,$P102/$H102," ")," ")</f>
        <v/>
      </c>
      <c r="R102" s="102">
        <f>IF($P102&gt;0,IF($I102&gt;0,$I102/$P102," ")," ")</f>
        <v/>
      </c>
      <c r="S102" s="100" t="n"/>
      <c r="T102" s="98" t="n"/>
      <c r="U102" s="102">
        <f>IF($T102&gt;0,IF($I102&gt;0,$I102/$T102," ")," ")</f>
        <v/>
      </c>
      <c r="V102" s="98" t="n"/>
      <c r="W102" s="102">
        <f>IF($V102&gt;0,IF($I102&gt;0,$I102/$V102," ")," ")</f>
        <v/>
      </c>
      <c r="X102" s="102">
        <f>IF(ISNUMBER($R102),IF(ISNUMBER($W102),$R102-$W102," ")," ")</f>
        <v/>
      </c>
      <c r="Y102" s="95">
        <f>IF($V102&gt;0,IF($T102&gt;0,IF($V102=$T102,"No","Yes")," ")," ")</f>
        <v/>
      </c>
      <c r="Z102" s="100" t="n"/>
      <c r="AA102" s="97">
        <f>IF($Z102&gt;0,$S102-$Z102," ")</f>
        <v/>
      </c>
    </row>
    <row r="103" ht="15" customHeight="1" s="46">
      <c r="A103" s="103">
        <f>IFERROR(ROW()-5,"")</f>
        <v/>
      </c>
      <c r="B103" s="104" t="n"/>
      <c r="C103" s="104" t="n"/>
      <c r="D103" s="105" t="n"/>
      <c r="E103" s="105" t="n"/>
      <c r="F103" s="106" t="n"/>
      <c r="G103" s="103" t="n"/>
      <c r="H103" s="107" t="n"/>
      <c r="I103" s="108" t="n"/>
      <c r="J103" s="109">
        <f>IF($I103&gt;0,$I103/$H103," ")</f>
        <v/>
      </c>
      <c r="K103" s="110" t="n"/>
      <c r="L103" s="111">
        <f>IF($K103&gt;0,($K103-$S103)/365," ")</f>
        <v/>
      </c>
      <c r="M103" s="105" t="n"/>
      <c r="N103" s="105" t="n"/>
      <c r="O103" s="105" t="n"/>
      <c r="P103" s="108" t="n"/>
      <c r="Q103" s="108">
        <f>IF($P103&gt;0,IF($H103&gt;0,$P103/$H103," ")," ")</f>
        <v/>
      </c>
      <c r="R103" s="112">
        <f>IF($P103&gt;0,IF($I103&gt;0,$I103/$P103," ")," ")</f>
        <v/>
      </c>
      <c r="S103" s="110" t="n"/>
      <c r="T103" s="108" t="n"/>
      <c r="U103" s="112">
        <f>IF($T103&gt;0,IF($I103&gt;0,$I103/$T103," ")," ")</f>
        <v/>
      </c>
      <c r="V103" s="108" t="n"/>
      <c r="W103" s="112">
        <f>IF($V103&gt;0,IF($I103&gt;0,$I103/$V103," ")," ")</f>
        <v/>
      </c>
      <c r="X103" s="112">
        <f>IF(ISNUMBER($R103),IF(ISNUMBER($W103),$R103-$W103," ")," ")</f>
        <v/>
      </c>
      <c r="Y103" s="105">
        <f>IF($V103&gt;0,IF($T103&gt;0,IF($V103=$T103,"No","Yes")," ")," ")</f>
        <v/>
      </c>
      <c r="Z103" s="110" t="n"/>
      <c r="AA103" s="107">
        <f>IF($Z103&gt;0,$S103-$Z103," ")</f>
        <v/>
      </c>
    </row>
    <row r="104" ht="15" customHeight="1" s="46">
      <c r="A104" s="93">
        <f>IFERROR(ROW()-5,"")</f>
        <v/>
      </c>
      <c r="B104" s="94" t="n"/>
      <c r="C104" s="94" t="n"/>
      <c r="D104" s="95" t="n"/>
      <c r="E104" s="95" t="n"/>
      <c r="F104" s="96" t="n"/>
      <c r="G104" s="93" t="n"/>
      <c r="H104" s="97" t="n"/>
      <c r="I104" s="98" t="n"/>
      <c r="J104" s="99">
        <f>IF($I104&gt;0,$I104/$H104," ")</f>
        <v/>
      </c>
      <c r="K104" s="100" t="n"/>
      <c r="L104" s="101">
        <f>IF($K104&gt;0,($K104-$S104)/365," ")</f>
        <v/>
      </c>
      <c r="M104" s="95" t="n"/>
      <c r="N104" s="95" t="n"/>
      <c r="O104" s="95" t="n"/>
      <c r="P104" s="98" t="n"/>
      <c r="Q104" s="98">
        <f>IF($P104&gt;0,IF($H104&gt;0,$P104/$H104," ")," ")</f>
        <v/>
      </c>
      <c r="R104" s="102">
        <f>IF($P104&gt;0,IF($I104&gt;0,$I104/$P104," ")," ")</f>
        <v/>
      </c>
      <c r="S104" s="100" t="n"/>
      <c r="T104" s="98" t="n"/>
      <c r="U104" s="102">
        <f>IF($T104&gt;0,IF($I104&gt;0,$I104/$T104," ")," ")</f>
        <v/>
      </c>
      <c r="V104" s="98" t="n"/>
      <c r="W104" s="102">
        <f>IF($V104&gt;0,IF($I104&gt;0,$I104/$V104," ")," ")</f>
        <v/>
      </c>
      <c r="X104" s="102">
        <f>IF(ISNUMBER($R104),IF(ISNUMBER($W104),$R104-$W104," ")," ")</f>
        <v/>
      </c>
      <c r="Y104" s="95">
        <f>IF($V104&gt;0,IF($T104&gt;0,IF($V104=$T104,"No","Yes")," ")," ")</f>
        <v/>
      </c>
      <c r="Z104" s="100" t="n"/>
      <c r="AA104" s="97">
        <f>IF($Z104&gt;0,$S104-$Z104," ")</f>
        <v/>
      </c>
    </row>
    <row r="105" ht="15" customHeight="1" s="46">
      <c r="A105" s="103">
        <f>IFERROR(ROW()-5,"")</f>
        <v/>
      </c>
      <c r="B105" s="104" t="n"/>
      <c r="C105" s="104" t="n"/>
      <c r="D105" s="105" t="n"/>
      <c r="E105" s="105" t="n"/>
      <c r="F105" s="106" t="n"/>
      <c r="G105" s="103" t="n"/>
      <c r="H105" s="107" t="n"/>
      <c r="I105" s="108" t="n"/>
      <c r="J105" s="109">
        <f>IF($I105&gt;0,$I105/$H105," ")</f>
        <v/>
      </c>
      <c r="K105" s="110" t="n"/>
      <c r="L105" s="111">
        <f>IF($K105&gt;0,($K105-$S105)/365," ")</f>
        <v/>
      </c>
      <c r="M105" s="105" t="n"/>
      <c r="N105" s="105" t="n"/>
      <c r="O105" s="105" t="n"/>
      <c r="P105" s="108" t="n"/>
      <c r="Q105" s="108">
        <f>IF($P105&gt;0,IF($H105&gt;0,$P105/$H105," ")," ")</f>
        <v/>
      </c>
      <c r="R105" s="112">
        <f>IF($P105&gt;0,IF($I105&gt;0,$I105/$P105," ")," ")</f>
        <v/>
      </c>
      <c r="S105" s="110" t="n"/>
      <c r="T105" s="108" t="n"/>
      <c r="U105" s="112">
        <f>IF($T105&gt;0,IF($I105&gt;0,$I105/$T105," ")," ")</f>
        <v/>
      </c>
      <c r="V105" s="108" t="n"/>
      <c r="W105" s="112">
        <f>IF($V105&gt;0,IF($I105&gt;0,$I105/$V105," ")," ")</f>
        <v/>
      </c>
      <c r="X105" s="112">
        <f>IF(ISNUMBER($R105),IF(ISNUMBER($W105),$R105-$W105," ")," ")</f>
        <v/>
      </c>
      <c r="Y105" s="105">
        <f>IF($V105&gt;0,IF($T105&gt;0,IF($V105=$T105,"No","Yes")," ")," ")</f>
        <v/>
      </c>
      <c r="Z105" s="110" t="n"/>
      <c r="AA105" s="107">
        <f>IF($Z105&gt;0,$S105-$Z105," ")</f>
        <v/>
      </c>
    </row>
    <row r="106" ht="16.5" customHeight="1" s="46">
      <c r="A106" s="113" t="inlineStr">
        <is>
          <t>AVG</t>
        </is>
      </c>
      <c r="B106" s="114">
        <f>COUNTA(B6:B105)&amp;" comps"</f>
        <v/>
      </c>
      <c r="C106" s="114" t="n"/>
      <c r="D106" s="115" t="n"/>
      <c r="E106" s="115" t="n"/>
      <c r="F106" s="116">
        <f>IF(COUNT(F6:F105)=0,"",AVERAGE(F6:F105))</f>
        <v/>
      </c>
      <c r="G106" s="113">
        <f>IF(COUNT(G6:G105)=0,"",AVERAGE(G6:G105))</f>
        <v/>
      </c>
      <c r="H106" s="117">
        <f>IF(COUNT(H6:H105)=0,"",AVERAGE(H6:H105))</f>
        <v/>
      </c>
      <c r="I106" s="118">
        <f>IF(COUNT(I6:I105)=0,"",AVERAGE(I6:I105))</f>
        <v/>
      </c>
      <c r="J106" s="119">
        <f>IF(COUNT(J6:J105)=0,"",AVERAGE(J6:J105))</f>
        <v/>
      </c>
      <c r="K106" s="120" t="n"/>
      <c r="L106" s="121">
        <f>IF(COUNT(L6:L105)=0,"",AVERAGE(L6:L105))</f>
        <v/>
      </c>
      <c r="M106" s="115" t="n"/>
      <c r="N106" s="115" t="n"/>
      <c r="O106" s="115" t="n"/>
      <c r="P106" s="118">
        <f>IF(COUNT(P6:P105)=0,"",AVERAGE(P6:P105))</f>
        <v/>
      </c>
      <c r="Q106" s="118">
        <f>IF(COUNT(Q6:Q105)=0,"",AVERAGE(Q6:Q105))</f>
        <v/>
      </c>
      <c r="R106" s="122">
        <f>IF(COUNT(R6:R105)=0,"",AVERAGE(R6:R105))</f>
        <v/>
      </c>
      <c r="S106" s="120" t="n"/>
      <c r="T106" s="118">
        <f>IF(COUNT(T6:T105)=0,"",AVERAGE(T6:T105))</f>
        <v/>
      </c>
      <c r="U106" s="122">
        <f>IF(COUNT(U6:U105)=0,"",AVERAGE(U6:U105))</f>
        <v/>
      </c>
      <c r="V106" s="118">
        <f>IF(COUNT(V6:V105)=0,"",AVERAGE(V6:V105))</f>
        <v/>
      </c>
      <c r="W106" s="122">
        <f>IF(COUNT(W6:W105)=0,"",AVERAGE(W6:W105))</f>
        <v/>
      </c>
      <c r="X106" s="122">
        <f>IF(COUNT(X6:X105)=0,"",AVERAGE(X6:X105))</f>
        <v/>
      </c>
      <c r="Y106" s="115" t="n"/>
      <c r="Z106" s="120" t="n"/>
      <c r="AA106" s="117">
        <f>IF(COUNT(AA6:AA105)=0,"",AVERAGE(AA6:AA105))</f>
        <v/>
      </c>
    </row>
    <row r="10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</row>
    <row r="108" ht="12.75" customHeight="1" s="46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  <c r="AA108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2026-07-15T15:35:15Z</dcterms:created>
  <dcterms:modified xsi:type="dcterms:W3CDTF">2026-08-05T12:52:45Z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Order" fmtid="{D5CDD505-2E9C-101B-9397-08002B2CF9AE}" pid="2">
    <vt:r8>17200</vt:r8>
  </property>
  <property name="MediaServiceImageTags" fmtid="{D5CDD505-2E9C-101B-9397-08002B2CF9AE}" pid="3">
    <vt:lpwstr/>
  </property>
  <property name="ContentTypeId" fmtid="{D5CDD505-2E9C-101B-9397-08002B2CF9AE}" pid="4">
    <vt:lpwstr>0x0101002063442239F02840831034F7AD67E0F6</vt:lpwstr>
  </property>
</Properties>
</file>