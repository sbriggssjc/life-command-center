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Index" sheetId="2" state="visible" r:id="rId2"/>
    <sheet name="On Market" sheetId="3" state="visible" r:id="rId3"/>
    <sheet name="Sol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\$#,##0"/>
    <numFmt numFmtId="165" formatCode="\$#,##0.00"/>
    <numFmt numFmtId="166" formatCode="mm/dd/yyyy"/>
    <numFmt numFmtId="167" formatCode="0.0"/>
    <numFmt numFmtId="168" formatCode="$#,##0"/>
    <numFmt numFmtId="169" formatCode="$#,##0.00"/>
    <numFmt numFmtId="170" formatCode="#,##0&quot; bps&quot;"/>
    <numFmt numFmtId="171" formatCode="#,##0.0"/>
    <numFmt numFmtId="172" formatCode="&quot;$&quot;#,##0"/>
    <numFmt numFmtId="173" formatCode="&quot;$&quot;#,##0.00"/>
    <numFmt numFmtId="174" formatCode="[$-409]mmm\-yy;@"/>
    <numFmt numFmtId="175" formatCode="0.0&quot; Years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 Light"/>
      <charset val="1"/>
      <family val="0"/>
      <b val="1"/>
      <color rgb="FF003DA5"/>
      <sz val="24"/>
    </font>
    <font>
      <name val="Calibri"/>
      <charset val="1"/>
      <family val="0"/>
      <color rgb="FF6A748C"/>
      <sz val="11"/>
    </font>
    <font>
      <name val="Calibri Light"/>
      <charset val="1"/>
      <family val="0"/>
      <b val="1"/>
      <color rgb="FF003DA5"/>
      <sz val="12"/>
    </font>
    <font>
      <name val="Calibri"/>
      <charset val="1"/>
      <family val="0"/>
      <color rgb="FF191919"/>
      <sz val="10"/>
    </font>
    <font>
      <name val="Calibri"/>
      <charset val="1"/>
      <family val="0"/>
      <color rgb="FF666666"/>
      <sz val="9"/>
    </font>
    <font>
      <name val="Calibri Light"/>
      <charset val="1"/>
      <family val="0"/>
      <b val="1"/>
      <color rgb="FF003DA5"/>
      <sz val="18"/>
    </font>
    <font>
      <name val="Calibri"/>
      <charset val="1"/>
      <family val="0"/>
      <color rgb="FF666666"/>
      <sz val="10"/>
    </font>
    <font>
      <name val="Calibri Light"/>
      <charset val="1"/>
      <family val="0"/>
      <b val="1"/>
      <color rgb="FFFFFFFF"/>
      <sz val="10"/>
    </font>
    <font>
      <name val="Calibri Light"/>
      <charset val="1"/>
      <family val="0"/>
      <b val="1"/>
      <color rgb="FF003DA5"/>
      <sz val="14"/>
    </font>
    <font>
      <name val="Calibri Light"/>
      <charset val="1"/>
      <family val="0"/>
      <b val="1"/>
      <color rgb="FFCCE4F5"/>
      <sz val="10"/>
    </font>
    <font>
      <name val="Calibri"/>
      <charset val="1"/>
      <family val="0"/>
      <i val="1"/>
      <color rgb="FF6A748C"/>
      <sz val="10"/>
    </font>
    <font>
      <name val="Calibri"/>
      <charset val="1"/>
      <family val="0"/>
      <b val="1"/>
      <color rgb="FF003DA5"/>
      <sz val="10"/>
    </font>
    <font>
      <name val="Calibri"/>
      <b val="1"/>
      <color rgb="FF191919"/>
      <sz val="10"/>
    </font>
    <font>
      <name val="Calibri"/>
      <sz val="9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0E8F4"/>
        <bgColor rgb="FFD9E2F3"/>
      </patternFill>
    </fill>
    <fill>
      <patternFill patternType="solid">
        <fgColor rgb="FFD9E2F3"/>
        <bgColor rgb="FFE0E8F4"/>
      </patternFill>
    </fill>
    <fill>
      <patternFill patternType="solid">
        <fgColor rgb="FFD6E4F5"/>
      </patternFill>
    </fill>
    <fill>
      <patternFill patternType="solid">
        <fgColor rgb="00F2F6FB"/>
      </patternFill>
    </fill>
    <fill>
      <patternFill patternType="solid">
        <fgColor rgb="00E0E8F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3DA5"/>
      </bottom>
      <diagonal/>
    </border>
    <border>
      <left/>
      <right/>
      <top style="medium">
        <color rgb="FF003DA5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3" fontId="14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left" vertical="center"/>
    </xf>
    <xf numFmtId="3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left" vertical="center"/>
    </xf>
    <xf numFmtId="166" fontId="7" fillId="3" borderId="0" applyAlignment="1" pivotButton="0" quotePrefix="0" xfId="0">
      <alignment horizontal="left" vertical="center"/>
    </xf>
    <xf numFmtId="3" fontId="14" fillId="3" borderId="0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0" fontId="14" fillId="3" borderId="0" applyAlignment="1" pivotButton="0" quotePrefix="0" xfId="0">
      <alignment horizontal="left" vertical="center"/>
    </xf>
    <xf numFmtId="1" fontId="7" fillId="3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left" vertical="center"/>
    </xf>
    <xf numFmtId="3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left" vertical="center"/>
    </xf>
    <xf numFmtId="165" fontId="14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left" vertical="center"/>
    </xf>
    <xf numFmtId="167" fontId="14" fillId="4" borderId="0" applyAlignment="1" pivotButton="0" quotePrefix="0" xfId="0">
      <alignment horizontal="left" vertical="center"/>
    </xf>
    <xf numFmtId="10" fontId="14" fillId="4" borderId="0" applyAlignment="1" pivotButton="0" quotePrefix="0" xfId="0">
      <alignment horizontal="left" vertical="center"/>
    </xf>
    <xf numFmtId="1" fontId="7" fillId="4" borderId="0" applyAlignment="1" pivotButton="0" quotePrefix="0" xfId="0">
      <alignment horizontal="left" vertical="center"/>
    </xf>
    <xf numFmtId="0" fontId="15" fillId="5" borderId="2" applyAlignment="1" pivotButton="0" quotePrefix="0" xfId="0">
      <alignment horizontal="center" vertical="center"/>
    </xf>
    <xf numFmtId="49" fontId="15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center" vertical="center"/>
    </xf>
    <xf numFmtId="10" fontId="15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0" fontId="7" fillId="3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169" fontId="7" fillId="4" borderId="0" applyAlignment="1" pivotButton="0" quotePrefix="0" xfId="0">
      <alignment horizontal="center" vertical="center"/>
    </xf>
    <xf numFmtId="10" fontId="7" fillId="4" borderId="0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49" fontId="16" fillId="6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3" fontId="16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168" fontId="16" fillId="6" borderId="2" applyAlignment="1" pivotButton="0" quotePrefix="0" xfId="0">
      <alignment horizontal="center" vertical="center"/>
    </xf>
    <xf numFmtId="169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0" fontId="0" fillId="6" borderId="0" pivotButton="0" quotePrefix="0" xfId="0"/>
    <xf numFmtId="1" fontId="16" fillId="6" borderId="0" applyAlignment="1" pivotButton="0" quotePrefix="0" xfId="0">
      <alignment horizontal="center" vertical="center"/>
    </xf>
    <xf numFmtId="170" fontId="7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70" fontId="7" fillId="4" borderId="0" applyAlignment="1" pivotButton="0" quotePrefix="0" xfId="0">
      <alignment horizontal="center" vertical="center"/>
    </xf>
    <xf numFmtId="170" fontId="16" fillId="6" borderId="2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1" fontId="17" fillId="0" borderId="3" applyAlignment="1" pivotButton="0" quotePrefix="0" xfId="0">
      <alignment horizontal="center" vertical="center"/>
    </xf>
    <xf numFmtId="49" fontId="17" fillId="0" borderId="3" applyAlignment="1" pivotButton="0" quotePrefix="0" xfId="0">
      <alignment horizontal="left" vertical="center"/>
    </xf>
    <xf numFmtId="49" fontId="17" fillId="0" borderId="3" applyAlignment="1" pivotButton="0" quotePrefix="0" xfId="0">
      <alignment horizontal="center" vertical="center"/>
    </xf>
    <xf numFmtId="171" fontId="17" fillId="0" borderId="3" applyAlignment="1" pivotButton="0" quotePrefix="0" xfId="0">
      <alignment horizontal="center" vertical="center"/>
    </xf>
    <xf numFmtId="3" fontId="17" fillId="0" borderId="3" applyAlignment="1" pivotButton="0" quotePrefix="0" xfId="0">
      <alignment horizontal="center" vertical="center"/>
    </xf>
    <xf numFmtId="172" fontId="17" fillId="0" borderId="3" applyAlignment="1" pivotButton="0" quotePrefix="0" xfId="0">
      <alignment horizontal="center" vertical="center"/>
    </xf>
    <xf numFmtId="173" fontId="17" fillId="0" borderId="3" applyAlignment="1" pivotButton="0" quotePrefix="0" xfId="0">
      <alignment horizontal="center" vertical="center"/>
    </xf>
    <xf numFmtId="174" fontId="17" fillId="0" borderId="3" applyAlignment="1" pivotButton="0" quotePrefix="0" xfId="0">
      <alignment horizontal="center" vertical="center"/>
    </xf>
    <xf numFmtId="175" fontId="17" fillId="0" borderId="3" applyAlignment="1" pivotButton="0" quotePrefix="0" xfId="0">
      <alignment horizontal="center" vertical="center"/>
    </xf>
    <xf numFmtId="10" fontId="17" fillId="0" borderId="3" applyAlignment="1" pivotButton="0" quotePrefix="0" xfId="0">
      <alignment horizontal="center" vertical="center"/>
    </xf>
    <xf numFmtId="1" fontId="17" fillId="7" borderId="3" applyAlignment="1" pivotButton="0" quotePrefix="0" xfId="0">
      <alignment horizontal="center" vertical="center"/>
    </xf>
    <xf numFmtId="49" fontId="17" fillId="7" borderId="3" applyAlignment="1" pivotButton="0" quotePrefix="0" xfId="0">
      <alignment horizontal="left" vertical="center"/>
    </xf>
    <xf numFmtId="49" fontId="17" fillId="7" borderId="3" applyAlignment="1" pivotButton="0" quotePrefix="0" xfId="0">
      <alignment horizontal="center" vertical="center"/>
    </xf>
    <xf numFmtId="171" fontId="17" fillId="7" borderId="3" applyAlignment="1" pivotButton="0" quotePrefix="0" xfId="0">
      <alignment horizontal="center" vertical="center"/>
    </xf>
    <xf numFmtId="3" fontId="17" fillId="7" borderId="3" applyAlignment="1" pivotButton="0" quotePrefix="0" xfId="0">
      <alignment horizontal="center" vertical="center"/>
    </xf>
    <xf numFmtId="172" fontId="17" fillId="7" borderId="3" applyAlignment="1" pivotButton="0" quotePrefix="0" xfId="0">
      <alignment horizontal="center" vertical="center"/>
    </xf>
    <xf numFmtId="173" fontId="17" fillId="7" borderId="3" applyAlignment="1" pivotButton="0" quotePrefix="0" xfId="0">
      <alignment horizontal="center" vertical="center"/>
    </xf>
    <xf numFmtId="174" fontId="17" fillId="7" borderId="3" applyAlignment="1" pivotButton="0" quotePrefix="0" xfId="0">
      <alignment horizontal="center" vertical="center"/>
    </xf>
    <xf numFmtId="175" fontId="17" fillId="7" borderId="3" applyAlignment="1" pivotButton="0" quotePrefix="0" xfId="0">
      <alignment horizontal="center" vertical="center"/>
    </xf>
    <xf numFmtId="10" fontId="17" fillId="7" borderId="3" applyAlignment="1" pivotButton="0" quotePrefix="0" xfId="0">
      <alignment horizontal="center" vertical="center"/>
    </xf>
    <xf numFmtId="1" fontId="18" fillId="8" borderId="3" applyAlignment="1" pivotButton="0" quotePrefix="0" xfId="0">
      <alignment horizontal="center" vertical="center"/>
    </xf>
    <xf numFmtId="49" fontId="18" fillId="8" borderId="3" applyAlignment="1" pivotButton="0" quotePrefix="0" xfId="0">
      <alignment horizontal="left" vertical="center"/>
    </xf>
    <xf numFmtId="49" fontId="18" fillId="8" borderId="3" applyAlignment="1" pivotButton="0" quotePrefix="0" xfId="0">
      <alignment horizontal="center" vertical="center"/>
    </xf>
    <xf numFmtId="171" fontId="18" fillId="8" borderId="3" applyAlignment="1" pivotButton="0" quotePrefix="0" xfId="0">
      <alignment horizontal="center" vertical="center"/>
    </xf>
    <xf numFmtId="3" fontId="18" fillId="8" borderId="3" applyAlignment="1" pivotButton="0" quotePrefix="0" xfId="0">
      <alignment horizontal="center" vertical="center"/>
    </xf>
    <xf numFmtId="172" fontId="18" fillId="8" borderId="3" applyAlignment="1" pivotButton="0" quotePrefix="0" xfId="0">
      <alignment horizontal="center" vertical="center"/>
    </xf>
    <xf numFmtId="173" fontId="18" fillId="8" borderId="3" applyAlignment="1" pivotButton="0" quotePrefix="0" xfId="0">
      <alignment horizontal="center" vertical="center"/>
    </xf>
    <xf numFmtId="174" fontId="18" fillId="8" borderId="3" applyAlignment="1" pivotButton="0" quotePrefix="0" xfId="0">
      <alignment horizontal="center" vertical="center"/>
    </xf>
    <xf numFmtId="175" fontId="18" fillId="8" borderId="3" applyAlignment="1" pivotButton="0" quotePrefix="0" xfId="0">
      <alignment horizontal="center" vertical="center"/>
    </xf>
    <xf numFmtId="10" fontId="18" fillId="8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E0E8F4"/>
      <rgbColor rgb="FF660066"/>
      <rgbColor rgb="FFFF8080"/>
      <rgbColor rgb="FF0066CC"/>
      <rgbColor rgb="FFCC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48C"/>
      <rgbColor rgb="FF969696"/>
      <rgbColor rgb="FF003DA5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90" customWidth="1" style="45" min="2" max="2"/>
  </cols>
  <sheetData>
    <row r="1" ht="12" customHeight="1" s="46"/>
    <row r="2" ht="36" customHeight="1" s="46">
      <c r="B2" s="47" t="inlineStr">
        <is>
          <t>Briggs CRE — Sales Comps</t>
        </is>
      </c>
    </row>
    <row r="3" ht="18" customHeight="1" s="46">
      <c r="B3" s="48" t="inlineStr">
        <is>
          <t>Northmarq Investment Sales  ·  Standard Template v3  ·  July 2026</t>
        </is>
      </c>
    </row>
    <row r="4" ht="6" customHeight="1" s="46">
      <c r="B4" s="49" t="n"/>
    </row>
    <row r="5" ht="7.5" customHeight="1" s="46"/>
    <row r="6" ht="21.75" customHeight="1" s="46">
      <c r="B6" s="50" t="inlineStr">
        <is>
          <t>ABOUT THIS TEMPLATE</t>
        </is>
      </c>
    </row>
    <row r="7" ht="15" customHeight="1" s="46">
      <c r="B7" s="51" t="inlineStr">
        <is>
          <t xml:space="preserve">    · Use this workbook to track and analyze comparable sales properties.</t>
        </is>
      </c>
    </row>
    <row r="8" ht="15" customHeight="1" s="46">
      <c r="B8" s="51" t="inlineStr">
        <is>
          <t xml:space="preserve">    · Two data sheets are included: On Market (active listings) and Sold (closed transactions).</t>
        </is>
      </c>
    </row>
    <row r="9" ht="15" customHeight="1" s="46">
      <c r="B9" s="51" t="inlineStr">
        <is>
          <t xml:space="preserve">    · Formula-protected columns calculate automatically — do not overwrite them.</t>
        </is>
      </c>
    </row>
    <row r="10" ht="7.5" customHeight="1" s="46"/>
    <row r="11" ht="21.75" customHeight="1" s="46">
      <c r="B11" s="50" t="inlineStr">
        <is>
          <t>TABS INCLUDED</t>
        </is>
      </c>
    </row>
    <row r="12" ht="15" customHeight="1" s="46">
      <c r="B12" s="51" t="inlineStr">
        <is>
          <t xml:space="preserve">    · Cover  —  This page — instructions and data entry rules</t>
        </is>
      </c>
    </row>
    <row r="13" ht="15" customHeight="1" s="46">
      <c r="B13" s="51" t="inlineStr">
        <is>
          <t xml:space="preserve">    · Index  —  Tab listing and workbook guide</t>
        </is>
      </c>
    </row>
    <row r="14" ht="15" customHeight="1" s="46">
      <c r="B14" s="51" t="inlineStr">
        <is>
          <t xml:space="preserve">    · On Market  —  Active listings — comparable properties currently for sale</t>
        </is>
      </c>
    </row>
    <row r="15" ht="15" customHeight="1" s="46">
      <c r="B15" s="51" t="inlineStr">
        <is>
          <t xml:space="preserve">    · Sold  —  Closed transactions — comparable sales with verified pricing</t>
        </is>
      </c>
    </row>
    <row r="16" ht="7.5" customHeight="1" s="46"/>
    <row r="17" ht="21.75" customHeight="1" s="46">
      <c r="B17" s="50" t="inlineStr">
        <is>
          <t>DATA ENTRY RULES</t>
        </is>
      </c>
    </row>
    <row r="18" ht="15" customHeight="1" s="46">
      <c r="B18" s="51" t="inlineStr">
        <is>
          <t xml:space="preserve">    · Rents and NOI: always enter as ANNUAL figures (monthly × 12). Never enter per-SF.</t>
        </is>
      </c>
    </row>
    <row r="19" ht="15" customHeight="1" s="46">
      <c r="B19" s="51" t="inlineStr">
        <is>
          <t xml:space="preserve">    · Dates: enter as true Excel dates formatted MM/DD/YYYY. Never enter as text strings.</t>
        </is>
      </c>
    </row>
    <row r="20" ht="15" customHeight="1" s="46">
      <c r="B20" s="51" t="inlineStr">
        <is>
          <t xml:space="preserve">    · If only month/year is known: use the 1st of the month as a placeholder and add a note.</t>
        </is>
      </c>
    </row>
    <row r="21" ht="15" customHeight="1" s="46">
      <c r="B21" s="51" t="inlineStr">
        <is>
          <t xml:space="preserve">    · Addresses: enter full street address. Do not abbreviate city or state.</t>
        </is>
      </c>
    </row>
    <row r="22" ht="15" customHeight="1" s="46">
      <c r="B22" s="51" t="inlineStr">
        <is>
          <t xml:space="preserve">    · Sort the Sold sheet by Sale Date descending after data entry.</t>
        </is>
      </c>
    </row>
    <row r="23" ht="15" customHeight="1" s="46">
      <c r="B23" s="51" t="inlineStr">
        <is>
          <t xml:space="preserve">    · Save outputs to: Projects/[PropertyName]/Output/[Address]_SalesComps_[YYYYMM].xlsx</t>
        </is>
      </c>
    </row>
    <row r="24" ht="7.5" customHeight="1" s="46"/>
    <row r="25" ht="21.75" customHeight="1" s="46">
      <c r="B25" s="50" t="inlineStr">
        <is>
          <t>FORMULA-PROTECTED COLUMNS — DO NOT OVERWRITE</t>
        </is>
      </c>
    </row>
    <row r="26" ht="15" customHeight="1" s="46">
      <c r="B26" s="51" t="inlineStr">
        <is>
          <t xml:space="preserve">    · PRICE/SF — List Price or Sale Price ÷ RBA. Auto-calculated. Do not overwrite.</t>
        </is>
      </c>
    </row>
    <row r="27" ht="15" customHeight="1" s="46">
      <c r="B27" s="51" t="inlineStr">
        <is>
          <t xml:space="preserve">    · DOM — Days on Market (Sale Date − List Date, or Today − List Date). Auto-calculated.</t>
        </is>
      </c>
    </row>
    <row r="28" ht="15" customHeight="1" s="46">
      <c r="B28" s="51" t="inlineStr">
        <is>
          <t xml:space="preserve">    · TERM (YRS) — Lease Expiration − Lease Start in years. Auto-calculated.</t>
        </is>
      </c>
    </row>
    <row r="29" ht="15" customHeight="1" s="46">
      <c r="B29" s="51" t="inlineStr">
        <is>
          <t xml:space="preserve">    · RENT/SF — Annual NOI ÷ RBA. Auto-calculated.</t>
        </is>
      </c>
    </row>
    <row r="30" ht="15" customHeight="1" s="46">
      <c r="B30" s="51" t="inlineStr">
        <is>
          <t xml:space="preserve">    · CAP RATE — Annual NOI ÷ Sale Price (Sold) or List Price (On Market). Auto-calculated.</t>
        </is>
      </c>
    </row>
    <row r="31" ht="15.75" customHeight="1" s="46"/>
    <row r="32" ht="13.5" customHeight="1" s="46">
      <c r="B32" s="52" t="inlineStr">
        <is>
          <t>Prepared by: Scott Briggs · Northmarq</t>
        </is>
      </c>
    </row>
    <row r="33" ht="13.5" customHeight="1" s="46">
      <c r="B33" s="52" t="inlineStr">
        <is>
          <t>Briggs CRE / Northmarq · Investment Sales · Standard Template v3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2" customWidth="1" style="45" min="2" max="2"/>
    <col width="55" customWidth="1" style="45" min="3" max="3"/>
    <col width="20" customWidth="1" style="45" min="4" max="4"/>
  </cols>
  <sheetData>
    <row r="1" ht="12" customHeight="1" s="46"/>
    <row r="2" ht="30" customHeight="1" s="46">
      <c r="B2" s="53" t="inlineStr">
        <is>
          <t>Briggs CRE — Sales Comps — Index</t>
        </is>
      </c>
    </row>
    <row r="3" ht="13.5" customHeight="1" s="46">
      <c r="B3" s="54" t="inlineStr">
        <is>
          <t>Tab listing and description of contents</t>
        </is>
      </c>
    </row>
    <row r="4" ht="7.5" customHeight="1" s="46"/>
    <row r="5" ht="21.75" customHeight="1" s="46">
      <c r="B5" s="55" t="inlineStr">
        <is>
          <t>TAB NAME</t>
        </is>
      </c>
      <c r="C5" s="55" t="inlineStr">
        <is>
          <t>DESCRIPTION</t>
        </is>
      </c>
      <c r="D5" s="55" t="inlineStr">
        <is>
          <t>PURPOSE</t>
        </is>
      </c>
    </row>
    <row r="6" ht="18" customHeight="1" s="46">
      <c r="B6" s="56" t="inlineStr">
        <is>
          <t>Cover</t>
        </is>
      </c>
      <c r="C6" s="56" t="inlineStr">
        <is>
          <t>Instructions and data entry rules</t>
        </is>
      </c>
      <c r="D6" s="56" t="inlineStr">
        <is>
          <t>Reference</t>
        </is>
      </c>
    </row>
    <row r="7" ht="18" customHeight="1" s="46">
      <c r="B7" s="57" t="inlineStr">
        <is>
          <t>Index</t>
        </is>
      </c>
      <c r="C7" s="57" t="inlineStr">
        <is>
          <t>Tab listing</t>
        </is>
      </c>
      <c r="D7" s="57" t="inlineStr">
        <is>
          <t>Navigation</t>
        </is>
      </c>
    </row>
    <row r="8" ht="18" customHeight="1" s="46">
      <c r="B8" s="56" t="inlineStr">
        <is>
          <t>On Market</t>
        </is>
      </c>
      <c r="C8" s="56" t="inlineStr">
        <is>
          <t>Active comparable listings — enter CoStar data</t>
        </is>
      </c>
      <c r="D8" s="56" t="inlineStr">
        <is>
          <t>Input / Analysis</t>
        </is>
      </c>
    </row>
    <row r="9" ht="18" customHeight="1" s="46">
      <c r="B9" s="57" t="inlineStr">
        <is>
          <t>Sold</t>
        </is>
      </c>
      <c r="C9" s="57" t="inlineStr">
        <is>
          <t>Closed comparable sales — enter CoStar data</t>
        </is>
      </c>
      <c r="D9" s="57" t="inlineStr">
        <is>
          <t>Input / Analysis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Y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5" min="1" max="1"/>
    <col width="34" customWidth="1" style="45" min="2" max="2"/>
    <col width="30" customWidth="1" style="45" min="3" max="3"/>
    <col width="15" customWidth="1" style="45" min="4" max="4"/>
    <col width="7" customWidth="1" style="45" min="5" max="5"/>
    <col width="6" customWidth="1" style="45" min="6" max="6"/>
    <col width="7" customWidth="1" style="45" min="7" max="7"/>
    <col width="8" customWidth="1" style="45" min="8" max="8"/>
    <col width="8" customWidth="1" style="45" min="9" max="9"/>
    <col width="10" customWidth="1" style="45" min="10" max="10"/>
    <col width="9" customWidth="1" style="45" min="11" max="11"/>
    <col width="9" customWidth="1" style="45" min="12" max="12"/>
    <col width="8" customWidth="1" style="45" min="13" max="14"/>
    <col width="12" customWidth="1" style="46" min="14" max="14"/>
    <col width="14" customWidth="1" style="45" min="15" max="15"/>
    <col width="9" customWidth="1" style="45" min="16" max="16"/>
    <col width="17" customWidth="1" style="45" min="17" max="19"/>
    <col width="15" customWidth="1" style="46" min="18" max="18"/>
    <col width="13" customWidth="1" style="46" min="19" max="19"/>
    <col width="12" customWidth="1" style="45" min="20" max="20"/>
    <col width="10" customWidth="1" style="45" min="21" max="21"/>
    <col width="11" customWidth="1" style="46" min="22" max="22"/>
    <col width="11" customWidth="1" style="46" min="23" max="23"/>
    <col width="7" customWidth="1" style="46" min="24" max="24"/>
    <col width="8" customWidth="1" style="46" min="25" max="25"/>
    <col width="35" customWidth="1" style="46" min="26" max="26"/>
  </cols>
  <sheetData>
    <row r="1" ht="12" customHeight="1" s="46"/>
    <row r="2" ht="25.5" customHeight="1" s="46">
      <c r="A2" s="58" t="inlineStr">
        <is>
          <t>Briggs CRE — Sales Comps · On Market</t>
        </is>
      </c>
    </row>
    <row r="3" ht="13.5" customHeight="1" s="46">
      <c r="A3" s="52" t="inlineStr">
        <is>
          <t>Source: CoStar / Salesforce · Shaded columns are formula-protected — do not overwrite · TERM = remaining term (as of today)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TENANT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LAND</t>
        </is>
      </c>
      <c r="G5" s="92" t="inlineStr">
        <is>
          <t>BUILT</t>
        </is>
      </c>
      <c r="H5" s="92" t="inlineStr">
        <is>
          <t>RBA</t>
        </is>
      </c>
      <c r="I5" s="92" t="inlineStr">
        <is>
          <t>CHAIRS</t>
        </is>
      </c>
      <c r="J5" s="92" t="inlineStr">
        <is>
          <t>PATIENTS</t>
        </is>
      </c>
      <c r="K5" s="92" t="inlineStr">
        <is>
          <t>RENT</t>
        </is>
      </c>
      <c r="L5" s="92" t="inlineStr">
        <is>
          <t>RENT/SF</t>
        </is>
      </c>
      <c r="M5" s="92" t="inlineStr">
        <is>
          <t>EXP</t>
        </is>
      </c>
      <c r="N5" s="92" t="inlineStr">
        <is>
          <t>TERM</t>
        </is>
      </c>
      <c r="O5" s="92" t="inlineStr">
        <is>
          <t>EXPENSES</t>
        </is>
      </c>
      <c r="P5" s="92" t="inlineStr">
        <is>
          <t>BUMPS</t>
        </is>
      </c>
      <c r="Q5" s="92" t="inlineStr">
        <is>
          <t>OPTIONS</t>
        </is>
      </c>
      <c r="R5" s="92" t="inlineStr">
        <is>
          <t>INITIAL PRICE</t>
        </is>
      </c>
      <c r="S5" s="92" t="inlineStr">
        <is>
          <t>INITIAL CAP</t>
        </is>
      </c>
      <c r="T5" s="92" t="inlineStr">
        <is>
          <t>LAST PRICE</t>
        </is>
      </c>
      <c r="U5" s="92" t="inlineStr">
        <is>
          <t>LAST CAP</t>
        </is>
      </c>
      <c r="V5" s="92" t="inlineStr">
        <is>
          <t>PRICE CHG</t>
        </is>
      </c>
      <c r="W5" s="92" t="inlineStr">
        <is>
          <t>ON MARKET</t>
        </is>
      </c>
      <c r="X5" s="92" t="inlineStr">
        <is>
          <t>DOM</t>
        </is>
      </c>
      <c r="Y5" s="92" t="inlineStr">
        <is>
          <t>STATUS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6" t="n"/>
      <c r="G6" s="93" t="n"/>
      <c r="H6" s="97" t="n"/>
      <c r="I6" s="97" t="n"/>
      <c r="J6" s="97" t="n"/>
      <c r="K6" s="98" t="n"/>
      <c r="L6" s="99">
        <f>IF($K6&gt;0,$K6/$H6," ")</f>
        <v/>
      </c>
      <c r="M6" s="100" t="n"/>
      <c r="N6" s="101">
        <f>IF($M6&gt;0,($M6-TODAY())/365," ")</f>
        <v/>
      </c>
      <c r="O6" s="95" t="n"/>
      <c r="P6" s="95" t="n"/>
      <c r="Q6" s="95" t="n"/>
      <c r="R6" s="98" t="n"/>
      <c r="S6" s="102">
        <f>IF($R6&gt;0,IF($K6&gt;0,$K6/$R6," ")," ")</f>
        <v/>
      </c>
      <c r="T6" s="98" t="n"/>
      <c r="U6" s="102">
        <f>IF($T6&gt;0,IF($K6&gt;0,$K6/$T6," ")," ")</f>
        <v/>
      </c>
      <c r="V6" s="95">
        <f>IF($T6&gt;0,IF($R6&gt;0,IF($T6=$R6,"No","Yes")," ")," ")</f>
        <v/>
      </c>
      <c r="W6" s="100" t="n"/>
      <c r="X6" s="97">
        <f>IF($W6&gt;0,TODAY()-$W6," ")</f>
        <v/>
      </c>
      <c r="Y6" s="95" t="n"/>
    </row>
    <row r="7" ht="15" customHeight="1" s="46">
      <c r="A7" s="103">
        <f>IFERROR(ROW()-5,"")</f>
        <v/>
      </c>
      <c r="B7" s="104" t="n"/>
      <c r="C7" s="104" t="n"/>
      <c r="D7" s="105" t="n"/>
      <c r="E7" s="105" t="n"/>
      <c r="F7" s="106" t="n"/>
      <c r="G7" s="103" t="n"/>
      <c r="H7" s="107" t="n"/>
      <c r="I7" s="107" t="n"/>
      <c r="J7" s="107" t="n"/>
      <c r="K7" s="108" t="n"/>
      <c r="L7" s="109">
        <f>IF($K7&gt;0,$K7/$H7," ")</f>
        <v/>
      </c>
      <c r="M7" s="110" t="n"/>
      <c r="N7" s="111">
        <f>IF($M7&gt;0,($M7-TODAY())/365," ")</f>
        <v/>
      </c>
      <c r="O7" s="105" t="n"/>
      <c r="P7" s="105" t="n"/>
      <c r="Q7" s="105" t="n"/>
      <c r="R7" s="108" t="n"/>
      <c r="S7" s="112">
        <f>IF($R7&gt;0,IF($K7&gt;0,$K7/$R7," ")," ")</f>
        <v/>
      </c>
      <c r="T7" s="108" t="n"/>
      <c r="U7" s="112">
        <f>IF($T7&gt;0,IF($K7&gt;0,$K7/$T7," ")," ")</f>
        <v/>
      </c>
      <c r="V7" s="105">
        <f>IF($T7&gt;0,IF($R7&gt;0,IF($T7=$R7,"No","Yes")," ")," ")</f>
        <v/>
      </c>
      <c r="W7" s="110" t="n"/>
      <c r="X7" s="107">
        <f>IF($W7&gt;0,TODAY()-$W7," ")</f>
        <v/>
      </c>
      <c r="Y7" s="105" t="n"/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6" t="n"/>
      <c r="G8" s="93" t="n"/>
      <c r="H8" s="97" t="n"/>
      <c r="I8" s="97" t="n"/>
      <c r="J8" s="97" t="n"/>
      <c r="K8" s="98" t="n"/>
      <c r="L8" s="99">
        <f>IF($K8&gt;0,$K8/$H8," ")</f>
        <v/>
      </c>
      <c r="M8" s="100" t="n"/>
      <c r="N8" s="101">
        <f>IF($M8&gt;0,($M8-TODAY())/365," ")</f>
        <v/>
      </c>
      <c r="O8" s="95" t="n"/>
      <c r="P8" s="95" t="n"/>
      <c r="Q8" s="95" t="n"/>
      <c r="R8" s="98" t="n"/>
      <c r="S8" s="102">
        <f>IF($R8&gt;0,IF($K8&gt;0,$K8/$R8," ")," ")</f>
        <v/>
      </c>
      <c r="T8" s="98" t="n"/>
      <c r="U8" s="102">
        <f>IF($T8&gt;0,IF($K8&gt;0,$K8/$T8," ")," ")</f>
        <v/>
      </c>
      <c r="V8" s="95">
        <f>IF($T8&gt;0,IF($R8&gt;0,IF($T8=$R8,"No","Yes")," ")," ")</f>
        <v/>
      </c>
      <c r="W8" s="100" t="n"/>
      <c r="X8" s="97">
        <f>IF($W8&gt;0,TODAY()-$W8," ")</f>
        <v/>
      </c>
      <c r="Y8" s="95" t="n"/>
    </row>
    <row r="9" ht="15" customHeight="1" s="46">
      <c r="A9" s="103">
        <f>IFERROR(ROW()-5,"")</f>
        <v/>
      </c>
      <c r="B9" s="104" t="n"/>
      <c r="C9" s="104" t="n"/>
      <c r="D9" s="105" t="n"/>
      <c r="E9" s="105" t="n"/>
      <c r="F9" s="106" t="n"/>
      <c r="G9" s="103" t="n"/>
      <c r="H9" s="107" t="n"/>
      <c r="I9" s="107" t="n"/>
      <c r="J9" s="107" t="n"/>
      <c r="K9" s="108" t="n"/>
      <c r="L9" s="109">
        <f>IF($K9&gt;0,$K9/$H9," ")</f>
        <v/>
      </c>
      <c r="M9" s="110" t="n"/>
      <c r="N9" s="111">
        <f>IF($M9&gt;0,($M9-TODAY())/365," ")</f>
        <v/>
      </c>
      <c r="O9" s="105" t="n"/>
      <c r="P9" s="105" t="n"/>
      <c r="Q9" s="105" t="n"/>
      <c r="R9" s="108" t="n"/>
      <c r="S9" s="112">
        <f>IF($R9&gt;0,IF($K9&gt;0,$K9/$R9," ")," ")</f>
        <v/>
      </c>
      <c r="T9" s="108" t="n"/>
      <c r="U9" s="112">
        <f>IF($T9&gt;0,IF($K9&gt;0,$K9/$T9," ")," ")</f>
        <v/>
      </c>
      <c r="V9" s="105">
        <f>IF($T9&gt;0,IF($R9&gt;0,IF($T9=$R9,"No","Yes")," ")," ")</f>
        <v/>
      </c>
      <c r="W9" s="110" t="n"/>
      <c r="X9" s="107">
        <f>IF($W9&gt;0,TODAY()-$W9," ")</f>
        <v/>
      </c>
      <c r="Y9" s="105" t="n"/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6" t="n"/>
      <c r="G10" s="93" t="n"/>
      <c r="H10" s="97" t="n"/>
      <c r="I10" s="97" t="n"/>
      <c r="J10" s="97" t="n"/>
      <c r="K10" s="98" t="n"/>
      <c r="L10" s="99">
        <f>IF($K10&gt;0,$K10/$H10," ")</f>
        <v/>
      </c>
      <c r="M10" s="100" t="n"/>
      <c r="N10" s="101">
        <f>IF($M10&gt;0,($M10-TODAY())/365," ")</f>
        <v/>
      </c>
      <c r="O10" s="95" t="n"/>
      <c r="P10" s="95" t="n"/>
      <c r="Q10" s="95" t="n"/>
      <c r="R10" s="98" t="n"/>
      <c r="S10" s="102">
        <f>IF($R10&gt;0,IF($K10&gt;0,$K10/$R10," ")," ")</f>
        <v/>
      </c>
      <c r="T10" s="98" t="n"/>
      <c r="U10" s="102">
        <f>IF($T10&gt;0,IF($K10&gt;0,$K10/$T10," ")," ")</f>
        <v/>
      </c>
      <c r="V10" s="95">
        <f>IF($T10&gt;0,IF($R10&gt;0,IF($T10=$R10,"No","Yes")," ")," ")</f>
        <v/>
      </c>
      <c r="W10" s="100" t="n"/>
      <c r="X10" s="97">
        <f>IF($W10&gt;0,TODAY()-$W10," ")</f>
        <v/>
      </c>
      <c r="Y10" s="95" t="n"/>
    </row>
    <row r="11" ht="15" customHeight="1" s="46">
      <c r="A11" s="103">
        <f>IFERROR(ROW()-5,"")</f>
        <v/>
      </c>
      <c r="B11" s="104" t="n"/>
      <c r="C11" s="104" t="n"/>
      <c r="D11" s="105" t="n"/>
      <c r="E11" s="105" t="n"/>
      <c r="F11" s="106" t="n"/>
      <c r="G11" s="103" t="n"/>
      <c r="H11" s="107" t="n"/>
      <c r="I11" s="107" t="n"/>
      <c r="J11" s="107" t="n"/>
      <c r="K11" s="108" t="n"/>
      <c r="L11" s="109">
        <f>IF($K11&gt;0,$K11/$H11," ")</f>
        <v/>
      </c>
      <c r="M11" s="110" t="n"/>
      <c r="N11" s="111">
        <f>IF($M11&gt;0,($M11-TODAY())/365," ")</f>
        <v/>
      </c>
      <c r="O11" s="105" t="n"/>
      <c r="P11" s="105" t="n"/>
      <c r="Q11" s="105" t="n"/>
      <c r="R11" s="108" t="n"/>
      <c r="S11" s="112">
        <f>IF($R11&gt;0,IF($K11&gt;0,$K11/$R11," ")," ")</f>
        <v/>
      </c>
      <c r="T11" s="108" t="n"/>
      <c r="U11" s="112">
        <f>IF($T11&gt;0,IF($K11&gt;0,$K11/$T11," ")," ")</f>
        <v/>
      </c>
      <c r="V11" s="105">
        <f>IF($T11&gt;0,IF($R11&gt;0,IF($T11=$R11,"No","Yes")," ")," ")</f>
        <v/>
      </c>
      <c r="W11" s="110" t="n"/>
      <c r="X11" s="107">
        <f>IF($W11&gt;0,TODAY()-$W11," ")</f>
        <v/>
      </c>
      <c r="Y11" s="105" t="n"/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6" t="n"/>
      <c r="G12" s="93" t="n"/>
      <c r="H12" s="97" t="n"/>
      <c r="I12" s="97" t="n"/>
      <c r="J12" s="97" t="n"/>
      <c r="K12" s="98" t="n"/>
      <c r="L12" s="99">
        <f>IF($K12&gt;0,$K12/$H12," ")</f>
        <v/>
      </c>
      <c r="M12" s="100" t="n"/>
      <c r="N12" s="101">
        <f>IF($M12&gt;0,($M12-TODAY())/365," ")</f>
        <v/>
      </c>
      <c r="O12" s="95" t="n"/>
      <c r="P12" s="95" t="n"/>
      <c r="Q12" s="95" t="n"/>
      <c r="R12" s="98" t="n"/>
      <c r="S12" s="102">
        <f>IF($R12&gt;0,IF($K12&gt;0,$K12/$R12," ")," ")</f>
        <v/>
      </c>
      <c r="T12" s="98" t="n"/>
      <c r="U12" s="102">
        <f>IF($T12&gt;0,IF($K12&gt;0,$K12/$T12," ")," ")</f>
        <v/>
      </c>
      <c r="V12" s="95">
        <f>IF($T12&gt;0,IF($R12&gt;0,IF($T12=$R12,"No","Yes")," ")," ")</f>
        <v/>
      </c>
      <c r="W12" s="100" t="n"/>
      <c r="X12" s="97">
        <f>IF($W12&gt;0,TODAY()-$W12," ")</f>
        <v/>
      </c>
      <c r="Y12" s="95" t="n"/>
    </row>
    <row r="13" ht="15" customHeight="1" s="46">
      <c r="A13" s="103">
        <f>IFERROR(ROW()-5,"")</f>
        <v/>
      </c>
      <c r="B13" s="104" t="n"/>
      <c r="C13" s="104" t="n"/>
      <c r="D13" s="105" t="n"/>
      <c r="E13" s="105" t="n"/>
      <c r="F13" s="106" t="n"/>
      <c r="G13" s="103" t="n"/>
      <c r="H13" s="107" t="n"/>
      <c r="I13" s="107" t="n"/>
      <c r="J13" s="107" t="n"/>
      <c r="K13" s="108" t="n"/>
      <c r="L13" s="109">
        <f>IF($K13&gt;0,$K13/$H13," ")</f>
        <v/>
      </c>
      <c r="M13" s="110" t="n"/>
      <c r="N13" s="111">
        <f>IF($M13&gt;0,($M13-TODAY())/365," ")</f>
        <v/>
      </c>
      <c r="O13" s="105" t="n"/>
      <c r="P13" s="105" t="n"/>
      <c r="Q13" s="105" t="n"/>
      <c r="R13" s="108" t="n"/>
      <c r="S13" s="112">
        <f>IF($R13&gt;0,IF($K13&gt;0,$K13/$R13," ")," ")</f>
        <v/>
      </c>
      <c r="T13" s="108" t="n"/>
      <c r="U13" s="112">
        <f>IF($T13&gt;0,IF($K13&gt;0,$K13/$T13," ")," ")</f>
        <v/>
      </c>
      <c r="V13" s="105">
        <f>IF($T13&gt;0,IF($R13&gt;0,IF($T13=$R13,"No","Yes")," ")," ")</f>
        <v/>
      </c>
      <c r="W13" s="110" t="n"/>
      <c r="X13" s="107">
        <f>IF($W13&gt;0,TODAY()-$W13," ")</f>
        <v/>
      </c>
      <c r="Y13" s="105" t="n"/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6" t="n"/>
      <c r="G14" s="93" t="n"/>
      <c r="H14" s="97" t="n"/>
      <c r="I14" s="97" t="n"/>
      <c r="J14" s="97" t="n"/>
      <c r="K14" s="98" t="n"/>
      <c r="L14" s="99">
        <f>IF($K14&gt;0,$K14/$H14," ")</f>
        <v/>
      </c>
      <c r="M14" s="100" t="n"/>
      <c r="N14" s="101">
        <f>IF($M14&gt;0,($M14-TODAY())/365," ")</f>
        <v/>
      </c>
      <c r="O14" s="95" t="n"/>
      <c r="P14" s="95" t="n"/>
      <c r="Q14" s="95" t="n"/>
      <c r="R14" s="98" t="n"/>
      <c r="S14" s="102">
        <f>IF($R14&gt;0,IF($K14&gt;0,$K14/$R14," ")," ")</f>
        <v/>
      </c>
      <c r="T14" s="98" t="n"/>
      <c r="U14" s="102">
        <f>IF($T14&gt;0,IF($K14&gt;0,$K14/$T14," ")," ")</f>
        <v/>
      </c>
      <c r="V14" s="95">
        <f>IF($T14&gt;0,IF($R14&gt;0,IF($T14=$R14,"No","Yes")," ")," ")</f>
        <v/>
      </c>
      <c r="W14" s="100" t="n"/>
      <c r="X14" s="97">
        <f>IF($W14&gt;0,TODAY()-$W14," ")</f>
        <v/>
      </c>
      <c r="Y14" s="95" t="n"/>
    </row>
    <row r="15" ht="15" customHeight="1" s="46">
      <c r="A15" s="103">
        <f>IFERROR(ROW()-5,"")</f>
        <v/>
      </c>
      <c r="B15" s="104" t="n"/>
      <c r="C15" s="104" t="n"/>
      <c r="D15" s="105" t="n"/>
      <c r="E15" s="105" t="n"/>
      <c r="F15" s="106" t="n"/>
      <c r="G15" s="103" t="n"/>
      <c r="H15" s="107" t="n"/>
      <c r="I15" s="107" t="n"/>
      <c r="J15" s="107" t="n"/>
      <c r="K15" s="108" t="n"/>
      <c r="L15" s="109">
        <f>IF($K15&gt;0,$K15/$H15," ")</f>
        <v/>
      </c>
      <c r="M15" s="110" t="n"/>
      <c r="N15" s="111">
        <f>IF($M15&gt;0,($M15-TODAY())/365," ")</f>
        <v/>
      </c>
      <c r="O15" s="105" t="n"/>
      <c r="P15" s="105" t="n"/>
      <c r="Q15" s="105" t="n"/>
      <c r="R15" s="108" t="n"/>
      <c r="S15" s="112">
        <f>IF($R15&gt;0,IF($K15&gt;0,$K15/$R15," ")," ")</f>
        <v/>
      </c>
      <c r="T15" s="108" t="n"/>
      <c r="U15" s="112">
        <f>IF($T15&gt;0,IF($K15&gt;0,$K15/$T15," ")," ")</f>
        <v/>
      </c>
      <c r="V15" s="105">
        <f>IF($T15&gt;0,IF($R15&gt;0,IF($T15=$R15,"No","Yes")," ")," ")</f>
        <v/>
      </c>
      <c r="W15" s="110" t="n"/>
      <c r="X15" s="107">
        <f>IF($W15&gt;0,TODAY()-$W15," ")</f>
        <v/>
      </c>
      <c r="Y15" s="105" t="n"/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6" t="n"/>
      <c r="G16" s="93" t="n"/>
      <c r="H16" s="97" t="n"/>
      <c r="I16" s="97" t="n"/>
      <c r="J16" s="97" t="n"/>
      <c r="K16" s="98" t="n"/>
      <c r="L16" s="99">
        <f>IF($K16&gt;0,$K16/$H16," ")</f>
        <v/>
      </c>
      <c r="M16" s="100" t="n"/>
      <c r="N16" s="101">
        <f>IF($M16&gt;0,($M16-TODAY())/365," ")</f>
        <v/>
      </c>
      <c r="O16" s="95" t="n"/>
      <c r="P16" s="95" t="n"/>
      <c r="Q16" s="95" t="n"/>
      <c r="R16" s="98" t="n"/>
      <c r="S16" s="102">
        <f>IF($R16&gt;0,IF($K16&gt;0,$K16/$R16," ")," ")</f>
        <v/>
      </c>
      <c r="T16" s="98" t="n"/>
      <c r="U16" s="102">
        <f>IF($T16&gt;0,IF($K16&gt;0,$K16/$T16," ")," ")</f>
        <v/>
      </c>
      <c r="V16" s="95">
        <f>IF($T16&gt;0,IF($R16&gt;0,IF($T16=$R16,"No","Yes")," ")," ")</f>
        <v/>
      </c>
      <c r="W16" s="100" t="n"/>
      <c r="X16" s="97">
        <f>IF($W16&gt;0,TODAY()-$W16," ")</f>
        <v/>
      </c>
      <c r="Y16" s="95" t="n"/>
    </row>
    <row r="17" ht="15" customHeight="1" s="46">
      <c r="A17" s="103">
        <f>IFERROR(ROW()-5,"")</f>
        <v/>
      </c>
      <c r="B17" s="104" t="n"/>
      <c r="C17" s="104" t="n"/>
      <c r="D17" s="105" t="n"/>
      <c r="E17" s="105" t="n"/>
      <c r="F17" s="106" t="n"/>
      <c r="G17" s="103" t="n"/>
      <c r="H17" s="107" t="n"/>
      <c r="I17" s="107" t="n"/>
      <c r="J17" s="107" t="n"/>
      <c r="K17" s="108" t="n"/>
      <c r="L17" s="109">
        <f>IF($K17&gt;0,$K17/$H17," ")</f>
        <v/>
      </c>
      <c r="M17" s="110" t="n"/>
      <c r="N17" s="111">
        <f>IF($M17&gt;0,($M17-TODAY())/365," ")</f>
        <v/>
      </c>
      <c r="O17" s="105" t="n"/>
      <c r="P17" s="105" t="n"/>
      <c r="Q17" s="105" t="n"/>
      <c r="R17" s="108" t="n"/>
      <c r="S17" s="112">
        <f>IF($R17&gt;0,IF($K17&gt;0,$K17/$R17," ")," ")</f>
        <v/>
      </c>
      <c r="T17" s="108" t="n"/>
      <c r="U17" s="112">
        <f>IF($T17&gt;0,IF($K17&gt;0,$K17/$T17," ")," ")</f>
        <v/>
      </c>
      <c r="V17" s="105">
        <f>IF($T17&gt;0,IF($R17&gt;0,IF($T17=$R17,"No","Yes")," ")," ")</f>
        <v/>
      </c>
      <c r="W17" s="110" t="n"/>
      <c r="X17" s="107">
        <f>IF($W17&gt;0,TODAY()-$W17," ")</f>
        <v/>
      </c>
      <c r="Y17" s="105" t="n"/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6" t="n"/>
      <c r="G18" s="93" t="n"/>
      <c r="H18" s="97" t="n"/>
      <c r="I18" s="97" t="n"/>
      <c r="J18" s="97" t="n"/>
      <c r="K18" s="98" t="n"/>
      <c r="L18" s="99">
        <f>IF($K18&gt;0,$K18/$H18," ")</f>
        <v/>
      </c>
      <c r="M18" s="100" t="n"/>
      <c r="N18" s="101">
        <f>IF($M18&gt;0,($M18-TODAY())/365," ")</f>
        <v/>
      </c>
      <c r="O18" s="95" t="n"/>
      <c r="P18" s="95" t="n"/>
      <c r="Q18" s="95" t="n"/>
      <c r="R18" s="98" t="n"/>
      <c r="S18" s="102">
        <f>IF($R18&gt;0,IF($K18&gt;0,$K18/$R18," ")," ")</f>
        <v/>
      </c>
      <c r="T18" s="98" t="n"/>
      <c r="U18" s="102">
        <f>IF($T18&gt;0,IF($K18&gt;0,$K18/$T18," ")," ")</f>
        <v/>
      </c>
      <c r="V18" s="95">
        <f>IF($T18&gt;0,IF($R18&gt;0,IF($T18=$R18,"No","Yes")," ")," ")</f>
        <v/>
      </c>
      <c r="W18" s="100" t="n"/>
      <c r="X18" s="97">
        <f>IF($W18&gt;0,TODAY()-$W18," ")</f>
        <v/>
      </c>
      <c r="Y18" s="95" t="n"/>
    </row>
    <row r="19" ht="15" customHeight="1" s="46">
      <c r="A19" s="103">
        <f>IFERROR(ROW()-5,"")</f>
        <v/>
      </c>
      <c r="B19" s="104" t="n"/>
      <c r="C19" s="104" t="n"/>
      <c r="D19" s="105" t="n"/>
      <c r="E19" s="105" t="n"/>
      <c r="F19" s="106" t="n"/>
      <c r="G19" s="103" t="n"/>
      <c r="H19" s="107" t="n"/>
      <c r="I19" s="107" t="n"/>
      <c r="J19" s="107" t="n"/>
      <c r="K19" s="108" t="n"/>
      <c r="L19" s="109">
        <f>IF($K19&gt;0,$K19/$H19," ")</f>
        <v/>
      </c>
      <c r="M19" s="110" t="n"/>
      <c r="N19" s="111">
        <f>IF($M19&gt;0,($M19-TODAY())/365," ")</f>
        <v/>
      </c>
      <c r="O19" s="105" t="n"/>
      <c r="P19" s="105" t="n"/>
      <c r="Q19" s="105" t="n"/>
      <c r="R19" s="108" t="n"/>
      <c r="S19" s="112">
        <f>IF($R19&gt;0,IF($K19&gt;0,$K19/$R19," ")," ")</f>
        <v/>
      </c>
      <c r="T19" s="108" t="n"/>
      <c r="U19" s="112">
        <f>IF($T19&gt;0,IF($K19&gt;0,$K19/$T19," ")," ")</f>
        <v/>
      </c>
      <c r="V19" s="105">
        <f>IF($T19&gt;0,IF($R19&gt;0,IF($T19=$R19,"No","Yes")," ")," ")</f>
        <v/>
      </c>
      <c r="W19" s="110" t="n"/>
      <c r="X19" s="107">
        <f>IF($W19&gt;0,TODAY()-$W19," ")</f>
        <v/>
      </c>
      <c r="Y19" s="105" t="n"/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6" t="n"/>
      <c r="G20" s="93" t="n"/>
      <c r="H20" s="97" t="n"/>
      <c r="I20" s="97" t="n"/>
      <c r="J20" s="97" t="n"/>
      <c r="K20" s="98" t="n"/>
      <c r="L20" s="99">
        <f>IF($K20&gt;0,$K20/$H20," ")</f>
        <v/>
      </c>
      <c r="M20" s="100" t="n"/>
      <c r="N20" s="101">
        <f>IF($M20&gt;0,($M20-TODAY())/365," ")</f>
        <v/>
      </c>
      <c r="O20" s="95" t="n"/>
      <c r="P20" s="95" t="n"/>
      <c r="Q20" s="95" t="n"/>
      <c r="R20" s="98" t="n"/>
      <c r="S20" s="102">
        <f>IF($R20&gt;0,IF($K20&gt;0,$K20/$R20," ")," ")</f>
        <v/>
      </c>
      <c r="T20" s="98" t="n"/>
      <c r="U20" s="102">
        <f>IF($T20&gt;0,IF($K20&gt;0,$K20/$T20," ")," ")</f>
        <v/>
      </c>
      <c r="V20" s="95">
        <f>IF($T20&gt;0,IF($R20&gt;0,IF($T20=$R20,"No","Yes")," ")," ")</f>
        <v/>
      </c>
      <c r="W20" s="100" t="n"/>
      <c r="X20" s="97">
        <f>IF($W20&gt;0,TODAY()-$W20," ")</f>
        <v/>
      </c>
      <c r="Y20" s="95" t="n"/>
    </row>
    <row r="21" ht="15" customHeight="1" s="46">
      <c r="A21" s="103">
        <f>IFERROR(ROW()-5,"")</f>
        <v/>
      </c>
      <c r="B21" s="104" t="n"/>
      <c r="C21" s="104" t="n"/>
      <c r="D21" s="105" t="n"/>
      <c r="E21" s="105" t="n"/>
      <c r="F21" s="106" t="n"/>
      <c r="G21" s="103" t="n"/>
      <c r="H21" s="107" t="n"/>
      <c r="I21" s="107" t="n"/>
      <c r="J21" s="107" t="n"/>
      <c r="K21" s="108" t="n"/>
      <c r="L21" s="109">
        <f>IF($K21&gt;0,$K21/$H21," ")</f>
        <v/>
      </c>
      <c r="M21" s="110" t="n"/>
      <c r="N21" s="111">
        <f>IF($M21&gt;0,($M21-TODAY())/365," ")</f>
        <v/>
      </c>
      <c r="O21" s="105" t="n"/>
      <c r="P21" s="105" t="n"/>
      <c r="Q21" s="105" t="n"/>
      <c r="R21" s="108" t="n"/>
      <c r="S21" s="112">
        <f>IF($R21&gt;0,IF($K21&gt;0,$K21/$R21," ")," ")</f>
        <v/>
      </c>
      <c r="T21" s="108" t="n"/>
      <c r="U21" s="112">
        <f>IF($T21&gt;0,IF($K21&gt;0,$K21/$T21," ")," ")</f>
        <v/>
      </c>
      <c r="V21" s="105">
        <f>IF($T21&gt;0,IF($R21&gt;0,IF($T21=$R21,"No","Yes")," ")," ")</f>
        <v/>
      </c>
      <c r="W21" s="110" t="n"/>
      <c r="X21" s="107">
        <f>IF($W21&gt;0,TODAY()-$W21," ")</f>
        <v/>
      </c>
      <c r="Y21" s="105" t="n"/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6" t="n"/>
      <c r="G22" s="93" t="n"/>
      <c r="H22" s="97" t="n"/>
      <c r="I22" s="97" t="n"/>
      <c r="J22" s="97" t="n"/>
      <c r="K22" s="98" t="n"/>
      <c r="L22" s="99">
        <f>IF($K22&gt;0,$K22/$H22," ")</f>
        <v/>
      </c>
      <c r="M22" s="100" t="n"/>
      <c r="N22" s="101">
        <f>IF($M22&gt;0,($M22-TODAY())/365," ")</f>
        <v/>
      </c>
      <c r="O22" s="95" t="n"/>
      <c r="P22" s="95" t="n"/>
      <c r="Q22" s="95" t="n"/>
      <c r="R22" s="98" t="n"/>
      <c r="S22" s="102">
        <f>IF($R22&gt;0,IF($K22&gt;0,$K22/$R22," ")," ")</f>
        <v/>
      </c>
      <c r="T22" s="98" t="n"/>
      <c r="U22" s="102">
        <f>IF($T22&gt;0,IF($K22&gt;0,$K22/$T22," ")," ")</f>
        <v/>
      </c>
      <c r="V22" s="95">
        <f>IF($T22&gt;0,IF($R22&gt;0,IF($T22=$R22,"No","Yes")," ")," ")</f>
        <v/>
      </c>
      <c r="W22" s="100" t="n"/>
      <c r="X22" s="97">
        <f>IF($W22&gt;0,TODAY()-$W22," ")</f>
        <v/>
      </c>
      <c r="Y22" s="95" t="n"/>
    </row>
    <row r="23" ht="15" customHeight="1" s="46">
      <c r="A23" s="103">
        <f>IFERROR(ROW()-5,"")</f>
        <v/>
      </c>
      <c r="B23" s="104" t="n"/>
      <c r="C23" s="104" t="n"/>
      <c r="D23" s="105" t="n"/>
      <c r="E23" s="105" t="n"/>
      <c r="F23" s="106" t="n"/>
      <c r="G23" s="103" t="n"/>
      <c r="H23" s="107" t="n"/>
      <c r="I23" s="107" t="n"/>
      <c r="J23" s="107" t="n"/>
      <c r="K23" s="108" t="n"/>
      <c r="L23" s="109">
        <f>IF($K23&gt;0,$K23/$H23," ")</f>
        <v/>
      </c>
      <c r="M23" s="110" t="n"/>
      <c r="N23" s="111">
        <f>IF($M23&gt;0,($M23-TODAY())/365," ")</f>
        <v/>
      </c>
      <c r="O23" s="105" t="n"/>
      <c r="P23" s="105" t="n"/>
      <c r="Q23" s="105" t="n"/>
      <c r="R23" s="108" t="n"/>
      <c r="S23" s="112">
        <f>IF($R23&gt;0,IF($K23&gt;0,$K23/$R23," ")," ")</f>
        <v/>
      </c>
      <c r="T23" s="108" t="n"/>
      <c r="U23" s="112">
        <f>IF($T23&gt;0,IF($K23&gt;0,$K23/$T23," ")," ")</f>
        <v/>
      </c>
      <c r="V23" s="105">
        <f>IF($T23&gt;0,IF($R23&gt;0,IF($T23=$R23,"No","Yes")," ")," ")</f>
        <v/>
      </c>
      <c r="W23" s="110" t="n"/>
      <c r="X23" s="107">
        <f>IF($W23&gt;0,TODAY()-$W23," ")</f>
        <v/>
      </c>
      <c r="Y23" s="105" t="n"/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6" t="n"/>
      <c r="G24" s="93" t="n"/>
      <c r="H24" s="97" t="n"/>
      <c r="I24" s="97" t="n"/>
      <c r="J24" s="97" t="n"/>
      <c r="K24" s="98" t="n"/>
      <c r="L24" s="99">
        <f>IF($K24&gt;0,$K24/$H24," ")</f>
        <v/>
      </c>
      <c r="M24" s="100" t="n"/>
      <c r="N24" s="101">
        <f>IF($M24&gt;0,($M24-TODAY())/365," ")</f>
        <v/>
      </c>
      <c r="O24" s="95" t="n"/>
      <c r="P24" s="95" t="n"/>
      <c r="Q24" s="95" t="n"/>
      <c r="R24" s="98" t="n"/>
      <c r="S24" s="102">
        <f>IF($R24&gt;0,IF($K24&gt;0,$K24/$R24," ")," ")</f>
        <v/>
      </c>
      <c r="T24" s="98" t="n"/>
      <c r="U24" s="102">
        <f>IF($T24&gt;0,IF($K24&gt;0,$K24/$T24," ")," ")</f>
        <v/>
      </c>
      <c r="V24" s="95">
        <f>IF($T24&gt;0,IF($R24&gt;0,IF($T24=$R24,"No","Yes")," ")," ")</f>
        <v/>
      </c>
      <c r="W24" s="100" t="n"/>
      <c r="X24" s="97">
        <f>IF($W24&gt;0,TODAY()-$W24," ")</f>
        <v/>
      </c>
      <c r="Y24" s="95" t="n"/>
    </row>
    <row r="25" ht="15" customHeight="1" s="46">
      <c r="A25" s="103">
        <f>IFERROR(ROW()-5,"")</f>
        <v/>
      </c>
      <c r="B25" s="104" t="n"/>
      <c r="C25" s="104" t="n"/>
      <c r="D25" s="105" t="n"/>
      <c r="E25" s="105" t="n"/>
      <c r="F25" s="106" t="n"/>
      <c r="G25" s="103" t="n"/>
      <c r="H25" s="107" t="n"/>
      <c r="I25" s="107" t="n"/>
      <c r="J25" s="107" t="n"/>
      <c r="K25" s="108" t="n"/>
      <c r="L25" s="109">
        <f>IF($K25&gt;0,$K25/$H25," ")</f>
        <v/>
      </c>
      <c r="M25" s="110" t="n"/>
      <c r="N25" s="111">
        <f>IF($M25&gt;0,($M25-TODAY())/365," ")</f>
        <v/>
      </c>
      <c r="O25" s="105" t="n"/>
      <c r="P25" s="105" t="n"/>
      <c r="Q25" s="105" t="n"/>
      <c r="R25" s="108" t="n"/>
      <c r="S25" s="112">
        <f>IF($R25&gt;0,IF($K25&gt;0,$K25/$R25," ")," ")</f>
        <v/>
      </c>
      <c r="T25" s="108" t="n"/>
      <c r="U25" s="112">
        <f>IF($T25&gt;0,IF($K25&gt;0,$K25/$T25," ")," ")</f>
        <v/>
      </c>
      <c r="V25" s="105">
        <f>IF($T25&gt;0,IF($R25&gt;0,IF($T25=$R25,"No","Yes")," ")," ")</f>
        <v/>
      </c>
      <c r="W25" s="110" t="n"/>
      <c r="X25" s="107">
        <f>IF($W25&gt;0,TODAY()-$W25," ")</f>
        <v/>
      </c>
      <c r="Y25" s="105" t="n"/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6" t="n"/>
      <c r="G26" s="93" t="n"/>
      <c r="H26" s="97" t="n"/>
      <c r="I26" s="97" t="n"/>
      <c r="J26" s="97" t="n"/>
      <c r="K26" s="98" t="n"/>
      <c r="L26" s="99">
        <f>IF($K26&gt;0,$K26/$H26," ")</f>
        <v/>
      </c>
      <c r="M26" s="100" t="n"/>
      <c r="N26" s="101">
        <f>IF($M26&gt;0,($M26-TODAY())/365," ")</f>
        <v/>
      </c>
      <c r="O26" s="95" t="n"/>
      <c r="P26" s="95" t="n"/>
      <c r="Q26" s="95" t="n"/>
      <c r="R26" s="98" t="n"/>
      <c r="S26" s="102">
        <f>IF($R26&gt;0,IF($K26&gt;0,$K26/$R26," ")," ")</f>
        <v/>
      </c>
      <c r="T26" s="98" t="n"/>
      <c r="U26" s="102">
        <f>IF($T26&gt;0,IF($K26&gt;0,$K26/$T26," ")," ")</f>
        <v/>
      </c>
      <c r="V26" s="95">
        <f>IF($T26&gt;0,IF($R26&gt;0,IF($T26=$R26,"No","Yes")," ")," ")</f>
        <v/>
      </c>
      <c r="W26" s="100" t="n"/>
      <c r="X26" s="97">
        <f>IF($W26&gt;0,TODAY()-$W26," ")</f>
        <v/>
      </c>
      <c r="Y26" s="95" t="n"/>
    </row>
    <row r="27" ht="15" customHeight="1" s="46">
      <c r="A27" s="103">
        <f>IFERROR(ROW()-5,"")</f>
        <v/>
      </c>
      <c r="B27" s="104" t="n"/>
      <c r="C27" s="104" t="n"/>
      <c r="D27" s="105" t="n"/>
      <c r="E27" s="105" t="n"/>
      <c r="F27" s="106" t="n"/>
      <c r="G27" s="103" t="n"/>
      <c r="H27" s="107" t="n"/>
      <c r="I27" s="107" t="n"/>
      <c r="J27" s="107" t="n"/>
      <c r="K27" s="108" t="n"/>
      <c r="L27" s="109">
        <f>IF($K27&gt;0,$K27/$H27," ")</f>
        <v/>
      </c>
      <c r="M27" s="110" t="n"/>
      <c r="N27" s="111">
        <f>IF($M27&gt;0,($M27-TODAY())/365," ")</f>
        <v/>
      </c>
      <c r="O27" s="105" t="n"/>
      <c r="P27" s="105" t="n"/>
      <c r="Q27" s="105" t="n"/>
      <c r="R27" s="108" t="n"/>
      <c r="S27" s="112">
        <f>IF($R27&gt;0,IF($K27&gt;0,$K27/$R27," ")," ")</f>
        <v/>
      </c>
      <c r="T27" s="108" t="n"/>
      <c r="U27" s="112">
        <f>IF($T27&gt;0,IF($K27&gt;0,$K27/$T27," ")," ")</f>
        <v/>
      </c>
      <c r="V27" s="105">
        <f>IF($T27&gt;0,IF($R27&gt;0,IF($T27=$R27,"No","Yes")," ")," ")</f>
        <v/>
      </c>
      <c r="W27" s="110" t="n"/>
      <c r="X27" s="107">
        <f>IF($W27&gt;0,TODAY()-$W27," ")</f>
        <v/>
      </c>
      <c r="Y27" s="105" t="n"/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6" t="n"/>
      <c r="G28" s="93" t="n"/>
      <c r="H28" s="97" t="n"/>
      <c r="I28" s="97" t="n"/>
      <c r="J28" s="97" t="n"/>
      <c r="K28" s="98" t="n"/>
      <c r="L28" s="99">
        <f>IF($K28&gt;0,$K28/$H28," ")</f>
        <v/>
      </c>
      <c r="M28" s="100" t="n"/>
      <c r="N28" s="101">
        <f>IF($M28&gt;0,($M28-TODAY())/365," ")</f>
        <v/>
      </c>
      <c r="O28" s="95" t="n"/>
      <c r="P28" s="95" t="n"/>
      <c r="Q28" s="95" t="n"/>
      <c r="R28" s="98" t="n"/>
      <c r="S28" s="102">
        <f>IF($R28&gt;0,IF($K28&gt;0,$K28/$R28," ")," ")</f>
        <v/>
      </c>
      <c r="T28" s="98" t="n"/>
      <c r="U28" s="102">
        <f>IF($T28&gt;0,IF($K28&gt;0,$K28/$T28," ")," ")</f>
        <v/>
      </c>
      <c r="V28" s="95">
        <f>IF($T28&gt;0,IF($R28&gt;0,IF($T28=$R28,"No","Yes")," ")," ")</f>
        <v/>
      </c>
      <c r="W28" s="100" t="n"/>
      <c r="X28" s="97">
        <f>IF($W28&gt;0,TODAY()-$W28," ")</f>
        <v/>
      </c>
      <c r="Y28" s="95" t="n"/>
    </row>
    <row r="29" ht="15" customHeight="1" s="46">
      <c r="A29" s="103">
        <f>IFERROR(ROW()-5,"")</f>
        <v/>
      </c>
      <c r="B29" s="104" t="n"/>
      <c r="C29" s="104" t="n"/>
      <c r="D29" s="105" t="n"/>
      <c r="E29" s="105" t="n"/>
      <c r="F29" s="106" t="n"/>
      <c r="G29" s="103" t="n"/>
      <c r="H29" s="107" t="n"/>
      <c r="I29" s="107" t="n"/>
      <c r="J29" s="107" t="n"/>
      <c r="K29" s="108" t="n"/>
      <c r="L29" s="109">
        <f>IF($K29&gt;0,$K29/$H29," ")</f>
        <v/>
      </c>
      <c r="M29" s="110" t="n"/>
      <c r="N29" s="111">
        <f>IF($M29&gt;0,($M29-TODAY())/365," ")</f>
        <v/>
      </c>
      <c r="O29" s="105" t="n"/>
      <c r="P29" s="105" t="n"/>
      <c r="Q29" s="105" t="n"/>
      <c r="R29" s="108" t="n"/>
      <c r="S29" s="112">
        <f>IF($R29&gt;0,IF($K29&gt;0,$K29/$R29," ")," ")</f>
        <v/>
      </c>
      <c r="T29" s="108" t="n"/>
      <c r="U29" s="112">
        <f>IF($T29&gt;0,IF($K29&gt;0,$K29/$T29," ")," ")</f>
        <v/>
      </c>
      <c r="V29" s="105">
        <f>IF($T29&gt;0,IF($R29&gt;0,IF($T29=$R29,"No","Yes")," ")," ")</f>
        <v/>
      </c>
      <c r="W29" s="110" t="n"/>
      <c r="X29" s="107">
        <f>IF($W29&gt;0,TODAY()-$W29," ")</f>
        <v/>
      </c>
      <c r="Y29" s="105" t="n"/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6" t="n"/>
      <c r="G30" s="93" t="n"/>
      <c r="H30" s="97" t="n"/>
      <c r="I30" s="97" t="n"/>
      <c r="J30" s="97" t="n"/>
      <c r="K30" s="98" t="n"/>
      <c r="L30" s="99">
        <f>IF($K30&gt;0,$K30/$H30," ")</f>
        <v/>
      </c>
      <c r="M30" s="100" t="n"/>
      <c r="N30" s="101">
        <f>IF($M30&gt;0,($M30-TODAY())/365," ")</f>
        <v/>
      </c>
      <c r="O30" s="95" t="n"/>
      <c r="P30" s="95" t="n"/>
      <c r="Q30" s="95" t="n"/>
      <c r="R30" s="98" t="n"/>
      <c r="S30" s="102">
        <f>IF($R30&gt;0,IF($K30&gt;0,$K30/$R30," ")," ")</f>
        <v/>
      </c>
      <c r="T30" s="98" t="n"/>
      <c r="U30" s="102">
        <f>IF($T30&gt;0,IF($K30&gt;0,$K30/$T30," ")," ")</f>
        <v/>
      </c>
      <c r="V30" s="95">
        <f>IF($T30&gt;0,IF($R30&gt;0,IF($T30=$R30,"No","Yes")," ")," ")</f>
        <v/>
      </c>
      <c r="W30" s="100" t="n"/>
      <c r="X30" s="97">
        <f>IF($W30&gt;0,TODAY()-$W30," ")</f>
        <v/>
      </c>
      <c r="Y30" s="95" t="n"/>
    </row>
    <row r="31" ht="15" customHeight="1" s="46">
      <c r="A31" s="103">
        <f>IFERROR(ROW()-5,"")</f>
        <v/>
      </c>
      <c r="B31" s="104" t="n"/>
      <c r="C31" s="104" t="n"/>
      <c r="D31" s="105" t="n"/>
      <c r="E31" s="105" t="n"/>
      <c r="F31" s="106" t="n"/>
      <c r="G31" s="103" t="n"/>
      <c r="H31" s="107" t="n"/>
      <c r="I31" s="107" t="n"/>
      <c r="J31" s="107" t="n"/>
      <c r="K31" s="108" t="n"/>
      <c r="L31" s="109">
        <f>IF($K31&gt;0,$K31/$H31," ")</f>
        <v/>
      </c>
      <c r="M31" s="110" t="n"/>
      <c r="N31" s="111">
        <f>IF($M31&gt;0,($M31-TODAY())/365," ")</f>
        <v/>
      </c>
      <c r="O31" s="105" t="n"/>
      <c r="P31" s="105" t="n"/>
      <c r="Q31" s="105" t="n"/>
      <c r="R31" s="108" t="n"/>
      <c r="S31" s="112">
        <f>IF($R31&gt;0,IF($K31&gt;0,$K31/$R31," ")," ")</f>
        <v/>
      </c>
      <c r="T31" s="108" t="n"/>
      <c r="U31" s="112">
        <f>IF($T31&gt;0,IF($K31&gt;0,$K31/$T31," ")," ")</f>
        <v/>
      </c>
      <c r="V31" s="105">
        <f>IF($T31&gt;0,IF($R31&gt;0,IF($T31=$R31,"No","Yes")," ")," ")</f>
        <v/>
      </c>
      <c r="W31" s="110" t="n"/>
      <c r="X31" s="107">
        <f>IF($W31&gt;0,TODAY()-$W31," ")</f>
        <v/>
      </c>
      <c r="Y31" s="105" t="n"/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6" t="n"/>
      <c r="G32" s="93" t="n"/>
      <c r="H32" s="97" t="n"/>
      <c r="I32" s="97" t="n"/>
      <c r="J32" s="97" t="n"/>
      <c r="K32" s="98" t="n"/>
      <c r="L32" s="99">
        <f>IF($K32&gt;0,$K32/$H32," ")</f>
        <v/>
      </c>
      <c r="M32" s="100" t="n"/>
      <c r="N32" s="101">
        <f>IF($M32&gt;0,($M32-TODAY())/365," ")</f>
        <v/>
      </c>
      <c r="O32" s="95" t="n"/>
      <c r="P32" s="95" t="n"/>
      <c r="Q32" s="95" t="n"/>
      <c r="R32" s="98" t="n"/>
      <c r="S32" s="102">
        <f>IF($R32&gt;0,IF($K32&gt;0,$K32/$R32," ")," ")</f>
        <v/>
      </c>
      <c r="T32" s="98" t="n"/>
      <c r="U32" s="102">
        <f>IF($T32&gt;0,IF($K32&gt;0,$K32/$T32," ")," ")</f>
        <v/>
      </c>
      <c r="V32" s="95">
        <f>IF($T32&gt;0,IF($R32&gt;0,IF($T32=$R32,"No","Yes")," ")," ")</f>
        <v/>
      </c>
      <c r="W32" s="100" t="n"/>
      <c r="X32" s="97">
        <f>IF($W32&gt;0,TODAY()-$W32," ")</f>
        <v/>
      </c>
      <c r="Y32" s="95" t="n"/>
    </row>
    <row r="33" ht="15" customHeight="1" s="46">
      <c r="A33" s="103">
        <f>IFERROR(ROW()-5,"")</f>
        <v/>
      </c>
      <c r="B33" s="104" t="n"/>
      <c r="C33" s="104" t="n"/>
      <c r="D33" s="105" t="n"/>
      <c r="E33" s="105" t="n"/>
      <c r="F33" s="106" t="n"/>
      <c r="G33" s="103" t="n"/>
      <c r="H33" s="107" t="n"/>
      <c r="I33" s="107" t="n"/>
      <c r="J33" s="107" t="n"/>
      <c r="K33" s="108" t="n"/>
      <c r="L33" s="109">
        <f>IF($K33&gt;0,$K33/$H33," ")</f>
        <v/>
      </c>
      <c r="M33" s="110" t="n"/>
      <c r="N33" s="111">
        <f>IF($M33&gt;0,($M33-TODAY())/365," ")</f>
        <v/>
      </c>
      <c r="O33" s="105" t="n"/>
      <c r="P33" s="105" t="n"/>
      <c r="Q33" s="105" t="n"/>
      <c r="R33" s="108" t="n"/>
      <c r="S33" s="112">
        <f>IF($R33&gt;0,IF($K33&gt;0,$K33/$R33," ")," ")</f>
        <v/>
      </c>
      <c r="T33" s="108" t="n"/>
      <c r="U33" s="112">
        <f>IF($T33&gt;0,IF($K33&gt;0,$K33/$T33," ")," ")</f>
        <v/>
      </c>
      <c r="V33" s="105">
        <f>IF($T33&gt;0,IF($R33&gt;0,IF($T33=$R33,"No","Yes")," ")," ")</f>
        <v/>
      </c>
      <c r="W33" s="110" t="n"/>
      <c r="X33" s="107">
        <f>IF($W33&gt;0,TODAY()-$W33," ")</f>
        <v/>
      </c>
      <c r="Y33" s="105" t="n"/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6" t="n"/>
      <c r="G34" s="93" t="n"/>
      <c r="H34" s="97" t="n"/>
      <c r="I34" s="97" t="n"/>
      <c r="J34" s="97" t="n"/>
      <c r="K34" s="98" t="n"/>
      <c r="L34" s="99">
        <f>IF($K34&gt;0,$K34/$H34," ")</f>
        <v/>
      </c>
      <c r="M34" s="100" t="n"/>
      <c r="N34" s="101">
        <f>IF($M34&gt;0,($M34-TODAY())/365," ")</f>
        <v/>
      </c>
      <c r="O34" s="95" t="n"/>
      <c r="P34" s="95" t="n"/>
      <c r="Q34" s="95" t="n"/>
      <c r="R34" s="98" t="n"/>
      <c r="S34" s="102">
        <f>IF($R34&gt;0,IF($K34&gt;0,$K34/$R34," ")," ")</f>
        <v/>
      </c>
      <c r="T34" s="98" t="n"/>
      <c r="U34" s="102">
        <f>IF($T34&gt;0,IF($K34&gt;0,$K34/$T34," ")," ")</f>
        <v/>
      </c>
      <c r="V34" s="95">
        <f>IF($T34&gt;0,IF($R34&gt;0,IF($T34=$R34,"No","Yes")," ")," ")</f>
        <v/>
      </c>
      <c r="W34" s="100" t="n"/>
      <c r="X34" s="97">
        <f>IF($W34&gt;0,TODAY()-$W34," ")</f>
        <v/>
      </c>
      <c r="Y34" s="95" t="n"/>
    </row>
    <row r="35" ht="15" customHeight="1" s="46">
      <c r="A35" s="103">
        <f>IFERROR(ROW()-5,"")</f>
        <v/>
      </c>
      <c r="B35" s="104" t="n"/>
      <c r="C35" s="104" t="n"/>
      <c r="D35" s="105" t="n"/>
      <c r="E35" s="105" t="n"/>
      <c r="F35" s="106" t="n"/>
      <c r="G35" s="103" t="n"/>
      <c r="H35" s="107" t="n"/>
      <c r="I35" s="107" t="n"/>
      <c r="J35" s="107" t="n"/>
      <c r="K35" s="108" t="n"/>
      <c r="L35" s="109">
        <f>IF($K35&gt;0,$K35/$H35," ")</f>
        <v/>
      </c>
      <c r="M35" s="110" t="n"/>
      <c r="N35" s="111">
        <f>IF($M35&gt;0,($M35-TODAY())/365," ")</f>
        <v/>
      </c>
      <c r="O35" s="105" t="n"/>
      <c r="P35" s="105" t="n"/>
      <c r="Q35" s="105" t="n"/>
      <c r="R35" s="108" t="n"/>
      <c r="S35" s="112">
        <f>IF($R35&gt;0,IF($K35&gt;0,$K35/$R35," ")," ")</f>
        <v/>
      </c>
      <c r="T35" s="108" t="n"/>
      <c r="U35" s="112">
        <f>IF($T35&gt;0,IF($K35&gt;0,$K35/$T35," ")," ")</f>
        <v/>
      </c>
      <c r="V35" s="105">
        <f>IF($T35&gt;0,IF($R35&gt;0,IF($T35=$R35,"No","Yes")," ")," ")</f>
        <v/>
      </c>
      <c r="W35" s="110" t="n"/>
      <c r="X35" s="107">
        <f>IF($W35&gt;0,TODAY()-$W35," ")</f>
        <v/>
      </c>
      <c r="Y35" s="105" t="n"/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6" t="n"/>
      <c r="G36" s="93" t="n"/>
      <c r="H36" s="97" t="n"/>
      <c r="I36" s="97" t="n"/>
      <c r="J36" s="97" t="n"/>
      <c r="K36" s="98" t="n"/>
      <c r="L36" s="99">
        <f>IF($K36&gt;0,$K36/$H36," ")</f>
        <v/>
      </c>
      <c r="M36" s="100" t="n"/>
      <c r="N36" s="101">
        <f>IF($M36&gt;0,($M36-TODAY())/365," ")</f>
        <v/>
      </c>
      <c r="O36" s="95" t="n"/>
      <c r="P36" s="95" t="n"/>
      <c r="Q36" s="95" t="n"/>
      <c r="R36" s="98" t="n"/>
      <c r="S36" s="102">
        <f>IF($R36&gt;0,IF($K36&gt;0,$K36/$R36," ")," ")</f>
        <v/>
      </c>
      <c r="T36" s="98" t="n"/>
      <c r="U36" s="102">
        <f>IF($T36&gt;0,IF($K36&gt;0,$K36/$T36," ")," ")</f>
        <v/>
      </c>
      <c r="V36" s="95">
        <f>IF($T36&gt;0,IF($R36&gt;0,IF($T36=$R36,"No","Yes")," ")," ")</f>
        <v/>
      </c>
      <c r="W36" s="100" t="n"/>
      <c r="X36" s="97">
        <f>IF($W36&gt;0,TODAY()-$W36," ")</f>
        <v/>
      </c>
      <c r="Y36" s="95" t="n"/>
    </row>
    <row r="37" ht="15" customHeight="1" s="46">
      <c r="A37" s="103">
        <f>IFERROR(ROW()-5,"")</f>
        <v/>
      </c>
      <c r="B37" s="104" t="n"/>
      <c r="C37" s="104" t="n"/>
      <c r="D37" s="105" t="n"/>
      <c r="E37" s="105" t="n"/>
      <c r="F37" s="106" t="n"/>
      <c r="G37" s="103" t="n"/>
      <c r="H37" s="107" t="n"/>
      <c r="I37" s="107" t="n"/>
      <c r="J37" s="107" t="n"/>
      <c r="K37" s="108" t="n"/>
      <c r="L37" s="109">
        <f>IF($K37&gt;0,$K37/$H37," ")</f>
        <v/>
      </c>
      <c r="M37" s="110" t="n"/>
      <c r="N37" s="111">
        <f>IF($M37&gt;0,($M37-TODAY())/365," ")</f>
        <v/>
      </c>
      <c r="O37" s="105" t="n"/>
      <c r="P37" s="105" t="n"/>
      <c r="Q37" s="105" t="n"/>
      <c r="R37" s="108" t="n"/>
      <c r="S37" s="112">
        <f>IF($R37&gt;0,IF($K37&gt;0,$K37/$R37," ")," ")</f>
        <v/>
      </c>
      <c r="T37" s="108" t="n"/>
      <c r="U37" s="112">
        <f>IF($T37&gt;0,IF($K37&gt;0,$K37/$T37," ")," ")</f>
        <v/>
      </c>
      <c r="V37" s="105">
        <f>IF($T37&gt;0,IF($R37&gt;0,IF($T37=$R37,"No","Yes")," ")," ")</f>
        <v/>
      </c>
      <c r="W37" s="110" t="n"/>
      <c r="X37" s="107">
        <f>IF($W37&gt;0,TODAY()-$W37," ")</f>
        <v/>
      </c>
      <c r="Y37" s="105" t="n"/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6" t="n"/>
      <c r="G38" s="93" t="n"/>
      <c r="H38" s="97" t="n"/>
      <c r="I38" s="97" t="n"/>
      <c r="J38" s="97" t="n"/>
      <c r="K38" s="98" t="n"/>
      <c r="L38" s="99">
        <f>IF($K38&gt;0,$K38/$H38," ")</f>
        <v/>
      </c>
      <c r="M38" s="100" t="n"/>
      <c r="N38" s="101">
        <f>IF($M38&gt;0,($M38-TODAY())/365," ")</f>
        <v/>
      </c>
      <c r="O38" s="95" t="n"/>
      <c r="P38" s="95" t="n"/>
      <c r="Q38" s="95" t="n"/>
      <c r="R38" s="98" t="n"/>
      <c r="S38" s="102">
        <f>IF($R38&gt;0,IF($K38&gt;0,$K38/$R38," ")," ")</f>
        <v/>
      </c>
      <c r="T38" s="98" t="n"/>
      <c r="U38" s="102">
        <f>IF($T38&gt;0,IF($K38&gt;0,$K38/$T38," ")," ")</f>
        <v/>
      </c>
      <c r="V38" s="95">
        <f>IF($T38&gt;0,IF($R38&gt;0,IF($T38=$R38,"No","Yes")," ")," ")</f>
        <v/>
      </c>
      <c r="W38" s="100" t="n"/>
      <c r="X38" s="97">
        <f>IF($W38&gt;0,TODAY()-$W38," ")</f>
        <v/>
      </c>
      <c r="Y38" s="95" t="n"/>
    </row>
    <row r="39" ht="15" customHeight="1" s="46">
      <c r="A39" s="103">
        <f>IFERROR(ROW()-5,"")</f>
        <v/>
      </c>
      <c r="B39" s="104" t="n"/>
      <c r="C39" s="104" t="n"/>
      <c r="D39" s="105" t="n"/>
      <c r="E39" s="105" t="n"/>
      <c r="F39" s="106" t="n"/>
      <c r="G39" s="103" t="n"/>
      <c r="H39" s="107" t="n"/>
      <c r="I39" s="107" t="n"/>
      <c r="J39" s="107" t="n"/>
      <c r="K39" s="108" t="n"/>
      <c r="L39" s="109">
        <f>IF($K39&gt;0,$K39/$H39," ")</f>
        <v/>
      </c>
      <c r="M39" s="110" t="n"/>
      <c r="N39" s="111">
        <f>IF($M39&gt;0,($M39-TODAY())/365," ")</f>
        <v/>
      </c>
      <c r="O39" s="105" t="n"/>
      <c r="P39" s="105" t="n"/>
      <c r="Q39" s="105" t="n"/>
      <c r="R39" s="108" t="n"/>
      <c r="S39" s="112">
        <f>IF($R39&gt;0,IF($K39&gt;0,$K39/$R39," ")," ")</f>
        <v/>
      </c>
      <c r="T39" s="108" t="n"/>
      <c r="U39" s="112">
        <f>IF($T39&gt;0,IF($K39&gt;0,$K39/$T39," ")," ")</f>
        <v/>
      </c>
      <c r="V39" s="105">
        <f>IF($T39&gt;0,IF($R39&gt;0,IF($T39=$R39,"No","Yes")," ")," ")</f>
        <v/>
      </c>
      <c r="W39" s="110" t="n"/>
      <c r="X39" s="107">
        <f>IF($W39&gt;0,TODAY()-$W39," ")</f>
        <v/>
      </c>
      <c r="Y39" s="105" t="n"/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6" t="n"/>
      <c r="G40" s="93" t="n"/>
      <c r="H40" s="97" t="n"/>
      <c r="I40" s="97" t="n"/>
      <c r="J40" s="97" t="n"/>
      <c r="K40" s="98" t="n"/>
      <c r="L40" s="99">
        <f>IF($K40&gt;0,$K40/$H40," ")</f>
        <v/>
      </c>
      <c r="M40" s="100" t="n"/>
      <c r="N40" s="101">
        <f>IF($M40&gt;0,($M40-TODAY())/365," ")</f>
        <v/>
      </c>
      <c r="O40" s="95" t="n"/>
      <c r="P40" s="95" t="n"/>
      <c r="Q40" s="95" t="n"/>
      <c r="R40" s="98" t="n"/>
      <c r="S40" s="102">
        <f>IF($R40&gt;0,IF($K40&gt;0,$K40/$R40," ")," ")</f>
        <v/>
      </c>
      <c r="T40" s="98" t="n"/>
      <c r="U40" s="102">
        <f>IF($T40&gt;0,IF($K40&gt;0,$K40/$T40," ")," ")</f>
        <v/>
      </c>
      <c r="V40" s="95">
        <f>IF($T40&gt;0,IF($R40&gt;0,IF($T40=$R40,"No","Yes")," ")," ")</f>
        <v/>
      </c>
      <c r="W40" s="100" t="n"/>
      <c r="X40" s="97">
        <f>IF($W40&gt;0,TODAY()-$W40," ")</f>
        <v/>
      </c>
      <c r="Y40" s="95" t="n"/>
    </row>
    <row r="41" ht="15" customHeight="1" s="46">
      <c r="A41" s="103">
        <f>IFERROR(ROW()-5,"")</f>
        <v/>
      </c>
      <c r="B41" s="104" t="n"/>
      <c r="C41" s="104" t="n"/>
      <c r="D41" s="105" t="n"/>
      <c r="E41" s="105" t="n"/>
      <c r="F41" s="106" t="n"/>
      <c r="G41" s="103" t="n"/>
      <c r="H41" s="107" t="n"/>
      <c r="I41" s="107" t="n"/>
      <c r="J41" s="107" t="n"/>
      <c r="K41" s="108" t="n"/>
      <c r="L41" s="109">
        <f>IF($K41&gt;0,$K41/$H41," ")</f>
        <v/>
      </c>
      <c r="M41" s="110" t="n"/>
      <c r="N41" s="111">
        <f>IF($M41&gt;0,($M41-TODAY())/365," ")</f>
        <v/>
      </c>
      <c r="O41" s="105" t="n"/>
      <c r="P41" s="105" t="n"/>
      <c r="Q41" s="105" t="n"/>
      <c r="R41" s="108" t="n"/>
      <c r="S41" s="112">
        <f>IF($R41&gt;0,IF($K41&gt;0,$K41/$R41," ")," ")</f>
        <v/>
      </c>
      <c r="T41" s="108" t="n"/>
      <c r="U41" s="112">
        <f>IF($T41&gt;0,IF($K41&gt;0,$K41/$T41," ")," ")</f>
        <v/>
      </c>
      <c r="V41" s="105">
        <f>IF($T41&gt;0,IF($R41&gt;0,IF($T41=$R41,"No","Yes")," ")," ")</f>
        <v/>
      </c>
      <c r="W41" s="110" t="n"/>
      <c r="X41" s="107">
        <f>IF($W41&gt;0,TODAY()-$W41," ")</f>
        <v/>
      </c>
      <c r="Y41" s="105" t="n"/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6" t="n"/>
      <c r="G42" s="93" t="n"/>
      <c r="H42" s="97" t="n"/>
      <c r="I42" s="97" t="n"/>
      <c r="J42" s="97" t="n"/>
      <c r="K42" s="98" t="n"/>
      <c r="L42" s="99">
        <f>IF($K42&gt;0,$K42/$H42," ")</f>
        <v/>
      </c>
      <c r="M42" s="100" t="n"/>
      <c r="N42" s="101">
        <f>IF($M42&gt;0,($M42-TODAY())/365," ")</f>
        <v/>
      </c>
      <c r="O42" s="95" t="n"/>
      <c r="P42" s="95" t="n"/>
      <c r="Q42" s="95" t="n"/>
      <c r="R42" s="98" t="n"/>
      <c r="S42" s="102">
        <f>IF($R42&gt;0,IF($K42&gt;0,$K42/$R42," ")," ")</f>
        <v/>
      </c>
      <c r="T42" s="98" t="n"/>
      <c r="U42" s="102">
        <f>IF($T42&gt;0,IF($K42&gt;0,$K42/$T42," ")," ")</f>
        <v/>
      </c>
      <c r="V42" s="95">
        <f>IF($T42&gt;0,IF($R42&gt;0,IF($T42=$R42,"No","Yes")," ")," ")</f>
        <v/>
      </c>
      <c r="W42" s="100" t="n"/>
      <c r="X42" s="97">
        <f>IF($W42&gt;0,TODAY()-$W42," ")</f>
        <v/>
      </c>
      <c r="Y42" s="95" t="n"/>
    </row>
    <row r="43" ht="15" customHeight="1" s="46">
      <c r="A43" s="103">
        <f>IFERROR(ROW()-5,"")</f>
        <v/>
      </c>
      <c r="B43" s="104" t="n"/>
      <c r="C43" s="104" t="n"/>
      <c r="D43" s="105" t="n"/>
      <c r="E43" s="105" t="n"/>
      <c r="F43" s="106" t="n"/>
      <c r="G43" s="103" t="n"/>
      <c r="H43" s="107" t="n"/>
      <c r="I43" s="107" t="n"/>
      <c r="J43" s="107" t="n"/>
      <c r="K43" s="108" t="n"/>
      <c r="L43" s="109">
        <f>IF($K43&gt;0,$K43/$H43," ")</f>
        <v/>
      </c>
      <c r="M43" s="110" t="n"/>
      <c r="N43" s="111">
        <f>IF($M43&gt;0,($M43-TODAY())/365," ")</f>
        <v/>
      </c>
      <c r="O43" s="105" t="n"/>
      <c r="P43" s="105" t="n"/>
      <c r="Q43" s="105" t="n"/>
      <c r="R43" s="108" t="n"/>
      <c r="S43" s="112">
        <f>IF($R43&gt;0,IF($K43&gt;0,$K43/$R43," ")," ")</f>
        <v/>
      </c>
      <c r="T43" s="108" t="n"/>
      <c r="U43" s="112">
        <f>IF($T43&gt;0,IF($K43&gt;0,$K43/$T43," ")," ")</f>
        <v/>
      </c>
      <c r="V43" s="105">
        <f>IF($T43&gt;0,IF($R43&gt;0,IF($T43=$R43,"No","Yes")," ")," ")</f>
        <v/>
      </c>
      <c r="W43" s="110" t="n"/>
      <c r="X43" s="107">
        <f>IF($W43&gt;0,TODAY()-$W43," ")</f>
        <v/>
      </c>
      <c r="Y43" s="105" t="n"/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6" t="n"/>
      <c r="G44" s="93" t="n"/>
      <c r="H44" s="97" t="n"/>
      <c r="I44" s="97" t="n"/>
      <c r="J44" s="97" t="n"/>
      <c r="K44" s="98" t="n"/>
      <c r="L44" s="99">
        <f>IF($K44&gt;0,$K44/$H44," ")</f>
        <v/>
      </c>
      <c r="M44" s="100" t="n"/>
      <c r="N44" s="101">
        <f>IF($M44&gt;0,($M44-TODAY())/365," ")</f>
        <v/>
      </c>
      <c r="O44" s="95" t="n"/>
      <c r="P44" s="95" t="n"/>
      <c r="Q44" s="95" t="n"/>
      <c r="R44" s="98" t="n"/>
      <c r="S44" s="102">
        <f>IF($R44&gt;0,IF($K44&gt;0,$K44/$R44," ")," ")</f>
        <v/>
      </c>
      <c r="T44" s="98" t="n"/>
      <c r="U44" s="102">
        <f>IF($T44&gt;0,IF($K44&gt;0,$K44/$T44," ")," ")</f>
        <v/>
      </c>
      <c r="V44" s="95">
        <f>IF($T44&gt;0,IF($R44&gt;0,IF($T44=$R44,"No","Yes")," ")," ")</f>
        <v/>
      </c>
      <c r="W44" s="100" t="n"/>
      <c r="X44" s="97">
        <f>IF($W44&gt;0,TODAY()-$W44," ")</f>
        <v/>
      </c>
      <c r="Y44" s="95" t="n"/>
    </row>
    <row r="45" ht="15" customHeight="1" s="46">
      <c r="A45" s="103">
        <f>IFERROR(ROW()-5,"")</f>
        <v/>
      </c>
      <c r="B45" s="104" t="n"/>
      <c r="C45" s="104" t="n"/>
      <c r="D45" s="105" t="n"/>
      <c r="E45" s="105" t="n"/>
      <c r="F45" s="106" t="n"/>
      <c r="G45" s="103" t="n"/>
      <c r="H45" s="107" t="n"/>
      <c r="I45" s="107" t="n"/>
      <c r="J45" s="107" t="n"/>
      <c r="K45" s="108" t="n"/>
      <c r="L45" s="109">
        <f>IF($K45&gt;0,$K45/$H45," ")</f>
        <v/>
      </c>
      <c r="M45" s="110" t="n"/>
      <c r="N45" s="111">
        <f>IF($M45&gt;0,($M45-TODAY())/365," ")</f>
        <v/>
      </c>
      <c r="O45" s="105" t="n"/>
      <c r="P45" s="105" t="n"/>
      <c r="Q45" s="105" t="n"/>
      <c r="R45" s="108" t="n"/>
      <c r="S45" s="112">
        <f>IF($R45&gt;0,IF($K45&gt;0,$K45/$R45," ")," ")</f>
        <v/>
      </c>
      <c r="T45" s="108" t="n"/>
      <c r="U45" s="112">
        <f>IF($T45&gt;0,IF($K45&gt;0,$K45/$T45," ")," ")</f>
        <v/>
      </c>
      <c r="V45" s="105">
        <f>IF($T45&gt;0,IF($R45&gt;0,IF($T45=$R45,"No","Yes")," ")," ")</f>
        <v/>
      </c>
      <c r="W45" s="110" t="n"/>
      <c r="X45" s="107">
        <f>IF($W45&gt;0,TODAY()-$W45," ")</f>
        <v/>
      </c>
      <c r="Y45" s="105" t="n"/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6" t="n"/>
      <c r="G46" s="93" t="n"/>
      <c r="H46" s="97" t="n"/>
      <c r="I46" s="97" t="n"/>
      <c r="J46" s="97" t="n"/>
      <c r="K46" s="98" t="n"/>
      <c r="L46" s="99">
        <f>IF($K46&gt;0,$K46/$H46," ")</f>
        <v/>
      </c>
      <c r="M46" s="100" t="n"/>
      <c r="N46" s="101">
        <f>IF($M46&gt;0,($M46-TODAY())/365," ")</f>
        <v/>
      </c>
      <c r="O46" s="95" t="n"/>
      <c r="P46" s="95" t="n"/>
      <c r="Q46" s="95" t="n"/>
      <c r="R46" s="98" t="n"/>
      <c r="S46" s="102">
        <f>IF($R46&gt;0,IF($K46&gt;0,$K46/$R46," ")," ")</f>
        <v/>
      </c>
      <c r="T46" s="98" t="n"/>
      <c r="U46" s="102">
        <f>IF($T46&gt;0,IF($K46&gt;0,$K46/$T46," ")," ")</f>
        <v/>
      </c>
      <c r="V46" s="95">
        <f>IF($T46&gt;0,IF($R46&gt;0,IF($T46=$R46,"No","Yes")," ")," ")</f>
        <v/>
      </c>
      <c r="W46" s="100" t="n"/>
      <c r="X46" s="97">
        <f>IF($W46&gt;0,TODAY()-$W46," ")</f>
        <v/>
      </c>
      <c r="Y46" s="95" t="n"/>
    </row>
    <row r="47" ht="15" customHeight="1" s="46">
      <c r="A47" s="103">
        <f>IFERROR(ROW()-5,"")</f>
        <v/>
      </c>
      <c r="B47" s="104" t="n"/>
      <c r="C47" s="104" t="n"/>
      <c r="D47" s="105" t="n"/>
      <c r="E47" s="105" t="n"/>
      <c r="F47" s="106" t="n"/>
      <c r="G47" s="103" t="n"/>
      <c r="H47" s="107" t="n"/>
      <c r="I47" s="107" t="n"/>
      <c r="J47" s="107" t="n"/>
      <c r="K47" s="108" t="n"/>
      <c r="L47" s="109">
        <f>IF($K47&gt;0,$K47/$H47," ")</f>
        <v/>
      </c>
      <c r="M47" s="110" t="n"/>
      <c r="N47" s="111">
        <f>IF($M47&gt;0,($M47-TODAY())/365," ")</f>
        <v/>
      </c>
      <c r="O47" s="105" t="n"/>
      <c r="P47" s="105" t="n"/>
      <c r="Q47" s="105" t="n"/>
      <c r="R47" s="108" t="n"/>
      <c r="S47" s="112">
        <f>IF($R47&gt;0,IF($K47&gt;0,$K47/$R47," ")," ")</f>
        <v/>
      </c>
      <c r="T47" s="108" t="n"/>
      <c r="U47" s="112">
        <f>IF($T47&gt;0,IF($K47&gt;0,$K47/$T47," ")," ")</f>
        <v/>
      </c>
      <c r="V47" s="105">
        <f>IF($T47&gt;0,IF($R47&gt;0,IF($T47=$R47,"No","Yes")," ")," ")</f>
        <v/>
      </c>
      <c r="W47" s="110" t="n"/>
      <c r="X47" s="107">
        <f>IF($W47&gt;0,TODAY()-$W47," ")</f>
        <v/>
      </c>
      <c r="Y47" s="105" t="n"/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6" t="n"/>
      <c r="G48" s="93" t="n"/>
      <c r="H48" s="97" t="n"/>
      <c r="I48" s="97" t="n"/>
      <c r="J48" s="97" t="n"/>
      <c r="K48" s="98" t="n"/>
      <c r="L48" s="99">
        <f>IF($K48&gt;0,$K48/$H48," ")</f>
        <v/>
      </c>
      <c r="M48" s="100" t="n"/>
      <c r="N48" s="101">
        <f>IF($M48&gt;0,($M48-TODAY())/365," ")</f>
        <v/>
      </c>
      <c r="O48" s="95" t="n"/>
      <c r="P48" s="95" t="n"/>
      <c r="Q48" s="95" t="n"/>
      <c r="R48" s="98" t="n"/>
      <c r="S48" s="102">
        <f>IF($R48&gt;0,IF($K48&gt;0,$K48/$R48," ")," ")</f>
        <v/>
      </c>
      <c r="T48" s="98" t="n"/>
      <c r="U48" s="102">
        <f>IF($T48&gt;0,IF($K48&gt;0,$K48/$T48," ")," ")</f>
        <v/>
      </c>
      <c r="V48" s="95">
        <f>IF($T48&gt;0,IF($R48&gt;0,IF($T48=$R48,"No","Yes")," ")," ")</f>
        <v/>
      </c>
      <c r="W48" s="100" t="n"/>
      <c r="X48" s="97">
        <f>IF($W48&gt;0,TODAY()-$W48," ")</f>
        <v/>
      </c>
      <c r="Y48" s="95" t="n"/>
    </row>
    <row r="49" ht="15" customHeight="1" s="46">
      <c r="A49" s="103">
        <f>IFERROR(ROW()-5,"")</f>
        <v/>
      </c>
      <c r="B49" s="104" t="n"/>
      <c r="C49" s="104" t="n"/>
      <c r="D49" s="105" t="n"/>
      <c r="E49" s="105" t="n"/>
      <c r="F49" s="106" t="n"/>
      <c r="G49" s="103" t="n"/>
      <c r="H49" s="107" t="n"/>
      <c r="I49" s="107" t="n"/>
      <c r="J49" s="107" t="n"/>
      <c r="K49" s="108" t="n"/>
      <c r="L49" s="109">
        <f>IF($K49&gt;0,$K49/$H49," ")</f>
        <v/>
      </c>
      <c r="M49" s="110" t="n"/>
      <c r="N49" s="111">
        <f>IF($M49&gt;0,($M49-TODAY())/365," ")</f>
        <v/>
      </c>
      <c r="O49" s="105" t="n"/>
      <c r="P49" s="105" t="n"/>
      <c r="Q49" s="105" t="n"/>
      <c r="R49" s="108" t="n"/>
      <c r="S49" s="112">
        <f>IF($R49&gt;0,IF($K49&gt;0,$K49/$R49," ")," ")</f>
        <v/>
      </c>
      <c r="T49" s="108" t="n"/>
      <c r="U49" s="112">
        <f>IF($T49&gt;0,IF($K49&gt;0,$K49/$T49," ")," ")</f>
        <v/>
      </c>
      <c r="V49" s="105">
        <f>IF($T49&gt;0,IF($R49&gt;0,IF($T49=$R49,"No","Yes")," ")," ")</f>
        <v/>
      </c>
      <c r="W49" s="110" t="n"/>
      <c r="X49" s="107">
        <f>IF($W49&gt;0,TODAY()-$W49," ")</f>
        <v/>
      </c>
      <c r="Y49" s="105" t="n"/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6" t="n"/>
      <c r="G50" s="93" t="n"/>
      <c r="H50" s="97" t="n"/>
      <c r="I50" s="97" t="n"/>
      <c r="J50" s="97" t="n"/>
      <c r="K50" s="98" t="n"/>
      <c r="L50" s="99">
        <f>IF($K50&gt;0,$K50/$H50," ")</f>
        <v/>
      </c>
      <c r="M50" s="100" t="n"/>
      <c r="N50" s="101">
        <f>IF($M50&gt;0,($M50-TODAY())/365," ")</f>
        <v/>
      </c>
      <c r="O50" s="95" t="n"/>
      <c r="P50" s="95" t="n"/>
      <c r="Q50" s="95" t="n"/>
      <c r="R50" s="98" t="n"/>
      <c r="S50" s="102">
        <f>IF($R50&gt;0,IF($K50&gt;0,$K50/$R50," ")," ")</f>
        <v/>
      </c>
      <c r="T50" s="98" t="n"/>
      <c r="U50" s="102">
        <f>IF($T50&gt;0,IF($K50&gt;0,$K50/$T50," ")," ")</f>
        <v/>
      </c>
      <c r="V50" s="95">
        <f>IF($T50&gt;0,IF($R50&gt;0,IF($T50=$R50,"No","Yes")," ")," ")</f>
        <v/>
      </c>
      <c r="W50" s="100" t="n"/>
      <c r="X50" s="97">
        <f>IF($W50&gt;0,TODAY()-$W50," ")</f>
        <v/>
      </c>
      <c r="Y50" s="95" t="n"/>
    </row>
    <row r="51" ht="15" customHeight="1" s="46">
      <c r="A51" s="103">
        <f>IFERROR(ROW()-5,"")</f>
        <v/>
      </c>
      <c r="B51" s="104" t="n"/>
      <c r="C51" s="104" t="n"/>
      <c r="D51" s="105" t="n"/>
      <c r="E51" s="105" t="n"/>
      <c r="F51" s="106" t="n"/>
      <c r="G51" s="103" t="n"/>
      <c r="H51" s="107" t="n"/>
      <c r="I51" s="107" t="n"/>
      <c r="J51" s="107" t="n"/>
      <c r="K51" s="108" t="n"/>
      <c r="L51" s="109">
        <f>IF($K51&gt;0,$K51/$H51," ")</f>
        <v/>
      </c>
      <c r="M51" s="110" t="n"/>
      <c r="N51" s="111">
        <f>IF($M51&gt;0,($M51-TODAY())/365," ")</f>
        <v/>
      </c>
      <c r="O51" s="105" t="n"/>
      <c r="P51" s="105" t="n"/>
      <c r="Q51" s="105" t="n"/>
      <c r="R51" s="108" t="n"/>
      <c r="S51" s="112">
        <f>IF($R51&gt;0,IF($K51&gt;0,$K51/$R51," ")," ")</f>
        <v/>
      </c>
      <c r="T51" s="108" t="n"/>
      <c r="U51" s="112">
        <f>IF($T51&gt;0,IF($K51&gt;0,$K51/$T51," ")," ")</f>
        <v/>
      </c>
      <c r="V51" s="105">
        <f>IF($T51&gt;0,IF($R51&gt;0,IF($T51=$R51,"No","Yes")," ")," ")</f>
        <v/>
      </c>
      <c r="W51" s="110" t="n"/>
      <c r="X51" s="107">
        <f>IF($W51&gt;0,TODAY()-$W51," ")</f>
        <v/>
      </c>
      <c r="Y51" s="105" t="n"/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6" t="n"/>
      <c r="G52" s="93" t="n"/>
      <c r="H52" s="97" t="n"/>
      <c r="I52" s="97" t="n"/>
      <c r="J52" s="97" t="n"/>
      <c r="K52" s="98" t="n"/>
      <c r="L52" s="99">
        <f>IF($K52&gt;0,$K52/$H52," ")</f>
        <v/>
      </c>
      <c r="M52" s="100" t="n"/>
      <c r="N52" s="101">
        <f>IF($M52&gt;0,($M52-TODAY())/365," ")</f>
        <v/>
      </c>
      <c r="O52" s="95" t="n"/>
      <c r="P52" s="95" t="n"/>
      <c r="Q52" s="95" t="n"/>
      <c r="R52" s="98" t="n"/>
      <c r="S52" s="102">
        <f>IF($R52&gt;0,IF($K52&gt;0,$K52/$R52," ")," ")</f>
        <v/>
      </c>
      <c r="T52" s="98" t="n"/>
      <c r="U52" s="102">
        <f>IF($T52&gt;0,IF($K52&gt;0,$K52/$T52," ")," ")</f>
        <v/>
      </c>
      <c r="V52" s="95">
        <f>IF($T52&gt;0,IF($R52&gt;0,IF($T52=$R52,"No","Yes")," ")," ")</f>
        <v/>
      </c>
      <c r="W52" s="100" t="n"/>
      <c r="X52" s="97">
        <f>IF($W52&gt;0,TODAY()-$W52," ")</f>
        <v/>
      </c>
      <c r="Y52" s="95" t="n"/>
    </row>
    <row r="53" ht="15" customHeight="1" s="46">
      <c r="A53" s="103">
        <f>IFERROR(ROW()-5,"")</f>
        <v/>
      </c>
      <c r="B53" s="104" t="n"/>
      <c r="C53" s="104" t="n"/>
      <c r="D53" s="105" t="n"/>
      <c r="E53" s="105" t="n"/>
      <c r="F53" s="106" t="n"/>
      <c r="G53" s="103" t="n"/>
      <c r="H53" s="107" t="n"/>
      <c r="I53" s="107" t="n"/>
      <c r="J53" s="107" t="n"/>
      <c r="K53" s="108" t="n"/>
      <c r="L53" s="109">
        <f>IF($K53&gt;0,$K53/$H53," ")</f>
        <v/>
      </c>
      <c r="M53" s="110" t="n"/>
      <c r="N53" s="111">
        <f>IF($M53&gt;0,($M53-TODAY())/365," ")</f>
        <v/>
      </c>
      <c r="O53" s="105" t="n"/>
      <c r="P53" s="105" t="n"/>
      <c r="Q53" s="105" t="n"/>
      <c r="R53" s="108" t="n"/>
      <c r="S53" s="112">
        <f>IF($R53&gt;0,IF($K53&gt;0,$K53/$R53," ")," ")</f>
        <v/>
      </c>
      <c r="T53" s="108" t="n"/>
      <c r="U53" s="112">
        <f>IF($T53&gt;0,IF($K53&gt;0,$K53/$T53," ")," ")</f>
        <v/>
      </c>
      <c r="V53" s="105">
        <f>IF($T53&gt;0,IF($R53&gt;0,IF($T53=$R53,"No","Yes")," ")," ")</f>
        <v/>
      </c>
      <c r="W53" s="110" t="n"/>
      <c r="X53" s="107">
        <f>IF($W53&gt;0,TODAY()-$W53," ")</f>
        <v/>
      </c>
      <c r="Y53" s="105" t="n"/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6" t="n"/>
      <c r="G54" s="93" t="n"/>
      <c r="H54" s="97" t="n"/>
      <c r="I54" s="97" t="n"/>
      <c r="J54" s="97" t="n"/>
      <c r="K54" s="98" t="n"/>
      <c r="L54" s="99">
        <f>IF($K54&gt;0,$K54/$H54," ")</f>
        <v/>
      </c>
      <c r="M54" s="100" t="n"/>
      <c r="N54" s="101">
        <f>IF($M54&gt;0,($M54-TODAY())/365," ")</f>
        <v/>
      </c>
      <c r="O54" s="95" t="n"/>
      <c r="P54" s="95" t="n"/>
      <c r="Q54" s="95" t="n"/>
      <c r="R54" s="98" t="n"/>
      <c r="S54" s="102">
        <f>IF($R54&gt;0,IF($K54&gt;0,$K54/$R54," ")," ")</f>
        <v/>
      </c>
      <c r="T54" s="98" t="n"/>
      <c r="U54" s="102">
        <f>IF($T54&gt;0,IF($K54&gt;0,$K54/$T54," ")," ")</f>
        <v/>
      </c>
      <c r="V54" s="95">
        <f>IF($T54&gt;0,IF($R54&gt;0,IF($T54=$R54,"No","Yes")," ")," ")</f>
        <v/>
      </c>
      <c r="W54" s="100" t="n"/>
      <c r="X54" s="97">
        <f>IF($W54&gt;0,TODAY()-$W54," ")</f>
        <v/>
      </c>
      <c r="Y54" s="95" t="n"/>
    </row>
    <row r="55" ht="15" customHeight="1" s="46">
      <c r="A55" s="103">
        <f>IFERROR(ROW()-5,"")</f>
        <v/>
      </c>
      <c r="B55" s="104" t="n"/>
      <c r="C55" s="104" t="n"/>
      <c r="D55" s="105" t="n"/>
      <c r="E55" s="105" t="n"/>
      <c r="F55" s="106" t="n"/>
      <c r="G55" s="103" t="n"/>
      <c r="H55" s="107" t="n"/>
      <c r="I55" s="107" t="n"/>
      <c r="J55" s="107" t="n"/>
      <c r="K55" s="108" t="n"/>
      <c r="L55" s="109">
        <f>IF($K55&gt;0,$K55/$H55," ")</f>
        <v/>
      </c>
      <c r="M55" s="110" t="n"/>
      <c r="N55" s="111">
        <f>IF($M55&gt;0,($M55-TODAY())/365," ")</f>
        <v/>
      </c>
      <c r="O55" s="105" t="n"/>
      <c r="P55" s="105" t="n"/>
      <c r="Q55" s="105" t="n"/>
      <c r="R55" s="108" t="n"/>
      <c r="S55" s="112">
        <f>IF($R55&gt;0,IF($K55&gt;0,$K55/$R55," ")," ")</f>
        <v/>
      </c>
      <c r="T55" s="108" t="n"/>
      <c r="U55" s="112">
        <f>IF($T55&gt;0,IF($K55&gt;0,$K55/$T55," ")," ")</f>
        <v/>
      </c>
      <c r="V55" s="105">
        <f>IF($T55&gt;0,IF($R55&gt;0,IF($T55=$R55,"No","Yes")," ")," ")</f>
        <v/>
      </c>
      <c r="W55" s="110" t="n"/>
      <c r="X55" s="107">
        <f>IF($W55&gt;0,TODAY()-$W55," ")</f>
        <v/>
      </c>
      <c r="Y55" s="105" t="n"/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6" t="n"/>
      <c r="G56" s="93" t="n"/>
      <c r="H56" s="97" t="n"/>
      <c r="I56" s="97" t="n"/>
      <c r="J56" s="97" t="n"/>
      <c r="K56" s="98" t="n"/>
      <c r="L56" s="99">
        <f>IF($K56&gt;0,$K56/$H56," ")</f>
        <v/>
      </c>
      <c r="M56" s="100" t="n"/>
      <c r="N56" s="101">
        <f>IF($M56&gt;0,($M56-TODAY())/365," ")</f>
        <v/>
      </c>
      <c r="O56" s="95" t="n"/>
      <c r="P56" s="95" t="n"/>
      <c r="Q56" s="95" t="n"/>
      <c r="R56" s="98" t="n"/>
      <c r="S56" s="102">
        <f>IF($R56&gt;0,IF($K56&gt;0,$K56/$R56," ")," ")</f>
        <v/>
      </c>
      <c r="T56" s="98" t="n"/>
      <c r="U56" s="102">
        <f>IF($T56&gt;0,IF($K56&gt;0,$K56/$T56," ")," ")</f>
        <v/>
      </c>
      <c r="V56" s="95">
        <f>IF($T56&gt;0,IF($R56&gt;0,IF($T56=$R56,"No","Yes")," ")," ")</f>
        <v/>
      </c>
      <c r="W56" s="100" t="n"/>
      <c r="X56" s="97">
        <f>IF($W56&gt;0,TODAY()-$W56," ")</f>
        <v/>
      </c>
      <c r="Y56" s="95" t="n"/>
    </row>
    <row r="57" ht="15" customHeight="1" s="46">
      <c r="A57" s="103">
        <f>IFERROR(ROW()-5,"")</f>
        <v/>
      </c>
      <c r="B57" s="104" t="n"/>
      <c r="C57" s="104" t="n"/>
      <c r="D57" s="105" t="n"/>
      <c r="E57" s="105" t="n"/>
      <c r="F57" s="106" t="n"/>
      <c r="G57" s="103" t="n"/>
      <c r="H57" s="107" t="n"/>
      <c r="I57" s="107" t="n"/>
      <c r="J57" s="107" t="n"/>
      <c r="K57" s="108" t="n"/>
      <c r="L57" s="109">
        <f>IF($K57&gt;0,$K57/$H57," ")</f>
        <v/>
      </c>
      <c r="M57" s="110" t="n"/>
      <c r="N57" s="111">
        <f>IF($M57&gt;0,($M57-TODAY())/365," ")</f>
        <v/>
      </c>
      <c r="O57" s="105" t="n"/>
      <c r="P57" s="105" t="n"/>
      <c r="Q57" s="105" t="n"/>
      <c r="R57" s="108" t="n"/>
      <c r="S57" s="112">
        <f>IF($R57&gt;0,IF($K57&gt;0,$K57/$R57," ")," ")</f>
        <v/>
      </c>
      <c r="T57" s="108" t="n"/>
      <c r="U57" s="112">
        <f>IF($T57&gt;0,IF($K57&gt;0,$K57/$T57," ")," ")</f>
        <v/>
      </c>
      <c r="V57" s="105">
        <f>IF($T57&gt;0,IF($R57&gt;0,IF($T57=$R57,"No","Yes")," ")," ")</f>
        <v/>
      </c>
      <c r="W57" s="110" t="n"/>
      <c r="X57" s="107">
        <f>IF($W57&gt;0,TODAY()-$W57," ")</f>
        <v/>
      </c>
      <c r="Y57" s="105" t="n"/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6" t="n"/>
      <c r="G58" s="93" t="n"/>
      <c r="H58" s="97" t="n"/>
      <c r="I58" s="97" t="n"/>
      <c r="J58" s="97" t="n"/>
      <c r="K58" s="98" t="n"/>
      <c r="L58" s="99">
        <f>IF($K58&gt;0,$K58/$H58," ")</f>
        <v/>
      </c>
      <c r="M58" s="100" t="n"/>
      <c r="N58" s="101">
        <f>IF($M58&gt;0,($M58-TODAY())/365," ")</f>
        <v/>
      </c>
      <c r="O58" s="95" t="n"/>
      <c r="P58" s="95" t="n"/>
      <c r="Q58" s="95" t="n"/>
      <c r="R58" s="98" t="n"/>
      <c r="S58" s="102">
        <f>IF($R58&gt;0,IF($K58&gt;0,$K58/$R58," ")," ")</f>
        <v/>
      </c>
      <c r="T58" s="98" t="n"/>
      <c r="U58" s="102">
        <f>IF($T58&gt;0,IF($K58&gt;0,$K58/$T58," ")," ")</f>
        <v/>
      </c>
      <c r="V58" s="95">
        <f>IF($T58&gt;0,IF($R58&gt;0,IF($T58=$R58,"No","Yes")," ")," ")</f>
        <v/>
      </c>
      <c r="W58" s="100" t="n"/>
      <c r="X58" s="97">
        <f>IF($W58&gt;0,TODAY()-$W58," ")</f>
        <v/>
      </c>
      <c r="Y58" s="95" t="n"/>
    </row>
    <row r="59" ht="15" customHeight="1" s="46">
      <c r="A59" s="103">
        <f>IFERROR(ROW()-5,"")</f>
        <v/>
      </c>
      <c r="B59" s="104" t="n"/>
      <c r="C59" s="104" t="n"/>
      <c r="D59" s="105" t="n"/>
      <c r="E59" s="105" t="n"/>
      <c r="F59" s="106" t="n"/>
      <c r="G59" s="103" t="n"/>
      <c r="H59" s="107" t="n"/>
      <c r="I59" s="107" t="n"/>
      <c r="J59" s="107" t="n"/>
      <c r="K59" s="108" t="n"/>
      <c r="L59" s="109">
        <f>IF($K59&gt;0,$K59/$H59," ")</f>
        <v/>
      </c>
      <c r="M59" s="110" t="n"/>
      <c r="N59" s="111">
        <f>IF($M59&gt;0,($M59-TODAY())/365," ")</f>
        <v/>
      </c>
      <c r="O59" s="105" t="n"/>
      <c r="P59" s="105" t="n"/>
      <c r="Q59" s="105" t="n"/>
      <c r="R59" s="108" t="n"/>
      <c r="S59" s="112">
        <f>IF($R59&gt;0,IF($K59&gt;0,$K59/$R59," ")," ")</f>
        <v/>
      </c>
      <c r="T59" s="108" t="n"/>
      <c r="U59" s="112">
        <f>IF($T59&gt;0,IF($K59&gt;0,$K59/$T59," ")," ")</f>
        <v/>
      </c>
      <c r="V59" s="105">
        <f>IF($T59&gt;0,IF($R59&gt;0,IF($T59=$R59,"No","Yes")," ")," ")</f>
        <v/>
      </c>
      <c r="W59" s="110" t="n"/>
      <c r="X59" s="107">
        <f>IF($W59&gt;0,TODAY()-$W59," ")</f>
        <v/>
      </c>
      <c r="Y59" s="105" t="n"/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6" t="n"/>
      <c r="G60" s="93" t="n"/>
      <c r="H60" s="97" t="n"/>
      <c r="I60" s="97" t="n"/>
      <c r="J60" s="97" t="n"/>
      <c r="K60" s="98" t="n"/>
      <c r="L60" s="99">
        <f>IF($K60&gt;0,$K60/$H60," ")</f>
        <v/>
      </c>
      <c r="M60" s="100" t="n"/>
      <c r="N60" s="101">
        <f>IF($M60&gt;0,($M60-TODAY())/365," ")</f>
        <v/>
      </c>
      <c r="O60" s="95" t="n"/>
      <c r="P60" s="95" t="n"/>
      <c r="Q60" s="95" t="n"/>
      <c r="R60" s="98" t="n"/>
      <c r="S60" s="102">
        <f>IF($R60&gt;0,IF($K60&gt;0,$K60/$R60," ")," ")</f>
        <v/>
      </c>
      <c r="T60" s="98" t="n"/>
      <c r="U60" s="102">
        <f>IF($T60&gt;0,IF($K60&gt;0,$K60/$T60," ")," ")</f>
        <v/>
      </c>
      <c r="V60" s="95">
        <f>IF($T60&gt;0,IF($R60&gt;0,IF($T60=$R60,"No","Yes")," ")," ")</f>
        <v/>
      </c>
      <c r="W60" s="100" t="n"/>
      <c r="X60" s="97">
        <f>IF($W60&gt;0,TODAY()-$W60," ")</f>
        <v/>
      </c>
      <c r="Y60" s="95" t="n"/>
    </row>
    <row r="61" ht="15" customHeight="1" s="46">
      <c r="A61" s="103">
        <f>IFERROR(ROW()-5,"")</f>
        <v/>
      </c>
      <c r="B61" s="104" t="n"/>
      <c r="C61" s="104" t="n"/>
      <c r="D61" s="105" t="n"/>
      <c r="E61" s="105" t="n"/>
      <c r="F61" s="106" t="n"/>
      <c r="G61" s="103" t="n"/>
      <c r="H61" s="107" t="n"/>
      <c r="I61" s="107" t="n"/>
      <c r="J61" s="107" t="n"/>
      <c r="K61" s="108" t="n"/>
      <c r="L61" s="109">
        <f>IF($K61&gt;0,$K61/$H61," ")</f>
        <v/>
      </c>
      <c r="M61" s="110" t="n"/>
      <c r="N61" s="111">
        <f>IF($M61&gt;0,($M61-TODAY())/365," ")</f>
        <v/>
      </c>
      <c r="O61" s="105" t="n"/>
      <c r="P61" s="105" t="n"/>
      <c r="Q61" s="105" t="n"/>
      <c r="R61" s="108" t="n"/>
      <c r="S61" s="112">
        <f>IF($R61&gt;0,IF($K61&gt;0,$K61/$R61," ")," ")</f>
        <v/>
      </c>
      <c r="T61" s="108" t="n"/>
      <c r="U61" s="112">
        <f>IF($T61&gt;0,IF($K61&gt;0,$K61/$T61," ")," ")</f>
        <v/>
      </c>
      <c r="V61" s="105">
        <f>IF($T61&gt;0,IF($R61&gt;0,IF($T61=$R61,"No","Yes")," ")," ")</f>
        <v/>
      </c>
      <c r="W61" s="110" t="n"/>
      <c r="X61" s="107">
        <f>IF($W61&gt;0,TODAY()-$W61," ")</f>
        <v/>
      </c>
      <c r="Y61" s="105" t="n"/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6" t="n"/>
      <c r="G62" s="93" t="n"/>
      <c r="H62" s="97" t="n"/>
      <c r="I62" s="97" t="n"/>
      <c r="J62" s="97" t="n"/>
      <c r="K62" s="98" t="n"/>
      <c r="L62" s="99">
        <f>IF($K62&gt;0,$K62/$H62," ")</f>
        <v/>
      </c>
      <c r="M62" s="100" t="n"/>
      <c r="N62" s="101">
        <f>IF($M62&gt;0,($M62-TODAY())/365," ")</f>
        <v/>
      </c>
      <c r="O62" s="95" t="n"/>
      <c r="P62" s="95" t="n"/>
      <c r="Q62" s="95" t="n"/>
      <c r="R62" s="98" t="n"/>
      <c r="S62" s="102">
        <f>IF($R62&gt;0,IF($K62&gt;0,$K62/$R62," ")," ")</f>
        <v/>
      </c>
      <c r="T62" s="98" t="n"/>
      <c r="U62" s="102">
        <f>IF($T62&gt;0,IF($K62&gt;0,$K62/$T62," ")," ")</f>
        <v/>
      </c>
      <c r="V62" s="95">
        <f>IF($T62&gt;0,IF($R62&gt;0,IF($T62=$R62,"No","Yes")," ")," ")</f>
        <v/>
      </c>
      <c r="W62" s="100" t="n"/>
      <c r="X62" s="97">
        <f>IF($W62&gt;0,TODAY()-$W62," ")</f>
        <v/>
      </c>
      <c r="Y62" s="95" t="n"/>
    </row>
    <row r="63" ht="15" customHeight="1" s="46">
      <c r="A63" s="103">
        <f>IFERROR(ROW()-5,"")</f>
        <v/>
      </c>
      <c r="B63" s="104" t="n"/>
      <c r="C63" s="104" t="n"/>
      <c r="D63" s="105" t="n"/>
      <c r="E63" s="105" t="n"/>
      <c r="F63" s="106" t="n"/>
      <c r="G63" s="103" t="n"/>
      <c r="H63" s="107" t="n"/>
      <c r="I63" s="107" t="n"/>
      <c r="J63" s="107" t="n"/>
      <c r="K63" s="108" t="n"/>
      <c r="L63" s="109">
        <f>IF($K63&gt;0,$K63/$H63," ")</f>
        <v/>
      </c>
      <c r="M63" s="110" t="n"/>
      <c r="N63" s="111">
        <f>IF($M63&gt;0,($M63-TODAY())/365," ")</f>
        <v/>
      </c>
      <c r="O63" s="105" t="n"/>
      <c r="P63" s="105" t="n"/>
      <c r="Q63" s="105" t="n"/>
      <c r="R63" s="108" t="n"/>
      <c r="S63" s="112">
        <f>IF($R63&gt;0,IF($K63&gt;0,$K63/$R63," ")," ")</f>
        <v/>
      </c>
      <c r="T63" s="108" t="n"/>
      <c r="U63" s="112">
        <f>IF($T63&gt;0,IF($K63&gt;0,$K63/$T63," ")," ")</f>
        <v/>
      </c>
      <c r="V63" s="105">
        <f>IF($T63&gt;0,IF($R63&gt;0,IF($T63=$R63,"No","Yes")," ")," ")</f>
        <v/>
      </c>
      <c r="W63" s="110" t="n"/>
      <c r="X63" s="107">
        <f>IF($W63&gt;0,TODAY()-$W63," ")</f>
        <v/>
      </c>
      <c r="Y63" s="105" t="n"/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6" t="n"/>
      <c r="G64" s="93" t="n"/>
      <c r="H64" s="97" t="n"/>
      <c r="I64" s="97" t="n"/>
      <c r="J64" s="97" t="n"/>
      <c r="K64" s="98" t="n"/>
      <c r="L64" s="99">
        <f>IF($K64&gt;0,$K64/$H64," ")</f>
        <v/>
      </c>
      <c r="M64" s="100" t="n"/>
      <c r="N64" s="101">
        <f>IF($M64&gt;0,($M64-TODAY())/365," ")</f>
        <v/>
      </c>
      <c r="O64" s="95" t="n"/>
      <c r="P64" s="95" t="n"/>
      <c r="Q64" s="95" t="n"/>
      <c r="R64" s="98" t="n"/>
      <c r="S64" s="102">
        <f>IF($R64&gt;0,IF($K64&gt;0,$K64/$R64," ")," ")</f>
        <v/>
      </c>
      <c r="T64" s="98" t="n"/>
      <c r="U64" s="102">
        <f>IF($T64&gt;0,IF($K64&gt;0,$K64/$T64," ")," ")</f>
        <v/>
      </c>
      <c r="V64" s="95">
        <f>IF($T64&gt;0,IF($R64&gt;0,IF($T64=$R64,"No","Yes")," ")," ")</f>
        <v/>
      </c>
      <c r="W64" s="100" t="n"/>
      <c r="X64" s="97">
        <f>IF($W64&gt;0,TODAY()-$W64," ")</f>
        <v/>
      </c>
      <c r="Y64" s="95" t="n"/>
    </row>
    <row r="65" ht="15" customHeight="1" s="46">
      <c r="A65" s="103">
        <f>IFERROR(ROW()-5,"")</f>
        <v/>
      </c>
      <c r="B65" s="104" t="n"/>
      <c r="C65" s="104" t="n"/>
      <c r="D65" s="105" t="n"/>
      <c r="E65" s="105" t="n"/>
      <c r="F65" s="106" t="n"/>
      <c r="G65" s="103" t="n"/>
      <c r="H65" s="107" t="n"/>
      <c r="I65" s="107" t="n"/>
      <c r="J65" s="107" t="n"/>
      <c r="K65" s="108" t="n"/>
      <c r="L65" s="109">
        <f>IF($K65&gt;0,$K65/$H65," ")</f>
        <v/>
      </c>
      <c r="M65" s="110" t="n"/>
      <c r="N65" s="111">
        <f>IF($M65&gt;0,($M65-TODAY())/365," ")</f>
        <v/>
      </c>
      <c r="O65" s="105" t="n"/>
      <c r="P65" s="105" t="n"/>
      <c r="Q65" s="105" t="n"/>
      <c r="R65" s="108" t="n"/>
      <c r="S65" s="112">
        <f>IF($R65&gt;0,IF($K65&gt;0,$K65/$R65," ")," ")</f>
        <v/>
      </c>
      <c r="T65" s="108" t="n"/>
      <c r="U65" s="112">
        <f>IF($T65&gt;0,IF($K65&gt;0,$K65/$T65," ")," ")</f>
        <v/>
      </c>
      <c r="V65" s="105">
        <f>IF($T65&gt;0,IF($R65&gt;0,IF($T65=$R65,"No","Yes")," ")," ")</f>
        <v/>
      </c>
      <c r="W65" s="110" t="n"/>
      <c r="X65" s="107">
        <f>IF($W65&gt;0,TODAY()-$W65," ")</f>
        <v/>
      </c>
      <c r="Y65" s="105" t="n"/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6" t="n"/>
      <c r="G66" s="93" t="n"/>
      <c r="H66" s="97" t="n"/>
      <c r="I66" s="97" t="n"/>
      <c r="J66" s="97" t="n"/>
      <c r="K66" s="98" t="n"/>
      <c r="L66" s="99">
        <f>IF($K66&gt;0,$K66/$H66," ")</f>
        <v/>
      </c>
      <c r="M66" s="100" t="n"/>
      <c r="N66" s="101">
        <f>IF($M66&gt;0,($M66-TODAY())/365," ")</f>
        <v/>
      </c>
      <c r="O66" s="95" t="n"/>
      <c r="P66" s="95" t="n"/>
      <c r="Q66" s="95" t="n"/>
      <c r="R66" s="98" t="n"/>
      <c r="S66" s="102">
        <f>IF($R66&gt;0,IF($K66&gt;0,$K66/$R66," ")," ")</f>
        <v/>
      </c>
      <c r="T66" s="98" t="n"/>
      <c r="U66" s="102">
        <f>IF($T66&gt;0,IF($K66&gt;0,$K66/$T66," ")," ")</f>
        <v/>
      </c>
      <c r="V66" s="95">
        <f>IF($T66&gt;0,IF($R66&gt;0,IF($T66=$R66,"No","Yes")," ")," ")</f>
        <v/>
      </c>
      <c r="W66" s="100" t="n"/>
      <c r="X66" s="97">
        <f>IF($W66&gt;0,TODAY()-$W66," ")</f>
        <v/>
      </c>
      <c r="Y66" s="95" t="n"/>
    </row>
    <row r="67" ht="15" customHeight="1" s="46">
      <c r="A67" s="103">
        <f>IFERROR(ROW()-5,"")</f>
        <v/>
      </c>
      <c r="B67" s="104" t="n"/>
      <c r="C67" s="104" t="n"/>
      <c r="D67" s="105" t="n"/>
      <c r="E67" s="105" t="n"/>
      <c r="F67" s="106" t="n"/>
      <c r="G67" s="103" t="n"/>
      <c r="H67" s="107" t="n"/>
      <c r="I67" s="107" t="n"/>
      <c r="J67" s="107" t="n"/>
      <c r="K67" s="108" t="n"/>
      <c r="L67" s="109">
        <f>IF($K67&gt;0,$K67/$H67," ")</f>
        <v/>
      </c>
      <c r="M67" s="110" t="n"/>
      <c r="N67" s="111">
        <f>IF($M67&gt;0,($M67-TODAY())/365," ")</f>
        <v/>
      </c>
      <c r="O67" s="105" t="n"/>
      <c r="P67" s="105" t="n"/>
      <c r="Q67" s="105" t="n"/>
      <c r="R67" s="108" t="n"/>
      <c r="S67" s="112">
        <f>IF($R67&gt;0,IF($K67&gt;0,$K67/$R67," ")," ")</f>
        <v/>
      </c>
      <c r="T67" s="108" t="n"/>
      <c r="U67" s="112">
        <f>IF($T67&gt;0,IF($K67&gt;0,$K67/$T67," ")," ")</f>
        <v/>
      </c>
      <c r="V67" s="105">
        <f>IF($T67&gt;0,IF($R67&gt;0,IF($T67=$R67,"No","Yes")," ")," ")</f>
        <v/>
      </c>
      <c r="W67" s="110" t="n"/>
      <c r="X67" s="107">
        <f>IF($W67&gt;0,TODAY()-$W67," ")</f>
        <v/>
      </c>
      <c r="Y67" s="105" t="n"/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6" t="n"/>
      <c r="G68" s="93" t="n"/>
      <c r="H68" s="97" t="n"/>
      <c r="I68" s="97" t="n"/>
      <c r="J68" s="97" t="n"/>
      <c r="K68" s="98" t="n"/>
      <c r="L68" s="99">
        <f>IF($K68&gt;0,$K68/$H68," ")</f>
        <v/>
      </c>
      <c r="M68" s="100" t="n"/>
      <c r="N68" s="101">
        <f>IF($M68&gt;0,($M68-TODAY())/365," ")</f>
        <v/>
      </c>
      <c r="O68" s="95" t="n"/>
      <c r="P68" s="95" t="n"/>
      <c r="Q68" s="95" t="n"/>
      <c r="R68" s="98" t="n"/>
      <c r="S68" s="102">
        <f>IF($R68&gt;0,IF($K68&gt;0,$K68/$R68," ")," ")</f>
        <v/>
      </c>
      <c r="T68" s="98" t="n"/>
      <c r="U68" s="102">
        <f>IF($T68&gt;0,IF($K68&gt;0,$K68/$T68," ")," ")</f>
        <v/>
      </c>
      <c r="V68" s="95">
        <f>IF($T68&gt;0,IF($R68&gt;0,IF($T68=$R68,"No","Yes")," ")," ")</f>
        <v/>
      </c>
      <c r="W68" s="100" t="n"/>
      <c r="X68" s="97">
        <f>IF($W68&gt;0,TODAY()-$W68," ")</f>
        <v/>
      </c>
      <c r="Y68" s="95" t="n"/>
    </row>
    <row r="69" ht="15" customHeight="1" s="46">
      <c r="A69" s="103">
        <f>IFERROR(ROW()-5,"")</f>
        <v/>
      </c>
      <c r="B69" s="104" t="n"/>
      <c r="C69" s="104" t="n"/>
      <c r="D69" s="105" t="n"/>
      <c r="E69" s="105" t="n"/>
      <c r="F69" s="106" t="n"/>
      <c r="G69" s="103" t="n"/>
      <c r="H69" s="107" t="n"/>
      <c r="I69" s="107" t="n"/>
      <c r="J69" s="107" t="n"/>
      <c r="K69" s="108" t="n"/>
      <c r="L69" s="109">
        <f>IF($K69&gt;0,$K69/$H69," ")</f>
        <v/>
      </c>
      <c r="M69" s="110" t="n"/>
      <c r="N69" s="111">
        <f>IF($M69&gt;0,($M69-TODAY())/365," ")</f>
        <v/>
      </c>
      <c r="O69" s="105" t="n"/>
      <c r="P69" s="105" t="n"/>
      <c r="Q69" s="105" t="n"/>
      <c r="R69" s="108" t="n"/>
      <c r="S69" s="112">
        <f>IF($R69&gt;0,IF($K69&gt;0,$K69/$R69," ")," ")</f>
        <v/>
      </c>
      <c r="T69" s="108" t="n"/>
      <c r="U69" s="112">
        <f>IF($T69&gt;0,IF($K69&gt;0,$K69/$T69," ")," ")</f>
        <v/>
      </c>
      <c r="V69" s="105">
        <f>IF($T69&gt;0,IF($R69&gt;0,IF($T69=$R69,"No","Yes")," ")," ")</f>
        <v/>
      </c>
      <c r="W69" s="110" t="n"/>
      <c r="X69" s="107">
        <f>IF($W69&gt;0,TODAY()-$W69," ")</f>
        <v/>
      </c>
      <c r="Y69" s="105" t="n"/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6" t="n"/>
      <c r="G70" s="93" t="n"/>
      <c r="H70" s="97" t="n"/>
      <c r="I70" s="97" t="n"/>
      <c r="J70" s="97" t="n"/>
      <c r="K70" s="98" t="n"/>
      <c r="L70" s="99">
        <f>IF($K70&gt;0,$K70/$H70," ")</f>
        <v/>
      </c>
      <c r="M70" s="100" t="n"/>
      <c r="N70" s="101">
        <f>IF($M70&gt;0,($M70-TODAY())/365," ")</f>
        <v/>
      </c>
      <c r="O70" s="95" t="n"/>
      <c r="P70" s="95" t="n"/>
      <c r="Q70" s="95" t="n"/>
      <c r="R70" s="98" t="n"/>
      <c r="S70" s="102">
        <f>IF($R70&gt;0,IF($K70&gt;0,$K70/$R70," ")," ")</f>
        <v/>
      </c>
      <c r="T70" s="98" t="n"/>
      <c r="U70" s="102">
        <f>IF($T70&gt;0,IF($K70&gt;0,$K70/$T70," ")," ")</f>
        <v/>
      </c>
      <c r="V70" s="95">
        <f>IF($T70&gt;0,IF($R70&gt;0,IF($T70=$R70,"No","Yes")," ")," ")</f>
        <v/>
      </c>
      <c r="W70" s="100" t="n"/>
      <c r="X70" s="97">
        <f>IF($W70&gt;0,TODAY()-$W70," ")</f>
        <v/>
      </c>
      <c r="Y70" s="95" t="n"/>
    </row>
    <row r="71" ht="15" customHeight="1" s="46">
      <c r="A71" s="103">
        <f>IFERROR(ROW()-5,"")</f>
        <v/>
      </c>
      <c r="B71" s="104" t="n"/>
      <c r="C71" s="104" t="n"/>
      <c r="D71" s="105" t="n"/>
      <c r="E71" s="105" t="n"/>
      <c r="F71" s="106" t="n"/>
      <c r="G71" s="103" t="n"/>
      <c r="H71" s="107" t="n"/>
      <c r="I71" s="107" t="n"/>
      <c r="J71" s="107" t="n"/>
      <c r="K71" s="108" t="n"/>
      <c r="L71" s="109">
        <f>IF($K71&gt;0,$K71/$H71," ")</f>
        <v/>
      </c>
      <c r="M71" s="110" t="n"/>
      <c r="N71" s="111">
        <f>IF($M71&gt;0,($M71-TODAY())/365," ")</f>
        <v/>
      </c>
      <c r="O71" s="105" t="n"/>
      <c r="P71" s="105" t="n"/>
      <c r="Q71" s="105" t="n"/>
      <c r="R71" s="108" t="n"/>
      <c r="S71" s="112">
        <f>IF($R71&gt;0,IF($K71&gt;0,$K71/$R71," ")," ")</f>
        <v/>
      </c>
      <c r="T71" s="108" t="n"/>
      <c r="U71" s="112">
        <f>IF($T71&gt;0,IF($K71&gt;0,$K71/$T71," ")," ")</f>
        <v/>
      </c>
      <c r="V71" s="105">
        <f>IF($T71&gt;0,IF($R71&gt;0,IF($T71=$R71,"No","Yes")," ")," ")</f>
        <v/>
      </c>
      <c r="W71" s="110" t="n"/>
      <c r="X71" s="107">
        <f>IF($W71&gt;0,TODAY()-$W71," ")</f>
        <v/>
      </c>
      <c r="Y71" s="105" t="n"/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6" t="n"/>
      <c r="G72" s="93" t="n"/>
      <c r="H72" s="97" t="n"/>
      <c r="I72" s="97" t="n"/>
      <c r="J72" s="97" t="n"/>
      <c r="K72" s="98" t="n"/>
      <c r="L72" s="99">
        <f>IF($K72&gt;0,$K72/$H72," ")</f>
        <v/>
      </c>
      <c r="M72" s="100" t="n"/>
      <c r="N72" s="101">
        <f>IF($M72&gt;0,($M72-TODAY())/365," ")</f>
        <v/>
      </c>
      <c r="O72" s="95" t="n"/>
      <c r="P72" s="95" t="n"/>
      <c r="Q72" s="95" t="n"/>
      <c r="R72" s="98" t="n"/>
      <c r="S72" s="102">
        <f>IF($R72&gt;0,IF($K72&gt;0,$K72/$R72," ")," ")</f>
        <v/>
      </c>
      <c r="T72" s="98" t="n"/>
      <c r="U72" s="102">
        <f>IF($T72&gt;0,IF($K72&gt;0,$K72/$T72," ")," ")</f>
        <v/>
      </c>
      <c r="V72" s="95">
        <f>IF($T72&gt;0,IF($R72&gt;0,IF($T72=$R72,"No","Yes")," ")," ")</f>
        <v/>
      </c>
      <c r="W72" s="100" t="n"/>
      <c r="X72" s="97">
        <f>IF($W72&gt;0,TODAY()-$W72," ")</f>
        <v/>
      </c>
      <c r="Y72" s="95" t="n"/>
    </row>
    <row r="73" ht="15" customHeight="1" s="46">
      <c r="A73" s="103">
        <f>IFERROR(ROW()-5,"")</f>
        <v/>
      </c>
      <c r="B73" s="104" t="n"/>
      <c r="C73" s="104" t="n"/>
      <c r="D73" s="105" t="n"/>
      <c r="E73" s="105" t="n"/>
      <c r="F73" s="106" t="n"/>
      <c r="G73" s="103" t="n"/>
      <c r="H73" s="107" t="n"/>
      <c r="I73" s="107" t="n"/>
      <c r="J73" s="107" t="n"/>
      <c r="K73" s="108" t="n"/>
      <c r="L73" s="109">
        <f>IF($K73&gt;0,$K73/$H73," ")</f>
        <v/>
      </c>
      <c r="M73" s="110" t="n"/>
      <c r="N73" s="111">
        <f>IF($M73&gt;0,($M73-TODAY())/365," ")</f>
        <v/>
      </c>
      <c r="O73" s="105" t="n"/>
      <c r="P73" s="105" t="n"/>
      <c r="Q73" s="105" t="n"/>
      <c r="R73" s="108" t="n"/>
      <c r="S73" s="112">
        <f>IF($R73&gt;0,IF($K73&gt;0,$K73/$R73," ")," ")</f>
        <v/>
      </c>
      <c r="T73" s="108" t="n"/>
      <c r="U73" s="112">
        <f>IF($T73&gt;0,IF($K73&gt;0,$K73/$T73," ")," ")</f>
        <v/>
      </c>
      <c r="V73" s="105">
        <f>IF($T73&gt;0,IF($R73&gt;0,IF($T73=$R73,"No","Yes")," ")," ")</f>
        <v/>
      </c>
      <c r="W73" s="110" t="n"/>
      <c r="X73" s="107">
        <f>IF($W73&gt;0,TODAY()-$W73," ")</f>
        <v/>
      </c>
      <c r="Y73" s="105" t="n"/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6" t="n"/>
      <c r="G74" s="93" t="n"/>
      <c r="H74" s="97" t="n"/>
      <c r="I74" s="97" t="n"/>
      <c r="J74" s="97" t="n"/>
      <c r="K74" s="98" t="n"/>
      <c r="L74" s="99">
        <f>IF($K74&gt;0,$K74/$H74," ")</f>
        <v/>
      </c>
      <c r="M74" s="100" t="n"/>
      <c r="N74" s="101">
        <f>IF($M74&gt;0,($M74-TODAY())/365," ")</f>
        <v/>
      </c>
      <c r="O74" s="95" t="n"/>
      <c r="P74" s="95" t="n"/>
      <c r="Q74" s="95" t="n"/>
      <c r="R74" s="98" t="n"/>
      <c r="S74" s="102">
        <f>IF($R74&gt;0,IF($K74&gt;0,$K74/$R74," ")," ")</f>
        <v/>
      </c>
      <c r="T74" s="98" t="n"/>
      <c r="U74" s="102">
        <f>IF($T74&gt;0,IF($K74&gt;0,$K74/$T74," ")," ")</f>
        <v/>
      </c>
      <c r="V74" s="95">
        <f>IF($T74&gt;0,IF($R74&gt;0,IF($T74=$R74,"No","Yes")," ")," ")</f>
        <v/>
      </c>
      <c r="W74" s="100" t="n"/>
      <c r="X74" s="97">
        <f>IF($W74&gt;0,TODAY()-$W74," ")</f>
        <v/>
      </c>
      <c r="Y74" s="95" t="n"/>
    </row>
    <row r="75" ht="15" customHeight="1" s="46">
      <c r="A75" s="103">
        <f>IFERROR(ROW()-5,"")</f>
        <v/>
      </c>
      <c r="B75" s="104" t="n"/>
      <c r="C75" s="104" t="n"/>
      <c r="D75" s="105" t="n"/>
      <c r="E75" s="105" t="n"/>
      <c r="F75" s="106" t="n"/>
      <c r="G75" s="103" t="n"/>
      <c r="H75" s="107" t="n"/>
      <c r="I75" s="107" t="n"/>
      <c r="J75" s="107" t="n"/>
      <c r="K75" s="108" t="n"/>
      <c r="L75" s="109">
        <f>IF($K75&gt;0,$K75/$H75," ")</f>
        <v/>
      </c>
      <c r="M75" s="110" t="n"/>
      <c r="N75" s="111">
        <f>IF($M75&gt;0,($M75-TODAY())/365," ")</f>
        <v/>
      </c>
      <c r="O75" s="105" t="n"/>
      <c r="P75" s="105" t="n"/>
      <c r="Q75" s="105" t="n"/>
      <c r="R75" s="108" t="n"/>
      <c r="S75" s="112">
        <f>IF($R75&gt;0,IF($K75&gt;0,$K75/$R75," ")," ")</f>
        <v/>
      </c>
      <c r="T75" s="108" t="n"/>
      <c r="U75" s="112">
        <f>IF($T75&gt;0,IF($K75&gt;0,$K75/$T75," ")," ")</f>
        <v/>
      </c>
      <c r="V75" s="105">
        <f>IF($T75&gt;0,IF($R75&gt;0,IF($T75=$R75,"No","Yes")," ")," ")</f>
        <v/>
      </c>
      <c r="W75" s="110" t="n"/>
      <c r="X75" s="107">
        <f>IF($W75&gt;0,TODAY()-$W75," ")</f>
        <v/>
      </c>
      <c r="Y75" s="105" t="n"/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6" t="n"/>
      <c r="G76" s="93" t="n"/>
      <c r="H76" s="97" t="n"/>
      <c r="I76" s="97" t="n"/>
      <c r="J76" s="97" t="n"/>
      <c r="K76" s="98" t="n"/>
      <c r="L76" s="99">
        <f>IF($K76&gt;0,$K76/$H76," ")</f>
        <v/>
      </c>
      <c r="M76" s="100" t="n"/>
      <c r="N76" s="101">
        <f>IF($M76&gt;0,($M76-TODAY())/365," ")</f>
        <v/>
      </c>
      <c r="O76" s="95" t="n"/>
      <c r="P76" s="95" t="n"/>
      <c r="Q76" s="95" t="n"/>
      <c r="R76" s="98" t="n"/>
      <c r="S76" s="102">
        <f>IF($R76&gt;0,IF($K76&gt;0,$K76/$R76," ")," ")</f>
        <v/>
      </c>
      <c r="T76" s="98" t="n"/>
      <c r="U76" s="102">
        <f>IF($T76&gt;0,IF($K76&gt;0,$K76/$T76," ")," ")</f>
        <v/>
      </c>
      <c r="V76" s="95">
        <f>IF($T76&gt;0,IF($R76&gt;0,IF($T76=$R76,"No","Yes")," ")," ")</f>
        <v/>
      </c>
      <c r="W76" s="100" t="n"/>
      <c r="X76" s="97">
        <f>IF($W76&gt;0,TODAY()-$W76," ")</f>
        <v/>
      </c>
      <c r="Y76" s="95" t="n"/>
    </row>
    <row r="77" ht="15" customHeight="1" s="46">
      <c r="A77" s="103">
        <f>IFERROR(ROW()-5,"")</f>
        <v/>
      </c>
      <c r="B77" s="104" t="n"/>
      <c r="C77" s="104" t="n"/>
      <c r="D77" s="105" t="n"/>
      <c r="E77" s="105" t="n"/>
      <c r="F77" s="106" t="n"/>
      <c r="G77" s="103" t="n"/>
      <c r="H77" s="107" t="n"/>
      <c r="I77" s="107" t="n"/>
      <c r="J77" s="107" t="n"/>
      <c r="K77" s="108" t="n"/>
      <c r="L77" s="109">
        <f>IF($K77&gt;0,$K77/$H77," ")</f>
        <v/>
      </c>
      <c r="M77" s="110" t="n"/>
      <c r="N77" s="111">
        <f>IF($M77&gt;0,($M77-TODAY())/365," ")</f>
        <v/>
      </c>
      <c r="O77" s="105" t="n"/>
      <c r="P77" s="105" t="n"/>
      <c r="Q77" s="105" t="n"/>
      <c r="R77" s="108" t="n"/>
      <c r="S77" s="112">
        <f>IF($R77&gt;0,IF($K77&gt;0,$K77/$R77," ")," ")</f>
        <v/>
      </c>
      <c r="T77" s="108" t="n"/>
      <c r="U77" s="112">
        <f>IF($T77&gt;0,IF($K77&gt;0,$K77/$T77," ")," ")</f>
        <v/>
      </c>
      <c r="V77" s="105">
        <f>IF($T77&gt;0,IF($R77&gt;0,IF($T77=$R77,"No","Yes")," ")," ")</f>
        <v/>
      </c>
      <c r="W77" s="110" t="n"/>
      <c r="X77" s="107">
        <f>IF($W77&gt;0,TODAY()-$W77," ")</f>
        <v/>
      </c>
      <c r="Y77" s="105" t="n"/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6" t="n"/>
      <c r="G78" s="93" t="n"/>
      <c r="H78" s="97" t="n"/>
      <c r="I78" s="97" t="n"/>
      <c r="J78" s="97" t="n"/>
      <c r="K78" s="98" t="n"/>
      <c r="L78" s="99">
        <f>IF($K78&gt;0,$K78/$H78," ")</f>
        <v/>
      </c>
      <c r="M78" s="100" t="n"/>
      <c r="N78" s="101">
        <f>IF($M78&gt;0,($M78-TODAY())/365," ")</f>
        <v/>
      </c>
      <c r="O78" s="95" t="n"/>
      <c r="P78" s="95" t="n"/>
      <c r="Q78" s="95" t="n"/>
      <c r="R78" s="98" t="n"/>
      <c r="S78" s="102">
        <f>IF($R78&gt;0,IF($K78&gt;0,$K78/$R78," ")," ")</f>
        <v/>
      </c>
      <c r="T78" s="98" t="n"/>
      <c r="U78" s="102">
        <f>IF($T78&gt;0,IF($K78&gt;0,$K78/$T78," ")," ")</f>
        <v/>
      </c>
      <c r="V78" s="95">
        <f>IF($T78&gt;0,IF($R78&gt;0,IF($T78=$R78,"No","Yes")," ")," ")</f>
        <v/>
      </c>
      <c r="W78" s="100" t="n"/>
      <c r="X78" s="97">
        <f>IF($W78&gt;0,TODAY()-$W78," ")</f>
        <v/>
      </c>
      <c r="Y78" s="95" t="n"/>
    </row>
    <row r="79" ht="15" customHeight="1" s="46">
      <c r="A79" s="103">
        <f>IFERROR(ROW()-5,"")</f>
        <v/>
      </c>
      <c r="B79" s="104" t="n"/>
      <c r="C79" s="104" t="n"/>
      <c r="D79" s="105" t="n"/>
      <c r="E79" s="105" t="n"/>
      <c r="F79" s="106" t="n"/>
      <c r="G79" s="103" t="n"/>
      <c r="H79" s="107" t="n"/>
      <c r="I79" s="107" t="n"/>
      <c r="J79" s="107" t="n"/>
      <c r="K79" s="108" t="n"/>
      <c r="L79" s="109">
        <f>IF($K79&gt;0,$K79/$H79," ")</f>
        <v/>
      </c>
      <c r="M79" s="110" t="n"/>
      <c r="N79" s="111">
        <f>IF($M79&gt;0,($M79-TODAY())/365," ")</f>
        <v/>
      </c>
      <c r="O79" s="105" t="n"/>
      <c r="P79" s="105" t="n"/>
      <c r="Q79" s="105" t="n"/>
      <c r="R79" s="108" t="n"/>
      <c r="S79" s="112">
        <f>IF($R79&gt;0,IF($K79&gt;0,$K79/$R79," ")," ")</f>
        <v/>
      </c>
      <c r="T79" s="108" t="n"/>
      <c r="U79" s="112">
        <f>IF($T79&gt;0,IF($K79&gt;0,$K79/$T79," ")," ")</f>
        <v/>
      </c>
      <c r="V79" s="105">
        <f>IF($T79&gt;0,IF($R79&gt;0,IF($T79=$R79,"No","Yes")," ")," ")</f>
        <v/>
      </c>
      <c r="W79" s="110" t="n"/>
      <c r="X79" s="107">
        <f>IF($W79&gt;0,TODAY()-$W79," ")</f>
        <v/>
      </c>
      <c r="Y79" s="105" t="n"/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6" t="n"/>
      <c r="G80" s="93" t="n"/>
      <c r="H80" s="97" t="n"/>
      <c r="I80" s="97" t="n"/>
      <c r="J80" s="97" t="n"/>
      <c r="K80" s="98" t="n"/>
      <c r="L80" s="99">
        <f>IF($K80&gt;0,$K80/$H80," ")</f>
        <v/>
      </c>
      <c r="M80" s="100" t="n"/>
      <c r="N80" s="101">
        <f>IF($M80&gt;0,($M80-TODAY())/365," ")</f>
        <v/>
      </c>
      <c r="O80" s="95" t="n"/>
      <c r="P80" s="95" t="n"/>
      <c r="Q80" s="95" t="n"/>
      <c r="R80" s="98" t="n"/>
      <c r="S80" s="102">
        <f>IF($R80&gt;0,IF($K80&gt;0,$K80/$R80," ")," ")</f>
        <v/>
      </c>
      <c r="T80" s="98" t="n"/>
      <c r="U80" s="102">
        <f>IF($T80&gt;0,IF($K80&gt;0,$K80/$T80," ")," ")</f>
        <v/>
      </c>
      <c r="V80" s="95">
        <f>IF($T80&gt;0,IF($R80&gt;0,IF($T80=$R80,"No","Yes")," ")," ")</f>
        <v/>
      </c>
      <c r="W80" s="100" t="n"/>
      <c r="X80" s="97">
        <f>IF($W80&gt;0,TODAY()-$W80," ")</f>
        <v/>
      </c>
      <c r="Y80" s="95" t="n"/>
    </row>
    <row r="81" ht="15" customHeight="1" s="46">
      <c r="A81" s="103">
        <f>IFERROR(ROW()-5,"")</f>
        <v/>
      </c>
      <c r="B81" s="104" t="n"/>
      <c r="C81" s="104" t="n"/>
      <c r="D81" s="105" t="n"/>
      <c r="E81" s="105" t="n"/>
      <c r="F81" s="106" t="n"/>
      <c r="G81" s="103" t="n"/>
      <c r="H81" s="107" t="n"/>
      <c r="I81" s="107" t="n"/>
      <c r="J81" s="107" t="n"/>
      <c r="K81" s="108" t="n"/>
      <c r="L81" s="109">
        <f>IF($K81&gt;0,$K81/$H81," ")</f>
        <v/>
      </c>
      <c r="M81" s="110" t="n"/>
      <c r="N81" s="111">
        <f>IF($M81&gt;0,($M81-TODAY())/365," ")</f>
        <v/>
      </c>
      <c r="O81" s="105" t="n"/>
      <c r="P81" s="105" t="n"/>
      <c r="Q81" s="105" t="n"/>
      <c r="R81" s="108" t="n"/>
      <c r="S81" s="112">
        <f>IF($R81&gt;0,IF($K81&gt;0,$K81/$R81," ")," ")</f>
        <v/>
      </c>
      <c r="T81" s="108" t="n"/>
      <c r="U81" s="112">
        <f>IF($T81&gt;0,IF($K81&gt;0,$K81/$T81," ")," ")</f>
        <v/>
      </c>
      <c r="V81" s="105">
        <f>IF($T81&gt;0,IF($R81&gt;0,IF($T81=$R81,"No","Yes")," ")," ")</f>
        <v/>
      </c>
      <c r="W81" s="110" t="n"/>
      <c r="X81" s="107">
        <f>IF($W81&gt;0,TODAY()-$W81," ")</f>
        <v/>
      </c>
      <c r="Y81" s="105" t="n"/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6" t="n"/>
      <c r="G82" s="93" t="n"/>
      <c r="H82" s="97" t="n"/>
      <c r="I82" s="97" t="n"/>
      <c r="J82" s="97" t="n"/>
      <c r="K82" s="98" t="n"/>
      <c r="L82" s="99">
        <f>IF($K82&gt;0,$K82/$H82," ")</f>
        <v/>
      </c>
      <c r="M82" s="100" t="n"/>
      <c r="N82" s="101">
        <f>IF($M82&gt;0,($M82-TODAY())/365," ")</f>
        <v/>
      </c>
      <c r="O82" s="95" t="n"/>
      <c r="P82" s="95" t="n"/>
      <c r="Q82" s="95" t="n"/>
      <c r="R82" s="98" t="n"/>
      <c r="S82" s="102">
        <f>IF($R82&gt;0,IF($K82&gt;0,$K82/$R82," ")," ")</f>
        <v/>
      </c>
      <c r="T82" s="98" t="n"/>
      <c r="U82" s="102">
        <f>IF($T82&gt;0,IF($K82&gt;0,$K82/$T82," ")," ")</f>
        <v/>
      </c>
      <c r="V82" s="95">
        <f>IF($T82&gt;0,IF($R82&gt;0,IF($T82=$R82,"No","Yes")," ")," ")</f>
        <v/>
      </c>
      <c r="W82" s="100" t="n"/>
      <c r="X82" s="97">
        <f>IF($W82&gt;0,TODAY()-$W82," ")</f>
        <v/>
      </c>
      <c r="Y82" s="95" t="n"/>
    </row>
    <row r="83" ht="15" customHeight="1" s="46">
      <c r="A83" s="103">
        <f>IFERROR(ROW()-5,"")</f>
        <v/>
      </c>
      <c r="B83" s="104" t="n"/>
      <c r="C83" s="104" t="n"/>
      <c r="D83" s="105" t="n"/>
      <c r="E83" s="105" t="n"/>
      <c r="F83" s="106" t="n"/>
      <c r="G83" s="103" t="n"/>
      <c r="H83" s="107" t="n"/>
      <c r="I83" s="107" t="n"/>
      <c r="J83" s="107" t="n"/>
      <c r="K83" s="108" t="n"/>
      <c r="L83" s="109">
        <f>IF($K83&gt;0,$K83/$H83," ")</f>
        <v/>
      </c>
      <c r="M83" s="110" t="n"/>
      <c r="N83" s="111">
        <f>IF($M83&gt;0,($M83-TODAY())/365," ")</f>
        <v/>
      </c>
      <c r="O83" s="105" t="n"/>
      <c r="P83" s="105" t="n"/>
      <c r="Q83" s="105" t="n"/>
      <c r="R83" s="108" t="n"/>
      <c r="S83" s="112">
        <f>IF($R83&gt;0,IF($K83&gt;0,$K83/$R83," ")," ")</f>
        <v/>
      </c>
      <c r="T83" s="108" t="n"/>
      <c r="U83" s="112">
        <f>IF($T83&gt;0,IF($K83&gt;0,$K83/$T83," ")," ")</f>
        <v/>
      </c>
      <c r="V83" s="105">
        <f>IF($T83&gt;0,IF($R83&gt;0,IF($T83=$R83,"No","Yes")," ")," ")</f>
        <v/>
      </c>
      <c r="W83" s="110" t="n"/>
      <c r="X83" s="107">
        <f>IF($W83&gt;0,TODAY()-$W83," ")</f>
        <v/>
      </c>
      <c r="Y83" s="105" t="n"/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6" t="n"/>
      <c r="G84" s="93" t="n"/>
      <c r="H84" s="97" t="n"/>
      <c r="I84" s="97" t="n"/>
      <c r="J84" s="97" t="n"/>
      <c r="K84" s="98" t="n"/>
      <c r="L84" s="99">
        <f>IF($K84&gt;0,$K84/$H84," ")</f>
        <v/>
      </c>
      <c r="M84" s="100" t="n"/>
      <c r="N84" s="101">
        <f>IF($M84&gt;0,($M84-TODAY())/365," ")</f>
        <v/>
      </c>
      <c r="O84" s="95" t="n"/>
      <c r="P84" s="95" t="n"/>
      <c r="Q84" s="95" t="n"/>
      <c r="R84" s="98" t="n"/>
      <c r="S84" s="102">
        <f>IF($R84&gt;0,IF($K84&gt;0,$K84/$R84," ")," ")</f>
        <v/>
      </c>
      <c r="T84" s="98" t="n"/>
      <c r="U84" s="102">
        <f>IF($T84&gt;0,IF($K84&gt;0,$K84/$T84," ")," ")</f>
        <v/>
      </c>
      <c r="V84" s="95">
        <f>IF($T84&gt;0,IF($R84&gt;0,IF($T84=$R84,"No","Yes")," ")," ")</f>
        <v/>
      </c>
      <c r="W84" s="100" t="n"/>
      <c r="X84" s="97">
        <f>IF($W84&gt;0,TODAY()-$W84," ")</f>
        <v/>
      </c>
      <c r="Y84" s="95" t="n"/>
    </row>
    <row r="85" ht="15" customHeight="1" s="46">
      <c r="A85" s="103">
        <f>IFERROR(ROW()-5,"")</f>
        <v/>
      </c>
      <c r="B85" s="104" t="n"/>
      <c r="C85" s="104" t="n"/>
      <c r="D85" s="105" t="n"/>
      <c r="E85" s="105" t="n"/>
      <c r="F85" s="106" t="n"/>
      <c r="G85" s="103" t="n"/>
      <c r="H85" s="107" t="n"/>
      <c r="I85" s="107" t="n"/>
      <c r="J85" s="107" t="n"/>
      <c r="K85" s="108" t="n"/>
      <c r="L85" s="109">
        <f>IF($K85&gt;0,$K85/$H85," ")</f>
        <v/>
      </c>
      <c r="M85" s="110" t="n"/>
      <c r="N85" s="111">
        <f>IF($M85&gt;0,($M85-TODAY())/365," ")</f>
        <v/>
      </c>
      <c r="O85" s="105" t="n"/>
      <c r="P85" s="105" t="n"/>
      <c r="Q85" s="105" t="n"/>
      <c r="R85" s="108" t="n"/>
      <c r="S85" s="112">
        <f>IF($R85&gt;0,IF($K85&gt;0,$K85/$R85," ")," ")</f>
        <v/>
      </c>
      <c r="T85" s="108" t="n"/>
      <c r="U85" s="112">
        <f>IF($T85&gt;0,IF($K85&gt;0,$K85/$T85," ")," ")</f>
        <v/>
      </c>
      <c r="V85" s="105">
        <f>IF($T85&gt;0,IF($R85&gt;0,IF($T85=$R85,"No","Yes")," ")," ")</f>
        <v/>
      </c>
      <c r="W85" s="110" t="n"/>
      <c r="X85" s="107">
        <f>IF($W85&gt;0,TODAY()-$W85," ")</f>
        <v/>
      </c>
      <c r="Y85" s="105" t="n"/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6" t="n"/>
      <c r="G86" s="93" t="n"/>
      <c r="H86" s="97" t="n"/>
      <c r="I86" s="97" t="n"/>
      <c r="J86" s="97" t="n"/>
      <c r="K86" s="98" t="n"/>
      <c r="L86" s="99">
        <f>IF($K86&gt;0,$K86/$H86," ")</f>
        <v/>
      </c>
      <c r="M86" s="100" t="n"/>
      <c r="N86" s="101">
        <f>IF($M86&gt;0,($M86-TODAY())/365," ")</f>
        <v/>
      </c>
      <c r="O86" s="95" t="n"/>
      <c r="P86" s="95" t="n"/>
      <c r="Q86" s="95" t="n"/>
      <c r="R86" s="98" t="n"/>
      <c r="S86" s="102">
        <f>IF($R86&gt;0,IF($K86&gt;0,$K86/$R86," ")," ")</f>
        <v/>
      </c>
      <c r="T86" s="98" t="n"/>
      <c r="U86" s="102">
        <f>IF($T86&gt;0,IF($K86&gt;0,$K86/$T86," ")," ")</f>
        <v/>
      </c>
      <c r="V86" s="95">
        <f>IF($T86&gt;0,IF($R86&gt;0,IF($T86=$R86,"No","Yes")," ")," ")</f>
        <v/>
      </c>
      <c r="W86" s="100" t="n"/>
      <c r="X86" s="97">
        <f>IF($W86&gt;0,TODAY()-$W86," ")</f>
        <v/>
      </c>
      <c r="Y86" s="95" t="n"/>
    </row>
    <row r="87" ht="15" customHeight="1" s="46">
      <c r="A87" s="103">
        <f>IFERROR(ROW()-5,"")</f>
        <v/>
      </c>
      <c r="B87" s="104" t="n"/>
      <c r="C87" s="104" t="n"/>
      <c r="D87" s="105" t="n"/>
      <c r="E87" s="105" t="n"/>
      <c r="F87" s="106" t="n"/>
      <c r="G87" s="103" t="n"/>
      <c r="H87" s="107" t="n"/>
      <c r="I87" s="107" t="n"/>
      <c r="J87" s="107" t="n"/>
      <c r="K87" s="108" t="n"/>
      <c r="L87" s="109">
        <f>IF($K87&gt;0,$K87/$H87," ")</f>
        <v/>
      </c>
      <c r="M87" s="110" t="n"/>
      <c r="N87" s="111">
        <f>IF($M87&gt;0,($M87-TODAY())/365," ")</f>
        <v/>
      </c>
      <c r="O87" s="105" t="n"/>
      <c r="P87" s="105" t="n"/>
      <c r="Q87" s="105" t="n"/>
      <c r="R87" s="108" t="n"/>
      <c r="S87" s="112">
        <f>IF($R87&gt;0,IF($K87&gt;0,$K87/$R87," ")," ")</f>
        <v/>
      </c>
      <c r="T87" s="108" t="n"/>
      <c r="U87" s="112">
        <f>IF($T87&gt;0,IF($K87&gt;0,$K87/$T87," ")," ")</f>
        <v/>
      </c>
      <c r="V87" s="105">
        <f>IF($T87&gt;0,IF($R87&gt;0,IF($T87=$R87,"No","Yes")," ")," ")</f>
        <v/>
      </c>
      <c r="W87" s="110" t="n"/>
      <c r="X87" s="107">
        <f>IF($W87&gt;0,TODAY()-$W87," ")</f>
        <v/>
      </c>
      <c r="Y87" s="105" t="n"/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6" t="n"/>
      <c r="G88" s="93" t="n"/>
      <c r="H88" s="97" t="n"/>
      <c r="I88" s="97" t="n"/>
      <c r="J88" s="97" t="n"/>
      <c r="K88" s="98" t="n"/>
      <c r="L88" s="99">
        <f>IF($K88&gt;0,$K88/$H88," ")</f>
        <v/>
      </c>
      <c r="M88" s="100" t="n"/>
      <c r="N88" s="101">
        <f>IF($M88&gt;0,($M88-TODAY())/365," ")</f>
        <v/>
      </c>
      <c r="O88" s="95" t="n"/>
      <c r="P88" s="95" t="n"/>
      <c r="Q88" s="95" t="n"/>
      <c r="R88" s="98" t="n"/>
      <c r="S88" s="102">
        <f>IF($R88&gt;0,IF($K88&gt;0,$K88/$R88," ")," ")</f>
        <v/>
      </c>
      <c r="T88" s="98" t="n"/>
      <c r="U88" s="102">
        <f>IF($T88&gt;0,IF($K88&gt;0,$K88/$T88," ")," ")</f>
        <v/>
      </c>
      <c r="V88" s="95">
        <f>IF($T88&gt;0,IF($R88&gt;0,IF($T88=$R88,"No","Yes")," ")," ")</f>
        <v/>
      </c>
      <c r="W88" s="100" t="n"/>
      <c r="X88" s="97">
        <f>IF($W88&gt;0,TODAY()-$W88," ")</f>
        <v/>
      </c>
      <c r="Y88" s="95" t="n"/>
    </row>
    <row r="89" ht="15" customHeight="1" s="46">
      <c r="A89" s="103">
        <f>IFERROR(ROW()-5,"")</f>
        <v/>
      </c>
      <c r="B89" s="104" t="n"/>
      <c r="C89" s="104" t="n"/>
      <c r="D89" s="105" t="n"/>
      <c r="E89" s="105" t="n"/>
      <c r="F89" s="106" t="n"/>
      <c r="G89" s="103" t="n"/>
      <c r="H89" s="107" t="n"/>
      <c r="I89" s="107" t="n"/>
      <c r="J89" s="107" t="n"/>
      <c r="K89" s="108" t="n"/>
      <c r="L89" s="109">
        <f>IF($K89&gt;0,$K89/$H89," ")</f>
        <v/>
      </c>
      <c r="M89" s="110" t="n"/>
      <c r="N89" s="111">
        <f>IF($M89&gt;0,($M89-TODAY())/365," ")</f>
        <v/>
      </c>
      <c r="O89" s="105" t="n"/>
      <c r="P89" s="105" t="n"/>
      <c r="Q89" s="105" t="n"/>
      <c r="R89" s="108" t="n"/>
      <c r="S89" s="112">
        <f>IF($R89&gt;0,IF($K89&gt;0,$K89/$R89," ")," ")</f>
        <v/>
      </c>
      <c r="T89" s="108" t="n"/>
      <c r="U89" s="112">
        <f>IF($T89&gt;0,IF($K89&gt;0,$K89/$T89," ")," ")</f>
        <v/>
      </c>
      <c r="V89" s="105">
        <f>IF($T89&gt;0,IF($R89&gt;0,IF($T89=$R89,"No","Yes")," ")," ")</f>
        <v/>
      </c>
      <c r="W89" s="110" t="n"/>
      <c r="X89" s="107">
        <f>IF($W89&gt;0,TODAY()-$W89," ")</f>
        <v/>
      </c>
      <c r="Y89" s="105" t="n"/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6" t="n"/>
      <c r="G90" s="93" t="n"/>
      <c r="H90" s="97" t="n"/>
      <c r="I90" s="97" t="n"/>
      <c r="J90" s="97" t="n"/>
      <c r="K90" s="98" t="n"/>
      <c r="L90" s="99">
        <f>IF($K90&gt;0,$K90/$H90," ")</f>
        <v/>
      </c>
      <c r="M90" s="100" t="n"/>
      <c r="N90" s="101">
        <f>IF($M90&gt;0,($M90-TODAY())/365," ")</f>
        <v/>
      </c>
      <c r="O90" s="95" t="n"/>
      <c r="P90" s="95" t="n"/>
      <c r="Q90" s="95" t="n"/>
      <c r="R90" s="98" t="n"/>
      <c r="S90" s="102">
        <f>IF($R90&gt;0,IF($K90&gt;0,$K90/$R90," ")," ")</f>
        <v/>
      </c>
      <c r="T90" s="98" t="n"/>
      <c r="U90" s="102">
        <f>IF($T90&gt;0,IF($K90&gt;0,$K90/$T90," ")," ")</f>
        <v/>
      </c>
      <c r="V90" s="95">
        <f>IF($T90&gt;0,IF($R90&gt;0,IF($T90=$R90,"No","Yes")," ")," ")</f>
        <v/>
      </c>
      <c r="W90" s="100" t="n"/>
      <c r="X90" s="97">
        <f>IF($W90&gt;0,TODAY()-$W90," ")</f>
        <v/>
      </c>
      <c r="Y90" s="95" t="n"/>
    </row>
    <row r="91" ht="15" customHeight="1" s="46">
      <c r="A91" s="103">
        <f>IFERROR(ROW()-5,"")</f>
        <v/>
      </c>
      <c r="B91" s="104" t="n"/>
      <c r="C91" s="104" t="n"/>
      <c r="D91" s="105" t="n"/>
      <c r="E91" s="105" t="n"/>
      <c r="F91" s="106" t="n"/>
      <c r="G91" s="103" t="n"/>
      <c r="H91" s="107" t="n"/>
      <c r="I91" s="107" t="n"/>
      <c r="J91" s="107" t="n"/>
      <c r="K91" s="108" t="n"/>
      <c r="L91" s="109">
        <f>IF($K91&gt;0,$K91/$H91," ")</f>
        <v/>
      </c>
      <c r="M91" s="110" t="n"/>
      <c r="N91" s="111">
        <f>IF($M91&gt;0,($M91-TODAY())/365," ")</f>
        <v/>
      </c>
      <c r="O91" s="105" t="n"/>
      <c r="P91" s="105" t="n"/>
      <c r="Q91" s="105" t="n"/>
      <c r="R91" s="108" t="n"/>
      <c r="S91" s="112">
        <f>IF($R91&gt;0,IF($K91&gt;0,$K91/$R91," ")," ")</f>
        <v/>
      </c>
      <c r="T91" s="108" t="n"/>
      <c r="U91" s="112">
        <f>IF($T91&gt;0,IF($K91&gt;0,$K91/$T91," ")," ")</f>
        <v/>
      </c>
      <c r="V91" s="105">
        <f>IF($T91&gt;0,IF($R91&gt;0,IF($T91=$R91,"No","Yes")," ")," ")</f>
        <v/>
      </c>
      <c r="W91" s="110" t="n"/>
      <c r="X91" s="107">
        <f>IF($W91&gt;0,TODAY()-$W91," ")</f>
        <v/>
      </c>
      <c r="Y91" s="105" t="n"/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6" t="n"/>
      <c r="G92" s="93" t="n"/>
      <c r="H92" s="97" t="n"/>
      <c r="I92" s="97" t="n"/>
      <c r="J92" s="97" t="n"/>
      <c r="K92" s="98" t="n"/>
      <c r="L92" s="99">
        <f>IF($K92&gt;0,$K92/$H92," ")</f>
        <v/>
      </c>
      <c r="M92" s="100" t="n"/>
      <c r="N92" s="101">
        <f>IF($M92&gt;0,($M92-TODAY())/365," ")</f>
        <v/>
      </c>
      <c r="O92" s="95" t="n"/>
      <c r="P92" s="95" t="n"/>
      <c r="Q92" s="95" t="n"/>
      <c r="R92" s="98" t="n"/>
      <c r="S92" s="102">
        <f>IF($R92&gt;0,IF($K92&gt;0,$K92/$R92," ")," ")</f>
        <v/>
      </c>
      <c r="T92" s="98" t="n"/>
      <c r="U92" s="102">
        <f>IF($T92&gt;0,IF($K92&gt;0,$K92/$T92," ")," ")</f>
        <v/>
      </c>
      <c r="V92" s="95">
        <f>IF($T92&gt;0,IF($R92&gt;0,IF($T92=$R92,"No","Yes")," ")," ")</f>
        <v/>
      </c>
      <c r="W92" s="100" t="n"/>
      <c r="X92" s="97">
        <f>IF($W92&gt;0,TODAY()-$W92," ")</f>
        <v/>
      </c>
      <c r="Y92" s="95" t="n"/>
    </row>
    <row r="93" ht="15" customHeight="1" s="46">
      <c r="A93" s="103">
        <f>IFERROR(ROW()-5,"")</f>
        <v/>
      </c>
      <c r="B93" s="104" t="n"/>
      <c r="C93" s="104" t="n"/>
      <c r="D93" s="105" t="n"/>
      <c r="E93" s="105" t="n"/>
      <c r="F93" s="106" t="n"/>
      <c r="G93" s="103" t="n"/>
      <c r="H93" s="107" t="n"/>
      <c r="I93" s="107" t="n"/>
      <c r="J93" s="107" t="n"/>
      <c r="K93" s="108" t="n"/>
      <c r="L93" s="109">
        <f>IF($K93&gt;0,$K93/$H93," ")</f>
        <v/>
      </c>
      <c r="M93" s="110" t="n"/>
      <c r="N93" s="111">
        <f>IF($M93&gt;0,($M93-TODAY())/365," ")</f>
        <v/>
      </c>
      <c r="O93" s="105" t="n"/>
      <c r="P93" s="105" t="n"/>
      <c r="Q93" s="105" t="n"/>
      <c r="R93" s="108" t="n"/>
      <c r="S93" s="112">
        <f>IF($R93&gt;0,IF($K93&gt;0,$K93/$R93," ")," ")</f>
        <v/>
      </c>
      <c r="T93" s="108" t="n"/>
      <c r="U93" s="112">
        <f>IF($T93&gt;0,IF($K93&gt;0,$K93/$T93," ")," ")</f>
        <v/>
      </c>
      <c r="V93" s="105">
        <f>IF($T93&gt;0,IF($R93&gt;0,IF($T93=$R93,"No","Yes")," ")," ")</f>
        <v/>
      </c>
      <c r="W93" s="110" t="n"/>
      <c r="X93" s="107">
        <f>IF($W93&gt;0,TODAY()-$W93," ")</f>
        <v/>
      </c>
      <c r="Y93" s="105" t="n"/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6" t="n"/>
      <c r="G94" s="93" t="n"/>
      <c r="H94" s="97" t="n"/>
      <c r="I94" s="97" t="n"/>
      <c r="J94" s="97" t="n"/>
      <c r="K94" s="98" t="n"/>
      <c r="L94" s="99">
        <f>IF($K94&gt;0,$K94/$H94," ")</f>
        <v/>
      </c>
      <c r="M94" s="100" t="n"/>
      <c r="N94" s="101">
        <f>IF($M94&gt;0,($M94-TODAY())/365," ")</f>
        <v/>
      </c>
      <c r="O94" s="95" t="n"/>
      <c r="P94" s="95" t="n"/>
      <c r="Q94" s="95" t="n"/>
      <c r="R94" s="98" t="n"/>
      <c r="S94" s="102">
        <f>IF($R94&gt;0,IF($K94&gt;0,$K94/$R94," ")," ")</f>
        <v/>
      </c>
      <c r="T94" s="98" t="n"/>
      <c r="U94" s="102">
        <f>IF($T94&gt;0,IF($K94&gt;0,$K94/$T94," ")," ")</f>
        <v/>
      </c>
      <c r="V94" s="95">
        <f>IF($T94&gt;0,IF($R94&gt;0,IF($T94=$R94,"No","Yes")," ")," ")</f>
        <v/>
      </c>
      <c r="W94" s="100" t="n"/>
      <c r="X94" s="97">
        <f>IF($W94&gt;0,TODAY()-$W94," ")</f>
        <v/>
      </c>
      <c r="Y94" s="95" t="n"/>
    </row>
    <row r="95" ht="15" customHeight="1" s="46">
      <c r="A95" s="103">
        <f>IFERROR(ROW()-5,"")</f>
        <v/>
      </c>
      <c r="B95" s="104" t="n"/>
      <c r="C95" s="104" t="n"/>
      <c r="D95" s="105" t="n"/>
      <c r="E95" s="105" t="n"/>
      <c r="F95" s="106" t="n"/>
      <c r="G95" s="103" t="n"/>
      <c r="H95" s="107" t="n"/>
      <c r="I95" s="107" t="n"/>
      <c r="J95" s="107" t="n"/>
      <c r="K95" s="108" t="n"/>
      <c r="L95" s="109">
        <f>IF($K95&gt;0,$K95/$H95," ")</f>
        <v/>
      </c>
      <c r="M95" s="110" t="n"/>
      <c r="N95" s="111">
        <f>IF($M95&gt;0,($M95-TODAY())/365," ")</f>
        <v/>
      </c>
      <c r="O95" s="105" t="n"/>
      <c r="P95" s="105" t="n"/>
      <c r="Q95" s="105" t="n"/>
      <c r="R95" s="108" t="n"/>
      <c r="S95" s="112">
        <f>IF($R95&gt;0,IF($K95&gt;0,$K95/$R95," ")," ")</f>
        <v/>
      </c>
      <c r="T95" s="108" t="n"/>
      <c r="U95" s="112">
        <f>IF($T95&gt;0,IF($K95&gt;0,$K95/$T95," ")," ")</f>
        <v/>
      </c>
      <c r="V95" s="105">
        <f>IF($T95&gt;0,IF($R95&gt;0,IF($T95=$R95,"No","Yes")," ")," ")</f>
        <v/>
      </c>
      <c r="W95" s="110" t="n"/>
      <c r="X95" s="107">
        <f>IF($W95&gt;0,TODAY()-$W95," ")</f>
        <v/>
      </c>
      <c r="Y95" s="105" t="n"/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6" t="n"/>
      <c r="G96" s="93" t="n"/>
      <c r="H96" s="97" t="n"/>
      <c r="I96" s="97" t="n"/>
      <c r="J96" s="97" t="n"/>
      <c r="K96" s="98" t="n"/>
      <c r="L96" s="99">
        <f>IF($K96&gt;0,$K96/$H96," ")</f>
        <v/>
      </c>
      <c r="M96" s="100" t="n"/>
      <c r="N96" s="101">
        <f>IF($M96&gt;0,($M96-TODAY())/365," ")</f>
        <v/>
      </c>
      <c r="O96" s="95" t="n"/>
      <c r="P96" s="95" t="n"/>
      <c r="Q96" s="95" t="n"/>
      <c r="R96" s="98" t="n"/>
      <c r="S96" s="102">
        <f>IF($R96&gt;0,IF($K96&gt;0,$K96/$R96," ")," ")</f>
        <v/>
      </c>
      <c r="T96" s="98" t="n"/>
      <c r="U96" s="102">
        <f>IF($T96&gt;0,IF($K96&gt;0,$K96/$T96," ")," ")</f>
        <v/>
      </c>
      <c r="V96" s="95">
        <f>IF($T96&gt;0,IF($R96&gt;0,IF($T96=$R96,"No","Yes")," ")," ")</f>
        <v/>
      </c>
      <c r="W96" s="100" t="n"/>
      <c r="X96" s="97">
        <f>IF($W96&gt;0,TODAY()-$W96," ")</f>
        <v/>
      </c>
      <c r="Y96" s="95" t="n"/>
    </row>
    <row r="97" ht="15" customHeight="1" s="46">
      <c r="A97" s="103">
        <f>IFERROR(ROW()-5,"")</f>
        <v/>
      </c>
      <c r="B97" s="104" t="n"/>
      <c r="C97" s="104" t="n"/>
      <c r="D97" s="105" t="n"/>
      <c r="E97" s="105" t="n"/>
      <c r="F97" s="106" t="n"/>
      <c r="G97" s="103" t="n"/>
      <c r="H97" s="107" t="n"/>
      <c r="I97" s="107" t="n"/>
      <c r="J97" s="107" t="n"/>
      <c r="K97" s="108" t="n"/>
      <c r="L97" s="109">
        <f>IF($K97&gt;0,$K97/$H97," ")</f>
        <v/>
      </c>
      <c r="M97" s="110" t="n"/>
      <c r="N97" s="111">
        <f>IF($M97&gt;0,($M97-TODAY())/365," ")</f>
        <v/>
      </c>
      <c r="O97" s="105" t="n"/>
      <c r="P97" s="105" t="n"/>
      <c r="Q97" s="105" t="n"/>
      <c r="R97" s="108" t="n"/>
      <c r="S97" s="112">
        <f>IF($R97&gt;0,IF($K97&gt;0,$K97/$R97," ")," ")</f>
        <v/>
      </c>
      <c r="T97" s="108" t="n"/>
      <c r="U97" s="112">
        <f>IF($T97&gt;0,IF($K97&gt;0,$K97/$T97," ")," ")</f>
        <v/>
      </c>
      <c r="V97" s="105">
        <f>IF($T97&gt;0,IF($R97&gt;0,IF($T97=$R97,"No","Yes")," ")," ")</f>
        <v/>
      </c>
      <c r="W97" s="110" t="n"/>
      <c r="X97" s="107">
        <f>IF($W97&gt;0,TODAY()-$W97," ")</f>
        <v/>
      </c>
      <c r="Y97" s="105" t="n"/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6" t="n"/>
      <c r="G98" s="93" t="n"/>
      <c r="H98" s="97" t="n"/>
      <c r="I98" s="97" t="n"/>
      <c r="J98" s="97" t="n"/>
      <c r="K98" s="98" t="n"/>
      <c r="L98" s="99">
        <f>IF($K98&gt;0,$K98/$H98," ")</f>
        <v/>
      </c>
      <c r="M98" s="100" t="n"/>
      <c r="N98" s="101">
        <f>IF($M98&gt;0,($M98-TODAY())/365," ")</f>
        <v/>
      </c>
      <c r="O98" s="95" t="n"/>
      <c r="P98" s="95" t="n"/>
      <c r="Q98" s="95" t="n"/>
      <c r="R98" s="98" t="n"/>
      <c r="S98" s="102">
        <f>IF($R98&gt;0,IF($K98&gt;0,$K98/$R98," ")," ")</f>
        <v/>
      </c>
      <c r="T98" s="98" t="n"/>
      <c r="U98" s="102">
        <f>IF($T98&gt;0,IF($K98&gt;0,$K98/$T98," ")," ")</f>
        <v/>
      </c>
      <c r="V98" s="95">
        <f>IF($T98&gt;0,IF($R98&gt;0,IF($T98=$R98,"No","Yes")," ")," ")</f>
        <v/>
      </c>
      <c r="W98" s="100" t="n"/>
      <c r="X98" s="97">
        <f>IF($W98&gt;0,TODAY()-$W98," ")</f>
        <v/>
      </c>
      <c r="Y98" s="95" t="n"/>
    </row>
    <row r="99" ht="15" customHeight="1" s="46">
      <c r="A99" s="103">
        <f>IFERROR(ROW()-5,"")</f>
        <v/>
      </c>
      <c r="B99" s="104" t="n"/>
      <c r="C99" s="104" t="n"/>
      <c r="D99" s="105" t="n"/>
      <c r="E99" s="105" t="n"/>
      <c r="F99" s="106" t="n"/>
      <c r="G99" s="103" t="n"/>
      <c r="H99" s="107" t="n"/>
      <c r="I99" s="107" t="n"/>
      <c r="J99" s="107" t="n"/>
      <c r="K99" s="108" t="n"/>
      <c r="L99" s="109">
        <f>IF($K99&gt;0,$K99/$H99," ")</f>
        <v/>
      </c>
      <c r="M99" s="110" t="n"/>
      <c r="N99" s="111">
        <f>IF($M99&gt;0,($M99-TODAY())/365," ")</f>
        <v/>
      </c>
      <c r="O99" s="105" t="n"/>
      <c r="P99" s="105" t="n"/>
      <c r="Q99" s="105" t="n"/>
      <c r="R99" s="108" t="n"/>
      <c r="S99" s="112">
        <f>IF($R99&gt;0,IF($K99&gt;0,$K99/$R99," ")," ")</f>
        <v/>
      </c>
      <c r="T99" s="108" t="n"/>
      <c r="U99" s="112">
        <f>IF($T99&gt;0,IF($K99&gt;0,$K99/$T99," ")," ")</f>
        <v/>
      </c>
      <c r="V99" s="105">
        <f>IF($T99&gt;0,IF($R99&gt;0,IF($T99=$R99,"No","Yes")," ")," ")</f>
        <v/>
      </c>
      <c r="W99" s="110" t="n"/>
      <c r="X99" s="107">
        <f>IF($W99&gt;0,TODAY()-$W99," ")</f>
        <v/>
      </c>
      <c r="Y99" s="105" t="n"/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6" t="n"/>
      <c r="G100" s="93" t="n"/>
      <c r="H100" s="97" t="n"/>
      <c r="I100" s="97" t="n"/>
      <c r="J100" s="97" t="n"/>
      <c r="K100" s="98" t="n"/>
      <c r="L100" s="99">
        <f>IF($K100&gt;0,$K100/$H100," ")</f>
        <v/>
      </c>
      <c r="M100" s="100" t="n"/>
      <c r="N100" s="101">
        <f>IF($M100&gt;0,($M100-TODAY())/365," ")</f>
        <v/>
      </c>
      <c r="O100" s="95" t="n"/>
      <c r="P100" s="95" t="n"/>
      <c r="Q100" s="95" t="n"/>
      <c r="R100" s="98" t="n"/>
      <c r="S100" s="102">
        <f>IF($R100&gt;0,IF($K100&gt;0,$K100/$R100," ")," ")</f>
        <v/>
      </c>
      <c r="T100" s="98" t="n"/>
      <c r="U100" s="102">
        <f>IF($T100&gt;0,IF($K100&gt;0,$K100/$T100," ")," ")</f>
        <v/>
      </c>
      <c r="V100" s="95">
        <f>IF($T100&gt;0,IF($R100&gt;0,IF($T100=$R100,"No","Yes")," ")," ")</f>
        <v/>
      </c>
      <c r="W100" s="100" t="n"/>
      <c r="X100" s="97">
        <f>IF($W100&gt;0,TODAY()-$W100," ")</f>
        <v/>
      </c>
      <c r="Y100" s="95" t="n"/>
    </row>
    <row r="101" ht="15" customHeight="1" s="46">
      <c r="A101" s="103">
        <f>IFERROR(ROW()-5,"")</f>
        <v/>
      </c>
      <c r="B101" s="104" t="n"/>
      <c r="C101" s="104" t="n"/>
      <c r="D101" s="105" t="n"/>
      <c r="E101" s="105" t="n"/>
      <c r="F101" s="106" t="n"/>
      <c r="G101" s="103" t="n"/>
      <c r="H101" s="107" t="n"/>
      <c r="I101" s="107" t="n"/>
      <c r="J101" s="107" t="n"/>
      <c r="K101" s="108" t="n"/>
      <c r="L101" s="109">
        <f>IF($K101&gt;0,$K101/$H101," ")</f>
        <v/>
      </c>
      <c r="M101" s="110" t="n"/>
      <c r="N101" s="111">
        <f>IF($M101&gt;0,($M101-TODAY())/365," ")</f>
        <v/>
      </c>
      <c r="O101" s="105" t="n"/>
      <c r="P101" s="105" t="n"/>
      <c r="Q101" s="105" t="n"/>
      <c r="R101" s="108" t="n"/>
      <c r="S101" s="112">
        <f>IF($R101&gt;0,IF($K101&gt;0,$K101/$R101," ")," ")</f>
        <v/>
      </c>
      <c r="T101" s="108" t="n"/>
      <c r="U101" s="112">
        <f>IF($T101&gt;0,IF($K101&gt;0,$K101/$T101," ")," ")</f>
        <v/>
      </c>
      <c r="V101" s="105">
        <f>IF($T101&gt;0,IF($R101&gt;0,IF($T101=$R101,"No","Yes")," ")," ")</f>
        <v/>
      </c>
      <c r="W101" s="110" t="n"/>
      <c r="X101" s="107">
        <f>IF($W101&gt;0,TODAY()-$W101," ")</f>
        <v/>
      </c>
      <c r="Y101" s="105" t="n"/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6" t="n"/>
      <c r="G102" s="93" t="n"/>
      <c r="H102" s="97" t="n"/>
      <c r="I102" s="97" t="n"/>
      <c r="J102" s="97" t="n"/>
      <c r="K102" s="98" t="n"/>
      <c r="L102" s="99">
        <f>IF($K102&gt;0,$K102/$H102," ")</f>
        <v/>
      </c>
      <c r="M102" s="100" t="n"/>
      <c r="N102" s="101">
        <f>IF($M102&gt;0,($M102-TODAY())/365," ")</f>
        <v/>
      </c>
      <c r="O102" s="95" t="n"/>
      <c r="P102" s="95" t="n"/>
      <c r="Q102" s="95" t="n"/>
      <c r="R102" s="98" t="n"/>
      <c r="S102" s="102">
        <f>IF($R102&gt;0,IF($K102&gt;0,$K102/$R102," ")," ")</f>
        <v/>
      </c>
      <c r="T102" s="98" t="n"/>
      <c r="U102" s="102">
        <f>IF($T102&gt;0,IF($K102&gt;0,$K102/$T102," ")," ")</f>
        <v/>
      </c>
      <c r="V102" s="95">
        <f>IF($T102&gt;0,IF($R102&gt;0,IF($T102=$R102,"No","Yes")," ")," ")</f>
        <v/>
      </c>
      <c r="W102" s="100" t="n"/>
      <c r="X102" s="97">
        <f>IF($W102&gt;0,TODAY()-$W102," ")</f>
        <v/>
      </c>
      <c r="Y102" s="95" t="n"/>
    </row>
    <row r="103" ht="15" customHeight="1" s="46">
      <c r="A103" s="103">
        <f>IFERROR(ROW()-5,"")</f>
        <v/>
      </c>
      <c r="B103" s="104" t="n"/>
      <c r="C103" s="104" t="n"/>
      <c r="D103" s="105" t="n"/>
      <c r="E103" s="105" t="n"/>
      <c r="F103" s="106" t="n"/>
      <c r="G103" s="103" t="n"/>
      <c r="H103" s="107" t="n"/>
      <c r="I103" s="107" t="n"/>
      <c r="J103" s="107" t="n"/>
      <c r="K103" s="108" t="n"/>
      <c r="L103" s="109">
        <f>IF($K103&gt;0,$K103/$H103," ")</f>
        <v/>
      </c>
      <c r="M103" s="110" t="n"/>
      <c r="N103" s="111">
        <f>IF($M103&gt;0,($M103-TODAY())/365," ")</f>
        <v/>
      </c>
      <c r="O103" s="105" t="n"/>
      <c r="P103" s="105" t="n"/>
      <c r="Q103" s="105" t="n"/>
      <c r="R103" s="108" t="n"/>
      <c r="S103" s="112">
        <f>IF($R103&gt;0,IF($K103&gt;0,$K103/$R103," ")," ")</f>
        <v/>
      </c>
      <c r="T103" s="108" t="n"/>
      <c r="U103" s="112">
        <f>IF($T103&gt;0,IF($K103&gt;0,$K103/$T103," ")," ")</f>
        <v/>
      </c>
      <c r="V103" s="105">
        <f>IF($T103&gt;0,IF($R103&gt;0,IF($T103=$R103,"No","Yes")," ")," ")</f>
        <v/>
      </c>
      <c r="W103" s="110" t="n"/>
      <c r="X103" s="107">
        <f>IF($W103&gt;0,TODAY()-$W103," ")</f>
        <v/>
      </c>
      <c r="Y103" s="105" t="n"/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6" t="n"/>
      <c r="G104" s="93" t="n"/>
      <c r="H104" s="97" t="n"/>
      <c r="I104" s="97" t="n"/>
      <c r="J104" s="97" t="n"/>
      <c r="K104" s="98" t="n"/>
      <c r="L104" s="99">
        <f>IF($K104&gt;0,$K104/$H104," ")</f>
        <v/>
      </c>
      <c r="M104" s="100" t="n"/>
      <c r="N104" s="101">
        <f>IF($M104&gt;0,($M104-TODAY())/365," ")</f>
        <v/>
      </c>
      <c r="O104" s="95" t="n"/>
      <c r="P104" s="95" t="n"/>
      <c r="Q104" s="95" t="n"/>
      <c r="R104" s="98" t="n"/>
      <c r="S104" s="102">
        <f>IF($R104&gt;0,IF($K104&gt;0,$K104/$R104," ")," ")</f>
        <v/>
      </c>
      <c r="T104" s="98" t="n"/>
      <c r="U104" s="102">
        <f>IF($T104&gt;0,IF($K104&gt;0,$K104/$T104," ")," ")</f>
        <v/>
      </c>
      <c r="V104" s="95">
        <f>IF($T104&gt;0,IF($R104&gt;0,IF($T104=$R104,"No","Yes")," ")," ")</f>
        <v/>
      </c>
      <c r="W104" s="100" t="n"/>
      <c r="X104" s="97">
        <f>IF($W104&gt;0,TODAY()-$W104," ")</f>
        <v/>
      </c>
      <c r="Y104" s="95" t="n"/>
    </row>
    <row r="105" ht="15" customHeight="1" s="46">
      <c r="A105" s="103">
        <f>IFERROR(ROW()-5,"")</f>
        <v/>
      </c>
      <c r="B105" s="104" t="n"/>
      <c r="C105" s="104" t="n"/>
      <c r="D105" s="105" t="n"/>
      <c r="E105" s="105" t="n"/>
      <c r="F105" s="106" t="n"/>
      <c r="G105" s="103" t="n"/>
      <c r="H105" s="107" t="n"/>
      <c r="I105" s="107" t="n"/>
      <c r="J105" s="107" t="n"/>
      <c r="K105" s="108" t="n"/>
      <c r="L105" s="109">
        <f>IF($K105&gt;0,$K105/$H105," ")</f>
        <v/>
      </c>
      <c r="M105" s="110" t="n"/>
      <c r="N105" s="111">
        <f>IF($M105&gt;0,($M105-TODAY())/365," ")</f>
        <v/>
      </c>
      <c r="O105" s="105" t="n"/>
      <c r="P105" s="105" t="n"/>
      <c r="Q105" s="105" t="n"/>
      <c r="R105" s="108" t="n"/>
      <c r="S105" s="112">
        <f>IF($R105&gt;0,IF($K105&gt;0,$K105/$R105," ")," ")</f>
        <v/>
      </c>
      <c r="T105" s="108" t="n"/>
      <c r="U105" s="112">
        <f>IF($T105&gt;0,IF($K105&gt;0,$K105/$T105," ")," ")</f>
        <v/>
      </c>
      <c r="V105" s="105">
        <f>IF($T105&gt;0,IF($R105&gt;0,IF($T105=$R105,"No","Yes")," ")," ")</f>
        <v/>
      </c>
      <c r="W105" s="110" t="n"/>
      <c r="X105" s="107">
        <f>IF($W105&gt;0,TODAY()-$W105," ")</f>
        <v/>
      </c>
      <c r="Y105" s="105" t="n"/>
    </row>
    <row r="106" ht="16.5" customHeight="1" s="46">
      <c r="A106" s="113" t="inlineStr">
        <is>
          <t>AVG</t>
        </is>
      </c>
      <c r="B106" s="114">
        <f>COUNTA(B6:B105)&amp;" comps"</f>
        <v/>
      </c>
      <c r="C106" s="114" t="n"/>
      <c r="D106" s="115" t="n"/>
      <c r="E106" s="115" t="n"/>
      <c r="F106" s="116">
        <f>IF(COUNT(F6:F105)=0,"",AVERAGE(F6:F105))</f>
        <v/>
      </c>
      <c r="G106" s="113">
        <f>IF(COUNT(G6:G105)=0,"",AVERAGE(G6:G105))</f>
        <v/>
      </c>
      <c r="H106" s="117">
        <f>IF(COUNT(H6:H105)=0,"",AVERAGE(H6:H105))</f>
        <v/>
      </c>
      <c r="I106" s="117">
        <f>IF(COUNT(I6:I105)=0,"",AVERAGE(I6:I105))</f>
        <v/>
      </c>
      <c r="J106" s="117">
        <f>IF(COUNT(J6:J105)=0,"",AVERAGE(J6:J105))</f>
        <v/>
      </c>
      <c r="K106" s="118">
        <f>IF(COUNT(K6:K105)=0,"",AVERAGE(K6:K105))</f>
        <v/>
      </c>
      <c r="L106" s="119">
        <f>IF(COUNT(L6:L105)=0,"",AVERAGE(L6:L105))</f>
        <v/>
      </c>
      <c r="M106" s="120" t="n"/>
      <c r="N106" s="121">
        <f>IF(COUNT(N6:N105)=0,"",AVERAGE(N6:N105))</f>
        <v/>
      </c>
      <c r="O106" s="115" t="n"/>
      <c r="P106" s="115" t="n"/>
      <c r="Q106" s="115" t="n"/>
      <c r="R106" s="118">
        <f>IF(COUNT(R6:R105)=0,"",AVERAGE(R6:R105))</f>
        <v/>
      </c>
      <c r="S106" s="122">
        <f>IF(COUNT(S6:S105)=0,"",AVERAGE(S6:S105))</f>
        <v/>
      </c>
      <c r="T106" s="118">
        <f>IF(COUNT(T6:T105)=0,"",AVERAGE(T6:T105))</f>
        <v/>
      </c>
      <c r="U106" s="122">
        <f>IF(COUNT(U6:U105)=0,"",AVERAGE(U6:U105))</f>
        <v/>
      </c>
      <c r="V106" s="115" t="n"/>
      <c r="W106" s="120" t="n"/>
      <c r="X106" s="117">
        <f>IF(COUNT(X6:X105)=0,"",AVERAGE(X6:X105))</f>
        <v/>
      </c>
      <c r="Y106" s="115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AC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5" min="1" max="1"/>
    <col width="34" customWidth="1" style="45" min="2" max="2"/>
    <col width="30" customWidth="1" style="45" min="3" max="3"/>
    <col width="15" customWidth="1" style="45" min="4" max="4"/>
    <col width="7" customWidth="1" style="45" min="5" max="5"/>
    <col width="6" customWidth="1" style="45" min="6" max="6"/>
    <col width="7" customWidth="1" style="45" min="7" max="7"/>
    <col width="8" customWidth="1" style="45" min="8" max="8"/>
    <col width="8" customWidth="1" style="45" min="9" max="10"/>
    <col width="10" customWidth="1" style="46" min="10" max="10"/>
    <col width="9" customWidth="1" style="45" min="11" max="11"/>
    <col width="9" customWidth="1" style="45" min="12" max="13"/>
    <col width="8" customWidth="1" style="46" min="13" max="13"/>
    <col width="12" customWidth="1" style="45" min="14" max="14"/>
    <col width="14" customWidth="1" style="45" min="15" max="15"/>
    <col width="9" customWidth="1" style="45" min="16" max="16"/>
    <col width="17" customWidth="1" style="45" min="17" max="18"/>
    <col width="12" customWidth="1" style="46" min="18" max="18"/>
    <col width="9" customWidth="1" style="45" min="19" max="19"/>
    <col width="10" customWidth="1" style="45" min="20" max="20"/>
    <col width="8" customWidth="1" style="45" min="21" max="23"/>
    <col width="15" customWidth="1" style="46" min="22" max="22"/>
    <col width="13" customWidth="1" style="46" min="23" max="23"/>
    <col width="12" customWidth="1" style="45" min="24" max="24"/>
    <col width="10" customWidth="1" style="45" min="25" max="25"/>
    <col width="16" customWidth="1" style="46" min="26" max="26"/>
    <col width="11" customWidth="1" style="46" min="27" max="27"/>
    <col width="11" customWidth="1" style="46" min="28" max="28"/>
    <col width="7" customWidth="1" style="46" min="29" max="29"/>
    <col width="18" customWidth="1" style="46" min="30" max="30"/>
    <col width="18" customWidth="1" style="46" min="31" max="31"/>
    <col width="14" customWidth="1" style="46" min="32" max="32"/>
    <col width="18" customWidth="1" style="46" min="33" max="33"/>
    <col width="35" customWidth="1" style="46" min="34" max="34"/>
  </cols>
  <sheetData>
    <row r="1" ht="12" customHeight="1" s="46"/>
    <row r="2" ht="25.5" customHeight="1" s="46">
      <c r="A2" s="58" t="inlineStr">
        <is>
          <t>Briggs CRE — Sales Comps · Sold</t>
        </is>
      </c>
    </row>
    <row r="3" ht="13.5" customHeight="1" s="46">
      <c r="A3" s="52" t="inlineStr">
        <is>
          <t>Source: CoStar / Salesforce · Shaded columns are formula-protected — do not overwrite · TERM = remaining term as of sale date · BPS = Sale Cap − Last Cap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TENANT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LAND</t>
        </is>
      </c>
      <c r="G5" s="92" t="inlineStr">
        <is>
          <t>BUILT</t>
        </is>
      </c>
      <c r="H5" s="92" t="inlineStr">
        <is>
          <t>RBA</t>
        </is>
      </c>
      <c r="I5" s="92" t="inlineStr">
        <is>
          <t>CHAIRS</t>
        </is>
      </c>
      <c r="J5" s="92" t="inlineStr">
        <is>
          <t>PATIENTS</t>
        </is>
      </c>
      <c r="K5" s="92" t="inlineStr">
        <is>
          <t>RENT</t>
        </is>
      </c>
      <c r="L5" s="92" t="inlineStr">
        <is>
          <t>RENT/SF</t>
        </is>
      </c>
      <c r="M5" s="92" t="inlineStr">
        <is>
          <t>EXP</t>
        </is>
      </c>
      <c r="N5" s="92" t="inlineStr">
        <is>
          <t>TERM</t>
        </is>
      </c>
      <c r="O5" s="92" t="inlineStr">
        <is>
          <t>EXPENSES</t>
        </is>
      </c>
      <c r="P5" s="92" t="inlineStr">
        <is>
          <t>BUMPS</t>
        </is>
      </c>
      <c r="Q5" s="92" t="inlineStr">
        <is>
          <t>OPTIONS</t>
        </is>
      </c>
      <c r="R5" s="92" t="inlineStr">
        <is>
          <t>SOLD PRICE</t>
        </is>
      </c>
      <c r="S5" s="92" t="inlineStr">
        <is>
          <t>SOLD/SF</t>
        </is>
      </c>
      <c r="T5" s="92" t="inlineStr">
        <is>
          <t>SOLD CAP</t>
        </is>
      </c>
      <c r="U5" s="92" t="inlineStr">
        <is>
          <t>DATE</t>
        </is>
      </c>
      <c r="V5" s="92" t="inlineStr">
        <is>
          <t>INITIAL PRICE</t>
        </is>
      </c>
      <c r="W5" s="92" t="inlineStr">
        <is>
          <t>INITIAL CAP</t>
        </is>
      </c>
      <c r="X5" s="92" t="inlineStr">
        <is>
          <t>LAST PRICE</t>
        </is>
      </c>
      <c r="Y5" s="92" t="inlineStr">
        <is>
          <t>LAST CAP</t>
        </is>
      </c>
      <c r="Z5" s="92" t="inlineStr">
        <is>
          <t>BID-ASK SPREAD</t>
        </is>
      </c>
      <c r="AA5" s="92" t="inlineStr">
        <is>
          <t>PRICE CHG</t>
        </is>
      </c>
      <c r="AB5" s="92" t="inlineStr">
        <is>
          <t>ON MARKET</t>
        </is>
      </c>
      <c r="AC5" s="92" t="inlineStr">
        <is>
          <t>DOM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6" t="n"/>
      <c r="G6" s="93" t="n"/>
      <c r="H6" s="97" t="n"/>
      <c r="I6" s="97" t="n"/>
      <c r="J6" s="97" t="n"/>
      <c r="K6" s="98" t="n"/>
      <c r="L6" s="99">
        <f>IF($K6&gt;0,$K6/$H6," ")</f>
        <v/>
      </c>
      <c r="M6" s="100" t="n"/>
      <c r="N6" s="101">
        <f>IF($M6&gt;0,($M6-$U6)/365," ")</f>
        <v/>
      </c>
      <c r="O6" s="95" t="n"/>
      <c r="P6" s="95" t="n"/>
      <c r="Q6" s="95" t="n"/>
      <c r="R6" s="98" t="n"/>
      <c r="S6" s="98">
        <f>IF($R6&gt;0,IF($H6&gt;0,$R6/$H6," ")," ")</f>
        <v/>
      </c>
      <c r="T6" s="102">
        <f>IF($R6&gt;0,IF($K6&gt;0,$K6/$R6," ")," ")</f>
        <v/>
      </c>
      <c r="U6" s="100" t="n"/>
      <c r="V6" s="98" t="n"/>
      <c r="W6" s="102">
        <f>IF($V6&gt;0,IF($K6&gt;0,$K6/$V6," ")," ")</f>
        <v/>
      </c>
      <c r="X6" s="98" t="n"/>
      <c r="Y6" s="102">
        <f>IF($X6&gt;0,IF($K6&gt;0,$K6/$X6," ")," ")</f>
        <v/>
      </c>
      <c r="Z6" s="102">
        <f>IF(ISNUMBER($T6),IF(ISNUMBER($Y6),$T6-$Y6," ")," ")</f>
        <v/>
      </c>
      <c r="AA6" s="95">
        <f>IF($X6&gt;0,IF($V6&gt;0,IF($X6=$V6,"No","Yes")," ")," ")</f>
        <v/>
      </c>
      <c r="AB6" s="100" t="n"/>
      <c r="AC6" s="97">
        <f>IF($AB6&gt;0,$U6-$AB6," ")</f>
        <v/>
      </c>
    </row>
    <row r="7" ht="15" customHeight="1" s="46">
      <c r="A7" s="103">
        <f>IFERROR(ROW()-5,"")</f>
        <v/>
      </c>
      <c r="B7" s="104" t="n"/>
      <c r="C7" s="104" t="n"/>
      <c r="D7" s="105" t="n"/>
      <c r="E7" s="105" t="n"/>
      <c r="F7" s="106" t="n"/>
      <c r="G7" s="103" t="n"/>
      <c r="H7" s="107" t="n"/>
      <c r="I7" s="107" t="n"/>
      <c r="J7" s="107" t="n"/>
      <c r="K7" s="108" t="n"/>
      <c r="L7" s="109">
        <f>IF($K7&gt;0,$K7/$H7," ")</f>
        <v/>
      </c>
      <c r="M7" s="110" t="n"/>
      <c r="N7" s="111">
        <f>IF($M7&gt;0,($M7-$U7)/365," ")</f>
        <v/>
      </c>
      <c r="O7" s="105" t="n"/>
      <c r="P7" s="105" t="n"/>
      <c r="Q7" s="105" t="n"/>
      <c r="R7" s="108" t="n"/>
      <c r="S7" s="108">
        <f>IF($R7&gt;0,IF($H7&gt;0,$R7/$H7," ")," ")</f>
        <v/>
      </c>
      <c r="T7" s="112">
        <f>IF($R7&gt;0,IF($K7&gt;0,$K7/$R7," ")," ")</f>
        <v/>
      </c>
      <c r="U7" s="110" t="n"/>
      <c r="V7" s="108" t="n"/>
      <c r="W7" s="112">
        <f>IF($V7&gt;0,IF($K7&gt;0,$K7/$V7," ")," ")</f>
        <v/>
      </c>
      <c r="X7" s="108" t="n"/>
      <c r="Y7" s="112">
        <f>IF($X7&gt;0,IF($K7&gt;0,$K7/$X7," ")," ")</f>
        <v/>
      </c>
      <c r="Z7" s="112">
        <f>IF(ISNUMBER($T7),IF(ISNUMBER($Y7),$T7-$Y7," ")," ")</f>
        <v/>
      </c>
      <c r="AA7" s="105">
        <f>IF($X7&gt;0,IF($V7&gt;0,IF($X7=$V7,"No","Yes")," ")," ")</f>
        <v/>
      </c>
      <c r="AB7" s="110" t="n"/>
      <c r="AC7" s="107">
        <f>IF($AB7&gt;0,$U7-$AB7," ")</f>
        <v/>
      </c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6" t="n"/>
      <c r="G8" s="93" t="n"/>
      <c r="H8" s="97" t="n"/>
      <c r="I8" s="97" t="n"/>
      <c r="J8" s="97" t="n"/>
      <c r="K8" s="98" t="n"/>
      <c r="L8" s="99">
        <f>IF($K8&gt;0,$K8/$H8," ")</f>
        <v/>
      </c>
      <c r="M8" s="100" t="n"/>
      <c r="N8" s="101">
        <f>IF($M8&gt;0,($M8-$U8)/365," ")</f>
        <v/>
      </c>
      <c r="O8" s="95" t="n"/>
      <c r="P8" s="95" t="n"/>
      <c r="Q8" s="95" t="n"/>
      <c r="R8" s="98" t="n"/>
      <c r="S8" s="98">
        <f>IF($R8&gt;0,IF($H8&gt;0,$R8/$H8," ")," ")</f>
        <v/>
      </c>
      <c r="T8" s="102">
        <f>IF($R8&gt;0,IF($K8&gt;0,$K8/$R8," ")," ")</f>
        <v/>
      </c>
      <c r="U8" s="100" t="n"/>
      <c r="V8" s="98" t="n"/>
      <c r="W8" s="102">
        <f>IF($V8&gt;0,IF($K8&gt;0,$K8/$V8," ")," ")</f>
        <v/>
      </c>
      <c r="X8" s="98" t="n"/>
      <c r="Y8" s="102">
        <f>IF($X8&gt;0,IF($K8&gt;0,$K8/$X8," ")," ")</f>
        <v/>
      </c>
      <c r="Z8" s="102">
        <f>IF(ISNUMBER($T8),IF(ISNUMBER($Y8),$T8-$Y8," ")," ")</f>
        <v/>
      </c>
      <c r="AA8" s="95">
        <f>IF($X8&gt;0,IF($V8&gt;0,IF($X8=$V8,"No","Yes")," ")," ")</f>
        <v/>
      </c>
      <c r="AB8" s="100" t="n"/>
      <c r="AC8" s="97">
        <f>IF($AB8&gt;0,$U8-$AB8," ")</f>
        <v/>
      </c>
    </row>
    <row r="9" ht="15" customHeight="1" s="46">
      <c r="A9" s="103">
        <f>IFERROR(ROW()-5,"")</f>
        <v/>
      </c>
      <c r="B9" s="104" t="n"/>
      <c r="C9" s="104" t="n"/>
      <c r="D9" s="105" t="n"/>
      <c r="E9" s="105" t="n"/>
      <c r="F9" s="106" t="n"/>
      <c r="G9" s="103" t="n"/>
      <c r="H9" s="107" t="n"/>
      <c r="I9" s="107" t="n"/>
      <c r="J9" s="107" t="n"/>
      <c r="K9" s="108" t="n"/>
      <c r="L9" s="109">
        <f>IF($K9&gt;0,$K9/$H9," ")</f>
        <v/>
      </c>
      <c r="M9" s="110" t="n"/>
      <c r="N9" s="111">
        <f>IF($M9&gt;0,($M9-$U9)/365," ")</f>
        <v/>
      </c>
      <c r="O9" s="105" t="n"/>
      <c r="P9" s="105" t="n"/>
      <c r="Q9" s="105" t="n"/>
      <c r="R9" s="108" t="n"/>
      <c r="S9" s="108">
        <f>IF($R9&gt;0,IF($H9&gt;0,$R9/$H9," ")," ")</f>
        <v/>
      </c>
      <c r="T9" s="112">
        <f>IF($R9&gt;0,IF($K9&gt;0,$K9/$R9," ")," ")</f>
        <v/>
      </c>
      <c r="U9" s="110" t="n"/>
      <c r="V9" s="108" t="n"/>
      <c r="W9" s="112">
        <f>IF($V9&gt;0,IF($K9&gt;0,$K9/$V9," ")," ")</f>
        <v/>
      </c>
      <c r="X9" s="108" t="n"/>
      <c r="Y9" s="112">
        <f>IF($X9&gt;0,IF($K9&gt;0,$K9/$X9," ")," ")</f>
        <v/>
      </c>
      <c r="Z9" s="112">
        <f>IF(ISNUMBER($T9),IF(ISNUMBER($Y9),$T9-$Y9," ")," ")</f>
        <v/>
      </c>
      <c r="AA9" s="105">
        <f>IF($X9&gt;0,IF($V9&gt;0,IF($X9=$V9,"No","Yes")," ")," ")</f>
        <v/>
      </c>
      <c r="AB9" s="110" t="n"/>
      <c r="AC9" s="107">
        <f>IF($AB9&gt;0,$U9-$AB9," ")</f>
        <v/>
      </c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6" t="n"/>
      <c r="G10" s="93" t="n"/>
      <c r="H10" s="97" t="n"/>
      <c r="I10" s="97" t="n"/>
      <c r="J10" s="97" t="n"/>
      <c r="K10" s="98" t="n"/>
      <c r="L10" s="99">
        <f>IF($K10&gt;0,$K10/$H10," ")</f>
        <v/>
      </c>
      <c r="M10" s="100" t="n"/>
      <c r="N10" s="101">
        <f>IF($M10&gt;0,($M10-$U10)/365," ")</f>
        <v/>
      </c>
      <c r="O10" s="95" t="n"/>
      <c r="P10" s="95" t="n"/>
      <c r="Q10" s="95" t="n"/>
      <c r="R10" s="98" t="n"/>
      <c r="S10" s="98">
        <f>IF($R10&gt;0,IF($H10&gt;0,$R10/$H10," ")," ")</f>
        <v/>
      </c>
      <c r="T10" s="102">
        <f>IF($R10&gt;0,IF($K10&gt;0,$K10/$R10," ")," ")</f>
        <v/>
      </c>
      <c r="U10" s="100" t="n"/>
      <c r="V10" s="98" t="n"/>
      <c r="W10" s="102">
        <f>IF($V10&gt;0,IF($K10&gt;0,$K10/$V10," ")," ")</f>
        <v/>
      </c>
      <c r="X10" s="98" t="n"/>
      <c r="Y10" s="102">
        <f>IF($X10&gt;0,IF($K10&gt;0,$K10/$X10," ")," ")</f>
        <v/>
      </c>
      <c r="Z10" s="102">
        <f>IF(ISNUMBER($T10),IF(ISNUMBER($Y10),$T10-$Y10," ")," ")</f>
        <v/>
      </c>
      <c r="AA10" s="95">
        <f>IF($X10&gt;0,IF($V10&gt;0,IF($X10=$V10,"No","Yes")," ")," ")</f>
        <v/>
      </c>
      <c r="AB10" s="100" t="n"/>
      <c r="AC10" s="97">
        <f>IF($AB10&gt;0,$U10-$AB10," ")</f>
        <v/>
      </c>
    </row>
    <row r="11" ht="15" customHeight="1" s="46">
      <c r="A11" s="103">
        <f>IFERROR(ROW()-5,"")</f>
        <v/>
      </c>
      <c r="B11" s="104" t="n"/>
      <c r="C11" s="104" t="n"/>
      <c r="D11" s="105" t="n"/>
      <c r="E11" s="105" t="n"/>
      <c r="F11" s="106" t="n"/>
      <c r="G11" s="103" t="n"/>
      <c r="H11" s="107" t="n"/>
      <c r="I11" s="107" t="n"/>
      <c r="J11" s="107" t="n"/>
      <c r="K11" s="108" t="n"/>
      <c r="L11" s="109">
        <f>IF($K11&gt;0,$K11/$H11," ")</f>
        <v/>
      </c>
      <c r="M11" s="110" t="n"/>
      <c r="N11" s="111">
        <f>IF($M11&gt;0,($M11-$U11)/365," ")</f>
        <v/>
      </c>
      <c r="O11" s="105" t="n"/>
      <c r="P11" s="105" t="n"/>
      <c r="Q11" s="105" t="n"/>
      <c r="R11" s="108" t="n"/>
      <c r="S11" s="108">
        <f>IF($R11&gt;0,IF($H11&gt;0,$R11/$H11," ")," ")</f>
        <v/>
      </c>
      <c r="T11" s="112">
        <f>IF($R11&gt;0,IF($K11&gt;0,$K11/$R11," ")," ")</f>
        <v/>
      </c>
      <c r="U11" s="110" t="n"/>
      <c r="V11" s="108" t="n"/>
      <c r="W11" s="112">
        <f>IF($V11&gt;0,IF($K11&gt;0,$K11/$V11," ")," ")</f>
        <v/>
      </c>
      <c r="X11" s="108" t="n"/>
      <c r="Y11" s="112">
        <f>IF($X11&gt;0,IF($K11&gt;0,$K11/$X11," ")," ")</f>
        <v/>
      </c>
      <c r="Z11" s="112">
        <f>IF(ISNUMBER($T11),IF(ISNUMBER($Y11),$T11-$Y11," ")," ")</f>
        <v/>
      </c>
      <c r="AA11" s="105">
        <f>IF($X11&gt;0,IF($V11&gt;0,IF($X11=$V11,"No","Yes")," ")," ")</f>
        <v/>
      </c>
      <c r="AB11" s="110" t="n"/>
      <c r="AC11" s="107">
        <f>IF($AB11&gt;0,$U11-$AB11," ")</f>
        <v/>
      </c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6" t="n"/>
      <c r="G12" s="93" t="n"/>
      <c r="H12" s="97" t="n"/>
      <c r="I12" s="97" t="n"/>
      <c r="J12" s="97" t="n"/>
      <c r="K12" s="98" t="n"/>
      <c r="L12" s="99">
        <f>IF($K12&gt;0,$K12/$H12," ")</f>
        <v/>
      </c>
      <c r="M12" s="100" t="n"/>
      <c r="N12" s="101">
        <f>IF($M12&gt;0,($M12-$U12)/365," ")</f>
        <v/>
      </c>
      <c r="O12" s="95" t="n"/>
      <c r="P12" s="95" t="n"/>
      <c r="Q12" s="95" t="n"/>
      <c r="R12" s="98" t="n"/>
      <c r="S12" s="98">
        <f>IF($R12&gt;0,IF($H12&gt;0,$R12/$H12," ")," ")</f>
        <v/>
      </c>
      <c r="T12" s="102">
        <f>IF($R12&gt;0,IF($K12&gt;0,$K12/$R12," ")," ")</f>
        <v/>
      </c>
      <c r="U12" s="100" t="n"/>
      <c r="V12" s="98" t="n"/>
      <c r="W12" s="102">
        <f>IF($V12&gt;0,IF($K12&gt;0,$K12/$V12," ")," ")</f>
        <v/>
      </c>
      <c r="X12" s="98" t="n"/>
      <c r="Y12" s="102">
        <f>IF($X12&gt;0,IF($K12&gt;0,$K12/$X12," ")," ")</f>
        <v/>
      </c>
      <c r="Z12" s="102">
        <f>IF(ISNUMBER($T12),IF(ISNUMBER($Y12),$T12-$Y12," ")," ")</f>
        <v/>
      </c>
      <c r="AA12" s="95">
        <f>IF($X12&gt;0,IF($V12&gt;0,IF($X12=$V12,"No","Yes")," ")," ")</f>
        <v/>
      </c>
      <c r="AB12" s="100" t="n"/>
      <c r="AC12" s="97">
        <f>IF($AB12&gt;0,$U12-$AB12," ")</f>
        <v/>
      </c>
    </row>
    <row r="13" ht="15" customHeight="1" s="46">
      <c r="A13" s="103">
        <f>IFERROR(ROW()-5,"")</f>
        <v/>
      </c>
      <c r="B13" s="104" t="n"/>
      <c r="C13" s="104" t="n"/>
      <c r="D13" s="105" t="n"/>
      <c r="E13" s="105" t="n"/>
      <c r="F13" s="106" t="n"/>
      <c r="G13" s="103" t="n"/>
      <c r="H13" s="107" t="n"/>
      <c r="I13" s="107" t="n"/>
      <c r="J13" s="107" t="n"/>
      <c r="K13" s="108" t="n"/>
      <c r="L13" s="109">
        <f>IF($K13&gt;0,$K13/$H13," ")</f>
        <v/>
      </c>
      <c r="M13" s="110" t="n"/>
      <c r="N13" s="111">
        <f>IF($M13&gt;0,($M13-$U13)/365," ")</f>
        <v/>
      </c>
      <c r="O13" s="105" t="n"/>
      <c r="P13" s="105" t="n"/>
      <c r="Q13" s="105" t="n"/>
      <c r="R13" s="108" t="n"/>
      <c r="S13" s="108">
        <f>IF($R13&gt;0,IF($H13&gt;0,$R13/$H13," ")," ")</f>
        <v/>
      </c>
      <c r="T13" s="112">
        <f>IF($R13&gt;0,IF($K13&gt;0,$K13/$R13," ")," ")</f>
        <v/>
      </c>
      <c r="U13" s="110" t="n"/>
      <c r="V13" s="108" t="n"/>
      <c r="W13" s="112">
        <f>IF($V13&gt;0,IF($K13&gt;0,$K13/$V13," ")," ")</f>
        <v/>
      </c>
      <c r="X13" s="108" t="n"/>
      <c r="Y13" s="112">
        <f>IF($X13&gt;0,IF($K13&gt;0,$K13/$X13," ")," ")</f>
        <v/>
      </c>
      <c r="Z13" s="112">
        <f>IF(ISNUMBER($T13),IF(ISNUMBER($Y13),$T13-$Y13," ")," ")</f>
        <v/>
      </c>
      <c r="AA13" s="105">
        <f>IF($X13&gt;0,IF($V13&gt;0,IF($X13=$V13,"No","Yes")," ")," ")</f>
        <v/>
      </c>
      <c r="AB13" s="110" t="n"/>
      <c r="AC13" s="107">
        <f>IF($AB13&gt;0,$U13-$AB13," ")</f>
        <v/>
      </c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6" t="n"/>
      <c r="G14" s="93" t="n"/>
      <c r="H14" s="97" t="n"/>
      <c r="I14" s="97" t="n"/>
      <c r="J14" s="97" t="n"/>
      <c r="K14" s="98" t="n"/>
      <c r="L14" s="99">
        <f>IF($K14&gt;0,$K14/$H14," ")</f>
        <v/>
      </c>
      <c r="M14" s="100" t="n"/>
      <c r="N14" s="101">
        <f>IF($M14&gt;0,($M14-$U14)/365," ")</f>
        <v/>
      </c>
      <c r="O14" s="95" t="n"/>
      <c r="P14" s="95" t="n"/>
      <c r="Q14" s="95" t="n"/>
      <c r="R14" s="98" t="n"/>
      <c r="S14" s="98">
        <f>IF($R14&gt;0,IF($H14&gt;0,$R14/$H14," ")," ")</f>
        <v/>
      </c>
      <c r="T14" s="102">
        <f>IF($R14&gt;0,IF($K14&gt;0,$K14/$R14," ")," ")</f>
        <v/>
      </c>
      <c r="U14" s="100" t="n"/>
      <c r="V14" s="98" t="n"/>
      <c r="W14" s="102">
        <f>IF($V14&gt;0,IF($K14&gt;0,$K14/$V14," ")," ")</f>
        <v/>
      </c>
      <c r="X14" s="98" t="n"/>
      <c r="Y14" s="102">
        <f>IF($X14&gt;0,IF($K14&gt;0,$K14/$X14," ")," ")</f>
        <v/>
      </c>
      <c r="Z14" s="102">
        <f>IF(ISNUMBER($T14),IF(ISNUMBER($Y14),$T14-$Y14," ")," ")</f>
        <v/>
      </c>
      <c r="AA14" s="95">
        <f>IF($X14&gt;0,IF($V14&gt;0,IF($X14=$V14,"No","Yes")," ")," ")</f>
        <v/>
      </c>
      <c r="AB14" s="100" t="n"/>
      <c r="AC14" s="97">
        <f>IF($AB14&gt;0,$U14-$AB14," ")</f>
        <v/>
      </c>
    </row>
    <row r="15" ht="15" customHeight="1" s="46">
      <c r="A15" s="103">
        <f>IFERROR(ROW()-5,"")</f>
        <v/>
      </c>
      <c r="B15" s="104" t="n"/>
      <c r="C15" s="104" t="n"/>
      <c r="D15" s="105" t="n"/>
      <c r="E15" s="105" t="n"/>
      <c r="F15" s="106" t="n"/>
      <c r="G15" s="103" t="n"/>
      <c r="H15" s="107" t="n"/>
      <c r="I15" s="107" t="n"/>
      <c r="J15" s="107" t="n"/>
      <c r="K15" s="108" t="n"/>
      <c r="L15" s="109">
        <f>IF($K15&gt;0,$K15/$H15," ")</f>
        <v/>
      </c>
      <c r="M15" s="110" t="n"/>
      <c r="N15" s="111">
        <f>IF($M15&gt;0,($M15-$U15)/365," ")</f>
        <v/>
      </c>
      <c r="O15" s="105" t="n"/>
      <c r="P15" s="105" t="n"/>
      <c r="Q15" s="105" t="n"/>
      <c r="R15" s="108" t="n"/>
      <c r="S15" s="108">
        <f>IF($R15&gt;0,IF($H15&gt;0,$R15/$H15," ")," ")</f>
        <v/>
      </c>
      <c r="T15" s="112">
        <f>IF($R15&gt;0,IF($K15&gt;0,$K15/$R15," ")," ")</f>
        <v/>
      </c>
      <c r="U15" s="110" t="n"/>
      <c r="V15" s="108" t="n"/>
      <c r="W15" s="112">
        <f>IF($V15&gt;0,IF($K15&gt;0,$K15/$V15," ")," ")</f>
        <v/>
      </c>
      <c r="X15" s="108" t="n"/>
      <c r="Y15" s="112">
        <f>IF($X15&gt;0,IF($K15&gt;0,$K15/$X15," ")," ")</f>
        <v/>
      </c>
      <c r="Z15" s="112">
        <f>IF(ISNUMBER($T15),IF(ISNUMBER($Y15),$T15-$Y15," ")," ")</f>
        <v/>
      </c>
      <c r="AA15" s="105">
        <f>IF($X15&gt;0,IF($V15&gt;0,IF($X15=$V15,"No","Yes")," ")," ")</f>
        <v/>
      </c>
      <c r="AB15" s="110" t="n"/>
      <c r="AC15" s="107">
        <f>IF($AB15&gt;0,$U15-$AB15," ")</f>
        <v/>
      </c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6" t="n"/>
      <c r="G16" s="93" t="n"/>
      <c r="H16" s="97" t="n"/>
      <c r="I16" s="97" t="n"/>
      <c r="J16" s="97" t="n"/>
      <c r="K16" s="98" t="n"/>
      <c r="L16" s="99">
        <f>IF($K16&gt;0,$K16/$H16," ")</f>
        <v/>
      </c>
      <c r="M16" s="100" t="n"/>
      <c r="N16" s="101">
        <f>IF($M16&gt;0,($M16-$U16)/365," ")</f>
        <v/>
      </c>
      <c r="O16" s="95" t="n"/>
      <c r="P16" s="95" t="n"/>
      <c r="Q16" s="95" t="n"/>
      <c r="R16" s="98" t="n"/>
      <c r="S16" s="98">
        <f>IF($R16&gt;0,IF($H16&gt;0,$R16/$H16," ")," ")</f>
        <v/>
      </c>
      <c r="T16" s="102">
        <f>IF($R16&gt;0,IF($K16&gt;0,$K16/$R16," ")," ")</f>
        <v/>
      </c>
      <c r="U16" s="100" t="n"/>
      <c r="V16" s="98" t="n"/>
      <c r="W16" s="102">
        <f>IF($V16&gt;0,IF($K16&gt;0,$K16/$V16," ")," ")</f>
        <v/>
      </c>
      <c r="X16" s="98" t="n"/>
      <c r="Y16" s="102">
        <f>IF($X16&gt;0,IF($K16&gt;0,$K16/$X16," ")," ")</f>
        <v/>
      </c>
      <c r="Z16" s="102">
        <f>IF(ISNUMBER($T16),IF(ISNUMBER($Y16),$T16-$Y16," ")," ")</f>
        <v/>
      </c>
      <c r="AA16" s="95">
        <f>IF($X16&gt;0,IF($V16&gt;0,IF($X16=$V16,"No","Yes")," ")," ")</f>
        <v/>
      </c>
      <c r="AB16" s="100" t="n"/>
      <c r="AC16" s="97">
        <f>IF($AB16&gt;0,$U16-$AB16," ")</f>
        <v/>
      </c>
    </row>
    <row r="17" ht="15" customHeight="1" s="46">
      <c r="A17" s="103">
        <f>IFERROR(ROW()-5,"")</f>
        <v/>
      </c>
      <c r="B17" s="104" t="n"/>
      <c r="C17" s="104" t="n"/>
      <c r="D17" s="105" t="n"/>
      <c r="E17" s="105" t="n"/>
      <c r="F17" s="106" t="n"/>
      <c r="G17" s="103" t="n"/>
      <c r="H17" s="107" t="n"/>
      <c r="I17" s="107" t="n"/>
      <c r="J17" s="107" t="n"/>
      <c r="K17" s="108" t="n"/>
      <c r="L17" s="109">
        <f>IF($K17&gt;0,$K17/$H17," ")</f>
        <v/>
      </c>
      <c r="M17" s="110" t="n"/>
      <c r="N17" s="111">
        <f>IF($M17&gt;0,($M17-$U17)/365," ")</f>
        <v/>
      </c>
      <c r="O17" s="105" t="n"/>
      <c r="P17" s="105" t="n"/>
      <c r="Q17" s="105" t="n"/>
      <c r="R17" s="108" t="n"/>
      <c r="S17" s="108">
        <f>IF($R17&gt;0,IF($H17&gt;0,$R17/$H17," ")," ")</f>
        <v/>
      </c>
      <c r="T17" s="112">
        <f>IF($R17&gt;0,IF($K17&gt;0,$K17/$R17," ")," ")</f>
        <v/>
      </c>
      <c r="U17" s="110" t="n"/>
      <c r="V17" s="108" t="n"/>
      <c r="W17" s="112">
        <f>IF($V17&gt;0,IF($K17&gt;0,$K17/$V17," ")," ")</f>
        <v/>
      </c>
      <c r="X17" s="108" t="n"/>
      <c r="Y17" s="112">
        <f>IF($X17&gt;0,IF($K17&gt;0,$K17/$X17," ")," ")</f>
        <v/>
      </c>
      <c r="Z17" s="112">
        <f>IF(ISNUMBER($T17),IF(ISNUMBER($Y17),$T17-$Y17," ")," ")</f>
        <v/>
      </c>
      <c r="AA17" s="105">
        <f>IF($X17&gt;0,IF($V17&gt;0,IF($X17=$V17,"No","Yes")," ")," ")</f>
        <v/>
      </c>
      <c r="AB17" s="110" t="n"/>
      <c r="AC17" s="107">
        <f>IF($AB17&gt;0,$U17-$AB17," ")</f>
        <v/>
      </c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6" t="n"/>
      <c r="G18" s="93" t="n"/>
      <c r="H18" s="97" t="n"/>
      <c r="I18" s="97" t="n"/>
      <c r="J18" s="97" t="n"/>
      <c r="K18" s="98" t="n"/>
      <c r="L18" s="99">
        <f>IF($K18&gt;0,$K18/$H18," ")</f>
        <v/>
      </c>
      <c r="M18" s="100" t="n"/>
      <c r="N18" s="101">
        <f>IF($M18&gt;0,($M18-$U18)/365," ")</f>
        <v/>
      </c>
      <c r="O18" s="95" t="n"/>
      <c r="P18" s="95" t="n"/>
      <c r="Q18" s="95" t="n"/>
      <c r="R18" s="98" t="n"/>
      <c r="S18" s="98">
        <f>IF($R18&gt;0,IF($H18&gt;0,$R18/$H18," ")," ")</f>
        <v/>
      </c>
      <c r="T18" s="102">
        <f>IF($R18&gt;0,IF($K18&gt;0,$K18/$R18," ")," ")</f>
        <v/>
      </c>
      <c r="U18" s="100" t="n"/>
      <c r="V18" s="98" t="n"/>
      <c r="W18" s="102">
        <f>IF($V18&gt;0,IF($K18&gt;0,$K18/$V18," ")," ")</f>
        <v/>
      </c>
      <c r="X18" s="98" t="n"/>
      <c r="Y18" s="102">
        <f>IF($X18&gt;0,IF($K18&gt;0,$K18/$X18," ")," ")</f>
        <v/>
      </c>
      <c r="Z18" s="102">
        <f>IF(ISNUMBER($T18),IF(ISNUMBER($Y18),$T18-$Y18," ")," ")</f>
        <v/>
      </c>
      <c r="AA18" s="95">
        <f>IF($X18&gt;0,IF($V18&gt;0,IF($X18=$V18,"No","Yes")," ")," ")</f>
        <v/>
      </c>
      <c r="AB18" s="100" t="n"/>
      <c r="AC18" s="97">
        <f>IF($AB18&gt;0,$U18-$AB18," ")</f>
        <v/>
      </c>
    </row>
    <row r="19" ht="15" customHeight="1" s="46">
      <c r="A19" s="103">
        <f>IFERROR(ROW()-5,"")</f>
        <v/>
      </c>
      <c r="B19" s="104" t="n"/>
      <c r="C19" s="104" t="n"/>
      <c r="D19" s="105" t="n"/>
      <c r="E19" s="105" t="n"/>
      <c r="F19" s="106" t="n"/>
      <c r="G19" s="103" t="n"/>
      <c r="H19" s="107" t="n"/>
      <c r="I19" s="107" t="n"/>
      <c r="J19" s="107" t="n"/>
      <c r="K19" s="108" t="n"/>
      <c r="L19" s="109">
        <f>IF($K19&gt;0,$K19/$H19," ")</f>
        <v/>
      </c>
      <c r="M19" s="110" t="n"/>
      <c r="N19" s="111">
        <f>IF($M19&gt;0,($M19-$U19)/365," ")</f>
        <v/>
      </c>
      <c r="O19" s="105" t="n"/>
      <c r="P19" s="105" t="n"/>
      <c r="Q19" s="105" t="n"/>
      <c r="R19" s="108" t="n"/>
      <c r="S19" s="108">
        <f>IF($R19&gt;0,IF($H19&gt;0,$R19/$H19," ")," ")</f>
        <v/>
      </c>
      <c r="T19" s="112">
        <f>IF($R19&gt;0,IF($K19&gt;0,$K19/$R19," ")," ")</f>
        <v/>
      </c>
      <c r="U19" s="110" t="n"/>
      <c r="V19" s="108" t="n"/>
      <c r="W19" s="112">
        <f>IF($V19&gt;0,IF($K19&gt;0,$K19/$V19," ")," ")</f>
        <v/>
      </c>
      <c r="X19" s="108" t="n"/>
      <c r="Y19" s="112">
        <f>IF($X19&gt;0,IF($K19&gt;0,$K19/$X19," ")," ")</f>
        <v/>
      </c>
      <c r="Z19" s="112">
        <f>IF(ISNUMBER($T19),IF(ISNUMBER($Y19),$T19-$Y19," ")," ")</f>
        <v/>
      </c>
      <c r="AA19" s="105">
        <f>IF($X19&gt;0,IF($V19&gt;0,IF($X19=$V19,"No","Yes")," ")," ")</f>
        <v/>
      </c>
      <c r="AB19" s="110" t="n"/>
      <c r="AC19" s="107">
        <f>IF($AB19&gt;0,$U19-$AB19," ")</f>
        <v/>
      </c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6" t="n"/>
      <c r="G20" s="93" t="n"/>
      <c r="H20" s="97" t="n"/>
      <c r="I20" s="97" t="n"/>
      <c r="J20" s="97" t="n"/>
      <c r="K20" s="98" t="n"/>
      <c r="L20" s="99">
        <f>IF($K20&gt;0,$K20/$H20," ")</f>
        <v/>
      </c>
      <c r="M20" s="100" t="n"/>
      <c r="N20" s="101">
        <f>IF($M20&gt;0,($M20-$U20)/365," ")</f>
        <v/>
      </c>
      <c r="O20" s="95" t="n"/>
      <c r="P20" s="95" t="n"/>
      <c r="Q20" s="95" t="n"/>
      <c r="R20" s="98" t="n"/>
      <c r="S20" s="98">
        <f>IF($R20&gt;0,IF($H20&gt;0,$R20/$H20," ")," ")</f>
        <v/>
      </c>
      <c r="T20" s="102">
        <f>IF($R20&gt;0,IF($K20&gt;0,$K20/$R20," ")," ")</f>
        <v/>
      </c>
      <c r="U20" s="100" t="n"/>
      <c r="V20" s="98" t="n"/>
      <c r="W20" s="102">
        <f>IF($V20&gt;0,IF($K20&gt;0,$K20/$V20," ")," ")</f>
        <v/>
      </c>
      <c r="X20" s="98" t="n"/>
      <c r="Y20" s="102">
        <f>IF($X20&gt;0,IF($K20&gt;0,$K20/$X20," ")," ")</f>
        <v/>
      </c>
      <c r="Z20" s="102">
        <f>IF(ISNUMBER($T20),IF(ISNUMBER($Y20),$T20-$Y20," ")," ")</f>
        <v/>
      </c>
      <c r="AA20" s="95">
        <f>IF($X20&gt;0,IF($V20&gt;0,IF($X20=$V20,"No","Yes")," ")," ")</f>
        <v/>
      </c>
      <c r="AB20" s="100" t="n"/>
      <c r="AC20" s="97">
        <f>IF($AB20&gt;0,$U20-$AB20," ")</f>
        <v/>
      </c>
    </row>
    <row r="21" ht="15" customHeight="1" s="46">
      <c r="A21" s="103">
        <f>IFERROR(ROW()-5,"")</f>
        <v/>
      </c>
      <c r="B21" s="104" t="n"/>
      <c r="C21" s="104" t="n"/>
      <c r="D21" s="105" t="n"/>
      <c r="E21" s="105" t="n"/>
      <c r="F21" s="106" t="n"/>
      <c r="G21" s="103" t="n"/>
      <c r="H21" s="107" t="n"/>
      <c r="I21" s="107" t="n"/>
      <c r="J21" s="107" t="n"/>
      <c r="K21" s="108" t="n"/>
      <c r="L21" s="109">
        <f>IF($K21&gt;0,$K21/$H21," ")</f>
        <v/>
      </c>
      <c r="M21" s="110" t="n"/>
      <c r="N21" s="111">
        <f>IF($M21&gt;0,($M21-$U21)/365," ")</f>
        <v/>
      </c>
      <c r="O21" s="105" t="n"/>
      <c r="P21" s="105" t="n"/>
      <c r="Q21" s="105" t="n"/>
      <c r="R21" s="108" t="n"/>
      <c r="S21" s="108">
        <f>IF($R21&gt;0,IF($H21&gt;0,$R21/$H21," ")," ")</f>
        <v/>
      </c>
      <c r="T21" s="112">
        <f>IF($R21&gt;0,IF($K21&gt;0,$K21/$R21," ")," ")</f>
        <v/>
      </c>
      <c r="U21" s="110" t="n"/>
      <c r="V21" s="108" t="n"/>
      <c r="W21" s="112">
        <f>IF($V21&gt;0,IF($K21&gt;0,$K21/$V21," ")," ")</f>
        <v/>
      </c>
      <c r="X21" s="108" t="n"/>
      <c r="Y21" s="112">
        <f>IF($X21&gt;0,IF($K21&gt;0,$K21/$X21," ")," ")</f>
        <v/>
      </c>
      <c r="Z21" s="112">
        <f>IF(ISNUMBER($T21),IF(ISNUMBER($Y21),$T21-$Y21," ")," ")</f>
        <v/>
      </c>
      <c r="AA21" s="105">
        <f>IF($X21&gt;0,IF($V21&gt;0,IF($X21=$V21,"No","Yes")," ")," ")</f>
        <v/>
      </c>
      <c r="AB21" s="110" t="n"/>
      <c r="AC21" s="107">
        <f>IF($AB21&gt;0,$U21-$AB21," ")</f>
        <v/>
      </c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6" t="n"/>
      <c r="G22" s="93" t="n"/>
      <c r="H22" s="97" t="n"/>
      <c r="I22" s="97" t="n"/>
      <c r="J22" s="97" t="n"/>
      <c r="K22" s="98" t="n"/>
      <c r="L22" s="99">
        <f>IF($K22&gt;0,$K22/$H22," ")</f>
        <v/>
      </c>
      <c r="M22" s="100" t="n"/>
      <c r="N22" s="101">
        <f>IF($M22&gt;0,($M22-$U22)/365," ")</f>
        <v/>
      </c>
      <c r="O22" s="95" t="n"/>
      <c r="P22" s="95" t="n"/>
      <c r="Q22" s="95" t="n"/>
      <c r="R22" s="98" t="n"/>
      <c r="S22" s="98">
        <f>IF($R22&gt;0,IF($H22&gt;0,$R22/$H22," ")," ")</f>
        <v/>
      </c>
      <c r="T22" s="102">
        <f>IF($R22&gt;0,IF($K22&gt;0,$K22/$R22," ")," ")</f>
        <v/>
      </c>
      <c r="U22" s="100" t="n"/>
      <c r="V22" s="98" t="n"/>
      <c r="W22" s="102">
        <f>IF($V22&gt;0,IF($K22&gt;0,$K22/$V22," ")," ")</f>
        <v/>
      </c>
      <c r="X22" s="98" t="n"/>
      <c r="Y22" s="102">
        <f>IF($X22&gt;0,IF($K22&gt;0,$K22/$X22," ")," ")</f>
        <v/>
      </c>
      <c r="Z22" s="102">
        <f>IF(ISNUMBER($T22),IF(ISNUMBER($Y22),$T22-$Y22," ")," ")</f>
        <v/>
      </c>
      <c r="AA22" s="95">
        <f>IF($X22&gt;0,IF($V22&gt;0,IF($X22=$V22,"No","Yes")," ")," ")</f>
        <v/>
      </c>
      <c r="AB22" s="100" t="n"/>
      <c r="AC22" s="97">
        <f>IF($AB22&gt;0,$U22-$AB22," ")</f>
        <v/>
      </c>
    </row>
    <row r="23" ht="15" customHeight="1" s="46">
      <c r="A23" s="103">
        <f>IFERROR(ROW()-5,"")</f>
        <v/>
      </c>
      <c r="B23" s="104" t="n"/>
      <c r="C23" s="104" t="n"/>
      <c r="D23" s="105" t="n"/>
      <c r="E23" s="105" t="n"/>
      <c r="F23" s="106" t="n"/>
      <c r="G23" s="103" t="n"/>
      <c r="H23" s="107" t="n"/>
      <c r="I23" s="107" t="n"/>
      <c r="J23" s="107" t="n"/>
      <c r="K23" s="108" t="n"/>
      <c r="L23" s="109">
        <f>IF($K23&gt;0,$K23/$H23," ")</f>
        <v/>
      </c>
      <c r="M23" s="110" t="n"/>
      <c r="N23" s="111">
        <f>IF($M23&gt;0,($M23-$U23)/365," ")</f>
        <v/>
      </c>
      <c r="O23" s="105" t="n"/>
      <c r="P23" s="105" t="n"/>
      <c r="Q23" s="105" t="n"/>
      <c r="R23" s="108" t="n"/>
      <c r="S23" s="108">
        <f>IF($R23&gt;0,IF($H23&gt;0,$R23/$H23," ")," ")</f>
        <v/>
      </c>
      <c r="T23" s="112">
        <f>IF($R23&gt;0,IF($K23&gt;0,$K23/$R23," ")," ")</f>
        <v/>
      </c>
      <c r="U23" s="110" t="n"/>
      <c r="V23" s="108" t="n"/>
      <c r="W23" s="112">
        <f>IF($V23&gt;0,IF($K23&gt;0,$K23/$V23," ")," ")</f>
        <v/>
      </c>
      <c r="X23" s="108" t="n"/>
      <c r="Y23" s="112">
        <f>IF($X23&gt;0,IF($K23&gt;0,$K23/$X23," ")," ")</f>
        <v/>
      </c>
      <c r="Z23" s="112">
        <f>IF(ISNUMBER($T23),IF(ISNUMBER($Y23),$T23-$Y23," ")," ")</f>
        <v/>
      </c>
      <c r="AA23" s="105">
        <f>IF($X23&gt;0,IF($V23&gt;0,IF($X23=$V23,"No","Yes")," ")," ")</f>
        <v/>
      </c>
      <c r="AB23" s="110" t="n"/>
      <c r="AC23" s="107">
        <f>IF($AB23&gt;0,$U23-$AB23," ")</f>
        <v/>
      </c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6" t="n"/>
      <c r="G24" s="93" t="n"/>
      <c r="H24" s="97" t="n"/>
      <c r="I24" s="97" t="n"/>
      <c r="J24" s="97" t="n"/>
      <c r="K24" s="98" t="n"/>
      <c r="L24" s="99">
        <f>IF($K24&gt;0,$K24/$H24," ")</f>
        <v/>
      </c>
      <c r="M24" s="100" t="n"/>
      <c r="N24" s="101">
        <f>IF($M24&gt;0,($M24-$U24)/365," ")</f>
        <v/>
      </c>
      <c r="O24" s="95" t="n"/>
      <c r="P24" s="95" t="n"/>
      <c r="Q24" s="95" t="n"/>
      <c r="R24" s="98" t="n"/>
      <c r="S24" s="98">
        <f>IF($R24&gt;0,IF($H24&gt;0,$R24/$H24," ")," ")</f>
        <v/>
      </c>
      <c r="T24" s="102">
        <f>IF($R24&gt;0,IF($K24&gt;0,$K24/$R24," ")," ")</f>
        <v/>
      </c>
      <c r="U24" s="100" t="n"/>
      <c r="V24" s="98" t="n"/>
      <c r="W24" s="102">
        <f>IF($V24&gt;0,IF($K24&gt;0,$K24/$V24," ")," ")</f>
        <v/>
      </c>
      <c r="X24" s="98" t="n"/>
      <c r="Y24" s="102">
        <f>IF($X24&gt;0,IF($K24&gt;0,$K24/$X24," ")," ")</f>
        <v/>
      </c>
      <c r="Z24" s="102">
        <f>IF(ISNUMBER($T24),IF(ISNUMBER($Y24),$T24-$Y24," ")," ")</f>
        <v/>
      </c>
      <c r="AA24" s="95">
        <f>IF($X24&gt;0,IF($V24&gt;0,IF($X24=$V24,"No","Yes")," ")," ")</f>
        <v/>
      </c>
      <c r="AB24" s="100" t="n"/>
      <c r="AC24" s="97">
        <f>IF($AB24&gt;0,$U24-$AB24," ")</f>
        <v/>
      </c>
    </row>
    <row r="25" ht="15" customHeight="1" s="46">
      <c r="A25" s="103">
        <f>IFERROR(ROW()-5,"")</f>
        <v/>
      </c>
      <c r="B25" s="104" t="n"/>
      <c r="C25" s="104" t="n"/>
      <c r="D25" s="105" t="n"/>
      <c r="E25" s="105" t="n"/>
      <c r="F25" s="106" t="n"/>
      <c r="G25" s="103" t="n"/>
      <c r="H25" s="107" t="n"/>
      <c r="I25" s="107" t="n"/>
      <c r="J25" s="107" t="n"/>
      <c r="K25" s="108" t="n"/>
      <c r="L25" s="109">
        <f>IF($K25&gt;0,$K25/$H25," ")</f>
        <v/>
      </c>
      <c r="M25" s="110" t="n"/>
      <c r="N25" s="111">
        <f>IF($M25&gt;0,($M25-$U25)/365," ")</f>
        <v/>
      </c>
      <c r="O25" s="105" t="n"/>
      <c r="P25" s="105" t="n"/>
      <c r="Q25" s="105" t="n"/>
      <c r="R25" s="108" t="n"/>
      <c r="S25" s="108">
        <f>IF($R25&gt;0,IF($H25&gt;0,$R25/$H25," ")," ")</f>
        <v/>
      </c>
      <c r="T25" s="112">
        <f>IF($R25&gt;0,IF($K25&gt;0,$K25/$R25," ")," ")</f>
        <v/>
      </c>
      <c r="U25" s="110" t="n"/>
      <c r="V25" s="108" t="n"/>
      <c r="W25" s="112">
        <f>IF($V25&gt;0,IF($K25&gt;0,$K25/$V25," ")," ")</f>
        <v/>
      </c>
      <c r="X25" s="108" t="n"/>
      <c r="Y25" s="112">
        <f>IF($X25&gt;0,IF($K25&gt;0,$K25/$X25," ")," ")</f>
        <v/>
      </c>
      <c r="Z25" s="112">
        <f>IF(ISNUMBER($T25),IF(ISNUMBER($Y25),$T25-$Y25," ")," ")</f>
        <v/>
      </c>
      <c r="AA25" s="105">
        <f>IF($X25&gt;0,IF($V25&gt;0,IF($X25=$V25,"No","Yes")," ")," ")</f>
        <v/>
      </c>
      <c r="AB25" s="110" t="n"/>
      <c r="AC25" s="107">
        <f>IF($AB25&gt;0,$U25-$AB25," ")</f>
        <v/>
      </c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6" t="n"/>
      <c r="G26" s="93" t="n"/>
      <c r="H26" s="97" t="n"/>
      <c r="I26" s="97" t="n"/>
      <c r="J26" s="97" t="n"/>
      <c r="K26" s="98" t="n"/>
      <c r="L26" s="99">
        <f>IF($K26&gt;0,$K26/$H26," ")</f>
        <v/>
      </c>
      <c r="M26" s="100" t="n"/>
      <c r="N26" s="101">
        <f>IF($M26&gt;0,($M26-$U26)/365," ")</f>
        <v/>
      </c>
      <c r="O26" s="95" t="n"/>
      <c r="P26" s="95" t="n"/>
      <c r="Q26" s="95" t="n"/>
      <c r="R26" s="98" t="n"/>
      <c r="S26" s="98">
        <f>IF($R26&gt;0,IF($H26&gt;0,$R26/$H26," ")," ")</f>
        <v/>
      </c>
      <c r="T26" s="102">
        <f>IF($R26&gt;0,IF($K26&gt;0,$K26/$R26," ")," ")</f>
        <v/>
      </c>
      <c r="U26" s="100" t="n"/>
      <c r="V26" s="98" t="n"/>
      <c r="W26" s="102">
        <f>IF($V26&gt;0,IF($K26&gt;0,$K26/$V26," ")," ")</f>
        <v/>
      </c>
      <c r="X26" s="98" t="n"/>
      <c r="Y26" s="102">
        <f>IF($X26&gt;0,IF($K26&gt;0,$K26/$X26," ")," ")</f>
        <v/>
      </c>
      <c r="Z26" s="102">
        <f>IF(ISNUMBER($T26),IF(ISNUMBER($Y26),$T26-$Y26," ")," ")</f>
        <v/>
      </c>
      <c r="AA26" s="95">
        <f>IF($X26&gt;0,IF($V26&gt;0,IF($X26=$V26,"No","Yes")," ")," ")</f>
        <v/>
      </c>
      <c r="AB26" s="100" t="n"/>
      <c r="AC26" s="97">
        <f>IF($AB26&gt;0,$U26-$AB26," ")</f>
        <v/>
      </c>
    </row>
    <row r="27" ht="15" customHeight="1" s="46">
      <c r="A27" s="103">
        <f>IFERROR(ROW()-5,"")</f>
        <v/>
      </c>
      <c r="B27" s="104" t="n"/>
      <c r="C27" s="104" t="n"/>
      <c r="D27" s="105" t="n"/>
      <c r="E27" s="105" t="n"/>
      <c r="F27" s="106" t="n"/>
      <c r="G27" s="103" t="n"/>
      <c r="H27" s="107" t="n"/>
      <c r="I27" s="107" t="n"/>
      <c r="J27" s="107" t="n"/>
      <c r="K27" s="108" t="n"/>
      <c r="L27" s="109">
        <f>IF($K27&gt;0,$K27/$H27," ")</f>
        <v/>
      </c>
      <c r="M27" s="110" t="n"/>
      <c r="N27" s="111">
        <f>IF($M27&gt;0,($M27-$U27)/365," ")</f>
        <v/>
      </c>
      <c r="O27" s="105" t="n"/>
      <c r="P27" s="105" t="n"/>
      <c r="Q27" s="105" t="n"/>
      <c r="R27" s="108" t="n"/>
      <c r="S27" s="108">
        <f>IF($R27&gt;0,IF($H27&gt;0,$R27/$H27," ")," ")</f>
        <v/>
      </c>
      <c r="T27" s="112">
        <f>IF($R27&gt;0,IF($K27&gt;0,$K27/$R27," ")," ")</f>
        <v/>
      </c>
      <c r="U27" s="110" t="n"/>
      <c r="V27" s="108" t="n"/>
      <c r="W27" s="112">
        <f>IF($V27&gt;0,IF($K27&gt;0,$K27/$V27," ")," ")</f>
        <v/>
      </c>
      <c r="X27" s="108" t="n"/>
      <c r="Y27" s="112">
        <f>IF($X27&gt;0,IF($K27&gt;0,$K27/$X27," ")," ")</f>
        <v/>
      </c>
      <c r="Z27" s="112">
        <f>IF(ISNUMBER($T27),IF(ISNUMBER($Y27),$T27-$Y27," ")," ")</f>
        <v/>
      </c>
      <c r="AA27" s="105">
        <f>IF($X27&gt;0,IF($V27&gt;0,IF($X27=$V27,"No","Yes")," ")," ")</f>
        <v/>
      </c>
      <c r="AB27" s="110" t="n"/>
      <c r="AC27" s="107">
        <f>IF($AB27&gt;0,$U27-$AB27," ")</f>
        <v/>
      </c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6" t="n"/>
      <c r="G28" s="93" t="n"/>
      <c r="H28" s="97" t="n"/>
      <c r="I28" s="97" t="n"/>
      <c r="J28" s="97" t="n"/>
      <c r="K28" s="98" t="n"/>
      <c r="L28" s="99">
        <f>IF($K28&gt;0,$K28/$H28," ")</f>
        <v/>
      </c>
      <c r="M28" s="100" t="n"/>
      <c r="N28" s="101">
        <f>IF($M28&gt;0,($M28-$U28)/365," ")</f>
        <v/>
      </c>
      <c r="O28" s="95" t="n"/>
      <c r="P28" s="95" t="n"/>
      <c r="Q28" s="95" t="n"/>
      <c r="R28" s="98" t="n"/>
      <c r="S28" s="98">
        <f>IF($R28&gt;0,IF($H28&gt;0,$R28/$H28," ")," ")</f>
        <v/>
      </c>
      <c r="T28" s="102">
        <f>IF($R28&gt;0,IF($K28&gt;0,$K28/$R28," ")," ")</f>
        <v/>
      </c>
      <c r="U28" s="100" t="n"/>
      <c r="V28" s="98" t="n"/>
      <c r="W28" s="102">
        <f>IF($V28&gt;0,IF($K28&gt;0,$K28/$V28," ")," ")</f>
        <v/>
      </c>
      <c r="X28" s="98" t="n"/>
      <c r="Y28" s="102">
        <f>IF($X28&gt;0,IF($K28&gt;0,$K28/$X28," ")," ")</f>
        <v/>
      </c>
      <c r="Z28" s="102">
        <f>IF(ISNUMBER($T28),IF(ISNUMBER($Y28),$T28-$Y28," ")," ")</f>
        <v/>
      </c>
      <c r="AA28" s="95">
        <f>IF($X28&gt;0,IF($V28&gt;0,IF($X28=$V28,"No","Yes")," ")," ")</f>
        <v/>
      </c>
      <c r="AB28" s="100" t="n"/>
      <c r="AC28" s="97">
        <f>IF($AB28&gt;0,$U28-$AB28," ")</f>
        <v/>
      </c>
    </row>
    <row r="29" ht="15" customHeight="1" s="46">
      <c r="A29" s="103">
        <f>IFERROR(ROW()-5,"")</f>
        <v/>
      </c>
      <c r="B29" s="104" t="n"/>
      <c r="C29" s="104" t="n"/>
      <c r="D29" s="105" t="n"/>
      <c r="E29" s="105" t="n"/>
      <c r="F29" s="106" t="n"/>
      <c r="G29" s="103" t="n"/>
      <c r="H29" s="107" t="n"/>
      <c r="I29" s="107" t="n"/>
      <c r="J29" s="107" t="n"/>
      <c r="K29" s="108" t="n"/>
      <c r="L29" s="109">
        <f>IF($K29&gt;0,$K29/$H29," ")</f>
        <v/>
      </c>
      <c r="M29" s="110" t="n"/>
      <c r="N29" s="111">
        <f>IF($M29&gt;0,($M29-$U29)/365," ")</f>
        <v/>
      </c>
      <c r="O29" s="105" t="n"/>
      <c r="P29" s="105" t="n"/>
      <c r="Q29" s="105" t="n"/>
      <c r="R29" s="108" t="n"/>
      <c r="S29" s="108">
        <f>IF($R29&gt;0,IF($H29&gt;0,$R29/$H29," ")," ")</f>
        <v/>
      </c>
      <c r="T29" s="112">
        <f>IF($R29&gt;0,IF($K29&gt;0,$K29/$R29," ")," ")</f>
        <v/>
      </c>
      <c r="U29" s="110" t="n"/>
      <c r="V29" s="108" t="n"/>
      <c r="W29" s="112">
        <f>IF($V29&gt;0,IF($K29&gt;0,$K29/$V29," ")," ")</f>
        <v/>
      </c>
      <c r="X29" s="108" t="n"/>
      <c r="Y29" s="112">
        <f>IF($X29&gt;0,IF($K29&gt;0,$K29/$X29," ")," ")</f>
        <v/>
      </c>
      <c r="Z29" s="112">
        <f>IF(ISNUMBER($T29),IF(ISNUMBER($Y29),$T29-$Y29," ")," ")</f>
        <v/>
      </c>
      <c r="AA29" s="105">
        <f>IF($X29&gt;0,IF($V29&gt;0,IF($X29=$V29,"No","Yes")," ")," ")</f>
        <v/>
      </c>
      <c r="AB29" s="110" t="n"/>
      <c r="AC29" s="107">
        <f>IF($AB29&gt;0,$U29-$AB29," ")</f>
        <v/>
      </c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6" t="n"/>
      <c r="G30" s="93" t="n"/>
      <c r="H30" s="97" t="n"/>
      <c r="I30" s="97" t="n"/>
      <c r="J30" s="97" t="n"/>
      <c r="K30" s="98" t="n"/>
      <c r="L30" s="99">
        <f>IF($K30&gt;0,$K30/$H30," ")</f>
        <v/>
      </c>
      <c r="M30" s="100" t="n"/>
      <c r="N30" s="101">
        <f>IF($M30&gt;0,($M30-$U30)/365," ")</f>
        <v/>
      </c>
      <c r="O30" s="95" t="n"/>
      <c r="P30" s="95" t="n"/>
      <c r="Q30" s="95" t="n"/>
      <c r="R30" s="98" t="n"/>
      <c r="S30" s="98">
        <f>IF($R30&gt;0,IF($H30&gt;0,$R30/$H30," ")," ")</f>
        <v/>
      </c>
      <c r="T30" s="102">
        <f>IF($R30&gt;0,IF($K30&gt;0,$K30/$R30," ")," ")</f>
        <v/>
      </c>
      <c r="U30" s="100" t="n"/>
      <c r="V30" s="98" t="n"/>
      <c r="W30" s="102">
        <f>IF($V30&gt;0,IF($K30&gt;0,$K30/$V30," ")," ")</f>
        <v/>
      </c>
      <c r="X30" s="98" t="n"/>
      <c r="Y30" s="102">
        <f>IF($X30&gt;0,IF($K30&gt;0,$K30/$X30," ")," ")</f>
        <v/>
      </c>
      <c r="Z30" s="102">
        <f>IF(ISNUMBER($T30),IF(ISNUMBER($Y30),$T30-$Y30," ")," ")</f>
        <v/>
      </c>
      <c r="AA30" s="95">
        <f>IF($X30&gt;0,IF($V30&gt;0,IF($X30=$V30,"No","Yes")," ")," ")</f>
        <v/>
      </c>
      <c r="AB30" s="100" t="n"/>
      <c r="AC30" s="97">
        <f>IF($AB30&gt;0,$U30-$AB30," ")</f>
        <v/>
      </c>
    </row>
    <row r="31" ht="15" customHeight="1" s="46">
      <c r="A31" s="103">
        <f>IFERROR(ROW()-5,"")</f>
        <v/>
      </c>
      <c r="B31" s="104" t="n"/>
      <c r="C31" s="104" t="n"/>
      <c r="D31" s="105" t="n"/>
      <c r="E31" s="105" t="n"/>
      <c r="F31" s="106" t="n"/>
      <c r="G31" s="103" t="n"/>
      <c r="H31" s="107" t="n"/>
      <c r="I31" s="107" t="n"/>
      <c r="J31" s="107" t="n"/>
      <c r="K31" s="108" t="n"/>
      <c r="L31" s="109">
        <f>IF($K31&gt;0,$K31/$H31," ")</f>
        <v/>
      </c>
      <c r="M31" s="110" t="n"/>
      <c r="N31" s="111">
        <f>IF($M31&gt;0,($M31-$U31)/365," ")</f>
        <v/>
      </c>
      <c r="O31" s="105" t="n"/>
      <c r="P31" s="105" t="n"/>
      <c r="Q31" s="105" t="n"/>
      <c r="R31" s="108" t="n"/>
      <c r="S31" s="108">
        <f>IF($R31&gt;0,IF($H31&gt;0,$R31/$H31," ")," ")</f>
        <v/>
      </c>
      <c r="T31" s="112">
        <f>IF($R31&gt;0,IF($K31&gt;0,$K31/$R31," ")," ")</f>
        <v/>
      </c>
      <c r="U31" s="110" t="n"/>
      <c r="V31" s="108" t="n"/>
      <c r="W31" s="112">
        <f>IF($V31&gt;0,IF($K31&gt;0,$K31/$V31," ")," ")</f>
        <v/>
      </c>
      <c r="X31" s="108" t="n"/>
      <c r="Y31" s="112">
        <f>IF($X31&gt;0,IF($K31&gt;0,$K31/$X31," ")," ")</f>
        <v/>
      </c>
      <c r="Z31" s="112">
        <f>IF(ISNUMBER($T31),IF(ISNUMBER($Y31),$T31-$Y31," ")," ")</f>
        <v/>
      </c>
      <c r="AA31" s="105">
        <f>IF($X31&gt;0,IF($V31&gt;0,IF($X31=$V31,"No","Yes")," ")," ")</f>
        <v/>
      </c>
      <c r="AB31" s="110" t="n"/>
      <c r="AC31" s="107">
        <f>IF($AB31&gt;0,$U31-$AB31," ")</f>
        <v/>
      </c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6" t="n"/>
      <c r="G32" s="93" t="n"/>
      <c r="H32" s="97" t="n"/>
      <c r="I32" s="97" t="n"/>
      <c r="J32" s="97" t="n"/>
      <c r="K32" s="98" t="n"/>
      <c r="L32" s="99">
        <f>IF($K32&gt;0,$K32/$H32," ")</f>
        <v/>
      </c>
      <c r="M32" s="100" t="n"/>
      <c r="N32" s="101">
        <f>IF($M32&gt;0,($M32-$U32)/365," ")</f>
        <v/>
      </c>
      <c r="O32" s="95" t="n"/>
      <c r="P32" s="95" t="n"/>
      <c r="Q32" s="95" t="n"/>
      <c r="R32" s="98" t="n"/>
      <c r="S32" s="98">
        <f>IF($R32&gt;0,IF($H32&gt;0,$R32/$H32," ")," ")</f>
        <v/>
      </c>
      <c r="T32" s="102">
        <f>IF($R32&gt;0,IF($K32&gt;0,$K32/$R32," ")," ")</f>
        <v/>
      </c>
      <c r="U32" s="100" t="n"/>
      <c r="V32" s="98" t="n"/>
      <c r="W32" s="102">
        <f>IF($V32&gt;0,IF($K32&gt;0,$K32/$V32," ")," ")</f>
        <v/>
      </c>
      <c r="X32" s="98" t="n"/>
      <c r="Y32" s="102">
        <f>IF($X32&gt;0,IF($K32&gt;0,$K32/$X32," ")," ")</f>
        <v/>
      </c>
      <c r="Z32" s="102">
        <f>IF(ISNUMBER($T32),IF(ISNUMBER($Y32),$T32-$Y32," ")," ")</f>
        <v/>
      </c>
      <c r="AA32" s="95">
        <f>IF($X32&gt;0,IF($V32&gt;0,IF($X32=$V32,"No","Yes")," ")," ")</f>
        <v/>
      </c>
      <c r="AB32" s="100" t="n"/>
      <c r="AC32" s="97">
        <f>IF($AB32&gt;0,$U32-$AB32," ")</f>
        <v/>
      </c>
    </row>
    <row r="33" ht="15" customHeight="1" s="46">
      <c r="A33" s="103">
        <f>IFERROR(ROW()-5,"")</f>
        <v/>
      </c>
      <c r="B33" s="104" t="n"/>
      <c r="C33" s="104" t="n"/>
      <c r="D33" s="105" t="n"/>
      <c r="E33" s="105" t="n"/>
      <c r="F33" s="106" t="n"/>
      <c r="G33" s="103" t="n"/>
      <c r="H33" s="107" t="n"/>
      <c r="I33" s="107" t="n"/>
      <c r="J33" s="107" t="n"/>
      <c r="K33" s="108" t="n"/>
      <c r="L33" s="109">
        <f>IF($K33&gt;0,$K33/$H33," ")</f>
        <v/>
      </c>
      <c r="M33" s="110" t="n"/>
      <c r="N33" s="111">
        <f>IF($M33&gt;0,($M33-$U33)/365," ")</f>
        <v/>
      </c>
      <c r="O33" s="105" t="n"/>
      <c r="P33" s="105" t="n"/>
      <c r="Q33" s="105" t="n"/>
      <c r="R33" s="108" t="n"/>
      <c r="S33" s="108">
        <f>IF($R33&gt;0,IF($H33&gt;0,$R33/$H33," ")," ")</f>
        <v/>
      </c>
      <c r="T33" s="112">
        <f>IF($R33&gt;0,IF($K33&gt;0,$K33/$R33," ")," ")</f>
        <v/>
      </c>
      <c r="U33" s="110" t="n"/>
      <c r="V33" s="108" t="n"/>
      <c r="W33" s="112">
        <f>IF($V33&gt;0,IF($K33&gt;0,$K33/$V33," ")," ")</f>
        <v/>
      </c>
      <c r="X33" s="108" t="n"/>
      <c r="Y33" s="112">
        <f>IF($X33&gt;0,IF($K33&gt;0,$K33/$X33," ")," ")</f>
        <v/>
      </c>
      <c r="Z33" s="112">
        <f>IF(ISNUMBER($T33),IF(ISNUMBER($Y33),$T33-$Y33," ")," ")</f>
        <v/>
      </c>
      <c r="AA33" s="105">
        <f>IF($X33&gt;0,IF($V33&gt;0,IF($X33=$V33,"No","Yes")," ")," ")</f>
        <v/>
      </c>
      <c r="AB33" s="110" t="n"/>
      <c r="AC33" s="107">
        <f>IF($AB33&gt;0,$U33-$AB33," ")</f>
        <v/>
      </c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6" t="n"/>
      <c r="G34" s="93" t="n"/>
      <c r="H34" s="97" t="n"/>
      <c r="I34" s="97" t="n"/>
      <c r="J34" s="97" t="n"/>
      <c r="K34" s="98" t="n"/>
      <c r="L34" s="99">
        <f>IF($K34&gt;0,$K34/$H34," ")</f>
        <v/>
      </c>
      <c r="M34" s="100" t="n"/>
      <c r="N34" s="101">
        <f>IF($M34&gt;0,($M34-$U34)/365," ")</f>
        <v/>
      </c>
      <c r="O34" s="95" t="n"/>
      <c r="P34" s="95" t="n"/>
      <c r="Q34" s="95" t="n"/>
      <c r="R34" s="98" t="n"/>
      <c r="S34" s="98">
        <f>IF($R34&gt;0,IF($H34&gt;0,$R34/$H34," ")," ")</f>
        <v/>
      </c>
      <c r="T34" s="102">
        <f>IF($R34&gt;0,IF($K34&gt;0,$K34/$R34," ")," ")</f>
        <v/>
      </c>
      <c r="U34" s="100" t="n"/>
      <c r="V34" s="98" t="n"/>
      <c r="W34" s="102">
        <f>IF($V34&gt;0,IF($K34&gt;0,$K34/$V34," ")," ")</f>
        <v/>
      </c>
      <c r="X34" s="98" t="n"/>
      <c r="Y34" s="102">
        <f>IF($X34&gt;0,IF($K34&gt;0,$K34/$X34," ")," ")</f>
        <v/>
      </c>
      <c r="Z34" s="102">
        <f>IF(ISNUMBER($T34),IF(ISNUMBER($Y34),$T34-$Y34," ")," ")</f>
        <v/>
      </c>
      <c r="AA34" s="95">
        <f>IF($X34&gt;0,IF($V34&gt;0,IF($X34=$V34,"No","Yes")," ")," ")</f>
        <v/>
      </c>
      <c r="AB34" s="100" t="n"/>
      <c r="AC34" s="97">
        <f>IF($AB34&gt;0,$U34-$AB34," ")</f>
        <v/>
      </c>
    </row>
    <row r="35" ht="15" customHeight="1" s="46">
      <c r="A35" s="103">
        <f>IFERROR(ROW()-5,"")</f>
        <v/>
      </c>
      <c r="B35" s="104" t="n"/>
      <c r="C35" s="104" t="n"/>
      <c r="D35" s="105" t="n"/>
      <c r="E35" s="105" t="n"/>
      <c r="F35" s="106" t="n"/>
      <c r="G35" s="103" t="n"/>
      <c r="H35" s="107" t="n"/>
      <c r="I35" s="107" t="n"/>
      <c r="J35" s="107" t="n"/>
      <c r="K35" s="108" t="n"/>
      <c r="L35" s="109">
        <f>IF($K35&gt;0,$K35/$H35," ")</f>
        <v/>
      </c>
      <c r="M35" s="110" t="n"/>
      <c r="N35" s="111">
        <f>IF($M35&gt;0,($M35-$U35)/365," ")</f>
        <v/>
      </c>
      <c r="O35" s="105" t="n"/>
      <c r="P35" s="105" t="n"/>
      <c r="Q35" s="105" t="n"/>
      <c r="R35" s="108" t="n"/>
      <c r="S35" s="108">
        <f>IF($R35&gt;0,IF($H35&gt;0,$R35/$H35," ")," ")</f>
        <v/>
      </c>
      <c r="T35" s="112">
        <f>IF($R35&gt;0,IF($K35&gt;0,$K35/$R35," ")," ")</f>
        <v/>
      </c>
      <c r="U35" s="110" t="n"/>
      <c r="V35" s="108" t="n"/>
      <c r="W35" s="112">
        <f>IF($V35&gt;0,IF($K35&gt;0,$K35/$V35," ")," ")</f>
        <v/>
      </c>
      <c r="X35" s="108" t="n"/>
      <c r="Y35" s="112">
        <f>IF($X35&gt;0,IF($K35&gt;0,$K35/$X35," ")," ")</f>
        <v/>
      </c>
      <c r="Z35" s="112">
        <f>IF(ISNUMBER($T35),IF(ISNUMBER($Y35),$T35-$Y35," ")," ")</f>
        <v/>
      </c>
      <c r="AA35" s="105">
        <f>IF($X35&gt;0,IF($V35&gt;0,IF($X35=$V35,"No","Yes")," ")," ")</f>
        <v/>
      </c>
      <c r="AB35" s="110" t="n"/>
      <c r="AC35" s="107">
        <f>IF($AB35&gt;0,$U35-$AB35," ")</f>
        <v/>
      </c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6" t="n"/>
      <c r="G36" s="93" t="n"/>
      <c r="H36" s="97" t="n"/>
      <c r="I36" s="97" t="n"/>
      <c r="J36" s="97" t="n"/>
      <c r="K36" s="98" t="n"/>
      <c r="L36" s="99">
        <f>IF($K36&gt;0,$K36/$H36," ")</f>
        <v/>
      </c>
      <c r="M36" s="100" t="n"/>
      <c r="N36" s="101">
        <f>IF($M36&gt;0,($M36-$U36)/365," ")</f>
        <v/>
      </c>
      <c r="O36" s="95" t="n"/>
      <c r="P36" s="95" t="n"/>
      <c r="Q36" s="95" t="n"/>
      <c r="R36" s="98" t="n"/>
      <c r="S36" s="98">
        <f>IF($R36&gt;0,IF($H36&gt;0,$R36/$H36," ")," ")</f>
        <v/>
      </c>
      <c r="T36" s="102">
        <f>IF($R36&gt;0,IF($K36&gt;0,$K36/$R36," ")," ")</f>
        <v/>
      </c>
      <c r="U36" s="100" t="n"/>
      <c r="V36" s="98" t="n"/>
      <c r="W36" s="102">
        <f>IF($V36&gt;0,IF($K36&gt;0,$K36/$V36," ")," ")</f>
        <v/>
      </c>
      <c r="X36" s="98" t="n"/>
      <c r="Y36" s="102">
        <f>IF($X36&gt;0,IF($K36&gt;0,$K36/$X36," ")," ")</f>
        <v/>
      </c>
      <c r="Z36" s="102">
        <f>IF(ISNUMBER($T36),IF(ISNUMBER($Y36),$T36-$Y36," ")," ")</f>
        <v/>
      </c>
      <c r="AA36" s="95">
        <f>IF($X36&gt;0,IF($V36&gt;0,IF($X36=$V36,"No","Yes")," ")," ")</f>
        <v/>
      </c>
      <c r="AB36" s="100" t="n"/>
      <c r="AC36" s="97">
        <f>IF($AB36&gt;0,$U36-$AB36," ")</f>
        <v/>
      </c>
    </row>
    <row r="37" ht="15" customHeight="1" s="46">
      <c r="A37" s="103">
        <f>IFERROR(ROW()-5,"")</f>
        <v/>
      </c>
      <c r="B37" s="104" t="n"/>
      <c r="C37" s="104" t="n"/>
      <c r="D37" s="105" t="n"/>
      <c r="E37" s="105" t="n"/>
      <c r="F37" s="106" t="n"/>
      <c r="G37" s="103" t="n"/>
      <c r="H37" s="107" t="n"/>
      <c r="I37" s="107" t="n"/>
      <c r="J37" s="107" t="n"/>
      <c r="K37" s="108" t="n"/>
      <c r="L37" s="109">
        <f>IF($K37&gt;0,$K37/$H37," ")</f>
        <v/>
      </c>
      <c r="M37" s="110" t="n"/>
      <c r="N37" s="111">
        <f>IF($M37&gt;0,($M37-$U37)/365," ")</f>
        <v/>
      </c>
      <c r="O37" s="105" t="n"/>
      <c r="P37" s="105" t="n"/>
      <c r="Q37" s="105" t="n"/>
      <c r="R37" s="108" t="n"/>
      <c r="S37" s="108">
        <f>IF($R37&gt;0,IF($H37&gt;0,$R37/$H37," ")," ")</f>
        <v/>
      </c>
      <c r="T37" s="112">
        <f>IF($R37&gt;0,IF($K37&gt;0,$K37/$R37," ")," ")</f>
        <v/>
      </c>
      <c r="U37" s="110" t="n"/>
      <c r="V37" s="108" t="n"/>
      <c r="W37" s="112">
        <f>IF($V37&gt;0,IF($K37&gt;0,$K37/$V37," ")," ")</f>
        <v/>
      </c>
      <c r="X37" s="108" t="n"/>
      <c r="Y37" s="112">
        <f>IF($X37&gt;0,IF($K37&gt;0,$K37/$X37," ")," ")</f>
        <v/>
      </c>
      <c r="Z37" s="112">
        <f>IF(ISNUMBER($T37),IF(ISNUMBER($Y37),$T37-$Y37," ")," ")</f>
        <v/>
      </c>
      <c r="AA37" s="105">
        <f>IF($X37&gt;0,IF($V37&gt;0,IF($X37=$V37,"No","Yes")," ")," ")</f>
        <v/>
      </c>
      <c r="AB37" s="110" t="n"/>
      <c r="AC37" s="107">
        <f>IF($AB37&gt;0,$U37-$AB37," ")</f>
        <v/>
      </c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6" t="n"/>
      <c r="G38" s="93" t="n"/>
      <c r="H38" s="97" t="n"/>
      <c r="I38" s="97" t="n"/>
      <c r="J38" s="97" t="n"/>
      <c r="K38" s="98" t="n"/>
      <c r="L38" s="99">
        <f>IF($K38&gt;0,$K38/$H38," ")</f>
        <v/>
      </c>
      <c r="M38" s="100" t="n"/>
      <c r="N38" s="101">
        <f>IF($M38&gt;0,($M38-$U38)/365," ")</f>
        <v/>
      </c>
      <c r="O38" s="95" t="n"/>
      <c r="P38" s="95" t="n"/>
      <c r="Q38" s="95" t="n"/>
      <c r="R38" s="98" t="n"/>
      <c r="S38" s="98">
        <f>IF($R38&gt;0,IF($H38&gt;0,$R38/$H38," ")," ")</f>
        <v/>
      </c>
      <c r="T38" s="102">
        <f>IF($R38&gt;0,IF($K38&gt;0,$K38/$R38," ")," ")</f>
        <v/>
      </c>
      <c r="U38" s="100" t="n"/>
      <c r="V38" s="98" t="n"/>
      <c r="W38" s="102">
        <f>IF($V38&gt;0,IF($K38&gt;0,$K38/$V38," ")," ")</f>
        <v/>
      </c>
      <c r="X38" s="98" t="n"/>
      <c r="Y38" s="102">
        <f>IF($X38&gt;0,IF($K38&gt;0,$K38/$X38," ")," ")</f>
        <v/>
      </c>
      <c r="Z38" s="102">
        <f>IF(ISNUMBER($T38),IF(ISNUMBER($Y38),$T38-$Y38," ")," ")</f>
        <v/>
      </c>
      <c r="AA38" s="95">
        <f>IF($X38&gt;0,IF($V38&gt;0,IF($X38=$V38,"No","Yes")," ")," ")</f>
        <v/>
      </c>
      <c r="AB38" s="100" t="n"/>
      <c r="AC38" s="97">
        <f>IF($AB38&gt;0,$U38-$AB38," ")</f>
        <v/>
      </c>
    </row>
    <row r="39" ht="15" customHeight="1" s="46">
      <c r="A39" s="103">
        <f>IFERROR(ROW()-5,"")</f>
        <v/>
      </c>
      <c r="B39" s="104" t="n"/>
      <c r="C39" s="104" t="n"/>
      <c r="D39" s="105" t="n"/>
      <c r="E39" s="105" t="n"/>
      <c r="F39" s="106" t="n"/>
      <c r="G39" s="103" t="n"/>
      <c r="H39" s="107" t="n"/>
      <c r="I39" s="107" t="n"/>
      <c r="J39" s="107" t="n"/>
      <c r="K39" s="108" t="n"/>
      <c r="L39" s="109">
        <f>IF($K39&gt;0,$K39/$H39," ")</f>
        <v/>
      </c>
      <c r="M39" s="110" t="n"/>
      <c r="N39" s="111">
        <f>IF($M39&gt;0,($M39-$U39)/365," ")</f>
        <v/>
      </c>
      <c r="O39" s="105" t="n"/>
      <c r="P39" s="105" t="n"/>
      <c r="Q39" s="105" t="n"/>
      <c r="R39" s="108" t="n"/>
      <c r="S39" s="108">
        <f>IF($R39&gt;0,IF($H39&gt;0,$R39/$H39," ")," ")</f>
        <v/>
      </c>
      <c r="T39" s="112">
        <f>IF($R39&gt;0,IF($K39&gt;0,$K39/$R39," ")," ")</f>
        <v/>
      </c>
      <c r="U39" s="110" t="n"/>
      <c r="V39" s="108" t="n"/>
      <c r="W39" s="112">
        <f>IF($V39&gt;0,IF($K39&gt;0,$K39/$V39," ")," ")</f>
        <v/>
      </c>
      <c r="X39" s="108" t="n"/>
      <c r="Y39" s="112">
        <f>IF($X39&gt;0,IF($K39&gt;0,$K39/$X39," ")," ")</f>
        <v/>
      </c>
      <c r="Z39" s="112">
        <f>IF(ISNUMBER($T39),IF(ISNUMBER($Y39),$T39-$Y39," ")," ")</f>
        <v/>
      </c>
      <c r="AA39" s="105">
        <f>IF($X39&gt;0,IF($V39&gt;0,IF($X39=$V39,"No","Yes")," ")," ")</f>
        <v/>
      </c>
      <c r="AB39" s="110" t="n"/>
      <c r="AC39" s="107">
        <f>IF($AB39&gt;0,$U39-$AB39," ")</f>
        <v/>
      </c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6" t="n"/>
      <c r="G40" s="93" t="n"/>
      <c r="H40" s="97" t="n"/>
      <c r="I40" s="97" t="n"/>
      <c r="J40" s="97" t="n"/>
      <c r="K40" s="98" t="n"/>
      <c r="L40" s="99">
        <f>IF($K40&gt;0,$K40/$H40," ")</f>
        <v/>
      </c>
      <c r="M40" s="100" t="n"/>
      <c r="N40" s="101">
        <f>IF($M40&gt;0,($M40-$U40)/365," ")</f>
        <v/>
      </c>
      <c r="O40" s="95" t="n"/>
      <c r="P40" s="95" t="n"/>
      <c r="Q40" s="95" t="n"/>
      <c r="R40" s="98" t="n"/>
      <c r="S40" s="98">
        <f>IF($R40&gt;0,IF($H40&gt;0,$R40/$H40," ")," ")</f>
        <v/>
      </c>
      <c r="T40" s="102">
        <f>IF($R40&gt;0,IF($K40&gt;0,$K40/$R40," ")," ")</f>
        <v/>
      </c>
      <c r="U40" s="100" t="n"/>
      <c r="V40" s="98" t="n"/>
      <c r="W40" s="102">
        <f>IF($V40&gt;0,IF($K40&gt;0,$K40/$V40," ")," ")</f>
        <v/>
      </c>
      <c r="X40" s="98" t="n"/>
      <c r="Y40" s="102">
        <f>IF($X40&gt;0,IF($K40&gt;0,$K40/$X40," ")," ")</f>
        <v/>
      </c>
      <c r="Z40" s="102">
        <f>IF(ISNUMBER($T40),IF(ISNUMBER($Y40),$T40-$Y40," ")," ")</f>
        <v/>
      </c>
      <c r="AA40" s="95">
        <f>IF($X40&gt;0,IF($V40&gt;0,IF($X40=$V40,"No","Yes")," ")," ")</f>
        <v/>
      </c>
      <c r="AB40" s="100" t="n"/>
      <c r="AC40" s="97">
        <f>IF($AB40&gt;0,$U40-$AB40," ")</f>
        <v/>
      </c>
    </row>
    <row r="41" ht="15" customHeight="1" s="46">
      <c r="A41" s="103">
        <f>IFERROR(ROW()-5,"")</f>
        <v/>
      </c>
      <c r="B41" s="104" t="n"/>
      <c r="C41" s="104" t="n"/>
      <c r="D41" s="105" t="n"/>
      <c r="E41" s="105" t="n"/>
      <c r="F41" s="106" t="n"/>
      <c r="G41" s="103" t="n"/>
      <c r="H41" s="107" t="n"/>
      <c r="I41" s="107" t="n"/>
      <c r="J41" s="107" t="n"/>
      <c r="K41" s="108" t="n"/>
      <c r="L41" s="109">
        <f>IF($K41&gt;0,$K41/$H41," ")</f>
        <v/>
      </c>
      <c r="M41" s="110" t="n"/>
      <c r="N41" s="111">
        <f>IF($M41&gt;0,($M41-$U41)/365," ")</f>
        <v/>
      </c>
      <c r="O41" s="105" t="n"/>
      <c r="P41" s="105" t="n"/>
      <c r="Q41" s="105" t="n"/>
      <c r="R41" s="108" t="n"/>
      <c r="S41" s="108">
        <f>IF($R41&gt;0,IF($H41&gt;0,$R41/$H41," ")," ")</f>
        <v/>
      </c>
      <c r="T41" s="112">
        <f>IF($R41&gt;0,IF($K41&gt;0,$K41/$R41," ")," ")</f>
        <v/>
      </c>
      <c r="U41" s="110" t="n"/>
      <c r="V41" s="108" t="n"/>
      <c r="W41" s="112">
        <f>IF($V41&gt;0,IF($K41&gt;0,$K41/$V41," ")," ")</f>
        <v/>
      </c>
      <c r="X41" s="108" t="n"/>
      <c r="Y41" s="112">
        <f>IF($X41&gt;0,IF($K41&gt;0,$K41/$X41," ")," ")</f>
        <v/>
      </c>
      <c r="Z41" s="112">
        <f>IF(ISNUMBER($T41),IF(ISNUMBER($Y41),$T41-$Y41," ")," ")</f>
        <v/>
      </c>
      <c r="AA41" s="105">
        <f>IF($X41&gt;0,IF($V41&gt;0,IF($X41=$V41,"No","Yes")," ")," ")</f>
        <v/>
      </c>
      <c r="AB41" s="110" t="n"/>
      <c r="AC41" s="107">
        <f>IF($AB41&gt;0,$U41-$AB41," ")</f>
        <v/>
      </c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6" t="n"/>
      <c r="G42" s="93" t="n"/>
      <c r="H42" s="97" t="n"/>
      <c r="I42" s="97" t="n"/>
      <c r="J42" s="97" t="n"/>
      <c r="K42" s="98" t="n"/>
      <c r="L42" s="99">
        <f>IF($K42&gt;0,$K42/$H42," ")</f>
        <v/>
      </c>
      <c r="M42" s="100" t="n"/>
      <c r="N42" s="101">
        <f>IF($M42&gt;0,($M42-$U42)/365," ")</f>
        <v/>
      </c>
      <c r="O42" s="95" t="n"/>
      <c r="P42" s="95" t="n"/>
      <c r="Q42" s="95" t="n"/>
      <c r="R42" s="98" t="n"/>
      <c r="S42" s="98">
        <f>IF($R42&gt;0,IF($H42&gt;0,$R42/$H42," ")," ")</f>
        <v/>
      </c>
      <c r="T42" s="102">
        <f>IF($R42&gt;0,IF($K42&gt;0,$K42/$R42," ")," ")</f>
        <v/>
      </c>
      <c r="U42" s="100" t="n"/>
      <c r="V42" s="98" t="n"/>
      <c r="W42" s="102">
        <f>IF($V42&gt;0,IF($K42&gt;0,$K42/$V42," ")," ")</f>
        <v/>
      </c>
      <c r="X42" s="98" t="n"/>
      <c r="Y42" s="102">
        <f>IF($X42&gt;0,IF($K42&gt;0,$K42/$X42," ")," ")</f>
        <v/>
      </c>
      <c r="Z42" s="102">
        <f>IF(ISNUMBER($T42),IF(ISNUMBER($Y42),$T42-$Y42," ")," ")</f>
        <v/>
      </c>
      <c r="AA42" s="95">
        <f>IF($X42&gt;0,IF($V42&gt;0,IF($X42=$V42,"No","Yes")," ")," ")</f>
        <v/>
      </c>
      <c r="AB42" s="100" t="n"/>
      <c r="AC42" s="97">
        <f>IF($AB42&gt;0,$U42-$AB42," ")</f>
        <v/>
      </c>
    </row>
    <row r="43" ht="15" customHeight="1" s="46">
      <c r="A43" s="103">
        <f>IFERROR(ROW()-5,"")</f>
        <v/>
      </c>
      <c r="B43" s="104" t="n"/>
      <c r="C43" s="104" t="n"/>
      <c r="D43" s="105" t="n"/>
      <c r="E43" s="105" t="n"/>
      <c r="F43" s="106" t="n"/>
      <c r="G43" s="103" t="n"/>
      <c r="H43" s="107" t="n"/>
      <c r="I43" s="107" t="n"/>
      <c r="J43" s="107" t="n"/>
      <c r="K43" s="108" t="n"/>
      <c r="L43" s="109">
        <f>IF($K43&gt;0,$K43/$H43," ")</f>
        <v/>
      </c>
      <c r="M43" s="110" t="n"/>
      <c r="N43" s="111">
        <f>IF($M43&gt;0,($M43-$U43)/365," ")</f>
        <v/>
      </c>
      <c r="O43" s="105" t="n"/>
      <c r="P43" s="105" t="n"/>
      <c r="Q43" s="105" t="n"/>
      <c r="R43" s="108" t="n"/>
      <c r="S43" s="108">
        <f>IF($R43&gt;0,IF($H43&gt;0,$R43/$H43," ")," ")</f>
        <v/>
      </c>
      <c r="T43" s="112">
        <f>IF($R43&gt;0,IF($K43&gt;0,$K43/$R43," ")," ")</f>
        <v/>
      </c>
      <c r="U43" s="110" t="n"/>
      <c r="V43" s="108" t="n"/>
      <c r="W43" s="112">
        <f>IF($V43&gt;0,IF($K43&gt;0,$K43/$V43," ")," ")</f>
        <v/>
      </c>
      <c r="X43" s="108" t="n"/>
      <c r="Y43" s="112">
        <f>IF($X43&gt;0,IF($K43&gt;0,$K43/$X43," ")," ")</f>
        <v/>
      </c>
      <c r="Z43" s="112">
        <f>IF(ISNUMBER($T43),IF(ISNUMBER($Y43),$T43-$Y43," ")," ")</f>
        <v/>
      </c>
      <c r="AA43" s="105">
        <f>IF($X43&gt;0,IF($V43&gt;0,IF($X43=$V43,"No","Yes")," ")," ")</f>
        <v/>
      </c>
      <c r="AB43" s="110" t="n"/>
      <c r="AC43" s="107">
        <f>IF($AB43&gt;0,$U43-$AB43," ")</f>
        <v/>
      </c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6" t="n"/>
      <c r="G44" s="93" t="n"/>
      <c r="H44" s="97" t="n"/>
      <c r="I44" s="97" t="n"/>
      <c r="J44" s="97" t="n"/>
      <c r="K44" s="98" t="n"/>
      <c r="L44" s="99">
        <f>IF($K44&gt;0,$K44/$H44," ")</f>
        <v/>
      </c>
      <c r="M44" s="100" t="n"/>
      <c r="N44" s="101">
        <f>IF($M44&gt;0,($M44-$U44)/365," ")</f>
        <v/>
      </c>
      <c r="O44" s="95" t="n"/>
      <c r="P44" s="95" t="n"/>
      <c r="Q44" s="95" t="n"/>
      <c r="R44" s="98" t="n"/>
      <c r="S44" s="98">
        <f>IF($R44&gt;0,IF($H44&gt;0,$R44/$H44," ")," ")</f>
        <v/>
      </c>
      <c r="T44" s="102">
        <f>IF($R44&gt;0,IF($K44&gt;0,$K44/$R44," ")," ")</f>
        <v/>
      </c>
      <c r="U44" s="100" t="n"/>
      <c r="V44" s="98" t="n"/>
      <c r="W44" s="102">
        <f>IF($V44&gt;0,IF($K44&gt;0,$K44/$V44," ")," ")</f>
        <v/>
      </c>
      <c r="X44" s="98" t="n"/>
      <c r="Y44" s="102">
        <f>IF($X44&gt;0,IF($K44&gt;0,$K44/$X44," ")," ")</f>
        <v/>
      </c>
      <c r="Z44" s="102">
        <f>IF(ISNUMBER($T44),IF(ISNUMBER($Y44),$T44-$Y44," ")," ")</f>
        <v/>
      </c>
      <c r="AA44" s="95">
        <f>IF($X44&gt;0,IF($V44&gt;0,IF($X44=$V44,"No","Yes")," ")," ")</f>
        <v/>
      </c>
      <c r="AB44" s="100" t="n"/>
      <c r="AC44" s="97">
        <f>IF($AB44&gt;0,$U44-$AB44," ")</f>
        <v/>
      </c>
    </row>
    <row r="45" ht="15" customHeight="1" s="46">
      <c r="A45" s="103">
        <f>IFERROR(ROW()-5,"")</f>
        <v/>
      </c>
      <c r="B45" s="104" t="n"/>
      <c r="C45" s="104" t="n"/>
      <c r="D45" s="105" t="n"/>
      <c r="E45" s="105" t="n"/>
      <c r="F45" s="106" t="n"/>
      <c r="G45" s="103" t="n"/>
      <c r="H45" s="107" t="n"/>
      <c r="I45" s="107" t="n"/>
      <c r="J45" s="107" t="n"/>
      <c r="K45" s="108" t="n"/>
      <c r="L45" s="109">
        <f>IF($K45&gt;0,$K45/$H45," ")</f>
        <v/>
      </c>
      <c r="M45" s="110" t="n"/>
      <c r="N45" s="111">
        <f>IF($M45&gt;0,($M45-$U45)/365," ")</f>
        <v/>
      </c>
      <c r="O45" s="105" t="n"/>
      <c r="P45" s="105" t="n"/>
      <c r="Q45" s="105" t="n"/>
      <c r="R45" s="108" t="n"/>
      <c r="S45" s="108">
        <f>IF($R45&gt;0,IF($H45&gt;0,$R45/$H45," ")," ")</f>
        <v/>
      </c>
      <c r="T45" s="112">
        <f>IF($R45&gt;0,IF($K45&gt;0,$K45/$R45," ")," ")</f>
        <v/>
      </c>
      <c r="U45" s="110" t="n"/>
      <c r="V45" s="108" t="n"/>
      <c r="W45" s="112">
        <f>IF($V45&gt;0,IF($K45&gt;0,$K45/$V45," ")," ")</f>
        <v/>
      </c>
      <c r="X45" s="108" t="n"/>
      <c r="Y45" s="112">
        <f>IF($X45&gt;0,IF($K45&gt;0,$K45/$X45," ")," ")</f>
        <v/>
      </c>
      <c r="Z45" s="112">
        <f>IF(ISNUMBER($T45),IF(ISNUMBER($Y45),$T45-$Y45," ")," ")</f>
        <v/>
      </c>
      <c r="AA45" s="105">
        <f>IF($X45&gt;0,IF($V45&gt;0,IF($X45=$V45,"No","Yes")," ")," ")</f>
        <v/>
      </c>
      <c r="AB45" s="110" t="n"/>
      <c r="AC45" s="107">
        <f>IF($AB45&gt;0,$U45-$AB45," ")</f>
        <v/>
      </c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6" t="n"/>
      <c r="G46" s="93" t="n"/>
      <c r="H46" s="97" t="n"/>
      <c r="I46" s="97" t="n"/>
      <c r="J46" s="97" t="n"/>
      <c r="K46" s="98" t="n"/>
      <c r="L46" s="99">
        <f>IF($K46&gt;0,$K46/$H46," ")</f>
        <v/>
      </c>
      <c r="M46" s="100" t="n"/>
      <c r="N46" s="101">
        <f>IF($M46&gt;0,($M46-$U46)/365," ")</f>
        <v/>
      </c>
      <c r="O46" s="95" t="n"/>
      <c r="P46" s="95" t="n"/>
      <c r="Q46" s="95" t="n"/>
      <c r="R46" s="98" t="n"/>
      <c r="S46" s="98">
        <f>IF($R46&gt;0,IF($H46&gt;0,$R46/$H46," ")," ")</f>
        <v/>
      </c>
      <c r="T46" s="102">
        <f>IF($R46&gt;0,IF($K46&gt;0,$K46/$R46," ")," ")</f>
        <v/>
      </c>
      <c r="U46" s="100" t="n"/>
      <c r="V46" s="98" t="n"/>
      <c r="W46" s="102">
        <f>IF($V46&gt;0,IF($K46&gt;0,$K46/$V46," ")," ")</f>
        <v/>
      </c>
      <c r="X46" s="98" t="n"/>
      <c r="Y46" s="102">
        <f>IF($X46&gt;0,IF($K46&gt;0,$K46/$X46," ")," ")</f>
        <v/>
      </c>
      <c r="Z46" s="102">
        <f>IF(ISNUMBER($T46),IF(ISNUMBER($Y46),$T46-$Y46," ")," ")</f>
        <v/>
      </c>
      <c r="AA46" s="95">
        <f>IF($X46&gt;0,IF($V46&gt;0,IF($X46=$V46,"No","Yes")," ")," ")</f>
        <v/>
      </c>
      <c r="AB46" s="100" t="n"/>
      <c r="AC46" s="97">
        <f>IF($AB46&gt;0,$U46-$AB46," ")</f>
        <v/>
      </c>
    </row>
    <row r="47" ht="15" customHeight="1" s="46">
      <c r="A47" s="103">
        <f>IFERROR(ROW()-5,"")</f>
        <v/>
      </c>
      <c r="B47" s="104" t="n"/>
      <c r="C47" s="104" t="n"/>
      <c r="D47" s="105" t="n"/>
      <c r="E47" s="105" t="n"/>
      <c r="F47" s="106" t="n"/>
      <c r="G47" s="103" t="n"/>
      <c r="H47" s="107" t="n"/>
      <c r="I47" s="107" t="n"/>
      <c r="J47" s="107" t="n"/>
      <c r="K47" s="108" t="n"/>
      <c r="L47" s="109">
        <f>IF($K47&gt;0,$K47/$H47," ")</f>
        <v/>
      </c>
      <c r="M47" s="110" t="n"/>
      <c r="N47" s="111">
        <f>IF($M47&gt;0,($M47-$U47)/365," ")</f>
        <v/>
      </c>
      <c r="O47" s="105" t="n"/>
      <c r="P47" s="105" t="n"/>
      <c r="Q47" s="105" t="n"/>
      <c r="R47" s="108" t="n"/>
      <c r="S47" s="108">
        <f>IF($R47&gt;0,IF($H47&gt;0,$R47/$H47," ")," ")</f>
        <v/>
      </c>
      <c r="T47" s="112">
        <f>IF($R47&gt;0,IF($K47&gt;0,$K47/$R47," ")," ")</f>
        <v/>
      </c>
      <c r="U47" s="110" t="n"/>
      <c r="V47" s="108" t="n"/>
      <c r="W47" s="112">
        <f>IF($V47&gt;0,IF($K47&gt;0,$K47/$V47," ")," ")</f>
        <v/>
      </c>
      <c r="X47" s="108" t="n"/>
      <c r="Y47" s="112">
        <f>IF($X47&gt;0,IF($K47&gt;0,$K47/$X47," ")," ")</f>
        <v/>
      </c>
      <c r="Z47" s="112">
        <f>IF(ISNUMBER($T47),IF(ISNUMBER($Y47),$T47-$Y47," ")," ")</f>
        <v/>
      </c>
      <c r="AA47" s="105">
        <f>IF($X47&gt;0,IF($V47&gt;0,IF($X47=$V47,"No","Yes")," ")," ")</f>
        <v/>
      </c>
      <c r="AB47" s="110" t="n"/>
      <c r="AC47" s="107">
        <f>IF($AB47&gt;0,$U47-$AB47," ")</f>
        <v/>
      </c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6" t="n"/>
      <c r="G48" s="93" t="n"/>
      <c r="H48" s="97" t="n"/>
      <c r="I48" s="97" t="n"/>
      <c r="J48" s="97" t="n"/>
      <c r="K48" s="98" t="n"/>
      <c r="L48" s="99">
        <f>IF($K48&gt;0,$K48/$H48," ")</f>
        <v/>
      </c>
      <c r="M48" s="100" t="n"/>
      <c r="N48" s="101">
        <f>IF($M48&gt;0,($M48-$U48)/365," ")</f>
        <v/>
      </c>
      <c r="O48" s="95" t="n"/>
      <c r="P48" s="95" t="n"/>
      <c r="Q48" s="95" t="n"/>
      <c r="R48" s="98" t="n"/>
      <c r="S48" s="98">
        <f>IF($R48&gt;0,IF($H48&gt;0,$R48/$H48," ")," ")</f>
        <v/>
      </c>
      <c r="T48" s="102">
        <f>IF($R48&gt;0,IF($K48&gt;0,$K48/$R48," ")," ")</f>
        <v/>
      </c>
      <c r="U48" s="100" t="n"/>
      <c r="V48" s="98" t="n"/>
      <c r="W48" s="102">
        <f>IF($V48&gt;0,IF($K48&gt;0,$K48/$V48," ")," ")</f>
        <v/>
      </c>
      <c r="X48" s="98" t="n"/>
      <c r="Y48" s="102">
        <f>IF($X48&gt;0,IF($K48&gt;0,$K48/$X48," ")," ")</f>
        <v/>
      </c>
      <c r="Z48" s="102">
        <f>IF(ISNUMBER($T48),IF(ISNUMBER($Y48),$T48-$Y48," ")," ")</f>
        <v/>
      </c>
      <c r="AA48" s="95">
        <f>IF($X48&gt;0,IF($V48&gt;0,IF($X48=$V48,"No","Yes")," ")," ")</f>
        <v/>
      </c>
      <c r="AB48" s="100" t="n"/>
      <c r="AC48" s="97">
        <f>IF($AB48&gt;0,$U48-$AB48," ")</f>
        <v/>
      </c>
    </row>
    <row r="49" ht="15" customHeight="1" s="46">
      <c r="A49" s="103">
        <f>IFERROR(ROW()-5,"")</f>
        <v/>
      </c>
      <c r="B49" s="104" t="n"/>
      <c r="C49" s="104" t="n"/>
      <c r="D49" s="105" t="n"/>
      <c r="E49" s="105" t="n"/>
      <c r="F49" s="106" t="n"/>
      <c r="G49" s="103" t="n"/>
      <c r="H49" s="107" t="n"/>
      <c r="I49" s="107" t="n"/>
      <c r="J49" s="107" t="n"/>
      <c r="K49" s="108" t="n"/>
      <c r="L49" s="109">
        <f>IF($K49&gt;0,$K49/$H49," ")</f>
        <v/>
      </c>
      <c r="M49" s="110" t="n"/>
      <c r="N49" s="111">
        <f>IF($M49&gt;0,($M49-$U49)/365," ")</f>
        <v/>
      </c>
      <c r="O49" s="105" t="n"/>
      <c r="P49" s="105" t="n"/>
      <c r="Q49" s="105" t="n"/>
      <c r="R49" s="108" t="n"/>
      <c r="S49" s="108">
        <f>IF($R49&gt;0,IF($H49&gt;0,$R49/$H49," ")," ")</f>
        <v/>
      </c>
      <c r="T49" s="112">
        <f>IF($R49&gt;0,IF($K49&gt;0,$K49/$R49," ")," ")</f>
        <v/>
      </c>
      <c r="U49" s="110" t="n"/>
      <c r="V49" s="108" t="n"/>
      <c r="W49" s="112">
        <f>IF($V49&gt;0,IF($K49&gt;0,$K49/$V49," ")," ")</f>
        <v/>
      </c>
      <c r="X49" s="108" t="n"/>
      <c r="Y49" s="112">
        <f>IF($X49&gt;0,IF($K49&gt;0,$K49/$X49," ")," ")</f>
        <v/>
      </c>
      <c r="Z49" s="112">
        <f>IF(ISNUMBER($T49),IF(ISNUMBER($Y49),$T49-$Y49," ")," ")</f>
        <v/>
      </c>
      <c r="AA49" s="105">
        <f>IF($X49&gt;0,IF($V49&gt;0,IF($X49=$V49,"No","Yes")," ")," ")</f>
        <v/>
      </c>
      <c r="AB49" s="110" t="n"/>
      <c r="AC49" s="107">
        <f>IF($AB49&gt;0,$U49-$AB49," ")</f>
        <v/>
      </c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6" t="n"/>
      <c r="G50" s="93" t="n"/>
      <c r="H50" s="97" t="n"/>
      <c r="I50" s="97" t="n"/>
      <c r="J50" s="97" t="n"/>
      <c r="K50" s="98" t="n"/>
      <c r="L50" s="99">
        <f>IF($K50&gt;0,$K50/$H50," ")</f>
        <v/>
      </c>
      <c r="M50" s="100" t="n"/>
      <c r="N50" s="101">
        <f>IF($M50&gt;0,($M50-$U50)/365," ")</f>
        <v/>
      </c>
      <c r="O50" s="95" t="n"/>
      <c r="P50" s="95" t="n"/>
      <c r="Q50" s="95" t="n"/>
      <c r="R50" s="98" t="n"/>
      <c r="S50" s="98">
        <f>IF($R50&gt;0,IF($H50&gt;0,$R50/$H50," ")," ")</f>
        <v/>
      </c>
      <c r="T50" s="102">
        <f>IF($R50&gt;0,IF($K50&gt;0,$K50/$R50," ")," ")</f>
        <v/>
      </c>
      <c r="U50" s="100" t="n"/>
      <c r="V50" s="98" t="n"/>
      <c r="W50" s="102">
        <f>IF($V50&gt;0,IF($K50&gt;0,$K50/$V50," ")," ")</f>
        <v/>
      </c>
      <c r="X50" s="98" t="n"/>
      <c r="Y50" s="102">
        <f>IF($X50&gt;0,IF($K50&gt;0,$K50/$X50," ")," ")</f>
        <v/>
      </c>
      <c r="Z50" s="102">
        <f>IF(ISNUMBER($T50),IF(ISNUMBER($Y50),$T50-$Y50," ")," ")</f>
        <v/>
      </c>
      <c r="AA50" s="95">
        <f>IF($X50&gt;0,IF($V50&gt;0,IF($X50=$V50,"No","Yes")," ")," ")</f>
        <v/>
      </c>
      <c r="AB50" s="100" t="n"/>
      <c r="AC50" s="97">
        <f>IF($AB50&gt;0,$U50-$AB50," ")</f>
        <v/>
      </c>
    </row>
    <row r="51" ht="15" customHeight="1" s="46">
      <c r="A51" s="103">
        <f>IFERROR(ROW()-5,"")</f>
        <v/>
      </c>
      <c r="B51" s="104" t="n"/>
      <c r="C51" s="104" t="n"/>
      <c r="D51" s="105" t="n"/>
      <c r="E51" s="105" t="n"/>
      <c r="F51" s="106" t="n"/>
      <c r="G51" s="103" t="n"/>
      <c r="H51" s="107" t="n"/>
      <c r="I51" s="107" t="n"/>
      <c r="J51" s="107" t="n"/>
      <c r="K51" s="108" t="n"/>
      <c r="L51" s="109">
        <f>IF($K51&gt;0,$K51/$H51," ")</f>
        <v/>
      </c>
      <c r="M51" s="110" t="n"/>
      <c r="N51" s="111">
        <f>IF($M51&gt;0,($M51-$U51)/365," ")</f>
        <v/>
      </c>
      <c r="O51" s="105" t="n"/>
      <c r="P51" s="105" t="n"/>
      <c r="Q51" s="105" t="n"/>
      <c r="R51" s="108" t="n"/>
      <c r="S51" s="108">
        <f>IF($R51&gt;0,IF($H51&gt;0,$R51/$H51," ")," ")</f>
        <v/>
      </c>
      <c r="T51" s="112">
        <f>IF($R51&gt;0,IF($K51&gt;0,$K51/$R51," ")," ")</f>
        <v/>
      </c>
      <c r="U51" s="110" t="n"/>
      <c r="V51" s="108" t="n"/>
      <c r="W51" s="112">
        <f>IF($V51&gt;0,IF($K51&gt;0,$K51/$V51," ")," ")</f>
        <v/>
      </c>
      <c r="X51" s="108" t="n"/>
      <c r="Y51" s="112">
        <f>IF($X51&gt;0,IF($K51&gt;0,$K51/$X51," ")," ")</f>
        <v/>
      </c>
      <c r="Z51" s="112">
        <f>IF(ISNUMBER($T51),IF(ISNUMBER($Y51),$T51-$Y51," ")," ")</f>
        <v/>
      </c>
      <c r="AA51" s="105">
        <f>IF($X51&gt;0,IF($V51&gt;0,IF($X51=$V51,"No","Yes")," ")," ")</f>
        <v/>
      </c>
      <c r="AB51" s="110" t="n"/>
      <c r="AC51" s="107">
        <f>IF($AB51&gt;0,$U51-$AB51," ")</f>
        <v/>
      </c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6" t="n"/>
      <c r="G52" s="93" t="n"/>
      <c r="H52" s="97" t="n"/>
      <c r="I52" s="97" t="n"/>
      <c r="J52" s="97" t="n"/>
      <c r="K52" s="98" t="n"/>
      <c r="L52" s="99">
        <f>IF($K52&gt;0,$K52/$H52," ")</f>
        <v/>
      </c>
      <c r="M52" s="100" t="n"/>
      <c r="N52" s="101">
        <f>IF($M52&gt;0,($M52-$U52)/365," ")</f>
        <v/>
      </c>
      <c r="O52" s="95" t="n"/>
      <c r="P52" s="95" t="n"/>
      <c r="Q52" s="95" t="n"/>
      <c r="R52" s="98" t="n"/>
      <c r="S52" s="98">
        <f>IF($R52&gt;0,IF($H52&gt;0,$R52/$H52," ")," ")</f>
        <v/>
      </c>
      <c r="T52" s="102">
        <f>IF($R52&gt;0,IF($K52&gt;0,$K52/$R52," ")," ")</f>
        <v/>
      </c>
      <c r="U52" s="100" t="n"/>
      <c r="V52" s="98" t="n"/>
      <c r="W52" s="102">
        <f>IF($V52&gt;0,IF($K52&gt;0,$K52/$V52," ")," ")</f>
        <v/>
      </c>
      <c r="X52" s="98" t="n"/>
      <c r="Y52" s="102">
        <f>IF($X52&gt;0,IF($K52&gt;0,$K52/$X52," ")," ")</f>
        <v/>
      </c>
      <c r="Z52" s="102">
        <f>IF(ISNUMBER($T52),IF(ISNUMBER($Y52),$T52-$Y52," ")," ")</f>
        <v/>
      </c>
      <c r="AA52" s="95">
        <f>IF($X52&gt;0,IF($V52&gt;0,IF($X52=$V52,"No","Yes")," ")," ")</f>
        <v/>
      </c>
      <c r="AB52" s="100" t="n"/>
      <c r="AC52" s="97">
        <f>IF($AB52&gt;0,$U52-$AB52," ")</f>
        <v/>
      </c>
    </row>
    <row r="53" ht="15" customHeight="1" s="46">
      <c r="A53" s="103">
        <f>IFERROR(ROW()-5,"")</f>
        <v/>
      </c>
      <c r="B53" s="104" t="n"/>
      <c r="C53" s="104" t="n"/>
      <c r="D53" s="105" t="n"/>
      <c r="E53" s="105" t="n"/>
      <c r="F53" s="106" t="n"/>
      <c r="G53" s="103" t="n"/>
      <c r="H53" s="107" t="n"/>
      <c r="I53" s="107" t="n"/>
      <c r="J53" s="107" t="n"/>
      <c r="K53" s="108" t="n"/>
      <c r="L53" s="109">
        <f>IF($K53&gt;0,$K53/$H53," ")</f>
        <v/>
      </c>
      <c r="M53" s="110" t="n"/>
      <c r="N53" s="111">
        <f>IF($M53&gt;0,($M53-$U53)/365," ")</f>
        <v/>
      </c>
      <c r="O53" s="105" t="n"/>
      <c r="P53" s="105" t="n"/>
      <c r="Q53" s="105" t="n"/>
      <c r="R53" s="108" t="n"/>
      <c r="S53" s="108">
        <f>IF($R53&gt;0,IF($H53&gt;0,$R53/$H53," ")," ")</f>
        <v/>
      </c>
      <c r="T53" s="112">
        <f>IF($R53&gt;0,IF($K53&gt;0,$K53/$R53," ")," ")</f>
        <v/>
      </c>
      <c r="U53" s="110" t="n"/>
      <c r="V53" s="108" t="n"/>
      <c r="W53" s="112">
        <f>IF($V53&gt;0,IF($K53&gt;0,$K53/$V53," ")," ")</f>
        <v/>
      </c>
      <c r="X53" s="108" t="n"/>
      <c r="Y53" s="112">
        <f>IF($X53&gt;0,IF($K53&gt;0,$K53/$X53," ")," ")</f>
        <v/>
      </c>
      <c r="Z53" s="112">
        <f>IF(ISNUMBER($T53),IF(ISNUMBER($Y53),$T53-$Y53," ")," ")</f>
        <v/>
      </c>
      <c r="AA53" s="105">
        <f>IF($X53&gt;0,IF($V53&gt;0,IF($X53=$V53,"No","Yes")," ")," ")</f>
        <v/>
      </c>
      <c r="AB53" s="110" t="n"/>
      <c r="AC53" s="107">
        <f>IF($AB53&gt;0,$U53-$AB53," ")</f>
        <v/>
      </c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6" t="n"/>
      <c r="G54" s="93" t="n"/>
      <c r="H54" s="97" t="n"/>
      <c r="I54" s="97" t="n"/>
      <c r="J54" s="97" t="n"/>
      <c r="K54" s="98" t="n"/>
      <c r="L54" s="99">
        <f>IF($K54&gt;0,$K54/$H54," ")</f>
        <v/>
      </c>
      <c r="M54" s="100" t="n"/>
      <c r="N54" s="101">
        <f>IF($M54&gt;0,($M54-$U54)/365," ")</f>
        <v/>
      </c>
      <c r="O54" s="95" t="n"/>
      <c r="P54" s="95" t="n"/>
      <c r="Q54" s="95" t="n"/>
      <c r="R54" s="98" t="n"/>
      <c r="S54" s="98">
        <f>IF($R54&gt;0,IF($H54&gt;0,$R54/$H54," ")," ")</f>
        <v/>
      </c>
      <c r="T54" s="102">
        <f>IF($R54&gt;0,IF($K54&gt;0,$K54/$R54," ")," ")</f>
        <v/>
      </c>
      <c r="U54" s="100" t="n"/>
      <c r="V54" s="98" t="n"/>
      <c r="W54" s="102">
        <f>IF($V54&gt;0,IF($K54&gt;0,$K54/$V54," ")," ")</f>
        <v/>
      </c>
      <c r="X54" s="98" t="n"/>
      <c r="Y54" s="102">
        <f>IF($X54&gt;0,IF($K54&gt;0,$K54/$X54," ")," ")</f>
        <v/>
      </c>
      <c r="Z54" s="102">
        <f>IF(ISNUMBER($T54),IF(ISNUMBER($Y54),$T54-$Y54," ")," ")</f>
        <v/>
      </c>
      <c r="AA54" s="95">
        <f>IF($X54&gt;0,IF($V54&gt;0,IF($X54=$V54,"No","Yes")," ")," ")</f>
        <v/>
      </c>
      <c r="AB54" s="100" t="n"/>
      <c r="AC54" s="97">
        <f>IF($AB54&gt;0,$U54-$AB54," ")</f>
        <v/>
      </c>
    </row>
    <row r="55" ht="15" customHeight="1" s="46">
      <c r="A55" s="103">
        <f>IFERROR(ROW()-5,"")</f>
        <v/>
      </c>
      <c r="B55" s="104" t="n"/>
      <c r="C55" s="104" t="n"/>
      <c r="D55" s="105" t="n"/>
      <c r="E55" s="105" t="n"/>
      <c r="F55" s="106" t="n"/>
      <c r="G55" s="103" t="n"/>
      <c r="H55" s="107" t="n"/>
      <c r="I55" s="107" t="n"/>
      <c r="J55" s="107" t="n"/>
      <c r="K55" s="108" t="n"/>
      <c r="L55" s="109">
        <f>IF($K55&gt;0,$K55/$H55," ")</f>
        <v/>
      </c>
      <c r="M55" s="110" t="n"/>
      <c r="N55" s="111">
        <f>IF($M55&gt;0,($M55-$U55)/365," ")</f>
        <v/>
      </c>
      <c r="O55" s="105" t="n"/>
      <c r="P55" s="105" t="n"/>
      <c r="Q55" s="105" t="n"/>
      <c r="R55" s="108" t="n"/>
      <c r="S55" s="108">
        <f>IF($R55&gt;0,IF($H55&gt;0,$R55/$H55," ")," ")</f>
        <v/>
      </c>
      <c r="T55" s="112">
        <f>IF($R55&gt;0,IF($K55&gt;0,$K55/$R55," ")," ")</f>
        <v/>
      </c>
      <c r="U55" s="110" t="n"/>
      <c r="V55" s="108" t="n"/>
      <c r="W55" s="112">
        <f>IF($V55&gt;0,IF($K55&gt;0,$K55/$V55," ")," ")</f>
        <v/>
      </c>
      <c r="X55" s="108" t="n"/>
      <c r="Y55" s="112">
        <f>IF($X55&gt;0,IF($K55&gt;0,$K55/$X55," ")," ")</f>
        <v/>
      </c>
      <c r="Z55" s="112">
        <f>IF(ISNUMBER($T55),IF(ISNUMBER($Y55),$T55-$Y55," ")," ")</f>
        <v/>
      </c>
      <c r="AA55" s="105">
        <f>IF($X55&gt;0,IF($V55&gt;0,IF($X55=$V55,"No","Yes")," ")," ")</f>
        <v/>
      </c>
      <c r="AB55" s="110" t="n"/>
      <c r="AC55" s="107">
        <f>IF($AB55&gt;0,$U55-$AB55," ")</f>
        <v/>
      </c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6" t="n"/>
      <c r="G56" s="93" t="n"/>
      <c r="H56" s="97" t="n"/>
      <c r="I56" s="97" t="n"/>
      <c r="J56" s="97" t="n"/>
      <c r="K56" s="98" t="n"/>
      <c r="L56" s="99">
        <f>IF($K56&gt;0,$K56/$H56," ")</f>
        <v/>
      </c>
      <c r="M56" s="100" t="n"/>
      <c r="N56" s="101">
        <f>IF($M56&gt;0,($M56-$U56)/365," ")</f>
        <v/>
      </c>
      <c r="O56" s="95" t="n"/>
      <c r="P56" s="95" t="n"/>
      <c r="Q56" s="95" t="n"/>
      <c r="R56" s="98" t="n"/>
      <c r="S56" s="98">
        <f>IF($R56&gt;0,IF($H56&gt;0,$R56/$H56," ")," ")</f>
        <v/>
      </c>
      <c r="T56" s="102">
        <f>IF($R56&gt;0,IF($K56&gt;0,$K56/$R56," ")," ")</f>
        <v/>
      </c>
      <c r="U56" s="100" t="n"/>
      <c r="V56" s="98" t="n"/>
      <c r="W56" s="102">
        <f>IF($V56&gt;0,IF($K56&gt;0,$K56/$V56," ")," ")</f>
        <v/>
      </c>
      <c r="X56" s="98" t="n"/>
      <c r="Y56" s="102">
        <f>IF($X56&gt;0,IF($K56&gt;0,$K56/$X56," ")," ")</f>
        <v/>
      </c>
      <c r="Z56" s="102">
        <f>IF(ISNUMBER($T56),IF(ISNUMBER($Y56),$T56-$Y56," ")," ")</f>
        <v/>
      </c>
      <c r="AA56" s="95">
        <f>IF($X56&gt;0,IF($V56&gt;0,IF($X56=$V56,"No","Yes")," ")," ")</f>
        <v/>
      </c>
      <c r="AB56" s="100" t="n"/>
      <c r="AC56" s="97">
        <f>IF($AB56&gt;0,$U56-$AB56," ")</f>
        <v/>
      </c>
    </row>
    <row r="57" ht="15" customHeight="1" s="46">
      <c r="A57" s="103">
        <f>IFERROR(ROW()-5,"")</f>
        <v/>
      </c>
      <c r="B57" s="104" t="n"/>
      <c r="C57" s="104" t="n"/>
      <c r="D57" s="105" t="n"/>
      <c r="E57" s="105" t="n"/>
      <c r="F57" s="106" t="n"/>
      <c r="G57" s="103" t="n"/>
      <c r="H57" s="107" t="n"/>
      <c r="I57" s="107" t="n"/>
      <c r="J57" s="107" t="n"/>
      <c r="K57" s="108" t="n"/>
      <c r="L57" s="109">
        <f>IF($K57&gt;0,$K57/$H57," ")</f>
        <v/>
      </c>
      <c r="M57" s="110" t="n"/>
      <c r="N57" s="111">
        <f>IF($M57&gt;0,($M57-$U57)/365," ")</f>
        <v/>
      </c>
      <c r="O57" s="105" t="n"/>
      <c r="P57" s="105" t="n"/>
      <c r="Q57" s="105" t="n"/>
      <c r="R57" s="108" t="n"/>
      <c r="S57" s="108">
        <f>IF($R57&gt;0,IF($H57&gt;0,$R57/$H57," ")," ")</f>
        <v/>
      </c>
      <c r="T57" s="112">
        <f>IF($R57&gt;0,IF($K57&gt;0,$K57/$R57," ")," ")</f>
        <v/>
      </c>
      <c r="U57" s="110" t="n"/>
      <c r="V57" s="108" t="n"/>
      <c r="W57" s="112">
        <f>IF($V57&gt;0,IF($K57&gt;0,$K57/$V57," ")," ")</f>
        <v/>
      </c>
      <c r="X57" s="108" t="n"/>
      <c r="Y57" s="112">
        <f>IF($X57&gt;0,IF($K57&gt;0,$K57/$X57," ")," ")</f>
        <v/>
      </c>
      <c r="Z57" s="112">
        <f>IF(ISNUMBER($T57),IF(ISNUMBER($Y57),$T57-$Y57," ")," ")</f>
        <v/>
      </c>
      <c r="AA57" s="105">
        <f>IF($X57&gt;0,IF($V57&gt;0,IF($X57=$V57,"No","Yes")," ")," ")</f>
        <v/>
      </c>
      <c r="AB57" s="110" t="n"/>
      <c r="AC57" s="107">
        <f>IF($AB57&gt;0,$U57-$AB57," ")</f>
        <v/>
      </c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6" t="n"/>
      <c r="G58" s="93" t="n"/>
      <c r="H58" s="97" t="n"/>
      <c r="I58" s="97" t="n"/>
      <c r="J58" s="97" t="n"/>
      <c r="K58" s="98" t="n"/>
      <c r="L58" s="99">
        <f>IF($K58&gt;0,$K58/$H58," ")</f>
        <v/>
      </c>
      <c r="M58" s="100" t="n"/>
      <c r="N58" s="101">
        <f>IF($M58&gt;0,($M58-$U58)/365," ")</f>
        <v/>
      </c>
      <c r="O58" s="95" t="n"/>
      <c r="P58" s="95" t="n"/>
      <c r="Q58" s="95" t="n"/>
      <c r="R58" s="98" t="n"/>
      <c r="S58" s="98">
        <f>IF($R58&gt;0,IF($H58&gt;0,$R58/$H58," ")," ")</f>
        <v/>
      </c>
      <c r="T58" s="102">
        <f>IF($R58&gt;0,IF($K58&gt;0,$K58/$R58," ")," ")</f>
        <v/>
      </c>
      <c r="U58" s="100" t="n"/>
      <c r="V58" s="98" t="n"/>
      <c r="W58" s="102">
        <f>IF($V58&gt;0,IF($K58&gt;0,$K58/$V58," ")," ")</f>
        <v/>
      </c>
      <c r="X58" s="98" t="n"/>
      <c r="Y58" s="102">
        <f>IF($X58&gt;0,IF($K58&gt;0,$K58/$X58," ")," ")</f>
        <v/>
      </c>
      <c r="Z58" s="102">
        <f>IF(ISNUMBER($T58),IF(ISNUMBER($Y58),$T58-$Y58," ")," ")</f>
        <v/>
      </c>
      <c r="AA58" s="95">
        <f>IF($X58&gt;0,IF($V58&gt;0,IF($X58=$V58,"No","Yes")," ")," ")</f>
        <v/>
      </c>
      <c r="AB58" s="100" t="n"/>
      <c r="AC58" s="97">
        <f>IF($AB58&gt;0,$U58-$AB58," ")</f>
        <v/>
      </c>
    </row>
    <row r="59" ht="15" customHeight="1" s="46">
      <c r="A59" s="103">
        <f>IFERROR(ROW()-5,"")</f>
        <v/>
      </c>
      <c r="B59" s="104" t="n"/>
      <c r="C59" s="104" t="n"/>
      <c r="D59" s="105" t="n"/>
      <c r="E59" s="105" t="n"/>
      <c r="F59" s="106" t="n"/>
      <c r="G59" s="103" t="n"/>
      <c r="H59" s="107" t="n"/>
      <c r="I59" s="107" t="n"/>
      <c r="J59" s="107" t="n"/>
      <c r="K59" s="108" t="n"/>
      <c r="L59" s="109">
        <f>IF($K59&gt;0,$K59/$H59," ")</f>
        <v/>
      </c>
      <c r="M59" s="110" t="n"/>
      <c r="N59" s="111">
        <f>IF($M59&gt;0,($M59-$U59)/365," ")</f>
        <v/>
      </c>
      <c r="O59" s="105" t="n"/>
      <c r="P59" s="105" t="n"/>
      <c r="Q59" s="105" t="n"/>
      <c r="R59" s="108" t="n"/>
      <c r="S59" s="108">
        <f>IF($R59&gt;0,IF($H59&gt;0,$R59/$H59," ")," ")</f>
        <v/>
      </c>
      <c r="T59" s="112">
        <f>IF($R59&gt;0,IF($K59&gt;0,$K59/$R59," ")," ")</f>
        <v/>
      </c>
      <c r="U59" s="110" t="n"/>
      <c r="V59" s="108" t="n"/>
      <c r="W59" s="112">
        <f>IF($V59&gt;0,IF($K59&gt;0,$K59/$V59," ")," ")</f>
        <v/>
      </c>
      <c r="X59" s="108" t="n"/>
      <c r="Y59" s="112">
        <f>IF($X59&gt;0,IF($K59&gt;0,$K59/$X59," ")," ")</f>
        <v/>
      </c>
      <c r="Z59" s="112">
        <f>IF(ISNUMBER($T59),IF(ISNUMBER($Y59),$T59-$Y59," ")," ")</f>
        <v/>
      </c>
      <c r="AA59" s="105">
        <f>IF($X59&gt;0,IF($V59&gt;0,IF($X59=$V59,"No","Yes")," ")," ")</f>
        <v/>
      </c>
      <c r="AB59" s="110" t="n"/>
      <c r="AC59" s="107">
        <f>IF($AB59&gt;0,$U59-$AB59," ")</f>
        <v/>
      </c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6" t="n"/>
      <c r="G60" s="93" t="n"/>
      <c r="H60" s="97" t="n"/>
      <c r="I60" s="97" t="n"/>
      <c r="J60" s="97" t="n"/>
      <c r="K60" s="98" t="n"/>
      <c r="L60" s="99">
        <f>IF($K60&gt;0,$K60/$H60," ")</f>
        <v/>
      </c>
      <c r="M60" s="100" t="n"/>
      <c r="N60" s="101">
        <f>IF($M60&gt;0,($M60-$U60)/365," ")</f>
        <v/>
      </c>
      <c r="O60" s="95" t="n"/>
      <c r="P60" s="95" t="n"/>
      <c r="Q60" s="95" t="n"/>
      <c r="R60" s="98" t="n"/>
      <c r="S60" s="98">
        <f>IF($R60&gt;0,IF($H60&gt;0,$R60/$H60," ")," ")</f>
        <v/>
      </c>
      <c r="T60" s="102">
        <f>IF($R60&gt;0,IF($K60&gt;0,$K60/$R60," ")," ")</f>
        <v/>
      </c>
      <c r="U60" s="100" t="n"/>
      <c r="V60" s="98" t="n"/>
      <c r="W60" s="102">
        <f>IF($V60&gt;0,IF($K60&gt;0,$K60/$V60," ")," ")</f>
        <v/>
      </c>
      <c r="X60" s="98" t="n"/>
      <c r="Y60" s="102">
        <f>IF($X60&gt;0,IF($K60&gt;0,$K60/$X60," ")," ")</f>
        <v/>
      </c>
      <c r="Z60" s="102">
        <f>IF(ISNUMBER($T60),IF(ISNUMBER($Y60),$T60-$Y60," ")," ")</f>
        <v/>
      </c>
      <c r="AA60" s="95">
        <f>IF($X60&gt;0,IF($V60&gt;0,IF($X60=$V60,"No","Yes")," ")," ")</f>
        <v/>
      </c>
      <c r="AB60" s="100" t="n"/>
      <c r="AC60" s="97">
        <f>IF($AB60&gt;0,$U60-$AB60," ")</f>
        <v/>
      </c>
    </row>
    <row r="61" ht="15" customHeight="1" s="46">
      <c r="A61" s="103">
        <f>IFERROR(ROW()-5,"")</f>
        <v/>
      </c>
      <c r="B61" s="104" t="n"/>
      <c r="C61" s="104" t="n"/>
      <c r="D61" s="105" t="n"/>
      <c r="E61" s="105" t="n"/>
      <c r="F61" s="106" t="n"/>
      <c r="G61" s="103" t="n"/>
      <c r="H61" s="107" t="n"/>
      <c r="I61" s="107" t="n"/>
      <c r="J61" s="107" t="n"/>
      <c r="K61" s="108" t="n"/>
      <c r="L61" s="109">
        <f>IF($K61&gt;0,$K61/$H61," ")</f>
        <v/>
      </c>
      <c r="M61" s="110" t="n"/>
      <c r="N61" s="111">
        <f>IF($M61&gt;0,($M61-$U61)/365," ")</f>
        <v/>
      </c>
      <c r="O61" s="105" t="n"/>
      <c r="P61" s="105" t="n"/>
      <c r="Q61" s="105" t="n"/>
      <c r="R61" s="108" t="n"/>
      <c r="S61" s="108">
        <f>IF($R61&gt;0,IF($H61&gt;0,$R61/$H61," ")," ")</f>
        <v/>
      </c>
      <c r="T61" s="112">
        <f>IF($R61&gt;0,IF($K61&gt;0,$K61/$R61," ")," ")</f>
        <v/>
      </c>
      <c r="U61" s="110" t="n"/>
      <c r="V61" s="108" t="n"/>
      <c r="W61" s="112">
        <f>IF($V61&gt;0,IF($K61&gt;0,$K61/$V61," ")," ")</f>
        <v/>
      </c>
      <c r="X61" s="108" t="n"/>
      <c r="Y61" s="112">
        <f>IF($X61&gt;0,IF($K61&gt;0,$K61/$X61," ")," ")</f>
        <v/>
      </c>
      <c r="Z61" s="112">
        <f>IF(ISNUMBER($T61),IF(ISNUMBER($Y61),$T61-$Y61," ")," ")</f>
        <v/>
      </c>
      <c r="AA61" s="105">
        <f>IF($X61&gt;0,IF($V61&gt;0,IF($X61=$V61,"No","Yes")," ")," ")</f>
        <v/>
      </c>
      <c r="AB61" s="110" t="n"/>
      <c r="AC61" s="107">
        <f>IF($AB61&gt;0,$U61-$AB61," ")</f>
        <v/>
      </c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6" t="n"/>
      <c r="G62" s="93" t="n"/>
      <c r="H62" s="97" t="n"/>
      <c r="I62" s="97" t="n"/>
      <c r="J62" s="97" t="n"/>
      <c r="K62" s="98" t="n"/>
      <c r="L62" s="99">
        <f>IF($K62&gt;0,$K62/$H62," ")</f>
        <v/>
      </c>
      <c r="M62" s="100" t="n"/>
      <c r="N62" s="101">
        <f>IF($M62&gt;0,($M62-$U62)/365," ")</f>
        <v/>
      </c>
      <c r="O62" s="95" t="n"/>
      <c r="P62" s="95" t="n"/>
      <c r="Q62" s="95" t="n"/>
      <c r="R62" s="98" t="n"/>
      <c r="S62" s="98">
        <f>IF($R62&gt;0,IF($H62&gt;0,$R62/$H62," ")," ")</f>
        <v/>
      </c>
      <c r="T62" s="102">
        <f>IF($R62&gt;0,IF($K62&gt;0,$K62/$R62," ")," ")</f>
        <v/>
      </c>
      <c r="U62" s="100" t="n"/>
      <c r="V62" s="98" t="n"/>
      <c r="W62" s="102">
        <f>IF($V62&gt;0,IF($K62&gt;0,$K62/$V62," ")," ")</f>
        <v/>
      </c>
      <c r="X62" s="98" t="n"/>
      <c r="Y62" s="102">
        <f>IF($X62&gt;0,IF($K62&gt;0,$K62/$X62," ")," ")</f>
        <v/>
      </c>
      <c r="Z62" s="102">
        <f>IF(ISNUMBER($T62),IF(ISNUMBER($Y62),$T62-$Y62," ")," ")</f>
        <v/>
      </c>
      <c r="AA62" s="95">
        <f>IF($X62&gt;0,IF($V62&gt;0,IF($X62=$V62,"No","Yes")," ")," ")</f>
        <v/>
      </c>
      <c r="AB62" s="100" t="n"/>
      <c r="AC62" s="97">
        <f>IF($AB62&gt;0,$U62-$AB62," ")</f>
        <v/>
      </c>
    </row>
    <row r="63" ht="15" customHeight="1" s="46">
      <c r="A63" s="103">
        <f>IFERROR(ROW()-5,"")</f>
        <v/>
      </c>
      <c r="B63" s="104" t="n"/>
      <c r="C63" s="104" t="n"/>
      <c r="D63" s="105" t="n"/>
      <c r="E63" s="105" t="n"/>
      <c r="F63" s="106" t="n"/>
      <c r="G63" s="103" t="n"/>
      <c r="H63" s="107" t="n"/>
      <c r="I63" s="107" t="n"/>
      <c r="J63" s="107" t="n"/>
      <c r="K63" s="108" t="n"/>
      <c r="L63" s="109">
        <f>IF($K63&gt;0,$K63/$H63," ")</f>
        <v/>
      </c>
      <c r="M63" s="110" t="n"/>
      <c r="N63" s="111">
        <f>IF($M63&gt;0,($M63-$U63)/365," ")</f>
        <v/>
      </c>
      <c r="O63" s="105" t="n"/>
      <c r="P63" s="105" t="n"/>
      <c r="Q63" s="105" t="n"/>
      <c r="R63" s="108" t="n"/>
      <c r="S63" s="108">
        <f>IF($R63&gt;0,IF($H63&gt;0,$R63/$H63," ")," ")</f>
        <v/>
      </c>
      <c r="T63" s="112">
        <f>IF($R63&gt;0,IF($K63&gt;0,$K63/$R63," ")," ")</f>
        <v/>
      </c>
      <c r="U63" s="110" t="n"/>
      <c r="V63" s="108" t="n"/>
      <c r="W63" s="112">
        <f>IF($V63&gt;0,IF($K63&gt;0,$K63/$V63," ")," ")</f>
        <v/>
      </c>
      <c r="X63" s="108" t="n"/>
      <c r="Y63" s="112">
        <f>IF($X63&gt;0,IF($K63&gt;0,$K63/$X63," ")," ")</f>
        <v/>
      </c>
      <c r="Z63" s="112">
        <f>IF(ISNUMBER($T63),IF(ISNUMBER($Y63),$T63-$Y63," ")," ")</f>
        <v/>
      </c>
      <c r="AA63" s="105">
        <f>IF($X63&gt;0,IF($V63&gt;0,IF($X63=$V63,"No","Yes")," ")," ")</f>
        <v/>
      </c>
      <c r="AB63" s="110" t="n"/>
      <c r="AC63" s="107">
        <f>IF($AB63&gt;0,$U63-$AB63," ")</f>
        <v/>
      </c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6" t="n"/>
      <c r="G64" s="93" t="n"/>
      <c r="H64" s="97" t="n"/>
      <c r="I64" s="97" t="n"/>
      <c r="J64" s="97" t="n"/>
      <c r="K64" s="98" t="n"/>
      <c r="L64" s="99">
        <f>IF($K64&gt;0,$K64/$H64," ")</f>
        <v/>
      </c>
      <c r="M64" s="100" t="n"/>
      <c r="N64" s="101">
        <f>IF($M64&gt;0,($M64-$U64)/365," ")</f>
        <v/>
      </c>
      <c r="O64" s="95" t="n"/>
      <c r="P64" s="95" t="n"/>
      <c r="Q64" s="95" t="n"/>
      <c r="R64" s="98" t="n"/>
      <c r="S64" s="98">
        <f>IF($R64&gt;0,IF($H64&gt;0,$R64/$H64," ")," ")</f>
        <v/>
      </c>
      <c r="T64" s="102">
        <f>IF($R64&gt;0,IF($K64&gt;0,$K64/$R64," ")," ")</f>
        <v/>
      </c>
      <c r="U64" s="100" t="n"/>
      <c r="V64" s="98" t="n"/>
      <c r="W64" s="102">
        <f>IF($V64&gt;0,IF($K64&gt;0,$K64/$V64," ")," ")</f>
        <v/>
      </c>
      <c r="X64" s="98" t="n"/>
      <c r="Y64" s="102">
        <f>IF($X64&gt;0,IF($K64&gt;0,$K64/$X64," ")," ")</f>
        <v/>
      </c>
      <c r="Z64" s="102">
        <f>IF(ISNUMBER($T64),IF(ISNUMBER($Y64),$T64-$Y64," ")," ")</f>
        <v/>
      </c>
      <c r="AA64" s="95">
        <f>IF($X64&gt;0,IF($V64&gt;0,IF($X64=$V64,"No","Yes")," ")," ")</f>
        <v/>
      </c>
      <c r="AB64" s="100" t="n"/>
      <c r="AC64" s="97">
        <f>IF($AB64&gt;0,$U64-$AB64," ")</f>
        <v/>
      </c>
    </row>
    <row r="65" ht="15" customHeight="1" s="46">
      <c r="A65" s="103">
        <f>IFERROR(ROW()-5,"")</f>
        <v/>
      </c>
      <c r="B65" s="104" t="n"/>
      <c r="C65" s="104" t="n"/>
      <c r="D65" s="105" t="n"/>
      <c r="E65" s="105" t="n"/>
      <c r="F65" s="106" t="n"/>
      <c r="G65" s="103" t="n"/>
      <c r="H65" s="107" t="n"/>
      <c r="I65" s="107" t="n"/>
      <c r="J65" s="107" t="n"/>
      <c r="K65" s="108" t="n"/>
      <c r="L65" s="109">
        <f>IF($K65&gt;0,$K65/$H65," ")</f>
        <v/>
      </c>
      <c r="M65" s="110" t="n"/>
      <c r="N65" s="111">
        <f>IF($M65&gt;0,($M65-$U65)/365," ")</f>
        <v/>
      </c>
      <c r="O65" s="105" t="n"/>
      <c r="P65" s="105" t="n"/>
      <c r="Q65" s="105" t="n"/>
      <c r="R65" s="108" t="n"/>
      <c r="S65" s="108">
        <f>IF($R65&gt;0,IF($H65&gt;0,$R65/$H65," ")," ")</f>
        <v/>
      </c>
      <c r="T65" s="112">
        <f>IF($R65&gt;0,IF($K65&gt;0,$K65/$R65," ")," ")</f>
        <v/>
      </c>
      <c r="U65" s="110" t="n"/>
      <c r="V65" s="108" t="n"/>
      <c r="W65" s="112">
        <f>IF($V65&gt;0,IF($K65&gt;0,$K65/$V65," ")," ")</f>
        <v/>
      </c>
      <c r="X65" s="108" t="n"/>
      <c r="Y65" s="112">
        <f>IF($X65&gt;0,IF($K65&gt;0,$K65/$X65," ")," ")</f>
        <v/>
      </c>
      <c r="Z65" s="112">
        <f>IF(ISNUMBER($T65),IF(ISNUMBER($Y65),$T65-$Y65," ")," ")</f>
        <v/>
      </c>
      <c r="AA65" s="105">
        <f>IF($X65&gt;0,IF($V65&gt;0,IF($X65=$V65,"No","Yes")," ")," ")</f>
        <v/>
      </c>
      <c r="AB65" s="110" t="n"/>
      <c r="AC65" s="107">
        <f>IF($AB65&gt;0,$U65-$AB65," ")</f>
        <v/>
      </c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6" t="n"/>
      <c r="G66" s="93" t="n"/>
      <c r="H66" s="97" t="n"/>
      <c r="I66" s="97" t="n"/>
      <c r="J66" s="97" t="n"/>
      <c r="K66" s="98" t="n"/>
      <c r="L66" s="99">
        <f>IF($K66&gt;0,$K66/$H66," ")</f>
        <v/>
      </c>
      <c r="M66" s="100" t="n"/>
      <c r="N66" s="101">
        <f>IF($M66&gt;0,($M66-$U66)/365," ")</f>
        <v/>
      </c>
      <c r="O66" s="95" t="n"/>
      <c r="P66" s="95" t="n"/>
      <c r="Q66" s="95" t="n"/>
      <c r="R66" s="98" t="n"/>
      <c r="S66" s="98">
        <f>IF($R66&gt;0,IF($H66&gt;0,$R66/$H66," ")," ")</f>
        <v/>
      </c>
      <c r="T66" s="102">
        <f>IF($R66&gt;0,IF($K66&gt;0,$K66/$R66," ")," ")</f>
        <v/>
      </c>
      <c r="U66" s="100" t="n"/>
      <c r="V66" s="98" t="n"/>
      <c r="W66" s="102">
        <f>IF($V66&gt;0,IF($K66&gt;0,$K66/$V66," ")," ")</f>
        <v/>
      </c>
      <c r="X66" s="98" t="n"/>
      <c r="Y66" s="102">
        <f>IF($X66&gt;0,IF($K66&gt;0,$K66/$X66," ")," ")</f>
        <v/>
      </c>
      <c r="Z66" s="102">
        <f>IF(ISNUMBER($T66),IF(ISNUMBER($Y66),$T66-$Y66," ")," ")</f>
        <v/>
      </c>
      <c r="AA66" s="95">
        <f>IF($X66&gt;0,IF($V66&gt;0,IF($X66=$V66,"No","Yes")," ")," ")</f>
        <v/>
      </c>
      <c r="AB66" s="100" t="n"/>
      <c r="AC66" s="97">
        <f>IF($AB66&gt;0,$U66-$AB66," ")</f>
        <v/>
      </c>
    </row>
    <row r="67" ht="15" customHeight="1" s="46">
      <c r="A67" s="103">
        <f>IFERROR(ROW()-5,"")</f>
        <v/>
      </c>
      <c r="B67" s="104" t="n"/>
      <c r="C67" s="104" t="n"/>
      <c r="D67" s="105" t="n"/>
      <c r="E67" s="105" t="n"/>
      <c r="F67" s="106" t="n"/>
      <c r="G67" s="103" t="n"/>
      <c r="H67" s="107" t="n"/>
      <c r="I67" s="107" t="n"/>
      <c r="J67" s="107" t="n"/>
      <c r="K67" s="108" t="n"/>
      <c r="L67" s="109">
        <f>IF($K67&gt;0,$K67/$H67," ")</f>
        <v/>
      </c>
      <c r="M67" s="110" t="n"/>
      <c r="N67" s="111">
        <f>IF($M67&gt;0,($M67-$U67)/365," ")</f>
        <v/>
      </c>
      <c r="O67" s="105" t="n"/>
      <c r="P67" s="105" t="n"/>
      <c r="Q67" s="105" t="n"/>
      <c r="R67" s="108" t="n"/>
      <c r="S67" s="108">
        <f>IF($R67&gt;0,IF($H67&gt;0,$R67/$H67," ")," ")</f>
        <v/>
      </c>
      <c r="T67" s="112">
        <f>IF($R67&gt;0,IF($K67&gt;0,$K67/$R67," ")," ")</f>
        <v/>
      </c>
      <c r="U67" s="110" t="n"/>
      <c r="V67" s="108" t="n"/>
      <c r="W67" s="112">
        <f>IF($V67&gt;0,IF($K67&gt;0,$K67/$V67," ")," ")</f>
        <v/>
      </c>
      <c r="X67" s="108" t="n"/>
      <c r="Y67" s="112">
        <f>IF($X67&gt;0,IF($K67&gt;0,$K67/$X67," ")," ")</f>
        <v/>
      </c>
      <c r="Z67" s="112">
        <f>IF(ISNUMBER($T67),IF(ISNUMBER($Y67),$T67-$Y67," ")," ")</f>
        <v/>
      </c>
      <c r="AA67" s="105">
        <f>IF($X67&gt;0,IF($V67&gt;0,IF($X67=$V67,"No","Yes")," ")," ")</f>
        <v/>
      </c>
      <c r="AB67" s="110" t="n"/>
      <c r="AC67" s="107">
        <f>IF($AB67&gt;0,$U67-$AB67," ")</f>
        <v/>
      </c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6" t="n"/>
      <c r="G68" s="93" t="n"/>
      <c r="H68" s="97" t="n"/>
      <c r="I68" s="97" t="n"/>
      <c r="J68" s="97" t="n"/>
      <c r="K68" s="98" t="n"/>
      <c r="L68" s="99">
        <f>IF($K68&gt;0,$K68/$H68," ")</f>
        <v/>
      </c>
      <c r="M68" s="100" t="n"/>
      <c r="N68" s="101">
        <f>IF($M68&gt;0,($M68-$U68)/365," ")</f>
        <v/>
      </c>
      <c r="O68" s="95" t="n"/>
      <c r="P68" s="95" t="n"/>
      <c r="Q68" s="95" t="n"/>
      <c r="R68" s="98" t="n"/>
      <c r="S68" s="98">
        <f>IF($R68&gt;0,IF($H68&gt;0,$R68/$H68," ")," ")</f>
        <v/>
      </c>
      <c r="T68" s="102">
        <f>IF($R68&gt;0,IF($K68&gt;0,$K68/$R68," ")," ")</f>
        <v/>
      </c>
      <c r="U68" s="100" t="n"/>
      <c r="V68" s="98" t="n"/>
      <c r="W68" s="102">
        <f>IF($V68&gt;0,IF($K68&gt;0,$K68/$V68," ")," ")</f>
        <v/>
      </c>
      <c r="X68" s="98" t="n"/>
      <c r="Y68" s="102">
        <f>IF($X68&gt;0,IF($K68&gt;0,$K68/$X68," ")," ")</f>
        <v/>
      </c>
      <c r="Z68" s="102">
        <f>IF(ISNUMBER($T68),IF(ISNUMBER($Y68),$T68-$Y68," ")," ")</f>
        <v/>
      </c>
      <c r="AA68" s="95">
        <f>IF($X68&gt;0,IF($V68&gt;0,IF($X68=$V68,"No","Yes")," ")," ")</f>
        <v/>
      </c>
      <c r="AB68" s="100" t="n"/>
      <c r="AC68" s="97">
        <f>IF($AB68&gt;0,$U68-$AB68," ")</f>
        <v/>
      </c>
    </row>
    <row r="69" ht="15" customHeight="1" s="46">
      <c r="A69" s="103">
        <f>IFERROR(ROW()-5,"")</f>
        <v/>
      </c>
      <c r="B69" s="104" t="n"/>
      <c r="C69" s="104" t="n"/>
      <c r="D69" s="105" t="n"/>
      <c r="E69" s="105" t="n"/>
      <c r="F69" s="106" t="n"/>
      <c r="G69" s="103" t="n"/>
      <c r="H69" s="107" t="n"/>
      <c r="I69" s="107" t="n"/>
      <c r="J69" s="107" t="n"/>
      <c r="K69" s="108" t="n"/>
      <c r="L69" s="109">
        <f>IF($K69&gt;0,$K69/$H69," ")</f>
        <v/>
      </c>
      <c r="M69" s="110" t="n"/>
      <c r="N69" s="111">
        <f>IF($M69&gt;0,($M69-$U69)/365," ")</f>
        <v/>
      </c>
      <c r="O69" s="105" t="n"/>
      <c r="P69" s="105" t="n"/>
      <c r="Q69" s="105" t="n"/>
      <c r="R69" s="108" t="n"/>
      <c r="S69" s="108">
        <f>IF($R69&gt;0,IF($H69&gt;0,$R69/$H69," ")," ")</f>
        <v/>
      </c>
      <c r="T69" s="112">
        <f>IF($R69&gt;0,IF($K69&gt;0,$K69/$R69," ")," ")</f>
        <v/>
      </c>
      <c r="U69" s="110" t="n"/>
      <c r="V69" s="108" t="n"/>
      <c r="W69" s="112">
        <f>IF($V69&gt;0,IF($K69&gt;0,$K69/$V69," ")," ")</f>
        <v/>
      </c>
      <c r="X69" s="108" t="n"/>
      <c r="Y69" s="112">
        <f>IF($X69&gt;0,IF($K69&gt;0,$K69/$X69," ")," ")</f>
        <v/>
      </c>
      <c r="Z69" s="112">
        <f>IF(ISNUMBER($T69),IF(ISNUMBER($Y69),$T69-$Y69," ")," ")</f>
        <v/>
      </c>
      <c r="AA69" s="105">
        <f>IF($X69&gt;0,IF($V69&gt;0,IF($X69=$V69,"No","Yes")," ")," ")</f>
        <v/>
      </c>
      <c r="AB69" s="110" t="n"/>
      <c r="AC69" s="107">
        <f>IF($AB69&gt;0,$U69-$AB69," ")</f>
        <v/>
      </c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6" t="n"/>
      <c r="G70" s="93" t="n"/>
      <c r="H70" s="97" t="n"/>
      <c r="I70" s="97" t="n"/>
      <c r="J70" s="97" t="n"/>
      <c r="K70" s="98" t="n"/>
      <c r="L70" s="99">
        <f>IF($K70&gt;0,$K70/$H70," ")</f>
        <v/>
      </c>
      <c r="M70" s="100" t="n"/>
      <c r="N70" s="101">
        <f>IF($M70&gt;0,($M70-$U70)/365," ")</f>
        <v/>
      </c>
      <c r="O70" s="95" t="n"/>
      <c r="P70" s="95" t="n"/>
      <c r="Q70" s="95" t="n"/>
      <c r="R70" s="98" t="n"/>
      <c r="S70" s="98">
        <f>IF($R70&gt;0,IF($H70&gt;0,$R70/$H70," ")," ")</f>
        <v/>
      </c>
      <c r="T70" s="102">
        <f>IF($R70&gt;0,IF($K70&gt;0,$K70/$R70," ")," ")</f>
        <v/>
      </c>
      <c r="U70" s="100" t="n"/>
      <c r="V70" s="98" t="n"/>
      <c r="W70" s="102">
        <f>IF($V70&gt;0,IF($K70&gt;0,$K70/$V70," ")," ")</f>
        <v/>
      </c>
      <c r="X70" s="98" t="n"/>
      <c r="Y70" s="102">
        <f>IF($X70&gt;0,IF($K70&gt;0,$K70/$X70," ")," ")</f>
        <v/>
      </c>
      <c r="Z70" s="102">
        <f>IF(ISNUMBER($T70),IF(ISNUMBER($Y70),$T70-$Y70," ")," ")</f>
        <v/>
      </c>
      <c r="AA70" s="95">
        <f>IF($X70&gt;0,IF($V70&gt;0,IF($X70=$V70,"No","Yes")," ")," ")</f>
        <v/>
      </c>
      <c r="AB70" s="100" t="n"/>
      <c r="AC70" s="97">
        <f>IF($AB70&gt;0,$U70-$AB70," ")</f>
        <v/>
      </c>
    </row>
    <row r="71" ht="15" customHeight="1" s="46">
      <c r="A71" s="103">
        <f>IFERROR(ROW()-5,"")</f>
        <v/>
      </c>
      <c r="B71" s="104" t="n"/>
      <c r="C71" s="104" t="n"/>
      <c r="D71" s="105" t="n"/>
      <c r="E71" s="105" t="n"/>
      <c r="F71" s="106" t="n"/>
      <c r="G71" s="103" t="n"/>
      <c r="H71" s="107" t="n"/>
      <c r="I71" s="107" t="n"/>
      <c r="J71" s="107" t="n"/>
      <c r="K71" s="108" t="n"/>
      <c r="L71" s="109">
        <f>IF($K71&gt;0,$K71/$H71," ")</f>
        <v/>
      </c>
      <c r="M71" s="110" t="n"/>
      <c r="N71" s="111">
        <f>IF($M71&gt;0,($M71-$U71)/365," ")</f>
        <v/>
      </c>
      <c r="O71" s="105" t="n"/>
      <c r="P71" s="105" t="n"/>
      <c r="Q71" s="105" t="n"/>
      <c r="R71" s="108" t="n"/>
      <c r="S71" s="108">
        <f>IF($R71&gt;0,IF($H71&gt;0,$R71/$H71," ")," ")</f>
        <v/>
      </c>
      <c r="T71" s="112">
        <f>IF($R71&gt;0,IF($K71&gt;0,$K71/$R71," ")," ")</f>
        <v/>
      </c>
      <c r="U71" s="110" t="n"/>
      <c r="V71" s="108" t="n"/>
      <c r="W71" s="112">
        <f>IF($V71&gt;0,IF($K71&gt;0,$K71/$V71," ")," ")</f>
        <v/>
      </c>
      <c r="X71" s="108" t="n"/>
      <c r="Y71" s="112">
        <f>IF($X71&gt;0,IF($K71&gt;0,$K71/$X71," ")," ")</f>
        <v/>
      </c>
      <c r="Z71" s="112">
        <f>IF(ISNUMBER($T71),IF(ISNUMBER($Y71),$T71-$Y71," ")," ")</f>
        <v/>
      </c>
      <c r="AA71" s="105">
        <f>IF($X71&gt;0,IF($V71&gt;0,IF($X71=$V71,"No","Yes")," ")," ")</f>
        <v/>
      </c>
      <c r="AB71" s="110" t="n"/>
      <c r="AC71" s="107">
        <f>IF($AB71&gt;0,$U71-$AB71," ")</f>
        <v/>
      </c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6" t="n"/>
      <c r="G72" s="93" t="n"/>
      <c r="H72" s="97" t="n"/>
      <c r="I72" s="97" t="n"/>
      <c r="J72" s="97" t="n"/>
      <c r="K72" s="98" t="n"/>
      <c r="L72" s="99">
        <f>IF($K72&gt;0,$K72/$H72," ")</f>
        <v/>
      </c>
      <c r="M72" s="100" t="n"/>
      <c r="N72" s="101">
        <f>IF($M72&gt;0,($M72-$U72)/365," ")</f>
        <v/>
      </c>
      <c r="O72" s="95" t="n"/>
      <c r="P72" s="95" t="n"/>
      <c r="Q72" s="95" t="n"/>
      <c r="R72" s="98" t="n"/>
      <c r="S72" s="98">
        <f>IF($R72&gt;0,IF($H72&gt;0,$R72/$H72," ")," ")</f>
        <v/>
      </c>
      <c r="T72" s="102">
        <f>IF($R72&gt;0,IF($K72&gt;0,$K72/$R72," ")," ")</f>
        <v/>
      </c>
      <c r="U72" s="100" t="n"/>
      <c r="V72" s="98" t="n"/>
      <c r="W72" s="102">
        <f>IF($V72&gt;0,IF($K72&gt;0,$K72/$V72," ")," ")</f>
        <v/>
      </c>
      <c r="X72" s="98" t="n"/>
      <c r="Y72" s="102">
        <f>IF($X72&gt;0,IF($K72&gt;0,$K72/$X72," ")," ")</f>
        <v/>
      </c>
      <c r="Z72" s="102">
        <f>IF(ISNUMBER($T72),IF(ISNUMBER($Y72),$T72-$Y72," ")," ")</f>
        <v/>
      </c>
      <c r="AA72" s="95">
        <f>IF($X72&gt;0,IF($V72&gt;0,IF($X72=$V72,"No","Yes")," ")," ")</f>
        <v/>
      </c>
      <c r="AB72" s="100" t="n"/>
      <c r="AC72" s="97">
        <f>IF($AB72&gt;0,$U72-$AB72," ")</f>
        <v/>
      </c>
    </row>
    <row r="73" ht="15" customHeight="1" s="46">
      <c r="A73" s="103">
        <f>IFERROR(ROW()-5,"")</f>
        <v/>
      </c>
      <c r="B73" s="104" t="n"/>
      <c r="C73" s="104" t="n"/>
      <c r="D73" s="105" t="n"/>
      <c r="E73" s="105" t="n"/>
      <c r="F73" s="106" t="n"/>
      <c r="G73" s="103" t="n"/>
      <c r="H73" s="107" t="n"/>
      <c r="I73" s="107" t="n"/>
      <c r="J73" s="107" t="n"/>
      <c r="K73" s="108" t="n"/>
      <c r="L73" s="109">
        <f>IF($K73&gt;0,$K73/$H73," ")</f>
        <v/>
      </c>
      <c r="M73" s="110" t="n"/>
      <c r="N73" s="111">
        <f>IF($M73&gt;0,($M73-$U73)/365," ")</f>
        <v/>
      </c>
      <c r="O73" s="105" t="n"/>
      <c r="P73" s="105" t="n"/>
      <c r="Q73" s="105" t="n"/>
      <c r="R73" s="108" t="n"/>
      <c r="S73" s="108">
        <f>IF($R73&gt;0,IF($H73&gt;0,$R73/$H73," ")," ")</f>
        <v/>
      </c>
      <c r="T73" s="112">
        <f>IF($R73&gt;0,IF($K73&gt;0,$K73/$R73," ")," ")</f>
        <v/>
      </c>
      <c r="U73" s="110" t="n"/>
      <c r="V73" s="108" t="n"/>
      <c r="W73" s="112">
        <f>IF($V73&gt;0,IF($K73&gt;0,$K73/$V73," ")," ")</f>
        <v/>
      </c>
      <c r="X73" s="108" t="n"/>
      <c r="Y73" s="112">
        <f>IF($X73&gt;0,IF($K73&gt;0,$K73/$X73," ")," ")</f>
        <v/>
      </c>
      <c r="Z73" s="112">
        <f>IF(ISNUMBER($T73),IF(ISNUMBER($Y73),$T73-$Y73," ")," ")</f>
        <v/>
      </c>
      <c r="AA73" s="105">
        <f>IF($X73&gt;0,IF($V73&gt;0,IF($X73=$V73,"No","Yes")," ")," ")</f>
        <v/>
      </c>
      <c r="AB73" s="110" t="n"/>
      <c r="AC73" s="107">
        <f>IF($AB73&gt;0,$U73-$AB73," ")</f>
        <v/>
      </c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6" t="n"/>
      <c r="G74" s="93" t="n"/>
      <c r="H74" s="97" t="n"/>
      <c r="I74" s="97" t="n"/>
      <c r="J74" s="97" t="n"/>
      <c r="K74" s="98" t="n"/>
      <c r="L74" s="99">
        <f>IF($K74&gt;0,$K74/$H74," ")</f>
        <v/>
      </c>
      <c r="M74" s="100" t="n"/>
      <c r="N74" s="101">
        <f>IF($M74&gt;0,($M74-$U74)/365," ")</f>
        <v/>
      </c>
      <c r="O74" s="95" t="n"/>
      <c r="P74" s="95" t="n"/>
      <c r="Q74" s="95" t="n"/>
      <c r="R74" s="98" t="n"/>
      <c r="S74" s="98">
        <f>IF($R74&gt;0,IF($H74&gt;0,$R74/$H74," ")," ")</f>
        <v/>
      </c>
      <c r="T74" s="102">
        <f>IF($R74&gt;0,IF($K74&gt;0,$K74/$R74," ")," ")</f>
        <v/>
      </c>
      <c r="U74" s="100" t="n"/>
      <c r="V74" s="98" t="n"/>
      <c r="W74" s="102">
        <f>IF($V74&gt;0,IF($K74&gt;0,$K74/$V74," ")," ")</f>
        <v/>
      </c>
      <c r="X74" s="98" t="n"/>
      <c r="Y74" s="102">
        <f>IF($X74&gt;0,IF($K74&gt;0,$K74/$X74," ")," ")</f>
        <v/>
      </c>
      <c r="Z74" s="102">
        <f>IF(ISNUMBER($T74),IF(ISNUMBER($Y74),$T74-$Y74," ")," ")</f>
        <v/>
      </c>
      <c r="AA74" s="95">
        <f>IF($X74&gt;0,IF($V74&gt;0,IF($X74=$V74,"No","Yes")," ")," ")</f>
        <v/>
      </c>
      <c r="AB74" s="100" t="n"/>
      <c r="AC74" s="97">
        <f>IF($AB74&gt;0,$U74-$AB74," ")</f>
        <v/>
      </c>
    </row>
    <row r="75" ht="15" customHeight="1" s="46">
      <c r="A75" s="103">
        <f>IFERROR(ROW()-5,"")</f>
        <v/>
      </c>
      <c r="B75" s="104" t="n"/>
      <c r="C75" s="104" t="n"/>
      <c r="D75" s="105" t="n"/>
      <c r="E75" s="105" t="n"/>
      <c r="F75" s="106" t="n"/>
      <c r="G75" s="103" t="n"/>
      <c r="H75" s="107" t="n"/>
      <c r="I75" s="107" t="n"/>
      <c r="J75" s="107" t="n"/>
      <c r="K75" s="108" t="n"/>
      <c r="L75" s="109">
        <f>IF($K75&gt;0,$K75/$H75," ")</f>
        <v/>
      </c>
      <c r="M75" s="110" t="n"/>
      <c r="N75" s="111">
        <f>IF($M75&gt;0,($M75-$U75)/365," ")</f>
        <v/>
      </c>
      <c r="O75" s="105" t="n"/>
      <c r="P75" s="105" t="n"/>
      <c r="Q75" s="105" t="n"/>
      <c r="R75" s="108" t="n"/>
      <c r="S75" s="108">
        <f>IF($R75&gt;0,IF($H75&gt;0,$R75/$H75," ")," ")</f>
        <v/>
      </c>
      <c r="T75" s="112">
        <f>IF($R75&gt;0,IF($K75&gt;0,$K75/$R75," ")," ")</f>
        <v/>
      </c>
      <c r="U75" s="110" t="n"/>
      <c r="V75" s="108" t="n"/>
      <c r="W75" s="112">
        <f>IF($V75&gt;0,IF($K75&gt;0,$K75/$V75," ")," ")</f>
        <v/>
      </c>
      <c r="X75" s="108" t="n"/>
      <c r="Y75" s="112">
        <f>IF($X75&gt;0,IF($K75&gt;0,$K75/$X75," ")," ")</f>
        <v/>
      </c>
      <c r="Z75" s="112">
        <f>IF(ISNUMBER($T75),IF(ISNUMBER($Y75),$T75-$Y75," ")," ")</f>
        <v/>
      </c>
      <c r="AA75" s="105">
        <f>IF($X75&gt;0,IF($V75&gt;0,IF($X75=$V75,"No","Yes")," ")," ")</f>
        <v/>
      </c>
      <c r="AB75" s="110" t="n"/>
      <c r="AC75" s="107">
        <f>IF($AB75&gt;0,$U75-$AB75," ")</f>
        <v/>
      </c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6" t="n"/>
      <c r="G76" s="93" t="n"/>
      <c r="H76" s="97" t="n"/>
      <c r="I76" s="97" t="n"/>
      <c r="J76" s="97" t="n"/>
      <c r="K76" s="98" t="n"/>
      <c r="L76" s="99">
        <f>IF($K76&gt;0,$K76/$H76," ")</f>
        <v/>
      </c>
      <c r="M76" s="100" t="n"/>
      <c r="N76" s="101">
        <f>IF($M76&gt;0,($M76-$U76)/365," ")</f>
        <v/>
      </c>
      <c r="O76" s="95" t="n"/>
      <c r="P76" s="95" t="n"/>
      <c r="Q76" s="95" t="n"/>
      <c r="R76" s="98" t="n"/>
      <c r="S76" s="98">
        <f>IF($R76&gt;0,IF($H76&gt;0,$R76/$H76," ")," ")</f>
        <v/>
      </c>
      <c r="T76" s="102">
        <f>IF($R76&gt;0,IF($K76&gt;0,$K76/$R76," ")," ")</f>
        <v/>
      </c>
      <c r="U76" s="100" t="n"/>
      <c r="V76" s="98" t="n"/>
      <c r="W76" s="102">
        <f>IF($V76&gt;0,IF($K76&gt;0,$K76/$V76," ")," ")</f>
        <v/>
      </c>
      <c r="X76" s="98" t="n"/>
      <c r="Y76" s="102">
        <f>IF($X76&gt;0,IF($K76&gt;0,$K76/$X76," ")," ")</f>
        <v/>
      </c>
      <c r="Z76" s="102">
        <f>IF(ISNUMBER($T76),IF(ISNUMBER($Y76),$T76-$Y76," ")," ")</f>
        <v/>
      </c>
      <c r="AA76" s="95">
        <f>IF($X76&gt;0,IF($V76&gt;0,IF($X76=$V76,"No","Yes")," ")," ")</f>
        <v/>
      </c>
      <c r="AB76" s="100" t="n"/>
      <c r="AC76" s="97">
        <f>IF($AB76&gt;0,$U76-$AB76," ")</f>
        <v/>
      </c>
    </row>
    <row r="77" ht="15" customHeight="1" s="46">
      <c r="A77" s="103">
        <f>IFERROR(ROW()-5,"")</f>
        <v/>
      </c>
      <c r="B77" s="104" t="n"/>
      <c r="C77" s="104" t="n"/>
      <c r="D77" s="105" t="n"/>
      <c r="E77" s="105" t="n"/>
      <c r="F77" s="106" t="n"/>
      <c r="G77" s="103" t="n"/>
      <c r="H77" s="107" t="n"/>
      <c r="I77" s="107" t="n"/>
      <c r="J77" s="107" t="n"/>
      <c r="K77" s="108" t="n"/>
      <c r="L77" s="109">
        <f>IF($K77&gt;0,$K77/$H77," ")</f>
        <v/>
      </c>
      <c r="M77" s="110" t="n"/>
      <c r="N77" s="111">
        <f>IF($M77&gt;0,($M77-$U77)/365," ")</f>
        <v/>
      </c>
      <c r="O77" s="105" t="n"/>
      <c r="P77" s="105" t="n"/>
      <c r="Q77" s="105" t="n"/>
      <c r="R77" s="108" t="n"/>
      <c r="S77" s="108">
        <f>IF($R77&gt;0,IF($H77&gt;0,$R77/$H77," ")," ")</f>
        <v/>
      </c>
      <c r="T77" s="112">
        <f>IF($R77&gt;0,IF($K77&gt;0,$K77/$R77," ")," ")</f>
        <v/>
      </c>
      <c r="U77" s="110" t="n"/>
      <c r="V77" s="108" t="n"/>
      <c r="W77" s="112">
        <f>IF($V77&gt;0,IF($K77&gt;0,$K77/$V77," ")," ")</f>
        <v/>
      </c>
      <c r="X77" s="108" t="n"/>
      <c r="Y77" s="112">
        <f>IF($X77&gt;0,IF($K77&gt;0,$K77/$X77," ")," ")</f>
        <v/>
      </c>
      <c r="Z77" s="112">
        <f>IF(ISNUMBER($T77),IF(ISNUMBER($Y77),$T77-$Y77," ")," ")</f>
        <v/>
      </c>
      <c r="AA77" s="105">
        <f>IF($X77&gt;0,IF($V77&gt;0,IF($X77=$V77,"No","Yes")," ")," ")</f>
        <v/>
      </c>
      <c r="AB77" s="110" t="n"/>
      <c r="AC77" s="107">
        <f>IF($AB77&gt;0,$U77-$AB77," ")</f>
        <v/>
      </c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6" t="n"/>
      <c r="G78" s="93" t="n"/>
      <c r="H78" s="97" t="n"/>
      <c r="I78" s="97" t="n"/>
      <c r="J78" s="97" t="n"/>
      <c r="K78" s="98" t="n"/>
      <c r="L78" s="99">
        <f>IF($K78&gt;0,$K78/$H78," ")</f>
        <v/>
      </c>
      <c r="M78" s="100" t="n"/>
      <c r="N78" s="101">
        <f>IF($M78&gt;0,($M78-$U78)/365," ")</f>
        <v/>
      </c>
      <c r="O78" s="95" t="n"/>
      <c r="P78" s="95" t="n"/>
      <c r="Q78" s="95" t="n"/>
      <c r="R78" s="98" t="n"/>
      <c r="S78" s="98">
        <f>IF($R78&gt;0,IF($H78&gt;0,$R78/$H78," ")," ")</f>
        <v/>
      </c>
      <c r="T78" s="102">
        <f>IF($R78&gt;0,IF($K78&gt;0,$K78/$R78," ")," ")</f>
        <v/>
      </c>
      <c r="U78" s="100" t="n"/>
      <c r="V78" s="98" t="n"/>
      <c r="W78" s="102">
        <f>IF($V78&gt;0,IF($K78&gt;0,$K78/$V78," ")," ")</f>
        <v/>
      </c>
      <c r="X78" s="98" t="n"/>
      <c r="Y78" s="102">
        <f>IF($X78&gt;0,IF($K78&gt;0,$K78/$X78," ")," ")</f>
        <v/>
      </c>
      <c r="Z78" s="102">
        <f>IF(ISNUMBER($T78),IF(ISNUMBER($Y78),$T78-$Y78," ")," ")</f>
        <v/>
      </c>
      <c r="AA78" s="95">
        <f>IF($X78&gt;0,IF($V78&gt;0,IF($X78=$V78,"No","Yes")," ")," ")</f>
        <v/>
      </c>
      <c r="AB78" s="100" t="n"/>
      <c r="AC78" s="97">
        <f>IF($AB78&gt;0,$U78-$AB78," ")</f>
        <v/>
      </c>
    </row>
    <row r="79" ht="15" customHeight="1" s="46">
      <c r="A79" s="103">
        <f>IFERROR(ROW()-5,"")</f>
        <v/>
      </c>
      <c r="B79" s="104" t="n"/>
      <c r="C79" s="104" t="n"/>
      <c r="D79" s="105" t="n"/>
      <c r="E79" s="105" t="n"/>
      <c r="F79" s="106" t="n"/>
      <c r="G79" s="103" t="n"/>
      <c r="H79" s="107" t="n"/>
      <c r="I79" s="107" t="n"/>
      <c r="J79" s="107" t="n"/>
      <c r="K79" s="108" t="n"/>
      <c r="L79" s="109">
        <f>IF($K79&gt;0,$K79/$H79," ")</f>
        <v/>
      </c>
      <c r="M79" s="110" t="n"/>
      <c r="N79" s="111">
        <f>IF($M79&gt;0,($M79-$U79)/365," ")</f>
        <v/>
      </c>
      <c r="O79" s="105" t="n"/>
      <c r="P79" s="105" t="n"/>
      <c r="Q79" s="105" t="n"/>
      <c r="R79" s="108" t="n"/>
      <c r="S79" s="108">
        <f>IF($R79&gt;0,IF($H79&gt;0,$R79/$H79," ")," ")</f>
        <v/>
      </c>
      <c r="T79" s="112">
        <f>IF($R79&gt;0,IF($K79&gt;0,$K79/$R79," ")," ")</f>
        <v/>
      </c>
      <c r="U79" s="110" t="n"/>
      <c r="V79" s="108" t="n"/>
      <c r="W79" s="112">
        <f>IF($V79&gt;0,IF($K79&gt;0,$K79/$V79," ")," ")</f>
        <v/>
      </c>
      <c r="X79" s="108" t="n"/>
      <c r="Y79" s="112">
        <f>IF($X79&gt;0,IF($K79&gt;0,$K79/$X79," ")," ")</f>
        <v/>
      </c>
      <c r="Z79" s="112">
        <f>IF(ISNUMBER($T79),IF(ISNUMBER($Y79),$T79-$Y79," ")," ")</f>
        <v/>
      </c>
      <c r="AA79" s="105">
        <f>IF($X79&gt;0,IF($V79&gt;0,IF($X79=$V79,"No","Yes")," ")," ")</f>
        <v/>
      </c>
      <c r="AB79" s="110" t="n"/>
      <c r="AC79" s="107">
        <f>IF($AB79&gt;0,$U79-$AB79," ")</f>
        <v/>
      </c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6" t="n"/>
      <c r="G80" s="93" t="n"/>
      <c r="H80" s="97" t="n"/>
      <c r="I80" s="97" t="n"/>
      <c r="J80" s="97" t="n"/>
      <c r="K80" s="98" t="n"/>
      <c r="L80" s="99">
        <f>IF($K80&gt;0,$K80/$H80," ")</f>
        <v/>
      </c>
      <c r="M80" s="100" t="n"/>
      <c r="N80" s="101">
        <f>IF($M80&gt;0,($M80-$U80)/365," ")</f>
        <v/>
      </c>
      <c r="O80" s="95" t="n"/>
      <c r="P80" s="95" t="n"/>
      <c r="Q80" s="95" t="n"/>
      <c r="R80" s="98" t="n"/>
      <c r="S80" s="98">
        <f>IF($R80&gt;0,IF($H80&gt;0,$R80/$H80," ")," ")</f>
        <v/>
      </c>
      <c r="T80" s="102">
        <f>IF($R80&gt;0,IF($K80&gt;0,$K80/$R80," ")," ")</f>
        <v/>
      </c>
      <c r="U80" s="100" t="n"/>
      <c r="V80" s="98" t="n"/>
      <c r="W80" s="102">
        <f>IF($V80&gt;0,IF($K80&gt;0,$K80/$V80," ")," ")</f>
        <v/>
      </c>
      <c r="X80" s="98" t="n"/>
      <c r="Y80" s="102">
        <f>IF($X80&gt;0,IF($K80&gt;0,$K80/$X80," ")," ")</f>
        <v/>
      </c>
      <c r="Z80" s="102">
        <f>IF(ISNUMBER($T80),IF(ISNUMBER($Y80),$T80-$Y80," ")," ")</f>
        <v/>
      </c>
      <c r="AA80" s="95">
        <f>IF($X80&gt;0,IF($V80&gt;0,IF($X80=$V80,"No","Yes")," ")," ")</f>
        <v/>
      </c>
      <c r="AB80" s="100" t="n"/>
      <c r="AC80" s="97">
        <f>IF($AB80&gt;0,$U80-$AB80," ")</f>
        <v/>
      </c>
    </row>
    <row r="81" ht="15" customHeight="1" s="46">
      <c r="A81" s="103">
        <f>IFERROR(ROW()-5,"")</f>
        <v/>
      </c>
      <c r="B81" s="104" t="n"/>
      <c r="C81" s="104" t="n"/>
      <c r="D81" s="105" t="n"/>
      <c r="E81" s="105" t="n"/>
      <c r="F81" s="106" t="n"/>
      <c r="G81" s="103" t="n"/>
      <c r="H81" s="107" t="n"/>
      <c r="I81" s="107" t="n"/>
      <c r="J81" s="107" t="n"/>
      <c r="K81" s="108" t="n"/>
      <c r="L81" s="109">
        <f>IF($K81&gt;0,$K81/$H81," ")</f>
        <v/>
      </c>
      <c r="M81" s="110" t="n"/>
      <c r="N81" s="111">
        <f>IF($M81&gt;0,($M81-$U81)/365," ")</f>
        <v/>
      </c>
      <c r="O81" s="105" t="n"/>
      <c r="P81" s="105" t="n"/>
      <c r="Q81" s="105" t="n"/>
      <c r="R81" s="108" t="n"/>
      <c r="S81" s="108">
        <f>IF($R81&gt;0,IF($H81&gt;0,$R81/$H81," ")," ")</f>
        <v/>
      </c>
      <c r="T81" s="112">
        <f>IF($R81&gt;0,IF($K81&gt;0,$K81/$R81," ")," ")</f>
        <v/>
      </c>
      <c r="U81" s="110" t="n"/>
      <c r="V81" s="108" t="n"/>
      <c r="W81" s="112">
        <f>IF($V81&gt;0,IF($K81&gt;0,$K81/$V81," ")," ")</f>
        <v/>
      </c>
      <c r="X81" s="108" t="n"/>
      <c r="Y81" s="112">
        <f>IF($X81&gt;0,IF($K81&gt;0,$K81/$X81," ")," ")</f>
        <v/>
      </c>
      <c r="Z81" s="112">
        <f>IF(ISNUMBER($T81),IF(ISNUMBER($Y81),$T81-$Y81," ")," ")</f>
        <v/>
      </c>
      <c r="AA81" s="105">
        <f>IF($X81&gt;0,IF($V81&gt;0,IF($X81=$V81,"No","Yes")," ")," ")</f>
        <v/>
      </c>
      <c r="AB81" s="110" t="n"/>
      <c r="AC81" s="107">
        <f>IF($AB81&gt;0,$U81-$AB81," ")</f>
        <v/>
      </c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6" t="n"/>
      <c r="G82" s="93" t="n"/>
      <c r="H82" s="97" t="n"/>
      <c r="I82" s="97" t="n"/>
      <c r="J82" s="97" t="n"/>
      <c r="K82" s="98" t="n"/>
      <c r="L82" s="99">
        <f>IF($K82&gt;0,$K82/$H82," ")</f>
        <v/>
      </c>
      <c r="M82" s="100" t="n"/>
      <c r="N82" s="101">
        <f>IF($M82&gt;0,($M82-$U82)/365," ")</f>
        <v/>
      </c>
      <c r="O82" s="95" t="n"/>
      <c r="P82" s="95" t="n"/>
      <c r="Q82" s="95" t="n"/>
      <c r="R82" s="98" t="n"/>
      <c r="S82" s="98">
        <f>IF($R82&gt;0,IF($H82&gt;0,$R82/$H82," ")," ")</f>
        <v/>
      </c>
      <c r="T82" s="102">
        <f>IF($R82&gt;0,IF($K82&gt;0,$K82/$R82," ")," ")</f>
        <v/>
      </c>
      <c r="U82" s="100" t="n"/>
      <c r="V82" s="98" t="n"/>
      <c r="W82" s="102">
        <f>IF($V82&gt;0,IF($K82&gt;0,$K82/$V82," ")," ")</f>
        <v/>
      </c>
      <c r="X82" s="98" t="n"/>
      <c r="Y82" s="102">
        <f>IF($X82&gt;0,IF($K82&gt;0,$K82/$X82," ")," ")</f>
        <v/>
      </c>
      <c r="Z82" s="102">
        <f>IF(ISNUMBER($T82),IF(ISNUMBER($Y82),$T82-$Y82," ")," ")</f>
        <v/>
      </c>
      <c r="AA82" s="95">
        <f>IF($X82&gt;0,IF($V82&gt;0,IF($X82=$V82,"No","Yes")," ")," ")</f>
        <v/>
      </c>
      <c r="AB82" s="100" t="n"/>
      <c r="AC82" s="97">
        <f>IF($AB82&gt;0,$U82-$AB82," ")</f>
        <v/>
      </c>
    </row>
    <row r="83" ht="15" customHeight="1" s="46">
      <c r="A83" s="103">
        <f>IFERROR(ROW()-5,"")</f>
        <v/>
      </c>
      <c r="B83" s="104" t="n"/>
      <c r="C83" s="104" t="n"/>
      <c r="D83" s="105" t="n"/>
      <c r="E83" s="105" t="n"/>
      <c r="F83" s="106" t="n"/>
      <c r="G83" s="103" t="n"/>
      <c r="H83" s="107" t="n"/>
      <c r="I83" s="107" t="n"/>
      <c r="J83" s="107" t="n"/>
      <c r="K83" s="108" t="n"/>
      <c r="L83" s="109">
        <f>IF($K83&gt;0,$K83/$H83," ")</f>
        <v/>
      </c>
      <c r="M83" s="110" t="n"/>
      <c r="N83" s="111">
        <f>IF($M83&gt;0,($M83-$U83)/365," ")</f>
        <v/>
      </c>
      <c r="O83" s="105" t="n"/>
      <c r="P83" s="105" t="n"/>
      <c r="Q83" s="105" t="n"/>
      <c r="R83" s="108" t="n"/>
      <c r="S83" s="108">
        <f>IF($R83&gt;0,IF($H83&gt;0,$R83/$H83," ")," ")</f>
        <v/>
      </c>
      <c r="T83" s="112">
        <f>IF($R83&gt;0,IF($K83&gt;0,$K83/$R83," ")," ")</f>
        <v/>
      </c>
      <c r="U83" s="110" t="n"/>
      <c r="V83" s="108" t="n"/>
      <c r="W83" s="112">
        <f>IF($V83&gt;0,IF($K83&gt;0,$K83/$V83," ")," ")</f>
        <v/>
      </c>
      <c r="X83" s="108" t="n"/>
      <c r="Y83" s="112">
        <f>IF($X83&gt;0,IF($K83&gt;0,$K83/$X83," ")," ")</f>
        <v/>
      </c>
      <c r="Z83" s="112">
        <f>IF(ISNUMBER($T83),IF(ISNUMBER($Y83),$T83-$Y83," ")," ")</f>
        <v/>
      </c>
      <c r="AA83" s="105">
        <f>IF($X83&gt;0,IF($V83&gt;0,IF($X83=$V83,"No","Yes")," ")," ")</f>
        <v/>
      </c>
      <c r="AB83" s="110" t="n"/>
      <c r="AC83" s="107">
        <f>IF($AB83&gt;0,$U83-$AB83," ")</f>
        <v/>
      </c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6" t="n"/>
      <c r="G84" s="93" t="n"/>
      <c r="H84" s="97" t="n"/>
      <c r="I84" s="97" t="n"/>
      <c r="J84" s="97" t="n"/>
      <c r="K84" s="98" t="n"/>
      <c r="L84" s="99">
        <f>IF($K84&gt;0,$K84/$H84," ")</f>
        <v/>
      </c>
      <c r="M84" s="100" t="n"/>
      <c r="N84" s="101">
        <f>IF($M84&gt;0,($M84-$U84)/365," ")</f>
        <v/>
      </c>
      <c r="O84" s="95" t="n"/>
      <c r="P84" s="95" t="n"/>
      <c r="Q84" s="95" t="n"/>
      <c r="R84" s="98" t="n"/>
      <c r="S84" s="98">
        <f>IF($R84&gt;0,IF($H84&gt;0,$R84/$H84," ")," ")</f>
        <v/>
      </c>
      <c r="T84" s="102">
        <f>IF($R84&gt;0,IF($K84&gt;0,$K84/$R84," ")," ")</f>
        <v/>
      </c>
      <c r="U84" s="100" t="n"/>
      <c r="V84" s="98" t="n"/>
      <c r="W84" s="102">
        <f>IF($V84&gt;0,IF($K84&gt;0,$K84/$V84," ")," ")</f>
        <v/>
      </c>
      <c r="X84" s="98" t="n"/>
      <c r="Y84" s="102">
        <f>IF($X84&gt;0,IF($K84&gt;0,$K84/$X84," ")," ")</f>
        <v/>
      </c>
      <c r="Z84" s="102">
        <f>IF(ISNUMBER($T84),IF(ISNUMBER($Y84),$T84-$Y84," ")," ")</f>
        <v/>
      </c>
      <c r="AA84" s="95">
        <f>IF($X84&gt;0,IF($V84&gt;0,IF($X84=$V84,"No","Yes")," ")," ")</f>
        <v/>
      </c>
      <c r="AB84" s="100" t="n"/>
      <c r="AC84" s="97">
        <f>IF($AB84&gt;0,$U84-$AB84," ")</f>
        <v/>
      </c>
    </row>
    <row r="85" ht="15" customHeight="1" s="46">
      <c r="A85" s="103">
        <f>IFERROR(ROW()-5,"")</f>
        <v/>
      </c>
      <c r="B85" s="104" t="n"/>
      <c r="C85" s="104" t="n"/>
      <c r="D85" s="105" t="n"/>
      <c r="E85" s="105" t="n"/>
      <c r="F85" s="106" t="n"/>
      <c r="G85" s="103" t="n"/>
      <c r="H85" s="107" t="n"/>
      <c r="I85" s="107" t="n"/>
      <c r="J85" s="107" t="n"/>
      <c r="K85" s="108" t="n"/>
      <c r="L85" s="109">
        <f>IF($K85&gt;0,$K85/$H85," ")</f>
        <v/>
      </c>
      <c r="M85" s="110" t="n"/>
      <c r="N85" s="111">
        <f>IF($M85&gt;0,($M85-$U85)/365," ")</f>
        <v/>
      </c>
      <c r="O85" s="105" t="n"/>
      <c r="P85" s="105" t="n"/>
      <c r="Q85" s="105" t="n"/>
      <c r="R85" s="108" t="n"/>
      <c r="S85" s="108">
        <f>IF($R85&gt;0,IF($H85&gt;0,$R85/$H85," ")," ")</f>
        <v/>
      </c>
      <c r="T85" s="112">
        <f>IF($R85&gt;0,IF($K85&gt;0,$K85/$R85," ")," ")</f>
        <v/>
      </c>
      <c r="U85" s="110" t="n"/>
      <c r="V85" s="108" t="n"/>
      <c r="W85" s="112">
        <f>IF($V85&gt;0,IF($K85&gt;0,$K85/$V85," ")," ")</f>
        <v/>
      </c>
      <c r="X85" s="108" t="n"/>
      <c r="Y85" s="112">
        <f>IF($X85&gt;0,IF($K85&gt;0,$K85/$X85," ")," ")</f>
        <v/>
      </c>
      <c r="Z85" s="112">
        <f>IF(ISNUMBER($T85),IF(ISNUMBER($Y85),$T85-$Y85," ")," ")</f>
        <v/>
      </c>
      <c r="AA85" s="105">
        <f>IF($X85&gt;0,IF($V85&gt;0,IF($X85=$V85,"No","Yes")," ")," ")</f>
        <v/>
      </c>
      <c r="AB85" s="110" t="n"/>
      <c r="AC85" s="107">
        <f>IF($AB85&gt;0,$U85-$AB85," ")</f>
        <v/>
      </c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6" t="n"/>
      <c r="G86" s="93" t="n"/>
      <c r="H86" s="97" t="n"/>
      <c r="I86" s="97" t="n"/>
      <c r="J86" s="97" t="n"/>
      <c r="K86" s="98" t="n"/>
      <c r="L86" s="99">
        <f>IF($K86&gt;0,$K86/$H86," ")</f>
        <v/>
      </c>
      <c r="M86" s="100" t="n"/>
      <c r="N86" s="101">
        <f>IF($M86&gt;0,($M86-$U86)/365," ")</f>
        <v/>
      </c>
      <c r="O86" s="95" t="n"/>
      <c r="P86" s="95" t="n"/>
      <c r="Q86" s="95" t="n"/>
      <c r="R86" s="98" t="n"/>
      <c r="S86" s="98">
        <f>IF($R86&gt;0,IF($H86&gt;0,$R86/$H86," ")," ")</f>
        <v/>
      </c>
      <c r="T86" s="102">
        <f>IF($R86&gt;0,IF($K86&gt;0,$K86/$R86," ")," ")</f>
        <v/>
      </c>
      <c r="U86" s="100" t="n"/>
      <c r="V86" s="98" t="n"/>
      <c r="W86" s="102">
        <f>IF($V86&gt;0,IF($K86&gt;0,$K86/$V86," ")," ")</f>
        <v/>
      </c>
      <c r="X86" s="98" t="n"/>
      <c r="Y86" s="102">
        <f>IF($X86&gt;0,IF($K86&gt;0,$K86/$X86," ")," ")</f>
        <v/>
      </c>
      <c r="Z86" s="102">
        <f>IF(ISNUMBER($T86),IF(ISNUMBER($Y86),$T86-$Y86," ")," ")</f>
        <v/>
      </c>
      <c r="AA86" s="95">
        <f>IF($X86&gt;0,IF($V86&gt;0,IF($X86=$V86,"No","Yes")," ")," ")</f>
        <v/>
      </c>
      <c r="AB86" s="100" t="n"/>
      <c r="AC86" s="97">
        <f>IF($AB86&gt;0,$U86-$AB86," ")</f>
        <v/>
      </c>
    </row>
    <row r="87" ht="15" customHeight="1" s="46">
      <c r="A87" s="103">
        <f>IFERROR(ROW()-5,"")</f>
        <v/>
      </c>
      <c r="B87" s="104" t="n"/>
      <c r="C87" s="104" t="n"/>
      <c r="D87" s="105" t="n"/>
      <c r="E87" s="105" t="n"/>
      <c r="F87" s="106" t="n"/>
      <c r="G87" s="103" t="n"/>
      <c r="H87" s="107" t="n"/>
      <c r="I87" s="107" t="n"/>
      <c r="J87" s="107" t="n"/>
      <c r="K87" s="108" t="n"/>
      <c r="L87" s="109">
        <f>IF($K87&gt;0,$K87/$H87," ")</f>
        <v/>
      </c>
      <c r="M87" s="110" t="n"/>
      <c r="N87" s="111">
        <f>IF($M87&gt;0,($M87-$U87)/365," ")</f>
        <v/>
      </c>
      <c r="O87" s="105" t="n"/>
      <c r="P87" s="105" t="n"/>
      <c r="Q87" s="105" t="n"/>
      <c r="R87" s="108" t="n"/>
      <c r="S87" s="108">
        <f>IF($R87&gt;0,IF($H87&gt;0,$R87/$H87," ")," ")</f>
        <v/>
      </c>
      <c r="T87" s="112">
        <f>IF($R87&gt;0,IF($K87&gt;0,$K87/$R87," ")," ")</f>
        <v/>
      </c>
      <c r="U87" s="110" t="n"/>
      <c r="V87" s="108" t="n"/>
      <c r="W87" s="112">
        <f>IF($V87&gt;0,IF($K87&gt;0,$K87/$V87," ")," ")</f>
        <v/>
      </c>
      <c r="X87" s="108" t="n"/>
      <c r="Y87" s="112">
        <f>IF($X87&gt;0,IF($K87&gt;0,$K87/$X87," ")," ")</f>
        <v/>
      </c>
      <c r="Z87" s="112">
        <f>IF(ISNUMBER($T87),IF(ISNUMBER($Y87),$T87-$Y87," ")," ")</f>
        <v/>
      </c>
      <c r="AA87" s="105">
        <f>IF($X87&gt;0,IF($V87&gt;0,IF($X87=$V87,"No","Yes")," ")," ")</f>
        <v/>
      </c>
      <c r="AB87" s="110" t="n"/>
      <c r="AC87" s="107">
        <f>IF($AB87&gt;0,$U87-$AB87," ")</f>
        <v/>
      </c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6" t="n"/>
      <c r="G88" s="93" t="n"/>
      <c r="H88" s="97" t="n"/>
      <c r="I88" s="97" t="n"/>
      <c r="J88" s="97" t="n"/>
      <c r="K88" s="98" t="n"/>
      <c r="L88" s="99">
        <f>IF($K88&gt;0,$K88/$H88," ")</f>
        <v/>
      </c>
      <c r="M88" s="100" t="n"/>
      <c r="N88" s="101">
        <f>IF($M88&gt;0,($M88-$U88)/365," ")</f>
        <v/>
      </c>
      <c r="O88" s="95" t="n"/>
      <c r="P88" s="95" t="n"/>
      <c r="Q88" s="95" t="n"/>
      <c r="R88" s="98" t="n"/>
      <c r="S88" s="98">
        <f>IF($R88&gt;0,IF($H88&gt;0,$R88/$H88," ")," ")</f>
        <v/>
      </c>
      <c r="T88" s="102">
        <f>IF($R88&gt;0,IF($K88&gt;0,$K88/$R88," ")," ")</f>
        <v/>
      </c>
      <c r="U88" s="100" t="n"/>
      <c r="V88" s="98" t="n"/>
      <c r="W88" s="102">
        <f>IF($V88&gt;0,IF($K88&gt;0,$K88/$V88," ")," ")</f>
        <v/>
      </c>
      <c r="X88" s="98" t="n"/>
      <c r="Y88" s="102">
        <f>IF($X88&gt;0,IF($K88&gt;0,$K88/$X88," ")," ")</f>
        <v/>
      </c>
      <c r="Z88" s="102">
        <f>IF(ISNUMBER($T88),IF(ISNUMBER($Y88),$T88-$Y88," ")," ")</f>
        <v/>
      </c>
      <c r="AA88" s="95">
        <f>IF($X88&gt;0,IF($V88&gt;0,IF($X88=$V88,"No","Yes")," ")," ")</f>
        <v/>
      </c>
      <c r="AB88" s="100" t="n"/>
      <c r="AC88" s="97">
        <f>IF($AB88&gt;0,$U88-$AB88," ")</f>
        <v/>
      </c>
    </row>
    <row r="89" ht="15" customHeight="1" s="46">
      <c r="A89" s="103">
        <f>IFERROR(ROW()-5,"")</f>
        <v/>
      </c>
      <c r="B89" s="104" t="n"/>
      <c r="C89" s="104" t="n"/>
      <c r="D89" s="105" t="n"/>
      <c r="E89" s="105" t="n"/>
      <c r="F89" s="106" t="n"/>
      <c r="G89" s="103" t="n"/>
      <c r="H89" s="107" t="n"/>
      <c r="I89" s="107" t="n"/>
      <c r="J89" s="107" t="n"/>
      <c r="K89" s="108" t="n"/>
      <c r="L89" s="109">
        <f>IF($K89&gt;0,$K89/$H89," ")</f>
        <v/>
      </c>
      <c r="M89" s="110" t="n"/>
      <c r="N89" s="111">
        <f>IF($M89&gt;0,($M89-$U89)/365," ")</f>
        <v/>
      </c>
      <c r="O89" s="105" t="n"/>
      <c r="P89" s="105" t="n"/>
      <c r="Q89" s="105" t="n"/>
      <c r="R89" s="108" t="n"/>
      <c r="S89" s="108">
        <f>IF($R89&gt;0,IF($H89&gt;0,$R89/$H89," ")," ")</f>
        <v/>
      </c>
      <c r="T89" s="112">
        <f>IF($R89&gt;0,IF($K89&gt;0,$K89/$R89," ")," ")</f>
        <v/>
      </c>
      <c r="U89" s="110" t="n"/>
      <c r="V89" s="108" t="n"/>
      <c r="W89" s="112">
        <f>IF($V89&gt;0,IF($K89&gt;0,$K89/$V89," ")," ")</f>
        <v/>
      </c>
      <c r="X89" s="108" t="n"/>
      <c r="Y89" s="112">
        <f>IF($X89&gt;0,IF($K89&gt;0,$K89/$X89," ")," ")</f>
        <v/>
      </c>
      <c r="Z89" s="112">
        <f>IF(ISNUMBER($T89),IF(ISNUMBER($Y89),$T89-$Y89," ")," ")</f>
        <v/>
      </c>
      <c r="AA89" s="105">
        <f>IF($X89&gt;0,IF($V89&gt;0,IF($X89=$V89,"No","Yes")," ")," ")</f>
        <v/>
      </c>
      <c r="AB89" s="110" t="n"/>
      <c r="AC89" s="107">
        <f>IF($AB89&gt;0,$U89-$AB89," ")</f>
        <v/>
      </c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6" t="n"/>
      <c r="G90" s="93" t="n"/>
      <c r="H90" s="97" t="n"/>
      <c r="I90" s="97" t="n"/>
      <c r="J90" s="97" t="n"/>
      <c r="K90" s="98" t="n"/>
      <c r="L90" s="99">
        <f>IF($K90&gt;0,$K90/$H90," ")</f>
        <v/>
      </c>
      <c r="M90" s="100" t="n"/>
      <c r="N90" s="101">
        <f>IF($M90&gt;0,($M90-$U90)/365," ")</f>
        <v/>
      </c>
      <c r="O90" s="95" t="n"/>
      <c r="P90" s="95" t="n"/>
      <c r="Q90" s="95" t="n"/>
      <c r="R90" s="98" t="n"/>
      <c r="S90" s="98">
        <f>IF($R90&gt;0,IF($H90&gt;0,$R90/$H90," ")," ")</f>
        <v/>
      </c>
      <c r="T90" s="102">
        <f>IF($R90&gt;0,IF($K90&gt;0,$K90/$R90," ")," ")</f>
        <v/>
      </c>
      <c r="U90" s="100" t="n"/>
      <c r="V90" s="98" t="n"/>
      <c r="W90" s="102">
        <f>IF($V90&gt;0,IF($K90&gt;0,$K90/$V90," ")," ")</f>
        <v/>
      </c>
      <c r="X90" s="98" t="n"/>
      <c r="Y90" s="102">
        <f>IF($X90&gt;0,IF($K90&gt;0,$K90/$X90," ")," ")</f>
        <v/>
      </c>
      <c r="Z90" s="102">
        <f>IF(ISNUMBER($T90),IF(ISNUMBER($Y90),$T90-$Y90," ")," ")</f>
        <v/>
      </c>
      <c r="AA90" s="95">
        <f>IF($X90&gt;0,IF($V90&gt;0,IF($X90=$V90,"No","Yes")," ")," ")</f>
        <v/>
      </c>
      <c r="AB90" s="100" t="n"/>
      <c r="AC90" s="97">
        <f>IF($AB90&gt;0,$U90-$AB90," ")</f>
        <v/>
      </c>
    </row>
    <row r="91" ht="15" customHeight="1" s="46">
      <c r="A91" s="103">
        <f>IFERROR(ROW()-5,"")</f>
        <v/>
      </c>
      <c r="B91" s="104" t="n"/>
      <c r="C91" s="104" t="n"/>
      <c r="D91" s="105" t="n"/>
      <c r="E91" s="105" t="n"/>
      <c r="F91" s="106" t="n"/>
      <c r="G91" s="103" t="n"/>
      <c r="H91" s="107" t="n"/>
      <c r="I91" s="107" t="n"/>
      <c r="J91" s="107" t="n"/>
      <c r="K91" s="108" t="n"/>
      <c r="L91" s="109">
        <f>IF($K91&gt;0,$K91/$H91," ")</f>
        <v/>
      </c>
      <c r="M91" s="110" t="n"/>
      <c r="N91" s="111">
        <f>IF($M91&gt;0,($M91-$U91)/365," ")</f>
        <v/>
      </c>
      <c r="O91" s="105" t="n"/>
      <c r="P91" s="105" t="n"/>
      <c r="Q91" s="105" t="n"/>
      <c r="R91" s="108" t="n"/>
      <c r="S91" s="108">
        <f>IF($R91&gt;0,IF($H91&gt;0,$R91/$H91," ")," ")</f>
        <v/>
      </c>
      <c r="T91" s="112">
        <f>IF($R91&gt;0,IF($K91&gt;0,$K91/$R91," ")," ")</f>
        <v/>
      </c>
      <c r="U91" s="110" t="n"/>
      <c r="V91" s="108" t="n"/>
      <c r="W91" s="112">
        <f>IF($V91&gt;0,IF($K91&gt;0,$K91/$V91," ")," ")</f>
        <v/>
      </c>
      <c r="X91" s="108" t="n"/>
      <c r="Y91" s="112">
        <f>IF($X91&gt;0,IF($K91&gt;0,$K91/$X91," ")," ")</f>
        <v/>
      </c>
      <c r="Z91" s="112">
        <f>IF(ISNUMBER($T91),IF(ISNUMBER($Y91),$T91-$Y91," ")," ")</f>
        <v/>
      </c>
      <c r="AA91" s="105">
        <f>IF($X91&gt;0,IF($V91&gt;0,IF($X91=$V91,"No","Yes")," ")," ")</f>
        <v/>
      </c>
      <c r="AB91" s="110" t="n"/>
      <c r="AC91" s="107">
        <f>IF($AB91&gt;0,$U91-$AB91," ")</f>
        <v/>
      </c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6" t="n"/>
      <c r="G92" s="93" t="n"/>
      <c r="H92" s="97" t="n"/>
      <c r="I92" s="97" t="n"/>
      <c r="J92" s="97" t="n"/>
      <c r="K92" s="98" t="n"/>
      <c r="L92" s="99">
        <f>IF($K92&gt;0,$K92/$H92," ")</f>
        <v/>
      </c>
      <c r="M92" s="100" t="n"/>
      <c r="N92" s="101">
        <f>IF($M92&gt;0,($M92-$U92)/365," ")</f>
        <v/>
      </c>
      <c r="O92" s="95" t="n"/>
      <c r="P92" s="95" t="n"/>
      <c r="Q92" s="95" t="n"/>
      <c r="R92" s="98" t="n"/>
      <c r="S92" s="98">
        <f>IF($R92&gt;0,IF($H92&gt;0,$R92/$H92," ")," ")</f>
        <v/>
      </c>
      <c r="T92" s="102">
        <f>IF($R92&gt;0,IF($K92&gt;0,$K92/$R92," ")," ")</f>
        <v/>
      </c>
      <c r="U92" s="100" t="n"/>
      <c r="V92" s="98" t="n"/>
      <c r="W92" s="102">
        <f>IF($V92&gt;0,IF($K92&gt;0,$K92/$V92," ")," ")</f>
        <v/>
      </c>
      <c r="X92" s="98" t="n"/>
      <c r="Y92" s="102">
        <f>IF($X92&gt;0,IF($K92&gt;0,$K92/$X92," ")," ")</f>
        <v/>
      </c>
      <c r="Z92" s="102">
        <f>IF(ISNUMBER($T92),IF(ISNUMBER($Y92),$T92-$Y92," ")," ")</f>
        <v/>
      </c>
      <c r="AA92" s="95">
        <f>IF($X92&gt;0,IF($V92&gt;0,IF($X92=$V92,"No","Yes")," ")," ")</f>
        <v/>
      </c>
      <c r="AB92" s="100" t="n"/>
      <c r="AC92" s="97">
        <f>IF($AB92&gt;0,$U92-$AB92," ")</f>
        <v/>
      </c>
    </row>
    <row r="93" ht="15" customHeight="1" s="46">
      <c r="A93" s="103">
        <f>IFERROR(ROW()-5,"")</f>
        <v/>
      </c>
      <c r="B93" s="104" t="n"/>
      <c r="C93" s="104" t="n"/>
      <c r="D93" s="105" t="n"/>
      <c r="E93" s="105" t="n"/>
      <c r="F93" s="106" t="n"/>
      <c r="G93" s="103" t="n"/>
      <c r="H93" s="107" t="n"/>
      <c r="I93" s="107" t="n"/>
      <c r="J93" s="107" t="n"/>
      <c r="K93" s="108" t="n"/>
      <c r="L93" s="109">
        <f>IF($K93&gt;0,$K93/$H93," ")</f>
        <v/>
      </c>
      <c r="M93" s="110" t="n"/>
      <c r="N93" s="111">
        <f>IF($M93&gt;0,($M93-$U93)/365," ")</f>
        <v/>
      </c>
      <c r="O93" s="105" t="n"/>
      <c r="P93" s="105" t="n"/>
      <c r="Q93" s="105" t="n"/>
      <c r="R93" s="108" t="n"/>
      <c r="S93" s="108">
        <f>IF($R93&gt;0,IF($H93&gt;0,$R93/$H93," ")," ")</f>
        <v/>
      </c>
      <c r="T93" s="112">
        <f>IF($R93&gt;0,IF($K93&gt;0,$K93/$R93," ")," ")</f>
        <v/>
      </c>
      <c r="U93" s="110" t="n"/>
      <c r="V93" s="108" t="n"/>
      <c r="W93" s="112">
        <f>IF($V93&gt;0,IF($K93&gt;0,$K93/$V93," ")," ")</f>
        <v/>
      </c>
      <c r="X93" s="108" t="n"/>
      <c r="Y93" s="112">
        <f>IF($X93&gt;0,IF($K93&gt;0,$K93/$X93," ")," ")</f>
        <v/>
      </c>
      <c r="Z93" s="112">
        <f>IF(ISNUMBER($T93),IF(ISNUMBER($Y93),$T93-$Y93," ")," ")</f>
        <v/>
      </c>
      <c r="AA93" s="105">
        <f>IF($X93&gt;0,IF($V93&gt;0,IF($X93=$V93,"No","Yes")," ")," ")</f>
        <v/>
      </c>
      <c r="AB93" s="110" t="n"/>
      <c r="AC93" s="107">
        <f>IF($AB93&gt;0,$U93-$AB93," ")</f>
        <v/>
      </c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6" t="n"/>
      <c r="G94" s="93" t="n"/>
      <c r="H94" s="97" t="n"/>
      <c r="I94" s="97" t="n"/>
      <c r="J94" s="97" t="n"/>
      <c r="K94" s="98" t="n"/>
      <c r="L94" s="99">
        <f>IF($K94&gt;0,$K94/$H94," ")</f>
        <v/>
      </c>
      <c r="M94" s="100" t="n"/>
      <c r="N94" s="101">
        <f>IF($M94&gt;0,($M94-$U94)/365," ")</f>
        <v/>
      </c>
      <c r="O94" s="95" t="n"/>
      <c r="P94" s="95" t="n"/>
      <c r="Q94" s="95" t="n"/>
      <c r="R94" s="98" t="n"/>
      <c r="S94" s="98">
        <f>IF($R94&gt;0,IF($H94&gt;0,$R94/$H94," ")," ")</f>
        <v/>
      </c>
      <c r="T94" s="102">
        <f>IF($R94&gt;0,IF($K94&gt;0,$K94/$R94," ")," ")</f>
        <v/>
      </c>
      <c r="U94" s="100" t="n"/>
      <c r="V94" s="98" t="n"/>
      <c r="W94" s="102">
        <f>IF($V94&gt;0,IF($K94&gt;0,$K94/$V94," ")," ")</f>
        <v/>
      </c>
      <c r="X94" s="98" t="n"/>
      <c r="Y94" s="102">
        <f>IF($X94&gt;0,IF($K94&gt;0,$K94/$X94," ")," ")</f>
        <v/>
      </c>
      <c r="Z94" s="102">
        <f>IF(ISNUMBER($T94),IF(ISNUMBER($Y94),$T94-$Y94," ")," ")</f>
        <v/>
      </c>
      <c r="AA94" s="95">
        <f>IF($X94&gt;0,IF($V94&gt;0,IF($X94=$V94,"No","Yes")," ")," ")</f>
        <v/>
      </c>
      <c r="AB94" s="100" t="n"/>
      <c r="AC94" s="97">
        <f>IF($AB94&gt;0,$U94-$AB94," ")</f>
        <v/>
      </c>
    </row>
    <row r="95" ht="15" customHeight="1" s="46">
      <c r="A95" s="103">
        <f>IFERROR(ROW()-5,"")</f>
        <v/>
      </c>
      <c r="B95" s="104" t="n"/>
      <c r="C95" s="104" t="n"/>
      <c r="D95" s="105" t="n"/>
      <c r="E95" s="105" t="n"/>
      <c r="F95" s="106" t="n"/>
      <c r="G95" s="103" t="n"/>
      <c r="H95" s="107" t="n"/>
      <c r="I95" s="107" t="n"/>
      <c r="J95" s="107" t="n"/>
      <c r="K95" s="108" t="n"/>
      <c r="L95" s="109">
        <f>IF($K95&gt;0,$K95/$H95," ")</f>
        <v/>
      </c>
      <c r="M95" s="110" t="n"/>
      <c r="N95" s="111">
        <f>IF($M95&gt;0,($M95-$U95)/365," ")</f>
        <v/>
      </c>
      <c r="O95" s="105" t="n"/>
      <c r="P95" s="105" t="n"/>
      <c r="Q95" s="105" t="n"/>
      <c r="R95" s="108" t="n"/>
      <c r="S95" s="108">
        <f>IF($R95&gt;0,IF($H95&gt;0,$R95/$H95," ")," ")</f>
        <v/>
      </c>
      <c r="T95" s="112">
        <f>IF($R95&gt;0,IF($K95&gt;0,$K95/$R95," ")," ")</f>
        <v/>
      </c>
      <c r="U95" s="110" t="n"/>
      <c r="V95" s="108" t="n"/>
      <c r="W95" s="112">
        <f>IF($V95&gt;0,IF($K95&gt;0,$K95/$V95," ")," ")</f>
        <v/>
      </c>
      <c r="X95" s="108" t="n"/>
      <c r="Y95" s="112">
        <f>IF($X95&gt;0,IF($K95&gt;0,$K95/$X95," ")," ")</f>
        <v/>
      </c>
      <c r="Z95" s="112">
        <f>IF(ISNUMBER($T95),IF(ISNUMBER($Y95),$T95-$Y95," ")," ")</f>
        <v/>
      </c>
      <c r="AA95" s="105">
        <f>IF($X95&gt;0,IF($V95&gt;0,IF($X95=$V95,"No","Yes")," ")," ")</f>
        <v/>
      </c>
      <c r="AB95" s="110" t="n"/>
      <c r="AC95" s="107">
        <f>IF($AB95&gt;0,$U95-$AB95," ")</f>
        <v/>
      </c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6" t="n"/>
      <c r="G96" s="93" t="n"/>
      <c r="H96" s="97" t="n"/>
      <c r="I96" s="97" t="n"/>
      <c r="J96" s="97" t="n"/>
      <c r="K96" s="98" t="n"/>
      <c r="L96" s="99">
        <f>IF($K96&gt;0,$K96/$H96," ")</f>
        <v/>
      </c>
      <c r="M96" s="100" t="n"/>
      <c r="N96" s="101">
        <f>IF($M96&gt;0,($M96-$U96)/365," ")</f>
        <v/>
      </c>
      <c r="O96" s="95" t="n"/>
      <c r="P96" s="95" t="n"/>
      <c r="Q96" s="95" t="n"/>
      <c r="R96" s="98" t="n"/>
      <c r="S96" s="98">
        <f>IF($R96&gt;0,IF($H96&gt;0,$R96/$H96," ")," ")</f>
        <v/>
      </c>
      <c r="T96" s="102">
        <f>IF($R96&gt;0,IF($K96&gt;0,$K96/$R96," ")," ")</f>
        <v/>
      </c>
      <c r="U96" s="100" t="n"/>
      <c r="V96" s="98" t="n"/>
      <c r="W96" s="102">
        <f>IF($V96&gt;0,IF($K96&gt;0,$K96/$V96," ")," ")</f>
        <v/>
      </c>
      <c r="X96" s="98" t="n"/>
      <c r="Y96" s="102">
        <f>IF($X96&gt;0,IF($K96&gt;0,$K96/$X96," ")," ")</f>
        <v/>
      </c>
      <c r="Z96" s="102">
        <f>IF(ISNUMBER($T96),IF(ISNUMBER($Y96),$T96-$Y96," ")," ")</f>
        <v/>
      </c>
      <c r="AA96" s="95">
        <f>IF($X96&gt;0,IF($V96&gt;0,IF($X96=$V96,"No","Yes")," ")," ")</f>
        <v/>
      </c>
      <c r="AB96" s="100" t="n"/>
      <c r="AC96" s="97">
        <f>IF($AB96&gt;0,$U96-$AB96," ")</f>
        <v/>
      </c>
    </row>
    <row r="97" ht="15" customHeight="1" s="46">
      <c r="A97" s="103">
        <f>IFERROR(ROW()-5,"")</f>
        <v/>
      </c>
      <c r="B97" s="104" t="n"/>
      <c r="C97" s="104" t="n"/>
      <c r="D97" s="105" t="n"/>
      <c r="E97" s="105" t="n"/>
      <c r="F97" s="106" t="n"/>
      <c r="G97" s="103" t="n"/>
      <c r="H97" s="107" t="n"/>
      <c r="I97" s="107" t="n"/>
      <c r="J97" s="107" t="n"/>
      <c r="K97" s="108" t="n"/>
      <c r="L97" s="109">
        <f>IF($K97&gt;0,$K97/$H97," ")</f>
        <v/>
      </c>
      <c r="M97" s="110" t="n"/>
      <c r="N97" s="111">
        <f>IF($M97&gt;0,($M97-$U97)/365," ")</f>
        <v/>
      </c>
      <c r="O97" s="105" t="n"/>
      <c r="P97" s="105" t="n"/>
      <c r="Q97" s="105" t="n"/>
      <c r="R97" s="108" t="n"/>
      <c r="S97" s="108">
        <f>IF($R97&gt;0,IF($H97&gt;0,$R97/$H97," ")," ")</f>
        <v/>
      </c>
      <c r="T97" s="112">
        <f>IF($R97&gt;0,IF($K97&gt;0,$K97/$R97," ")," ")</f>
        <v/>
      </c>
      <c r="U97" s="110" t="n"/>
      <c r="V97" s="108" t="n"/>
      <c r="W97" s="112">
        <f>IF($V97&gt;0,IF($K97&gt;0,$K97/$V97," ")," ")</f>
        <v/>
      </c>
      <c r="X97" s="108" t="n"/>
      <c r="Y97" s="112">
        <f>IF($X97&gt;0,IF($K97&gt;0,$K97/$X97," ")," ")</f>
        <v/>
      </c>
      <c r="Z97" s="112">
        <f>IF(ISNUMBER($T97),IF(ISNUMBER($Y97),$T97-$Y97," ")," ")</f>
        <v/>
      </c>
      <c r="AA97" s="105">
        <f>IF($X97&gt;0,IF($V97&gt;0,IF($X97=$V97,"No","Yes")," ")," ")</f>
        <v/>
      </c>
      <c r="AB97" s="110" t="n"/>
      <c r="AC97" s="107">
        <f>IF($AB97&gt;0,$U97-$AB97," ")</f>
        <v/>
      </c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6" t="n"/>
      <c r="G98" s="93" t="n"/>
      <c r="H98" s="97" t="n"/>
      <c r="I98" s="97" t="n"/>
      <c r="J98" s="97" t="n"/>
      <c r="K98" s="98" t="n"/>
      <c r="L98" s="99">
        <f>IF($K98&gt;0,$K98/$H98," ")</f>
        <v/>
      </c>
      <c r="M98" s="100" t="n"/>
      <c r="N98" s="101">
        <f>IF($M98&gt;0,($M98-$U98)/365," ")</f>
        <v/>
      </c>
      <c r="O98" s="95" t="n"/>
      <c r="P98" s="95" t="n"/>
      <c r="Q98" s="95" t="n"/>
      <c r="R98" s="98" t="n"/>
      <c r="S98" s="98">
        <f>IF($R98&gt;0,IF($H98&gt;0,$R98/$H98," ")," ")</f>
        <v/>
      </c>
      <c r="T98" s="102">
        <f>IF($R98&gt;0,IF($K98&gt;0,$K98/$R98," ")," ")</f>
        <v/>
      </c>
      <c r="U98" s="100" t="n"/>
      <c r="V98" s="98" t="n"/>
      <c r="W98" s="102">
        <f>IF($V98&gt;0,IF($K98&gt;0,$K98/$V98," ")," ")</f>
        <v/>
      </c>
      <c r="X98" s="98" t="n"/>
      <c r="Y98" s="102">
        <f>IF($X98&gt;0,IF($K98&gt;0,$K98/$X98," ")," ")</f>
        <v/>
      </c>
      <c r="Z98" s="102">
        <f>IF(ISNUMBER($T98),IF(ISNUMBER($Y98),$T98-$Y98," ")," ")</f>
        <v/>
      </c>
      <c r="AA98" s="95">
        <f>IF($X98&gt;0,IF($V98&gt;0,IF($X98=$V98,"No","Yes")," ")," ")</f>
        <v/>
      </c>
      <c r="AB98" s="100" t="n"/>
      <c r="AC98" s="97">
        <f>IF($AB98&gt;0,$U98-$AB98," ")</f>
        <v/>
      </c>
    </row>
    <row r="99" ht="15" customHeight="1" s="46">
      <c r="A99" s="103">
        <f>IFERROR(ROW()-5,"")</f>
        <v/>
      </c>
      <c r="B99" s="104" t="n"/>
      <c r="C99" s="104" t="n"/>
      <c r="D99" s="105" t="n"/>
      <c r="E99" s="105" t="n"/>
      <c r="F99" s="106" t="n"/>
      <c r="G99" s="103" t="n"/>
      <c r="H99" s="107" t="n"/>
      <c r="I99" s="107" t="n"/>
      <c r="J99" s="107" t="n"/>
      <c r="K99" s="108" t="n"/>
      <c r="L99" s="109">
        <f>IF($K99&gt;0,$K99/$H99," ")</f>
        <v/>
      </c>
      <c r="M99" s="110" t="n"/>
      <c r="N99" s="111">
        <f>IF($M99&gt;0,($M99-$U99)/365," ")</f>
        <v/>
      </c>
      <c r="O99" s="105" t="n"/>
      <c r="P99" s="105" t="n"/>
      <c r="Q99" s="105" t="n"/>
      <c r="R99" s="108" t="n"/>
      <c r="S99" s="108">
        <f>IF($R99&gt;0,IF($H99&gt;0,$R99/$H99," ")," ")</f>
        <v/>
      </c>
      <c r="T99" s="112">
        <f>IF($R99&gt;0,IF($K99&gt;0,$K99/$R99," ")," ")</f>
        <v/>
      </c>
      <c r="U99" s="110" t="n"/>
      <c r="V99" s="108" t="n"/>
      <c r="W99" s="112">
        <f>IF($V99&gt;0,IF($K99&gt;0,$K99/$V99," ")," ")</f>
        <v/>
      </c>
      <c r="X99" s="108" t="n"/>
      <c r="Y99" s="112">
        <f>IF($X99&gt;0,IF($K99&gt;0,$K99/$X99," ")," ")</f>
        <v/>
      </c>
      <c r="Z99" s="112">
        <f>IF(ISNUMBER($T99),IF(ISNUMBER($Y99),$T99-$Y99," ")," ")</f>
        <v/>
      </c>
      <c r="AA99" s="105">
        <f>IF($X99&gt;0,IF($V99&gt;0,IF($X99=$V99,"No","Yes")," ")," ")</f>
        <v/>
      </c>
      <c r="AB99" s="110" t="n"/>
      <c r="AC99" s="107">
        <f>IF($AB99&gt;0,$U99-$AB99," ")</f>
        <v/>
      </c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6" t="n"/>
      <c r="G100" s="93" t="n"/>
      <c r="H100" s="97" t="n"/>
      <c r="I100" s="97" t="n"/>
      <c r="J100" s="97" t="n"/>
      <c r="K100" s="98" t="n"/>
      <c r="L100" s="99">
        <f>IF($K100&gt;0,$K100/$H100," ")</f>
        <v/>
      </c>
      <c r="M100" s="100" t="n"/>
      <c r="N100" s="101">
        <f>IF($M100&gt;0,($M100-$U100)/365," ")</f>
        <v/>
      </c>
      <c r="O100" s="95" t="n"/>
      <c r="P100" s="95" t="n"/>
      <c r="Q100" s="95" t="n"/>
      <c r="R100" s="98" t="n"/>
      <c r="S100" s="98">
        <f>IF($R100&gt;0,IF($H100&gt;0,$R100/$H100," ")," ")</f>
        <v/>
      </c>
      <c r="T100" s="102">
        <f>IF($R100&gt;0,IF($K100&gt;0,$K100/$R100," ")," ")</f>
        <v/>
      </c>
      <c r="U100" s="100" t="n"/>
      <c r="V100" s="98" t="n"/>
      <c r="W100" s="102">
        <f>IF($V100&gt;0,IF($K100&gt;0,$K100/$V100," ")," ")</f>
        <v/>
      </c>
      <c r="X100" s="98" t="n"/>
      <c r="Y100" s="102">
        <f>IF($X100&gt;0,IF($K100&gt;0,$K100/$X100," ")," ")</f>
        <v/>
      </c>
      <c r="Z100" s="102">
        <f>IF(ISNUMBER($T100),IF(ISNUMBER($Y100),$T100-$Y100," ")," ")</f>
        <v/>
      </c>
      <c r="AA100" s="95">
        <f>IF($X100&gt;0,IF($V100&gt;0,IF($X100=$V100,"No","Yes")," ")," ")</f>
        <v/>
      </c>
      <c r="AB100" s="100" t="n"/>
      <c r="AC100" s="97">
        <f>IF($AB100&gt;0,$U100-$AB100," ")</f>
        <v/>
      </c>
    </row>
    <row r="101" ht="15" customHeight="1" s="46">
      <c r="A101" s="103">
        <f>IFERROR(ROW()-5,"")</f>
        <v/>
      </c>
      <c r="B101" s="104" t="n"/>
      <c r="C101" s="104" t="n"/>
      <c r="D101" s="105" t="n"/>
      <c r="E101" s="105" t="n"/>
      <c r="F101" s="106" t="n"/>
      <c r="G101" s="103" t="n"/>
      <c r="H101" s="107" t="n"/>
      <c r="I101" s="107" t="n"/>
      <c r="J101" s="107" t="n"/>
      <c r="K101" s="108" t="n"/>
      <c r="L101" s="109">
        <f>IF($K101&gt;0,$K101/$H101," ")</f>
        <v/>
      </c>
      <c r="M101" s="110" t="n"/>
      <c r="N101" s="111">
        <f>IF($M101&gt;0,($M101-$U101)/365," ")</f>
        <v/>
      </c>
      <c r="O101" s="105" t="n"/>
      <c r="P101" s="105" t="n"/>
      <c r="Q101" s="105" t="n"/>
      <c r="R101" s="108" t="n"/>
      <c r="S101" s="108">
        <f>IF($R101&gt;0,IF($H101&gt;0,$R101/$H101," ")," ")</f>
        <v/>
      </c>
      <c r="T101" s="112">
        <f>IF($R101&gt;0,IF($K101&gt;0,$K101/$R101," ")," ")</f>
        <v/>
      </c>
      <c r="U101" s="110" t="n"/>
      <c r="V101" s="108" t="n"/>
      <c r="W101" s="112">
        <f>IF($V101&gt;0,IF($K101&gt;0,$K101/$V101," ")," ")</f>
        <v/>
      </c>
      <c r="X101" s="108" t="n"/>
      <c r="Y101" s="112">
        <f>IF($X101&gt;0,IF($K101&gt;0,$K101/$X101," ")," ")</f>
        <v/>
      </c>
      <c r="Z101" s="112">
        <f>IF(ISNUMBER($T101),IF(ISNUMBER($Y101),$T101-$Y101," ")," ")</f>
        <v/>
      </c>
      <c r="AA101" s="105">
        <f>IF($X101&gt;0,IF($V101&gt;0,IF($X101=$V101,"No","Yes")," ")," ")</f>
        <v/>
      </c>
      <c r="AB101" s="110" t="n"/>
      <c r="AC101" s="107">
        <f>IF($AB101&gt;0,$U101-$AB101," ")</f>
        <v/>
      </c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6" t="n"/>
      <c r="G102" s="93" t="n"/>
      <c r="H102" s="97" t="n"/>
      <c r="I102" s="97" t="n"/>
      <c r="J102" s="97" t="n"/>
      <c r="K102" s="98" t="n"/>
      <c r="L102" s="99">
        <f>IF($K102&gt;0,$K102/$H102," ")</f>
        <v/>
      </c>
      <c r="M102" s="100" t="n"/>
      <c r="N102" s="101">
        <f>IF($M102&gt;0,($M102-$U102)/365," ")</f>
        <v/>
      </c>
      <c r="O102" s="95" t="n"/>
      <c r="P102" s="95" t="n"/>
      <c r="Q102" s="95" t="n"/>
      <c r="R102" s="98" t="n"/>
      <c r="S102" s="98">
        <f>IF($R102&gt;0,IF($H102&gt;0,$R102/$H102," ")," ")</f>
        <v/>
      </c>
      <c r="T102" s="102">
        <f>IF($R102&gt;0,IF($K102&gt;0,$K102/$R102," ")," ")</f>
        <v/>
      </c>
      <c r="U102" s="100" t="n"/>
      <c r="V102" s="98" t="n"/>
      <c r="W102" s="102">
        <f>IF($V102&gt;0,IF($K102&gt;0,$K102/$V102," ")," ")</f>
        <v/>
      </c>
      <c r="X102" s="98" t="n"/>
      <c r="Y102" s="102">
        <f>IF($X102&gt;0,IF($K102&gt;0,$K102/$X102," ")," ")</f>
        <v/>
      </c>
      <c r="Z102" s="102">
        <f>IF(ISNUMBER($T102),IF(ISNUMBER($Y102),$T102-$Y102," ")," ")</f>
        <v/>
      </c>
      <c r="AA102" s="95">
        <f>IF($X102&gt;0,IF($V102&gt;0,IF($X102=$V102,"No","Yes")," ")," ")</f>
        <v/>
      </c>
      <c r="AB102" s="100" t="n"/>
      <c r="AC102" s="97">
        <f>IF($AB102&gt;0,$U102-$AB102," ")</f>
        <v/>
      </c>
    </row>
    <row r="103" ht="15" customHeight="1" s="46">
      <c r="A103" s="103">
        <f>IFERROR(ROW()-5,"")</f>
        <v/>
      </c>
      <c r="B103" s="104" t="n"/>
      <c r="C103" s="104" t="n"/>
      <c r="D103" s="105" t="n"/>
      <c r="E103" s="105" t="n"/>
      <c r="F103" s="106" t="n"/>
      <c r="G103" s="103" t="n"/>
      <c r="H103" s="107" t="n"/>
      <c r="I103" s="107" t="n"/>
      <c r="J103" s="107" t="n"/>
      <c r="K103" s="108" t="n"/>
      <c r="L103" s="109">
        <f>IF($K103&gt;0,$K103/$H103," ")</f>
        <v/>
      </c>
      <c r="M103" s="110" t="n"/>
      <c r="N103" s="111">
        <f>IF($M103&gt;0,($M103-$U103)/365," ")</f>
        <v/>
      </c>
      <c r="O103" s="105" t="n"/>
      <c r="P103" s="105" t="n"/>
      <c r="Q103" s="105" t="n"/>
      <c r="R103" s="108" t="n"/>
      <c r="S103" s="108">
        <f>IF($R103&gt;0,IF($H103&gt;0,$R103/$H103," ")," ")</f>
        <v/>
      </c>
      <c r="T103" s="112">
        <f>IF($R103&gt;0,IF($K103&gt;0,$K103/$R103," ")," ")</f>
        <v/>
      </c>
      <c r="U103" s="110" t="n"/>
      <c r="V103" s="108" t="n"/>
      <c r="W103" s="112">
        <f>IF($V103&gt;0,IF($K103&gt;0,$K103/$V103," ")," ")</f>
        <v/>
      </c>
      <c r="X103" s="108" t="n"/>
      <c r="Y103" s="112">
        <f>IF($X103&gt;0,IF($K103&gt;0,$K103/$X103," ")," ")</f>
        <v/>
      </c>
      <c r="Z103" s="112">
        <f>IF(ISNUMBER($T103),IF(ISNUMBER($Y103),$T103-$Y103," ")," ")</f>
        <v/>
      </c>
      <c r="AA103" s="105">
        <f>IF($X103&gt;0,IF($V103&gt;0,IF($X103=$V103,"No","Yes")," ")," ")</f>
        <v/>
      </c>
      <c r="AB103" s="110" t="n"/>
      <c r="AC103" s="107">
        <f>IF($AB103&gt;0,$U103-$AB103," ")</f>
        <v/>
      </c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6" t="n"/>
      <c r="G104" s="93" t="n"/>
      <c r="H104" s="97" t="n"/>
      <c r="I104" s="97" t="n"/>
      <c r="J104" s="97" t="n"/>
      <c r="K104" s="98" t="n"/>
      <c r="L104" s="99">
        <f>IF($K104&gt;0,$K104/$H104," ")</f>
        <v/>
      </c>
      <c r="M104" s="100" t="n"/>
      <c r="N104" s="101">
        <f>IF($M104&gt;0,($M104-$U104)/365," ")</f>
        <v/>
      </c>
      <c r="O104" s="95" t="n"/>
      <c r="P104" s="95" t="n"/>
      <c r="Q104" s="95" t="n"/>
      <c r="R104" s="98" t="n"/>
      <c r="S104" s="98">
        <f>IF($R104&gt;0,IF($H104&gt;0,$R104/$H104," ")," ")</f>
        <v/>
      </c>
      <c r="T104" s="102">
        <f>IF($R104&gt;0,IF($K104&gt;0,$K104/$R104," ")," ")</f>
        <v/>
      </c>
      <c r="U104" s="100" t="n"/>
      <c r="V104" s="98" t="n"/>
      <c r="W104" s="102">
        <f>IF($V104&gt;0,IF($K104&gt;0,$K104/$V104," ")," ")</f>
        <v/>
      </c>
      <c r="X104" s="98" t="n"/>
      <c r="Y104" s="102">
        <f>IF($X104&gt;0,IF($K104&gt;0,$K104/$X104," ")," ")</f>
        <v/>
      </c>
      <c r="Z104" s="102">
        <f>IF(ISNUMBER($T104),IF(ISNUMBER($Y104),$T104-$Y104," ")," ")</f>
        <v/>
      </c>
      <c r="AA104" s="95">
        <f>IF($X104&gt;0,IF($V104&gt;0,IF($X104=$V104,"No","Yes")," ")," ")</f>
        <v/>
      </c>
      <c r="AB104" s="100" t="n"/>
      <c r="AC104" s="97">
        <f>IF($AB104&gt;0,$U104-$AB104," ")</f>
        <v/>
      </c>
    </row>
    <row r="105" ht="15" customHeight="1" s="46">
      <c r="A105" s="103">
        <f>IFERROR(ROW()-5,"")</f>
        <v/>
      </c>
      <c r="B105" s="104" t="n"/>
      <c r="C105" s="104" t="n"/>
      <c r="D105" s="105" t="n"/>
      <c r="E105" s="105" t="n"/>
      <c r="F105" s="106" t="n"/>
      <c r="G105" s="103" t="n"/>
      <c r="H105" s="107" t="n"/>
      <c r="I105" s="107" t="n"/>
      <c r="J105" s="107" t="n"/>
      <c r="K105" s="108" t="n"/>
      <c r="L105" s="109">
        <f>IF($K105&gt;0,$K105/$H105," ")</f>
        <v/>
      </c>
      <c r="M105" s="110" t="n"/>
      <c r="N105" s="111">
        <f>IF($M105&gt;0,($M105-$U105)/365," ")</f>
        <v/>
      </c>
      <c r="O105" s="105" t="n"/>
      <c r="P105" s="105" t="n"/>
      <c r="Q105" s="105" t="n"/>
      <c r="R105" s="108" t="n"/>
      <c r="S105" s="108">
        <f>IF($R105&gt;0,IF($H105&gt;0,$R105/$H105," ")," ")</f>
        <v/>
      </c>
      <c r="T105" s="112">
        <f>IF($R105&gt;0,IF($K105&gt;0,$K105/$R105," ")," ")</f>
        <v/>
      </c>
      <c r="U105" s="110" t="n"/>
      <c r="V105" s="108" t="n"/>
      <c r="W105" s="112">
        <f>IF($V105&gt;0,IF($K105&gt;0,$K105/$V105," ")," ")</f>
        <v/>
      </c>
      <c r="X105" s="108" t="n"/>
      <c r="Y105" s="112">
        <f>IF($X105&gt;0,IF($K105&gt;0,$K105/$X105," ")," ")</f>
        <v/>
      </c>
      <c r="Z105" s="112">
        <f>IF(ISNUMBER($T105),IF(ISNUMBER($Y105),$T105-$Y105," ")," ")</f>
        <v/>
      </c>
      <c r="AA105" s="105">
        <f>IF($X105&gt;0,IF($V105&gt;0,IF($X105=$V105,"No","Yes")," ")," ")</f>
        <v/>
      </c>
      <c r="AB105" s="110" t="n"/>
      <c r="AC105" s="107">
        <f>IF($AB105&gt;0,$U105-$AB105," ")</f>
        <v/>
      </c>
    </row>
    <row r="106" ht="16.5" customHeight="1" s="46">
      <c r="A106" s="113" t="inlineStr">
        <is>
          <t>AVG</t>
        </is>
      </c>
      <c r="B106" s="114">
        <f>COUNTA(B6:B105)&amp;" comps"</f>
        <v/>
      </c>
      <c r="C106" s="114" t="n"/>
      <c r="D106" s="115" t="n"/>
      <c r="E106" s="115" t="n"/>
      <c r="F106" s="116">
        <f>IF(COUNT(F6:F105)=0,"",AVERAGE(F6:F105))</f>
        <v/>
      </c>
      <c r="G106" s="113">
        <f>IF(COUNT(G6:G105)=0,"",AVERAGE(G6:G105))</f>
        <v/>
      </c>
      <c r="H106" s="117">
        <f>IF(COUNT(H6:H105)=0,"",AVERAGE(H6:H105))</f>
        <v/>
      </c>
      <c r="I106" s="117">
        <f>IF(COUNT(I6:I105)=0,"",AVERAGE(I6:I105))</f>
        <v/>
      </c>
      <c r="J106" s="117">
        <f>IF(COUNT(J6:J105)=0,"",AVERAGE(J6:J105))</f>
        <v/>
      </c>
      <c r="K106" s="118">
        <f>IF(COUNT(K6:K105)=0,"",AVERAGE(K6:K105))</f>
        <v/>
      </c>
      <c r="L106" s="119">
        <f>IF(COUNT(L6:L105)=0,"",AVERAGE(L6:L105))</f>
        <v/>
      </c>
      <c r="M106" s="120" t="n"/>
      <c r="N106" s="121">
        <f>IF(COUNT(N6:N105)=0,"",AVERAGE(N6:N105))</f>
        <v/>
      </c>
      <c r="O106" s="115" t="n"/>
      <c r="P106" s="115" t="n"/>
      <c r="Q106" s="115" t="n"/>
      <c r="R106" s="118">
        <f>IF(COUNT(R6:R105)=0,"",AVERAGE(R6:R105))</f>
        <v/>
      </c>
      <c r="S106" s="118">
        <f>IF(COUNT(S6:S105)=0,"",AVERAGE(S6:S105))</f>
        <v/>
      </c>
      <c r="T106" s="122">
        <f>IF(COUNT(T6:T105)=0,"",AVERAGE(T6:T105))</f>
        <v/>
      </c>
      <c r="U106" s="120" t="n"/>
      <c r="V106" s="118">
        <f>IF(COUNT(V6:V105)=0,"",AVERAGE(V6:V105))</f>
        <v/>
      </c>
      <c r="W106" s="122">
        <f>IF(COUNT(W6:W105)=0,"",AVERAGE(W6:W105))</f>
        <v/>
      </c>
      <c r="X106" s="118">
        <f>IF(COUNT(X6:X105)=0,"",AVERAGE(X6:X105))</f>
        <v/>
      </c>
      <c r="Y106" s="122">
        <f>IF(COUNT(Y6:Y105)=0,"",AVERAGE(Y6:Y105))</f>
        <v/>
      </c>
      <c r="Z106" s="122">
        <f>IF(COUNT(Z6:Z105)=0,"",AVERAGE(Z6:Z105))</f>
        <v/>
      </c>
      <c r="AA106" s="115" t="n"/>
      <c r="AB106" s="120" t="n"/>
      <c r="AC106" s="117">
        <f>IF(COUNT(AC6:AC105)=0,"",AVERAGE(AC6:AC105))</f>
        <v/>
      </c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  <c r="AB108" s="45" t="n"/>
      <c r="AC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2026-07-15T15:35:15Z</dcterms:created>
  <dcterms:modified xsi:type="dcterms:W3CDTF">2026-08-05T12:52:45Z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rder" fmtid="{D5CDD505-2E9C-101B-9397-08002B2CF9AE}" pid="2">
    <vt:r8>17200</vt:r8>
  </property>
  <property name="MediaServiceImageTags" fmtid="{D5CDD505-2E9C-101B-9397-08002B2CF9AE}" pid="3">
    <vt:lpwstr/>
  </property>
  <property name="ContentTypeId" fmtid="{D5CDD505-2E9C-101B-9397-08002B2CF9AE}" pid="4">
    <vt:lpwstr>0x0101002063442239F02840831034F7AD67E0F6</vt:lpwstr>
  </property>
</Properties>
</file>