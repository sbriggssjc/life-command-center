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On Market" sheetId="3" state="visible" r:id="rId3"/>
    <sheet xmlns:r="http://schemas.openxmlformats.org/officeDocument/2006/relationships" name="Sold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\$#,##0.00"/>
    <numFmt numFmtId="166" formatCode="mm/dd/yyyy"/>
    <numFmt numFmtId="167" formatCode="0.0"/>
    <numFmt numFmtId="168" formatCode="$#,##0"/>
    <numFmt numFmtId="169" formatCode="$#,##0.00"/>
    <numFmt numFmtId="170" formatCode="#,##0&quot; bps&quot;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 Light"/>
      <charset val="1"/>
      <family val="0"/>
      <b val="1"/>
      <color rgb="FF003DA5"/>
      <sz val="24"/>
    </font>
    <font>
      <name val="Calibri"/>
      <charset val="1"/>
      <family val="0"/>
      <color rgb="FF6A748C"/>
      <sz val="11"/>
    </font>
    <font>
      <name val="Calibri Light"/>
      <charset val="1"/>
      <family val="0"/>
      <b val="1"/>
      <color rgb="FF003DA5"/>
      <sz val="12"/>
    </font>
    <font>
      <name val="Calibri"/>
      <charset val="1"/>
      <family val="0"/>
      <color rgb="FF191919"/>
      <sz val="10"/>
    </font>
    <font>
      <name val="Calibri"/>
      <charset val="1"/>
      <family val="0"/>
      <color rgb="FF666666"/>
      <sz val="9"/>
    </font>
    <font>
      <name val="Calibri Light"/>
      <charset val="1"/>
      <family val="0"/>
      <b val="1"/>
      <color rgb="FF003DA5"/>
      <sz val="18"/>
    </font>
    <font>
      <name val="Calibri"/>
      <charset val="1"/>
      <family val="0"/>
      <color rgb="FF666666"/>
      <sz val="10"/>
    </font>
    <font>
      <name val="Calibri Light"/>
      <charset val="1"/>
      <family val="0"/>
      <b val="1"/>
      <color rgb="FFFFFFFF"/>
      <sz val="10"/>
    </font>
    <font>
      <name val="Calibri Light"/>
      <charset val="1"/>
      <family val="0"/>
      <b val="1"/>
      <color rgb="FF003DA5"/>
      <sz val="14"/>
    </font>
    <font>
      <name val="Calibri Light"/>
      <charset val="1"/>
      <family val="0"/>
      <b val="1"/>
      <color rgb="FFCCE4F5"/>
      <sz val="10"/>
    </font>
    <font>
      <name val="Calibri"/>
      <charset val="1"/>
      <family val="0"/>
      <i val="1"/>
      <color rgb="FF6A748C"/>
      <sz val="10"/>
    </font>
    <font>
      <name val="Calibri"/>
      <charset val="1"/>
      <family val="0"/>
      <b val="1"/>
      <color rgb="FF003DA5"/>
      <sz val="10"/>
    </font>
    <font>
      <name val="Calibri"/>
      <b val="1"/>
      <color rgb="FF191919"/>
      <sz val="10"/>
    </font>
  </fonts>
  <fills count="7">
    <fill>
      <patternFill/>
    </fill>
    <fill>
      <patternFill patternType="gray125"/>
    </fill>
    <fill>
      <patternFill patternType="solid">
        <fgColor rgb="FF003DA5"/>
        <bgColor rgb="FF333399"/>
      </patternFill>
    </fill>
    <fill>
      <patternFill patternType="solid">
        <fgColor rgb="FFFFFFFF"/>
        <bgColor rgb="FFFFFFCC"/>
      </patternFill>
    </fill>
    <fill>
      <patternFill patternType="solid">
        <fgColor rgb="FFE0E8F4"/>
        <bgColor rgb="FFD9E2F3"/>
      </patternFill>
    </fill>
    <fill>
      <patternFill patternType="solid">
        <fgColor rgb="FFD9E2F3"/>
        <bgColor rgb="FFE0E8F4"/>
      </patternFill>
    </fill>
    <fill>
      <patternFill patternType="solid">
        <fgColor rgb="FFD6E4F5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3DA5"/>
      </bottom>
      <diagonal/>
    </border>
    <border>
      <left/>
      <right/>
      <top style="medium">
        <color rgb="FF003DA5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3" fontId="14" fillId="3" borderId="0" applyAlignment="1" pivotButton="0" quotePrefix="0" xfId="0">
      <alignment horizontal="center" vertical="center"/>
    </xf>
    <xf numFmtId="49" fontId="7" fillId="3" borderId="0" applyAlignment="1" pivotButton="0" quotePrefix="0" xfId="0">
      <alignment horizontal="center" vertical="center"/>
    </xf>
    <xf numFmtId="49" fontId="7" fillId="3" borderId="0" applyAlignment="1" pivotButton="0" quotePrefix="0" xfId="0">
      <alignment horizontal="left" vertical="center"/>
    </xf>
    <xf numFmtId="3" fontId="7" fillId="3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left" vertical="center"/>
    </xf>
    <xf numFmtId="165" fontId="14" fillId="3" borderId="0" applyAlignment="1" pivotButton="0" quotePrefix="0" xfId="0">
      <alignment horizontal="left" vertical="center"/>
    </xf>
    <xf numFmtId="166" fontId="7" fillId="3" borderId="0" applyAlignment="1" pivotButton="0" quotePrefix="0" xfId="0">
      <alignment horizontal="left" vertical="center"/>
    </xf>
    <xf numFmtId="3" fontId="14" fillId="3" borderId="0" applyAlignment="1" pivotButton="0" quotePrefix="0" xfId="0">
      <alignment horizontal="left" vertical="center"/>
    </xf>
    <xf numFmtId="167" fontId="14" fillId="3" borderId="0" applyAlignment="1" pivotButton="0" quotePrefix="0" xfId="0">
      <alignment horizontal="left" vertical="center"/>
    </xf>
    <xf numFmtId="10" fontId="14" fillId="3" borderId="0" applyAlignment="1" pivotButton="0" quotePrefix="0" xfId="0">
      <alignment horizontal="left" vertical="center"/>
    </xf>
    <xf numFmtId="1" fontId="7" fillId="3" borderId="0" applyAlignment="1" pivotButton="0" quotePrefix="0" xfId="0">
      <alignment horizontal="left" vertical="center"/>
    </xf>
    <xf numFmtId="3" fontId="14" fillId="4" borderId="0" applyAlignment="1" pivotButton="0" quotePrefix="0" xfId="0">
      <alignment horizontal="center" vertical="center"/>
    </xf>
    <xf numFmtId="49" fontId="7" fillId="4" borderId="0" applyAlignment="1" pivotButton="0" quotePrefix="0" xfId="0">
      <alignment horizontal="center" vertical="center"/>
    </xf>
    <xf numFmtId="49" fontId="7" fillId="4" borderId="0" applyAlignment="1" pivotButton="0" quotePrefix="0" xfId="0">
      <alignment horizontal="left" vertical="center"/>
    </xf>
    <xf numFmtId="3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left" vertical="center"/>
    </xf>
    <xf numFmtId="165" fontId="14" fillId="4" borderId="0" applyAlignment="1" pivotButton="0" quotePrefix="0" xfId="0">
      <alignment horizontal="left" vertical="center"/>
    </xf>
    <xf numFmtId="166" fontId="7" fillId="4" borderId="0" applyAlignment="1" pivotButton="0" quotePrefix="0" xfId="0">
      <alignment horizontal="left" vertical="center"/>
    </xf>
    <xf numFmtId="3" fontId="14" fillId="4" borderId="0" applyAlignment="1" pivotButton="0" quotePrefix="0" xfId="0">
      <alignment horizontal="left" vertical="center"/>
    </xf>
    <xf numFmtId="167" fontId="14" fillId="4" borderId="0" applyAlignment="1" pivotButton="0" quotePrefix="0" xfId="0">
      <alignment horizontal="left" vertical="center"/>
    </xf>
    <xf numFmtId="10" fontId="14" fillId="4" borderId="0" applyAlignment="1" pivotButton="0" quotePrefix="0" xfId="0">
      <alignment horizontal="left" vertical="center"/>
    </xf>
    <xf numFmtId="1" fontId="7" fillId="4" borderId="0" applyAlignment="1" pivotButton="0" quotePrefix="0" xfId="0">
      <alignment horizontal="left" vertical="center"/>
    </xf>
    <xf numFmtId="0" fontId="15" fillId="5" borderId="2" applyAlignment="1" pivotButton="0" quotePrefix="0" xfId="0">
      <alignment horizontal="center" vertical="center"/>
    </xf>
    <xf numFmtId="49" fontId="15" fillId="5" borderId="2" applyAlignment="1" pivotButton="0" quotePrefix="0" xfId="0">
      <alignment horizontal="center" vertical="center"/>
    </xf>
    <xf numFmtId="3" fontId="15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165" fontId="15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3" fontId="7" fillId="3" borderId="0" applyAlignment="1" pivotButton="0" quotePrefix="0" xfId="0">
      <alignment horizontal="center" vertical="center"/>
    </xf>
    <xf numFmtId="49" fontId="7" fillId="3" borderId="0" applyAlignment="1" pivotButton="0" quotePrefix="0" xfId="0">
      <alignment horizontal="center" vertical="center"/>
    </xf>
    <xf numFmtId="166" fontId="7" fillId="3" borderId="0" applyAlignment="1" pivotButton="0" quotePrefix="0" xfId="0">
      <alignment horizontal="center" vertical="center"/>
    </xf>
    <xf numFmtId="167" fontId="7" fillId="3" borderId="0" applyAlignment="1" pivotButton="0" quotePrefix="0" xfId="0">
      <alignment horizontal="center" vertical="center"/>
    </xf>
    <xf numFmtId="168" fontId="7" fillId="3" borderId="0" applyAlignment="1" pivotButton="0" quotePrefix="0" xfId="0">
      <alignment horizontal="center" vertical="center"/>
    </xf>
    <xf numFmtId="169" fontId="7" fillId="3" borderId="0" applyAlignment="1" pivotButton="0" quotePrefix="0" xfId="0">
      <alignment horizontal="center" vertical="center"/>
    </xf>
    <xf numFmtId="10" fontId="7" fillId="3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3" fontId="7" fillId="4" borderId="0" applyAlignment="1" pivotButton="0" quotePrefix="0" xfId="0">
      <alignment horizontal="center" vertical="center"/>
    </xf>
    <xf numFmtId="49" fontId="7" fillId="4" borderId="0" applyAlignment="1" pivotButton="0" quotePrefix="0" xfId="0">
      <alignment horizontal="center" vertical="center"/>
    </xf>
    <xf numFmtId="166" fontId="7" fillId="4" borderId="0" applyAlignment="1" pivotButton="0" quotePrefix="0" xfId="0">
      <alignment horizontal="center" vertical="center"/>
    </xf>
    <xf numFmtId="167" fontId="7" fillId="4" borderId="0" applyAlignment="1" pivotButton="0" quotePrefix="0" xfId="0">
      <alignment horizontal="center" vertical="center"/>
    </xf>
    <xf numFmtId="168" fontId="7" fillId="4" borderId="0" applyAlignment="1" pivotButton="0" quotePrefix="0" xfId="0">
      <alignment horizontal="center" vertical="center"/>
    </xf>
    <xf numFmtId="169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49" fontId="16" fillId="6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center" vertical="center"/>
    </xf>
    <xf numFmtId="3" fontId="16" fillId="6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165" fontId="15" fillId="5" borderId="2" applyAlignment="1" pivotButton="0" quotePrefix="0" xfId="0">
      <alignment horizontal="center" vertical="center"/>
    </xf>
    <xf numFmtId="167" fontId="16" fillId="6" borderId="2" applyAlignment="1" pivotButton="0" quotePrefix="0" xfId="0">
      <alignment horizontal="center" vertical="center"/>
    </xf>
    <xf numFmtId="168" fontId="16" fillId="6" borderId="2" applyAlignment="1" pivotButton="0" quotePrefix="0" xfId="0">
      <alignment horizontal="center" vertical="center"/>
    </xf>
    <xf numFmtId="169" fontId="16" fillId="6" borderId="2" applyAlignment="1" pivotButton="0" quotePrefix="0" xfId="0">
      <alignment horizontal="center" vertical="center"/>
    </xf>
    <xf numFmtId="10" fontId="16" fillId="6" borderId="2" applyAlignment="1" pivotButton="0" quotePrefix="0" xfId="0">
      <alignment horizontal="center" vertical="center"/>
    </xf>
    <xf numFmtId="0" fontId="0" fillId="6" borderId="0" pivotButton="0" quotePrefix="0" xfId="0"/>
    <xf numFmtId="1" fontId="16" fillId="6" borderId="0" applyAlignment="1" pivotButton="0" quotePrefix="0" xfId="0">
      <alignment horizontal="center" vertical="center"/>
    </xf>
    <xf numFmtId="170" fontId="7" fillId="3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170" fontId="7" fillId="4" borderId="0" applyAlignment="1" pivotButton="0" quotePrefix="0" xfId="0">
      <alignment horizontal="center" vertical="center"/>
    </xf>
    <xf numFmtId="170" fontId="16" fillId="6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66666"/>
      <rgbColor rgb="FF9999FF"/>
      <rgbColor rgb="FF993366"/>
      <rgbColor rgb="FFFFFFCC"/>
      <rgbColor rgb="FFE0E8F4"/>
      <rgbColor rgb="FF660066"/>
      <rgbColor rgb="FFFF8080"/>
      <rgbColor rgb="FF0066CC"/>
      <rgbColor rgb="FFCCE4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A748C"/>
      <rgbColor rgb="FF969696"/>
      <rgbColor rgb="FF003DA5"/>
      <rgbColor rgb="FF339966"/>
      <rgbColor rgb="FF191919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45" min="1" max="1"/>
    <col width="90" customWidth="1" style="45" min="2" max="2"/>
  </cols>
  <sheetData>
    <row r="1" ht="12" customHeight="1" s="46"/>
    <row r="2" ht="36" customHeight="1" s="46">
      <c r="B2" s="47" t="inlineStr">
        <is>
          <t>Briggs CRE — Sales Comps</t>
        </is>
      </c>
    </row>
    <row r="3" ht="18" customHeight="1" s="46">
      <c r="B3" s="48" t="inlineStr">
        <is>
          <t>Northmarq Investment Sales  ·  Standard Template v3  ·  July 2026</t>
        </is>
      </c>
    </row>
    <row r="4" ht="6" customHeight="1" s="46">
      <c r="B4" s="49" t="n"/>
    </row>
    <row r="5" ht="7.5" customHeight="1" s="46"/>
    <row r="6" ht="21.75" customHeight="1" s="46">
      <c r="B6" s="50" t="inlineStr">
        <is>
          <t>ABOUT THIS TEMPLATE</t>
        </is>
      </c>
    </row>
    <row r="7" ht="15" customHeight="1" s="46">
      <c r="B7" s="51" t="inlineStr">
        <is>
          <t xml:space="preserve">    · Use this workbook to track and analyze comparable sales properties.</t>
        </is>
      </c>
    </row>
    <row r="8" ht="15" customHeight="1" s="46">
      <c r="B8" s="51" t="inlineStr">
        <is>
          <t xml:space="preserve">    · Two data sheets are included: On Market (active listings) and Sold (closed transactions).</t>
        </is>
      </c>
    </row>
    <row r="9" ht="15" customHeight="1" s="46">
      <c r="B9" s="51" t="inlineStr">
        <is>
          <t xml:space="preserve">    · Formula-protected columns calculate automatically — do not overwrite them.</t>
        </is>
      </c>
    </row>
    <row r="10" ht="7.5" customHeight="1" s="46"/>
    <row r="11" ht="21.75" customHeight="1" s="46">
      <c r="B11" s="50" t="inlineStr">
        <is>
          <t>TABS INCLUDED</t>
        </is>
      </c>
    </row>
    <row r="12" ht="15" customHeight="1" s="46">
      <c r="B12" s="51" t="inlineStr">
        <is>
          <t xml:space="preserve">    · Cover  —  This page — instructions and data entry rules</t>
        </is>
      </c>
    </row>
    <row r="13" ht="15" customHeight="1" s="46">
      <c r="B13" s="51" t="inlineStr">
        <is>
          <t xml:space="preserve">    · Index  —  Tab listing and workbook guide</t>
        </is>
      </c>
    </row>
    <row r="14" ht="15" customHeight="1" s="46">
      <c r="B14" s="51" t="inlineStr">
        <is>
          <t xml:space="preserve">    · On Market  —  Active listings — comparable properties currently for sale</t>
        </is>
      </c>
    </row>
    <row r="15" ht="15" customHeight="1" s="46">
      <c r="B15" s="51" t="inlineStr">
        <is>
          <t xml:space="preserve">    · Sold  —  Closed transactions — comparable sales with verified pricing</t>
        </is>
      </c>
    </row>
    <row r="16" ht="7.5" customHeight="1" s="46"/>
    <row r="17" ht="21.75" customHeight="1" s="46">
      <c r="B17" s="50" t="inlineStr">
        <is>
          <t>DATA ENTRY RULES</t>
        </is>
      </c>
    </row>
    <row r="18" ht="15" customHeight="1" s="46">
      <c r="B18" s="51" t="inlineStr">
        <is>
          <t xml:space="preserve">    · Rents and NOI: always enter as ANNUAL figures (monthly × 12). Never enter per-SF.</t>
        </is>
      </c>
    </row>
    <row r="19" ht="15" customHeight="1" s="46">
      <c r="B19" s="51" t="inlineStr">
        <is>
          <t xml:space="preserve">    · Dates: enter as true Excel dates formatted MM/DD/YYYY. Never enter as text strings.</t>
        </is>
      </c>
    </row>
    <row r="20" ht="15" customHeight="1" s="46">
      <c r="B20" s="51" t="inlineStr">
        <is>
          <t xml:space="preserve">    · If only month/year is known: use the 1st of the month as a placeholder and add a note.</t>
        </is>
      </c>
    </row>
    <row r="21" ht="15" customHeight="1" s="46">
      <c r="B21" s="51" t="inlineStr">
        <is>
          <t xml:space="preserve">    · Addresses: enter full street address. Do not abbreviate city or state.</t>
        </is>
      </c>
    </row>
    <row r="22" ht="15" customHeight="1" s="46">
      <c r="B22" s="51" t="inlineStr">
        <is>
          <t xml:space="preserve">    · Sort the Sold sheet by Sale Date descending after data entry.</t>
        </is>
      </c>
    </row>
    <row r="23" ht="15" customHeight="1" s="46">
      <c r="B23" s="51" t="inlineStr">
        <is>
          <t xml:space="preserve">    · Save outputs to: Projects/[PropertyName]/Output/[Address]_SalesComps_[YYYYMM].xlsx</t>
        </is>
      </c>
    </row>
    <row r="24" ht="7.5" customHeight="1" s="46"/>
    <row r="25" ht="21.75" customHeight="1" s="46">
      <c r="B25" s="50" t="inlineStr">
        <is>
          <t>FORMULA-PROTECTED COLUMNS — DO NOT OVERWRITE</t>
        </is>
      </c>
    </row>
    <row r="26" ht="15" customHeight="1" s="46">
      <c r="B26" s="51" t="inlineStr">
        <is>
          <t xml:space="preserve">    · PRICE/SF — List Price or Sale Price ÷ RBA. Auto-calculated. Do not overwrite.</t>
        </is>
      </c>
    </row>
    <row r="27" ht="15" customHeight="1" s="46">
      <c r="B27" s="51" t="inlineStr">
        <is>
          <t xml:space="preserve">    · DOM — Days on Market (Sale Date − List Date, or Today − List Date). Auto-calculated.</t>
        </is>
      </c>
    </row>
    <row r="28" ht="15" customHeight="1" s="46">
      <c r="B28" s="51" t="inlineStr">
        <is>
          <t xml:space="preserve">    · TERM (YRS) — Lease Expiration − Lease Start in years. Auto-calculated.</t>
        </is>
      </c>
    </row>
    <row r="29" ht="15" customHeight="1" s="46">
      <c r="B29" s="51" t="inlineStr">
        <is>
          <t xml:space="preserve">    · RENT/SF — Annual NOI ÷ RBA. Auto-calculated.</t>
        </is>
      </c>
    </row>
    <row r="30" ht="15" customHeight="1" s="46">
      <c r="B30" s="51" t="inlineStr">
        <is>
          <t xml:space="preserve">    · CAP RATE — Annual NOI ÷ Sale Price (Sold) or List Price (On Market). Auto-calculated.</t>
        </is>
      </c>
    </row>
    <row r="31" ht="15.75" customHeight="1" s="46"/>
    <row r="32" ht="13.5" customHeight="1" s="46">
      <c r="B32" s="52" t="inlineStr">
        <is>
          <t>Prepared by: Scott Briggs · Northmarq</t>
        </is>
      </c>
    </row>
    <row r="33" ht="13.5" customHeight="1" s="46">
      <c r="B33" s="52" t="inlineStr">
        <is>
          <t>Briggs CRE / Northmarq · Investment Sales · Standard Template v3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D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45" min="1" max="1"/>
    <col width="32" customWidth="1" style="45" min="2" max="2"/>
    <col width="55" customWidth="1" style="45" min="3" max="3"/>
    <col width="20" customWidth="1" style="45" min="4" max="4"/>
  </cols>
  <sheetData>
    <row r="1" ht="12" customHeight="1" s="46"/>
    <row r="2" ht="30" customHeight="1" s="46">
      <c r="B2" s="53" t="inlineStr">
        <is>
          <t>Briggs CRE — Sales Comps — Index</t>
        </is>
      </c>
    </row>
    <row r="3" ht="13.5" customHeight="1" s="46">
      <c r="B3" s="54" t="inlineStr">
        <is>
          <t>Tab listing and description of contents</t>
        </is>
      </c>
    </row>
    <row r="4" ht="7.5" customHeight="1" s="46"/>
    <row r="5" ht="21.75" customHeight="1" s="46">
      <c r="B5" s="55" t="inlineStr">
        <is>
          <t>TAB NAME</t>
        </is>
      </c>
      <c r="C5" s="55" t="inlineStr">
        <is>
          <t>DESCRIPTION</t>
        </is>
      </c>
      <c r="D5" s="55" t="inlineStr">
        <is>
          <t>PURPOSE</t>
        </is>
      </c>
    </row>
    <row r="6" ht="18" customHeight="1" s="46">
      <c r="B6" s="56" t="inlineStr">
        <is>
          <t>Cover</t>
        </is>
      </c>
      <c r="C6" s="56" t="inlineStr">
        <is>
          <t>Instructions and data entry rules</t>
        </is>
      </c>
      <c r="D6" s="56" t="inlineStr">
        <is>
          <t>Reference</t>
        </is>
      </c>
    </row>
    <row r="7" ht="18" customHeight="1" s="46">
      <c r="B7" s="57" t="inlineStr">
        <is>
          <t>Index</t>
        </is>
      </c>
      <c r="C7" s="57" t="inlineStr">
        <is>
          <t>Tab listing</t>
        </is>
      </c>
      <c r="D7" s="57" t="inlineStr">
        <is>
          <t>Navigation</t>
        </is>
      </c>
    </row>
    <row r="8" ht="18" customHeight="1" s="46">
      <c r="B8" s="56" t="inlineStr">
        <is>
          <t>On Market</t>
        </is>
      </c>
      <c r="C8" s="56" t="inlineStr">
        <is>
          <t>Active comparable listings — enter CoStar data</t>
        </is>
      </c>
      <c r="D8" s="56" t="inlineStr">
        <is>
          <t>Input / Analysis</t>
        </is>
      </c>
    </row>
    <row r="9" ht="18" customHeight="1" s="46">
      <c r="B9" s="57" t="inlineStr">
        <is>
          <t>Sold</t>
        </is>
      </c>
      <c r="C9" s="57" t="inlineStr">
        <is>
          <t>Closed comparable sales — enter CoStar data</t>
        </is>
      </c>
      <c r="D9" s="57" t="inlineStr">
        <is>
          <t>Input / Analysis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003DA5"/>
    <outlinePr summaryBelow="1" summaryRight="1"/>
    <pageSetUpPr fitToPage="0"/>
  </sheetPr>
  <dimension ref="A1:AB1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45" min="1" max="1"/>
    <col width="30" customWidth="1" style="45" min="2" max="2"/>
    <col width="25" customWidth="1" style="45" min="3" max="3"/>
    <col width="14" customWidth="1" style="45" min="4" max="4"/>
    <col width="6" customWidth="1" style="45" min="5" max="5"/>
    <col width="11" customWidth="1" style="45" min="6" max="6"/>
    <col width="9" customWidth="1" style="45" min="7" max="7"/>
    <col width="10" customWidth="1" style="45" min="8" max="8"/>
    <col width="12" customWidth="1" style="45" min="9" max="9"/>
    <col width="9" customWidth="1" style="45" min="10" max="10"/>
    <col width="13" customWidth="1" style="45" min="11" max="11"/>
    <col width="10" customWidth="1" style="45" min="12" max="12"/>
    <col width="13" customWidth="1" style="45" min="13" max="14"/>
    <col width="10" customWidth="1" style="46" min="14" max="14"/>
    <col width="9" customWidth="1" style="45" min="15" max="15"/>
    <col width="13" customWidth="1" style="45" min="16" max="16"/>
    <col width="10" customWidth="1" style="45" min="17" max="19"/>
    <col width="9" customWidth="1" style="46" min="18" max="18"/>
    <col width="10" customWidth="1" style="46" min="19" max="19"/>
    <col width="12" customWidth="1" style="45" min="20" max="20"/>
    <col width="8" customWidth="1" style="45" min="21" max="21"/>
    <col width="10" customWidth="1" style="46" min="22" max="22"/>
    <col width="10" customWidth="1" style="46" min="23" max="23"/>
    <col width="9" customWidth="1" style="46" min="24" max="24"/>
    <col width="18" customWidth="1" style="46" min="25" max="25"/>
    <col width="35" customWidth="1" style="46" min="26" max="26"/>
  </cols>
  <sheetData>
    <row r="1" ht="12" customHeight="1" s="46"/>
    <row r="2" ht="25.5" customHeight="1" s="46">
      <c r="A2" s="58" t="inlineStr">
        <is>
          <t>Briggs CRE — Sales Comps · On Market</t>
        </is>
      </c>
    </row>
    <row r="3" ht="13.5" customHeight="1" s="46">
      <c r="A3" s="52" t="inlineStr">
        <is>
          <t>Source: CoStar / Salesforce · Shaded columns are formula-protected — do not overwrite · TERM = remaining term (as of today)</t>
        </is>
      </c>
    </row>
    <row r="4" ht="7.5" customHeight="1" s="46"/>
    <row r="5" ht="21.75" customHeight="1" s="46">
      <c r="A5" s="59" t="inlineStr">
        <is>
          <t>#</t>
        </is>
      </c>
      <c r="B5" s="59" t="inlineStr">
        <is>
          <t>PROPERTY NAME</t>
        </is>
      </c>
      <c r="C5" s="59" t="inlineStr">
        <is>
          <t>ADDRESS</t>
        </is>
      </c>
      <c r="D5" s="59" t="inlineStr">
        <is>
          <t>CITY</t>
        </is>
      </c>
      <c r="E5" s="59" t="inlineStr">
        <is>
          <t>ST</t>
        </is>
      </c>
      <c r="F5" s="59" t="inlineStr">
        <is>
          <t>RBA (SF)</t>
        </is>
      </c>
      <c r="G5" s="59" t="inlineStr">
        <is>
          <t>CHAIRS</t>
        </is>
      </c>
      <c r="H5" s="59" t="inlineStr">
        <is>
          <t>PATIENTS</t>
        </is>
      </c>
      <c r="I5" s="59" t="inlineStr">
        <is>
          <t>TENANT</t>
        </is>
      </c>
      <c r="J5" s="59" t="inlineStr">
        <is>
          <t>LEASE TYPE</t>
        </is>
      </c>
      <c r="K5" s="59" t="inlineStr">
        <is>
          <t>LEASE EXP</t>
        </is>
      </c>
      <c r="L5" s="59" t="inlineStr">
        <is>
          <t>TERM (YRS)</t>
        </is>
      </c>
      <c r="M5" s="59" t="inlineStr">
        <is>
          <t>ANNUAL NOI</t>
        </is>
      </c>
      <c r="N5" s="59" t="inlineStr">
        <is>
          <t>RENT/SF</t>
        </is>
      </c>
      <c r="O5" s="59" t="inlineStr">
        <is>
          <t>INIT PRICE</t>
        </is>
      </c>
      <c r="P5" s="59" t="inlineStr">
        <is>
          <t>INIT $/SF</t>
        </is>
      </c>
      <c r="Q5" s="59" t="inlineStr">
        <is>
          <t>INIT CAP</t>
        </is>
      </c>
      <c r="R5" s="59" t="inlineStr">
        <is>
          <t>CUR PRICE</t>
        </is>
      </c>
      <c r="S5" s="59" t="inlineStr">
        <is>
          <t>CUR $/SF</t>
        </is>
      </c>
      <c r="T5" s="59" t="inlineStr">
        <is>
          <t>CUR CAP</t>
        </is>
      </c>
      <c r="U5" s="59" t="inlineStr">
        <is>
          <t>PRICE ADJ</t>
        </is>
      </c>
      <c r="V5" s="59" t="inlineStr">
        <is>
          <t>LIST DATE</t>
        </is>
      </c>
      <c r="W5" s="59" t="inlineStr">
        <is>
          <t>DOM</t>
        </is>
      </c>
      <c r="X5" s="59" t="inlineStr">
        <is>
          <t>BUMPS</t>
        </is>
      </c>
      <c r="Y5" s="59" t="inlineStr">
        <is>
          <t>OPTIONS</t>
        </is>
      </c>
      <c r="Z5" s="59" t="inlineStr">
        <is>
          <t>YR BUILT</t>
        </is>
      </c>
      <c r="AA5" s="59" t="inlineStr">
        <is>
          <t>SUBMARKET</t>
        </is>
      </c>
      <c r="AB5" s="59" t="inlineStr">
        <is>
          <t>NOTES</t>
        </is>
      </c>
    </row>
    <row r="6" ht="15" customHeight="1" s="46">
      <c r="A6" s="60">
        <f>IFERROR(ROW()-5,"")</f>
        <v/>
      </c>
      <c r="B6" s="61" t="n"/>
      <c r="C6" s="61" t="n"/>
      <c r="D6" s="61" t="n"/>
      <c r="E6" s="61" t="n"/>
      <c r="F6" s="60" t="n"/>
      <c r="G6" s="60" t="n"/>
      <c r="H6" s="60" t="n"/>
      <c r="I6" s="61" t="n"/>
      <c r="J6" s="61" t="n"/>
      <c r="K6" s="62" t="n"/>
      <c r="L6" s="63">
        <f>IFERROR(IF($K6="","",($K6-TODAY())/365.25),"")</f>
        <v/>
      </c>
      <c r="M6" s="64" t="n"/>
      <c r="N6" s="65">
        <f>IFERROR(IF(OR($M6="",$F6=""),"",$M6/$F6),"")</f>
        <v/>
      </c>
      <c r="O6" s="64" t="n"/>
      <c r="P6" s="64">
        <f>IFERROR(IF(OR($O6="",$F6=""),"",$O6/$F6),"")</f>
        <v/>
      </c>
      <c r="Q6" s="66">
        <f>IFERROR(IF(OR($M6="",$O6=""),"",$M6/$O6),"")</f>
        <v/>
      </c>
      <c r="R6" s="64" t="n"/>
      <c r="S6" s="64">
        <f>IFERROR(IF(OR($R6="",$F6=""),"",$R6/$F6),"")</f>
        <v/>
      </c>
      <c r="T6" s="66">
        <f>IFERROR(IF(OR($M6="",$R6=""),"",$M6/$R6),"")</f>
        <v/>
      </c>
      <c r="U6" s="61">
        <f>IFERROR(IF(OR($R6="",$O6=""),"",IF($R6=$O6,"No","Yes")),"")</f>
        <v/>
      </c>
      <c r="V6" s="62" t="n"/>
      <c r="W6" s="60">
        <f>IFERROR(IF($V6="","",TODAY()-$V6),"")</f>
        <v/>
      </c>
      <c r="X6" s="67" t="n"/>
      <c r="Y6" s="67" t="n"/>
      <c r="Z6" s="68" t="n"/>
      <c r="AA6" s="67" t="n"/>
      <c r="AB6" s="67" t="n"/>
    </row>
    <row r="7" ht="15" customHeight="1" s="46">
      <c r="A7" s="69">
        <f>IFERROR(ROW()-5,"")</f>
        <v/>
      </c>
      <c r="B7" s="70" t="n"/>
      <c r="C7" s="70" t="n"/>
      <c r="D7" s="70" t="n"/>
      <c r="E7" s="70" t="n"/>
      <c r="F7" s="69" t="n"/>
      <c r="G7" s="69" t="n"/>
      <c r="H7" s="69" t="n"/>
      <c r="I7" s="70" t="n"/>
      <c r="J7" s="70" t="n"/>
      <c r="K7" s="71" t="n"/>
      <c r="L7" s="72">
        <f>IFERROR(IF($K7="","",($K7-TODAY())/365.25),"")</f>
        <v/>
      </c>
      <c r="M7" s="73" t="n"/>
      <c r="N7" s="74">
        <f>IFERROR(IF(OR($M7="",$F7=""),"",$M7/$F7),"")</f>
        <v/>
      </c>
      <c r="O7" s="73" t="n"/>
      <c r="P7" s="73">
        <f>IFERROR(IF(OR($O7="",$F7=""),"",$O7/$F7),"")</f>
        <v/>
      </c>
      <c r="Q7" s="75">
        <f>IFERROR(IF(OR($M7="",$O7=""),"",$M7/$O7),"")</f>
        <v/>
      </c>
      <c r="R7" s="73" t="n"/>
      <c r="S7" s="73">
        <f>IFERROR(IF(OR($R7="",$F7=""),"",$R7/$F7),"")</f>
        <v/>
      </c>
      <c r="T7" s="75">
        <f>IFERROR(IF(OR($M7="",$R7=""),"",$M7/$R7),"")</f>
        <v/>
      </c>
      <c r="U7" s="70">
        <f>IFERROR(IF(OR($R7="",$O7=""),"",IF($R7=$O7,"No","Yes")),"")</f>
        <v/>
      </c>
      <c r="V7" s="71" t="n"/>
      <c r="W7" s="69">
        <f>IFERROR(IF($V7="","",TODAY()-$V7),"")</f>
        <v/>
      </c>
      <c r="X7" s="67" t="n"/>
      <c r="Y7" s="67" t="n"/>
      <c r="Z7" s="68" t="n"/>
      <c r="AA7" s="67" t="n"/>
      <c r="AB7" s="67" t="n"/>
    </row>
    <row r="8" ht="15" customHeight="1" s="46">
      <c r="A8" s="60">
        <f>IFERROR(ROW()-5,"")</f>
        <v/>
      </c>
      <c r="B8" s="61" t="n"/>
      <c r="C8" s="61" t="n"/>
      <c r="D8" s="61" t="n"/>
      <c r="E8" s="61" t="n"/>
      <c r="F8" s="60" t="n"/>
      <c r="G8" s="60" t="n"/>
      <c r="H8" s="60" t="n"/>
      <c r="I8" s="61" t="n"/>
      <c r="J8" s="61" t="n"/>
      <c r="K8" s="62" t="n"/>
      <c r="L8" s="63">
        <f>IFERROR(IF($K8="","",($K8-TODAY())/365.25),"")</f>
        <v/>
      </c>
      <c r="M8" s="64" t="n"/>
      <c r="N8" s="65">
        <f>IFERROR(IF(OR($M8="",$F8=""),"",$M8/$F8),"")</f>
        <v/>
      </c>
      <c r="O8" s="64" t="n"/>
      <c r="P8" s="64">
        <f>IFERROR(IF(OR($O8="",$F8=""),"",$O8/$F8),"")</f>
        <v/>
      </c>
      <c r="Q8" s="66">
        <f>IFERROR(IF(OR($M8="",$O8=""),"",$M8/$O8),"")</f>
        <v/>
      </c>
      <c r="R8" s="64" t="n"/>
      <c r="S8" s="64">
        <f>IFERROR(IF(OR($R8="",$F8=""),"",$R8/$F8),"")</f>
        <v/>
      </c>
      <c r="T8" s="66">
        <f>IFERROR(IF(OR($M8="",$R8=""),"",$M8/$R8),"")</f>
        <v/>
      </c>
      <c r="U8" s="61">
        <f>IFERROR(IF(OR($R8="",$O8=""),"",IF($R8=$O8,"No","Yes")),"")</f>
        <v/>
      </c>
      <c r="V8" s="62" t="n"/>
      <c r="W8" s="60">
        <f>IFERROR(IF($V8="","",TODAY()-$V8),"")</f>
        <v/>
      </c>
      <c r="X8" s="67" t="n"/>
      <c r="Y8" s="67" t="n"/>
      <c r="Z8" s="68" t="n"/>
      <c r="AA8" s="67" t="n"/>
      <c r="AB8" s="67" t="n"/>
    </row>
    <row r="9" ht="15" customHeight="1" s="46">
      <c r="A9" s="69">
        <f>IFERROR(ROW()-5,"")</f>
        <v/>
      </c>
      <c r="B9" s="70" t="n"/>
      <c r="C9" s="70" t="n"/>
      <c r="D9" s="70" t="n"/>
      <c r="E9" s="70" t="n"/>
      <c r="F9" s="69" t="n"/>
      <c r="G9" s="69" t="n"/>
      <c r="H9" s="69" t="n"/>
      <c r="I9" s="70" t="n"/>
      <c r="J9" s="70" t="n"/>
      <c r="K9" s="71" t="n"/>
      <c r="L9" s="72">
        <f>IFERROR(IF($K9="","",($K9-TODAY())/365.25),"")</f>
        <v/>
      </c>
      <c r="M9" s="73" t="n"/>
      <c r="N9" s="74">
        <f>IFERROR(IF(OR($M9="",$F9=""),"",$M9/$F9),"")</f>
        <v/>
      </c>
      <c r="O9" s="73" t="n"/>
      <c r="P9" s="73">
        <f>IFERROR(IF(OR($O9="",$F9=""),"",$O9/$F9),"")</f>
        <v/>
      </c>
      <c r="Q9" s="75">
        <f>IFERROR(IF(OR($M9="",$O9=""),"",$M9/$O9),"")</f>
        <v/>
      </c>
      <c r="R9" s="73" t="n"/>
      <c r="S9" s="73">
        <f>IFERROR(IF(OR($R9="",$F9=""),"",$R9/$F9),"")</f>
        <v/>
      </c>
      <c r="T9" s="75">
        <f>IFERROR(IF(OR($M9="",$R9=""),"",$M9/$R9),"")</f>
        <v/>
      </c>
      <c r="U9" s="70">
        <f>IFERROR(IF(OR($R9="",$O9=""),"",IF($R9=$O9,"No","Yes")),"")</f>
        <v/>
      </c>
      <c r="V9" s="71" t="n"/>
      <c r="W9" s="69">
        <f>IFERROR(IF($V9="","",TODAY()-$V9),"")</f>
        <v/>
      </c>
      <c r="X9" s="67" t="n"/>
      <c r="Y9" s="67" t="n"/>
      <c r="Z9" s="68" t="n"/>
      <c r="AA9" s="67" t="n"/>
      <c r="AB9" s="67" t="n"/>
    </row>
    <row r="10" ht="15" customHeight="1" s="46">
      <c r="A10" s="60">
        <f>IFERROR(ROW()-5,"")</f>
        <v/>
      </c>
      <c r="B10" s="61" t="n"/>
      <c r="C10" s="61" t="n"/>
      <c r="D10" s="61" t="n"/>
      <c r="E10" s="61" t="n"/>
      <c r="F10" s="60" t="n"/>
      <c r="G10" s="60" t="n"/>
      <c r="H10" s="60" t="n"/>
      <c r="I10" s="61" t="n"/>
      <c r="J10" s="61" t="n"/>
      <c r="K10" s="62" t="n"/>
      <c r="L10" s="63">
        <f>IFERROR(IF($K10="","",($K10-TODAY())/365.25),"")</f>
        <v/>
      </c>
      <c r="M10" s="64" t="n"/>
      <c r="N10" s="65">
        <f>IFERROR(IF(OR($M10="",$F10=""),"",$M10/$F10),"")</f>
        <v/>
      </c>
      <c r="O10" s="64" t="n"/>
      <c r="P10" s="64">
        <f>IFERROR(IF(OR($O10="",$F10=""),"",$O10/$F10),"")</f>
        <v/>
      </c>
      <c r="Q10" s="66">
        <f>IFERROR(IF(OR($M10="",$O10=""),"",$M10/$O10),"")</f>
        <v/>
      </c>
      <c r="R10" s="64" t="n"/>
      <c r="S10" s="64">
        <f>IFERROR(IF(OR($R10="",$F10=""),"",$R10/$F10),"")</f>
        <v/>
      </c>
      <c r="T10" s="66">
        <f>IFERROR(IF(OR($M10="",$R10=""),"",$M10/$R10),"")</f>
        <v/>
      </c>
      <c r="U10" s="61">
        <f>IFERROR(IF(OR($R10="",$O10=""),"",IF($R10=$O10,"No","Yes")),"")</f>
        <v/>
      </c>
      <c r="V10" s="62" t="n"/>
      <c r="W10" s="60">
        <f>IFERROR(IF($V10="","",TODAY()-$V10),"")</f>
        <v/>
      </c>
      <c r="X10" s="67" t="n"/>
      <c r="Y10" s="67" t="n"/>
      <c r="Z10" s="68" t="n"/>
      <c r="AA10" s="67" t="n"/>
      <c r="AB10" s="67" t="n"/>
    </row>
    <row r="11" ht="15" customHeight="1" s="46">
      <c r="A11" s="69">
        <f>IFERROR(ROW()-5,"")</f>
        <v/>
      </c>
      <c r="B11" s="70" t="n"/>
      <c r="C11" s="70" t="n"/>
      <c r="D11" s="70" t="n"/>
      <c r="E11" s="70" t="n"/>
      <c r="F11" s="69" t="n"/>
      <c r="G11" s="69" t="n"/>
      <c r="H11" s="69" t="n"/>
      <c r="I11" s="70" t="n"/>
      <c r="J11" s="70" t="n"/>
      <c r="K11" s="71" t="n"/>
      <c r="L11" s="72">
        <f>IFERROR(IF($K11="","",($K11-TODAY())/365.25),"")</f>
        <v/>
      </c>
      <c r="M11" s="73" t="n"/>
      <c r="N11" s="74">
        <f>IFERROR(IF(OR($M11="",$F11=""),"",$M11/$F11),"")</f>
        <v/>
      </c>
      <c r="O11" s="73" t="n"/>
      <c r="P11" s="73">
        <f>IFERROR(IF(OR($O11="",$F11=""),"",$O11/$F11),"")</f>
        <v/>
      </c>
      <c r="Q11" s="75">
        <f>IFERROR(IF(OR($M11="",$O11=""),"",$M11/$O11),"")</f>
        <v/>
      </c>
      <c r="R11" s="73" t="n"/>
      <c r="S11" s="73">
        <f>IFERROR(IF(OR($R11="",$F11=""),"",$R11/$F11),"")</f>
        <v/>
      </c>
      <c r="T11" s="75">
        <f>IFERROR(IF(OR($M11="",$R11=""),"",$M11/$R11),"")</f>
        <v/>
      </c>
      <c r="U11" s="70">
        <f>IFERROR(IF(OR($R11="",$O11=""),"",IF($R11=$O11,"No","Yes")),"")</f>
        <v/>
      </c>
      <c r="V11" s="71" t="n"/>
      <c r="W11" s="69">
        <f>IFERROR(IF($V11="","",TODAY()-$V11),"")</f>
        <v/>
      </c>
      <c r="X11" s="67" t="n"/>
      <c r="Y11" s="67" t="n"/>
      <c r="Z11" s="68" t="n"/>
      <c r="AA11" s="67" t="n"/>
      <c r="AB11" s="67" t="n"/>
    </row>
    <row r="12" ht="15" customHeight="1" s="46">
      <c r="A12" s="60">
        <f>IFERROR(ROW()-5,"")</f>
        <v/>
      </c>
      <c r="B12" s="61" t="n"/>
      <c r="C12" s="61" t="n"/>
      <c r="D12" s="61" t="n"/>
      <c r="E12" s="61" t="n"/>
      <c r="F12" s="60" t="n"/>
      <c r="G12" s="60" t="n"/>
      <c r="H12" s="60" t="n"/>
      <c r="I12" s="61" t="n"/>
      <c r="J12" s="61" t="n"/>
      <c r="K12" s="62" t="n"/>
      <c r="L12" s="63">
        <f>IFERROR(IF($K12="","",($K12-TODAY())/365.25),"")</f>
        <v/>
      </c>
      <c r="M12" s="64" t="n"/>
      <c r="N12" s="65">
        <f>IFERROR(IF(OR($M12="",$F12=""),"",$M12/$F12),"")</f>
        <v/>
      </c>
      <c r="O12" s="64" t="n"/>
      <c r="P12" s="64">
        <f>IFERROR(IF(OR($O12="",$F12=""),"",$O12/$F12),"")</f>
        <v/>
      </c>
      <c r="Q12" s="66">
        <f>IFERROR(IF(OR($M12="",$O12=""),"",$M12/$O12),"")</f>
        <v/>
      </c>
      <c r="R12" s="64" t="n"/>
      <c r="S12" s="64">
        <f>IFERROR(IF(OR($R12="",$F12=""),"",$R12/$F12),"")</f>
        <v/>
      </c>
      <c r="T12" s="66">
        <f>IFERROR(IF(OR($M12="",$R12=""),"",$M12/$R12),"")</f>
        <v/>
      </c>
      <c r="U12" s="61">
        <f>IFERROR(IF(OR($R12="",$O12=""),"",IF($R12=$O12,"No","Yes")),"")</f>
        <v/>
      </c>
      <c r="V12" s="62" t="n"/>
      <c r="W12" s="60">
        <f>IFERROR(IF($V12="","",TODAY()-$V12),"")</f>
        <v/>
      </c>
      <c r="X12" s="67" t="n"/>
      <c r="Y12" s="67" t="n"/>
      <c r="Z12" s="68" t="n"/>
      <c r="AA12" s="67" t="n"/>
      <c r="AB12" s="67" t="n"/>
    </row>
    <row r="13" ht="15" customHeight="1" s="46">
      <c r="A13" s="69">
        <f>IFERROR(ROW()-5,"")</f>
        <v/>
      </c>
      <c r="B13" s="70" t="n"/>
      <c r="C13" s="70" t="n"/>
      <c r="D13" s="70" t="n"/>
      <c r="E13" s="70" t="n"/>
      <c r="F13" s="69" t="n"/>
      <c r="G13" s="69" t="n"/>
      <c r="H13" s="69" t="n"/>
      <c r="I13" s="70" t="n"/>
      <c r="J13" s="70" t="n"/>
      <c r="K13" s="71" t="n"/>
      <c r="L13" s="72">
        <f>IFERROR(IF($K13="","",($K13-TODAY())/365.25),"")</f>
        <v/>
      </c>
      <c r="M13" s="73" t="n"/>
      <c r="N13" s="74">
        <f>IFERROR(IF(OR($M13="",$F13=""),"",$M13/$F13),"")</f>
        <v/>
      </c>
      <c r="O13" s="73" t="n"/>
      <c r="P13" s="73">
        <f>IFERROR(IF(OR($O13="",$F13=""),"",$O13/$F13),"")</f>
        <v/>
      </c>
      <c r="Q13" s="75">
        <f>IFERROR(IF(OR($M13="",$O13=""),"",$M13/$O13),"")</f>
        <v/>
      </c>
      <c r="R13" s="73" t="n"/>
      <c r="S13" s="73">
        <f>IFERROR(IF(OR($R13="",$F13=""),"",$R13/$F13),"")</f>
        <v/>
      </c>
      <c r="T13" s="75">
        <f>IFERROR(IF(OR($M13="",$R13=""),"",$M13/$R13),"")</f>
        <v/>
      </c>
      <c r="U13" s="70">
        <f>IFERROR(IF(OR($R13="",$O13=""),"",IF($R13=$O13,"No","Yes")),"")</f>
        <v/>
      </c>
      <c r="V13" s="71" t="n"/>
      <c r="W13" s="69">
        <f>IFERROR(IF($V13="","",TODAY()-$V13),"")</f>
        <v/>
      </c>
      <c r="X13" s="67" t="n"/>
      <c r="Y13" s="67" t="n"/>
      <c r="Z13" s="68" t="n"/>
      <c r="AA13" s="67" t="n"/>
      <c r="AB13" s="67" t="n"/>
    </row>
    <row r="14" ht="15" customHeight="1" s="46">
      <c r="A14" s="60">
        <f>IFERROR(ROW()-5,"")</f>
        <v/>
      </c>
      <c r="B14" s="61" t="n"/>
      <c r="C14" s="61" t="n"/>
      <c r="D14" s="61" t="n"/>
      <c r="E14" s="61" t="n"/>
      <c r="F14" s="60" t="n"/>
      <c r="G14" s="60" t="n"/>
      <c r="H14" s="60" t="n"/>
      <c r="I14" s="61" t="n"/>
      <c r="J14" s="61" t="n"/>
      <c r="K14" s="62" t="n"/>
      <c r="L14" s="63">
        <f>IFERROR(IF($K14="","",($K14-TODAY())/365.25),"")</f>
        <v/>
      </c>
      <c r="M14" s="64" t="n"/>
      <c r="N14" s="65">
        <f>IFERROR(IF(OR($M14="",$F14=""),"",$M14/$F14),"")</f>
        <v/>
      </c>
      <c r="O14" s="64" t="n"/>
      <c r="P14" s="64">
        <f>IFERROR(IF(OR($O14="",$F14=""),"",$O14/$F14),"")</f>
        <v/>
      </c>
      <c r="Q14" s="66">
        <f>IFERROR(IF(OR($M14="",$O14=""),"",$M14/$O14),"")</f>
        <v/>
      </c>
      <c r="R14" s="64" t="n"/>
      <c r="S14" s="64">
        <f>IFERROR(IF(OR($R14="",$F14=""),"",$R14/$F14),"")</f>
        <v/>
      </c>
      <c r="T14" s="66">
        <f>IFERROR(IF(OR($M14="",$R14=""),"",$M14/$R14),"")</f>
        <v/>
      </c>
      <c r="U14" s="61">
        <f>IFERROR(IF(OR($R14="",$O14=""),"",IF($R14=$O14,"No","Yes")),"")</f>
        <v/>
      </c>
      <c r="V14" s="62" t="n"/>
      <c r="W14" s="60">
        <f>IFERROR(IF($V14="","",TODAY()-$V14),"")</f>
        <v/>
      </c>
      <c r="X14" s="67" t="n"/>
      <c r="Y14" s="67" t="n"/>
      <c r="Z14" s="68" t="n"/>
      <c r="AA14" s="67" t="n"/>
      <c r="AB14" s="67" t="n"/>
    </row>
    <row r="15" ht="15" customHeight="1" s="46">
      <c r="A15" s="69">
        <f>IFERROR(ROW()-5,"")</f>
        <v/>
      </c>
      <c r="B15" s="70" t="n"/>
      <c r="C15" s="70" t="n"/>
      <c r="D15" s="70" t="n"/>
      <c r="E15" s="70" t="n"/>
      <c r="F15" s="69" t="n"/>
      <c r="G15" s="69" t="n"/>
      <c r="H15" s="69" t="n"/>
      <c r="I15" s="70" t="n"/>
      <c r="J15" s="70" t="n"/>
      <c r="K15" s="71" t="n"/>
      <c r="L15" s="72">
        <f>IFERROR(IF($K15="","",($K15-TODAY())/365.25),"")</f>
        <v/>
      </c>
      <c r="M15" s="73" t="n"/>
      <c r="N15" s="74">
        <f>IFERROR(IF(OR($M15="",$F15=""),"",$M15/$F15),"")</f>
        <v/>
      </c>
      <c r="O15" s="73" t="n"/>
      <c r="P15" s="73">
        <f>IFERROR(IF(OR($O15="",$F15=""),"",$O15/$F15),"")</f>
        <v/>
      </c>
      <c r="Q15" s="75">
        <f>IFERROR(IF(OR($M15="",$O15=""),"",$M15/$O15),"")</f>
        <v/>
      </c>
      <c r="R15" s="73" t="n"/>
      <c r="S15" s="73">
        <f>IFERROR(IF(OR($R15="",$F15=""),"",$R15/$F15),"")</f>
        <v/>
      </c>
      <c r="T15" s="75">
        <f>IFERROR(IF(OR($M15="",$R15=""),"",$M15/$R15),"")</f>
        <v/>
      </c>
      <c r="U15" s="70">
        <f>IFERROR(IF(OR($R15="",$O15=""),"",IF($R15=$O15,"No","Yes")),"")</f>
        <v/>
      </c>
      <c r="V15" s="71" t="n"/>
      <c r="W15" s="69">
        <f>IFERROR(IF($V15="","",TODAY()-$V15),"")</f>
        <v/>
      </c>
      <c r="X15" s="67" t="n"/>
      <c r="Y15" s="67" t="n"/>
      <c r="Z15" s="68" t="n"/>
      <c r="AA15" s="67" t="n"/>
      <c r="AB15" s="67" t="n"/>
    </row>
    <row r="16" ht="15" customHeight="1" s="46">
      <c r="A16" s="60">
        <f>IFERROR(ROW()-5,"")</f>
        <v/>
      </c>
      <c r="B16" s="61" t="n"/>
      <c r="C16" s="61" t="n"/>
      <c r="D16" s="61" t="n"/>
      <c r="E16" s="61" t="n"/>
      <c r="F16" s="60" t="n"/>
      <c r="G16" s="60" t="n"/>
      <c r="H16" s="60" t="n"/>
      <c r="I16" s="61" t="n"/>
      <c r="J16" s="61" t="n"/>
      <c r="K16" s="62" t="n"/>
      <c r="L16" s="63">
        <f>IFERROR(IF($K16="","",($K16-TODAY())/365.25),"")</f>
        <v/>
      </c>
      <c r="M16" s="64" t="n"/>
      <c r="N16" s="65">
        <f>IFERROR(IF(OR($M16="",$F16=""),"",$M16/$F16),"")</f>
        <v/>
      </c>
      <c r="O16" s="64" t="n"/>
      <c r="P16" s="64">
        <f>IFERROR(IF(OR($O16="",$F16=""),"",$O16/$F16),"")</f>
        <v/>
      </c>
      <c r="Q16" s="66">
        <f>IFERROR(IF(OR($M16="",$O16=""),"",$M16/$O16),"")</f>
        <v/>
      </c>
      <c r="R16" s="64" t="n"/>
      <c r="S16" s="64">
        <f>IFERROR(IF(OR($R16="",$F16=""),"",$R16/$F16),"")</f>
        <v/>
      </c>
      <c r="T16" s="66">
        <f>IFERROR(IF(OR($M16="",$R16=""),"",$M16/$R16),"")</f>
        <v/>
      </c>
      <c r="U16" s="61">
        <f>IFERROR(IF(OR($R16="",$O16=""),"",IF($R16=$O16,"No","Yes")),"")</f>
        <v/>
      </c>
      <c r="V16" s="62" t="n"/>
      <c r="W16" s="60">
        <f>IFERROR(IF($V16="","",TODAY()-$V16),"")</f>
        <v/>
      </c>
      <c r="X16" s="67" t="n"/>
      <c r="Y16" s="67" t="n"/>
      <c r="Z16" s="68" t="n"/>
      <c r="AA16" s="67" t="n"/>
      <c r="AB16" s="67" t="n"/>
    </row>
    <row r="17" ht="15" customHeight="1" s="46">
      <c r="A17" s="69">
        <f>IFERROR(ROW()-5,"")</f>
        <v/>
      </c>
      <c r="B17" s="70" t="n"/>
      <c r="C17" s="70" t="n"/>
      <c r="D17" s="70" t="n"/>
      <c r="E17" s="70" t="n"/>
      <c r="F17" s="69" t="n"/>
      <c r="G17" s="69" t="n"/>
      <c r="H17" s="69" t="n"/>
      <c r="I17" s="70" t="n"/>
      <c r="J17" s="70" t="n"/>
      <c r="K17" s="71" t="n"/>
      <c r="L17" s="72">
        <f>IFERROR(IF($K17="","",($K17-TODAY())/365.25),"")</f>
        <v/>
      </c>
      <c r="M17" s="73" t="n"/>
      <c r="N17" s="74">
        <f>IFERROR(IF(OR($M17="",$F17=""),"",$M17/$F17),"")</f>
        <v/>
      </c>
      <c r="O17" s="73" t="n"/>
      <c r="P17" s="73">
        <f>IFERROR(IF(OR($O17="",$F17=""),"",$O17/$F17),"")</f>
        <v/>
      </c>
      <c r="Q17" s="75">
        <f>IFERROR(IF(OR($M17="",$O17=""),"",$M17/$O17),"")</f>
        <v/>
      </c>
      <c r="R17" s="73" t="n"/>
      <c r="S17" s="73">
        <f>IFERROR(IF(OR($R17="",$F17=""),"",$R17/$F17),"")</f>
        <v/>
      </c>
      <c r="T17" s="75">
        <f>IFERROR(IF(OR($M17="",$R17=""),"",$M17/$R17),"")</f>
        <v/>
      </c>
      <c r="U17" s="70">
        <f>IFERROR(IF(OR($R17="",$O17=""),"",IF($R17=$O17,"No","Yes")),"")</f>
        <v/>
      </c>
      <c r="V17" s="71" t="n"/>
      <c r="W17" s="69">
        <f>IFERROR(IF($V17="","",TODAY()-$V17),"")</f>
        <v/>
      </c>
      <c r="X17" s="67" t="n"/>
      <c r="Y17" s="67" t="n"/>
      <c r="Z17" s="68" t="n"/>
      <c r="AA17" s="67" t="n"/>
      <c r="AB17" s="67" t="n"/>
    </row>
    <row r="18" ht="15" customHeight="1" s="46">
      <c r="A18" s="60">
        <f>IFERROR(ROW()-5,"")</f>
        <v/>
      </c>
      <c r="B18" s="61" t="n"/>
      <c r="C18" s="61" t="n"/>
      <c r="D18" s="61" t="n"/>
      <c r="E18" s="61" t="n"/>
      <c r="F18" s="60" t="n"/>
      <c r="G18" s="60" t="n"/>
      <c r="H18" s="60" t="n"/>
      <c r="I18" s="61" t="n"/>
      <c r="J18" s="61" t="n"/>
      <c r="K18" s="62" t="n"/>
      <c r="L18" s="63">
        <f>IFERROR(IF($K18="","",($K18-TODAY())/365.25),"")</f>
        <v/>
      </c>
      <c r="M18" s="64" t="n"/>
      <c r="N18" s="65">
        <f>IFERROR(IF(OR($M18="",$F18=""),"",$M18/$F18),"")</f>
        <v/>
      </c>
      <c r="O18" s="64" t="n"/>
      <c r="P18" s="64">
        <f>IFERROR(IF(OR($O18="",$F18=""),"",$O18/$F18),"")</f>
        <v/>
      </c>
      <c r="Q18" s="66">
        <f>IFERROR(IF(OR($M18="",$O18=""),"",$M18/$O18),"")</f>
        <v/>
      </c>
      <c r="R18" s="64" t="n"/>
      <c r="S18" s="64">
        <f>IFERROR(IF(OR($R18="",$F18=""),"",$R18/$F18),"")</f>
        <v/>
      </c>
      <c r="T18" s="66">
        <f>IFERROR(IF(OR($M18="",$R18=""),"",$M18/$R18),"")</f>
        <v/>
      </c>
      <c r="U18" s="61">
        <f>IFERROR(IF(OR($R18="",$O18=""),"",IF($R18=$O18,"No","Yes")),"")</f>
        <v/>
      </c>
      <c r="V18" s="62" t="n"/>
      <c r="W18" s="60">
        <f>IFERROR(IF($V18="","",TODAY()-$V18),"")</f>
        <v/>
      </c>
      <c r="X18" s="67" t="n"/>
      <c r="Y18" s="67" t="n"/>
      <c r="Z18" s="68" t="n"/>
      <c r="AA18" s="67" t="n"/>
      <c r="AB18" s="67" t="n"/>
    </row>
    <row r="19" ht="15" customHeight="1" s="46">
      <c r="A19" s="69">
        <f>IFERROR(ROW()-5,"")</f>
        <v/>
      </c>
      <c r="B19" s="70" t="n"/>
      <c r="C19" s="70" t="n"/>
      <c r="D19" s="70" t="n"/>
      <c r="E19" s="70" t="n"/>
      <c r="F19" s="69" t="n"/>
      <c r="G19" s="69" t="n"/>
      <c r="H19" s="69" t="n"/>
      <c r="I19" s="70" t="n"/>
      <c r="J19" s="70" t="n"/>
      <c r="K19" s="71" t="n"/>
      <c r="L19" s="72">
        <f>IFERROR(IF($K19="","",($K19-TODAY())/365.25),"")</f>
        <v/>
      </c>
      <c r="M19" s="73" t="n"/>
      <c r="N19" s="74">
        <f>IFERROR(IF(OR($M19="",$F19=""),"",$M19/$F19),"")</f>
        <v/>
      </c>
      <c r="O19" s="73" t="n"/>
      <c r="P19" s="73">
        <f>IFERROR(IF(OR($O19="",$F19=""),"",$O19/$F19),"")</f>
        <v/>
      </c>
      <c r="Q19" s="75">
        <f>IFERROR(IF(OR($M19="",$O19=""),"",$M19/$O19),"")</f>
        <v/>
      </c>
      <c r="R19" s="73" t="n"/>
      <c r="S19" s="73">
        <f>IFERROR(IF(OR($R19="",$F19=""),"",$R19/$F19),"")</f>
        <v/>
      </c>
      <c r="T19" s="75">
        <f>IFERROR(IF(OR($M19="",$R19=""),"",$M19/$R19),"")</f>
        <v/>
      </c>
      <c r="U19" s="70">
        <f>IFERROR(IF(OR($R19="",$O19=""),"",IF($R19=$O19,"No","Yes")),"")</f>
        <v/>
      </c>
      <c r="V19" s="71" t="n"/>
      <c r="W19" s="69">
        <f>IFERROR(IF($V19="","",TODAY()-$V19),"")</f>
        <v/>
      </c>
      <c r="X19" s="67" t="n"/>
      <c r="Y19" s="67" t="n"/>
      <c r="Z19" s="68" t="n"/>
      <c r="AA19" s="67" t="n"/>
      <c r="AB19" s="67" t="n"/>
    </row>
    <row r="20" ht="15" customHeight="1" s="46">
      <c r="A20" s="60">
        <f>IFERROR(ROW()-5,"")</f>
        <v/>
      </c>
      <c r="B20" s="61" t="n"/>
      <c r="C20" s="61" t="n"/>
      <c r="D20" s="61" t="n"/>
      <c r="E20" s="61" t="n"/>
      <c r="F20" s="60" t="n"/>
      <c r="G20" s="60" t="n"/>
      <c r="H20" s="60" t="n"/>
      <c r="I20" s="61" t="n"/>
      <c r="J20" s="61" t="n"/>
      <c r="K20" s="62" t="n"/>
      <c r="L20" s="63">
        <f>IFERROR(IF($K20="","",($K20-TODAY())/365.25),"")</f>
        <v/>
      </c>
      <c r="M20" s="64" t="n"/>
      <c r="N20" s="65">
        <f>IFERROR(IF(OR($M20="",$F20=""),"",$M20/$F20),"")</f>
        <v/>
      </c>
      <c r="O20" s="64" t="n"/>
      <c r="P20" s="64">
        <f>IFERROR(IF(OR($O20="",$F20=""),"",$O20/$F20),"")</f>
        <v/>
      </c>
      <c r="Q20" s="66">
        <f>IFERROR(IF(OR($M20="",$O20=""),"",$M20/$O20),"")</f>
        <v/>
      </c>
      <c r="R20" s="64" t="n"/>
      <c r="S20" s="64">
        <f>IFERROR(IF(OR($R20="",$F20=""),"",$R20/$F20),"")</f>
        <v/>
      </c>
      <c r="T20" s="66">
        <f>IFERROR(IF(OR($M20="",$R20=""),"",$M20/$R20),"")</f>
        <v/>
      </c>
      <c r="U20" s="61">
        <f>IFERROR(IF(OR($R20="",$O20=""),"",IF($R20=$O20,"No","Yes")),"")</f>
        <v/>
      </c>
      <c r="V20" s="62" t="n"/>
      <c r="W20" s="60">
        <f>IFERROR(IF($V20="","",TODAY()-$V20),"")</f>
        <v/>
      </c>
      <c r="X20" s="67" t="n"/>
      <c r="Y20" s="67" t="n"/>
      <c r="Z20" s="68" t="n"/>
      <c r="AA20" s="67" t="n"/>
      <c r="AB20" s="67" t="n"/>
    </row>
    <row r="21" ht="15" customHeight="1" s="46">
      <c r="A21" s="69">
        <f>IFERROR(ROW()-5,"")</f>
        <v/>
      </c>
      <c r="B21" s="70" t="n"/>
      <c r="C21" s="70" t="n"/>
      <c r="D21" s="70" t="n"/>
      <c r="E21" s="70" t="n"/>
      <c r="F21" s="69" t="n"/>
      <c r="G21" s="69" t="n"/>
      <c r="H21" s="69" t="n"/>
      <c r="I21" s="70" t="n"/>
      <c r="J21" s="70" t="n"/>
      <c r="K21" s="71" t="n"/>
      <c r="L21" s="72">
        <f>IFERROR(IF($K21="","",($K21-TODAY())/365.25),"")</f>
        <v/>
      </c>
      <c r="M21" s="73" t="n"/>
      <c r="N21" s="74">
        <f>IFERROR(IF(OR($M21="",$F21=""),"",$M21/$F21),"")</f>
        <v/>
      </c>
      <c r="O21" s="73" t="n"/>
      <c r="P21" s="73">
        <f>IFERROR(IF(OR($O21="",$F21=""),"",$O21/$F21),"")</f>
        <v/>
      </c>
      <c r="Q21" s="75">
        <f>IFERROR(IF(OR($M21="",$O21=""),"",$M21/$O21),"")</f>
        <v/>
      </c>
      <c r="R21" s="73" t="n"/>
      <c r="S21" s="73">
        <f>IFERROR(IF(OR($R21="",$F21=""),"",$R21/$F21),"")</f>
        <v/>
      </c>
      <c r="T21" s="75">
        <f>IFERROR(IF(OR($M21="",$R21=""),"",$M21/$R21),"")</f>
        <v/>
      </c>
      <c r="U21" s="70">
        <f>IFERROR(IF(OR($R21="",$O21=""),"",IF($R21=$O21,"No","Yes")),"")</f>
        <v/>
      </c>
      <c r="V21" s="71" t="n"/>
      <c r="W21" s="69">
        <f>IFERROR(IF($V21="","",TODAY()-$V21),"")</f>
        <v/>
      </c>
      <c r="X21" s="67" t="n"/>
      <c r="Y21" s="67" t="n"/>
      <c r="Z21" s="68" t="n"/>
      <c r="AA21" s="67" t="n"/>
      <c r="AB21" s="67" t="n"/>
    </row>
    <row r="22" ht="15" customHeight="1" s="46">
      <c r="A22" s="60">
        <f>IFERROR(ROW()-5,"")</f>
        <v/>
      </c>
      <c r="B22" s="61" t="n"/>
      <c r="C22" s="61" t="n"/>
      <c r="D22" s="61" t="n"/>
      <c r="E22" s="61" t="n"/>
      <c r="F22" s="60" t="n"/>
      <c r="G22" s="60" t="n"/>
      <c r="H22" s="60" t="n"/>
      <c r="I22" s="61" t="n"/>
      <c r="J22" s="61" t="n"/>
      <c r="K22" s="62" t="n"/>
      <c r="L22" s="63">
        <f>IFERROR(IF($K22="","",($K22-TODAY())/365.25),"")</f>
        <v/>
      </c>
      <c r="M22" s="64" t="n"/>
      <c r="N22" s="65">
        <f>IFERROR(IF(OR($M22="",$F22=""),"",$M22/$F22),"")</f>
        <v/>
      </c>
      <c r="O22" s="64" t="n"/>
      <c r="P22" s="64">
        <f>IFERROR(IF(OR($O22="",$F22=""),"",$O22/$F22),"")</f>
        <v/>
      </c>
      <c r="Q22" s="66">
        <f>IFERROR(IF(OR($M22="",$O22=""),"",$M22/$O22),"")</f>
        <v/>
      </c>
      <c r="R22" s="64" t="n"/>
      <c r="S22" s="64">
        <f>IFERROR(IF(OR($R22="",$F22=""),"",$R22/$F22),"")</f>
        <v/>
      </c>
      <c r="T22" s="66">
        <f>IFERROR(IF(OR($M22="",$R22=""),"",$M22/$R22),"")</f>
        <v/>
      </c>
      <c r="U22" s="61">
        <f>IFERROR(IF(OR($R22="",$O22=""),"",IF($R22=$O22,"No","Yes")),"")</f>
        <v/>
      </c>
      <c r="V22" s="62" t="n"/>
      <c r="W22" s="60">
        <f>IFERROR(IF($V22="","",TODAY()-$V22),"")</f>
        <v/>
      </c>
      <c r="X22" s="67" t="n"/>
      <c r="Y22" s="67" t="n"/>
      <c r="Z22" s="68" t="n"/>
      <c r="AA22" s="67" t="n"/>
      <c r="AB22" s="67" t="n"/>
    </row>
    <row r="23" ht="15" customHeight="1" s="46">
      <c r="A23" s="69">
        <f>IFERROR(ROW()-5,"")</f>
        <v/>
      </c>
      <c r="B23" s="70" t="n"/>
      <c r="C23" s="70" t="n"/>
      <c r="D23" s="70" t="n"/>
      <c r="E23" s="70" t="n"/>
      <c r="F23" s="69" t="n"/>
      <c r="G23" s="69" t="n"/>
      <c r="H23" s="69" t="n"/>
      <c r="I23" s="70" t="n"/>
      <c r="J23" s="70" t="n"/>
      <c r="K23" s="71" t="n"/>
      <c r="L23" s="72">
        <f>IFERROR(IF($K23="","",($K23-TODAY())/365.25),"")</f>
        <v/>
      </c>
      <c r="M23" s="73" t="n"/>
      <c r="N23" s="74">
        <f>IFERROR(IF(OR($M23="",$F23=""),"",$M23/$F23),"")</f>
        <v/>
      </c>
      <c r="O23" s="73" t="n"/>
      <c r="P23" s="73">
        <f>IFERROR(IF(OR($O23="",$F23=""),"",$O23/$F23),"")</f>
        <v/>
      </c>
      <c r="Q23" s="75">
        <f>IFERROR(IF(OR($M23="",$O23=""),"",$M23/$O23),"")</f>
        <v/>
      </c>
      <c r="R23" s="73" t="n"/>
      <c r="S23" s="73">
        <f>IFERROR(IF(OR($R23="",$F23=""),"",$R23/$F23),"")</f>
        <v/>
      </c>
      <c r="T23" s="75">
        <f>IFERROR(IF(OR($M23="",$R23=""),"",$M23/$R23),"")</f>
        <v/>
      </c>
      <c r="U23" s="70">
        <f>IFERROR(IF(OR($R23="",$O23=""),"",IF($R23=$O23,"No","Yes")),"")</f>
        <v/>
      </c>
      <c r="V23" s="71" t="n"/>
      <c r="W23" s="69">
        <f>IFERROR(IF($V23="","",TODAY()-$V23),"")</f>
        <v/>
      </c>
      <c r="X23" s="67" t="n"/>
      <c r="Y23" s="67" t="n"/>
      <c r="Z23" s="68" t="n"/>
      <c r="AA23" s="67" t="n"/>
      <c r="AB23" s="67" t="n"/>
    </row>
    <row r="24" ht="15" customHeight="1" s="46">
      <c r="A24" s="60">
        <f>IFERROR(ROW()-5,"")</f>
        <v/>
      </c>
      <c r="B24" s="61" t="n"/>
      <c r="C24" s="61" t="n"/>
      <c r="D24" s="61" t="n"/>
      <c r="E24" s="61" t="n"/>
      <c r="F24" s="60" t="n"/>
      <c r="G24" s="60" t="n"/>
      <c r="H24" s="60" t="n"/>
      <c r="I24" s="61" t="n"/>
      <c r="J24" s="61" t="n"/>
      <c r="K24" s="62" t="n"/>
      <c r="L24" s="63">
        <f>IFERROR(IF($K24="","",($K24-TODAY())/365.25),"")</f>
        <v/>
      </c>
      <c r="M24" s="64" t="n"/>
      <c r="N24" s="65">
        <f>IFERROR(IF(OR($M24="",$F24=""),"",$M24/$F24),"")</f>
        <v/>
      </c>
      <c r="O24" s="64" t="n"/>
      <c r="P24" s="64">
        <f>IFERROR(IF(OR($O24="",$F24=""),"",$O24/$F24),"")</f>
        <v/>
      </c>
      <c r="Q24" s="66">
        <f>IFERROR(IF(OR($M24="",$O24=""),"",$M24/$O24),"")</f>
        <v/>
      </c>
      <c r="R24" s="64" t="n"/>
      <c r="S24" s="64">
        <f>IFERROR(IF(OR($R24="",$F24=""),"",$R24/$F24),"")</f>
        <v/>
      </c>
      <c r="T24" s="66">
        <f>IFERROR(IF(OR($M24="",$R24=""),"",$M24/$R24),"")</f>
        <v/>
      </c>
      <c r="U24" s="61">
        <f>IFERROR(IF(OR($R24="",$O24=""),"",IF($R24=$O24,"No","Yes")),"")</f>
        <v/>
      </c>
      <c r="V24" s="62" t="n"/>
      <c r="W24" s="60">
        <f>IFERROR(IF($V24="","",TODAY()-$V24),"")</f>
        <v/>
      </c>
      <c r="X24" s="67" t="n"/>
      <c r="Y24" s="67" t="n"/>
      <c r="Z24" s="68" t="n"/>
      <c r="AA24" s="67" t="n"/>
      <c r="AB24" s="67" t="n"/>
    </row>
    <row r="25" ht="15" customHeight="1" s="46">
      <c r="A25" s="69">
        <f>IFERROR(ROW()-5,"")</f>
        <v/>
      </c>
      <c r="B25" s="70" t="n"/>
      <c r="C25" s="70" t="n"/>
      <c r="D25" s="70" t="n"/>
      <c r="E25" s="70" t="n"/>
      <c r="F25" s="69" t="n"/>
      <c r="G25" s="69" t="n"/>
      <c r="H25" s="69" t="n"/>
      <c r="I25" s="70" t="n"/>
      <c r="J25" s="70" t="n"/>
      <c r="K25" s="71" t="n"/>
      <c r="L25" s="72">
        <f>IFERROR(IF($K25="","",($K25-TODAY())/365.25),"")</f>
        <v/>
      </c>
      <c r="M25" s="73" t="n"/>
      <c r="N25" s="74">
        <f>IFERROR(IF(OR($M25="",$F25=""),"",$M25/$F25),"")</f>
        <v/>
      </c>
      <c r="O25" s="73" t="n"/>
      <c r="P25" s="73">
        <f>IFERROR(IF(OR($O25="",$F25=""),"",$O25/$F25),"")</f>
        <v/>
      </c>
      <c r="Q25" s="75">
        <f>IFERROR(IF(OR($M25="",$O25=""),"",$M25/$O25),"")</f>
        <v/>
      </c>
      <c r="R25" s="73" t="n"/>
      <c r="S25" s="73">
        <f>IFERROR(IF(OR($R25="",$F25=""),"",$R25/$F25),"")</f>
        <v/>
      </c>
      <c r="T25" s="75">
        <f>IFERROR(IF(OR($M25="",$R25=""),"",$M25/$R25),"")</f>
        <v/>
      </c>
      <c r="U25" s="70">
        <f>IFERROR(IF(OR($R25="",$O25=""),"",IF($R25=$O25,"No","Yes")),"")</f>
        <v/>
      </c>
      <c r="V25" s="71" t="n"/>
      <c r="W25" s="69">
        <f>IFERROR(IF($V25="","",TODAY()-$V25),"")</f>
        <v/>
      </c>
      <c r="X25" s="67" t="n"/>
      <c r="Y25" s="67" t="n"/>
      <c r="Z25" s="68" t="n"/>
      <c r="AA25" s="67" t="n"/>
      <c r="AB25" s="67" t="n"/>
    </row>
    <row r="26" ht="15" customHeight="1" s="46">
      <c r="A26" s="60">
        <f>IFERROR(ROW()-5,"")</f>
        <v/>
      </c>
      <c r="B26" s="61" t="n"/>
      <c r="C26" s="61" t="n"/>
      <c r="D26" s="61" t="n"/>
      <c r="E26" s="61" t="n"/>
      <c r="F26" s="60" t="n"/>
      <c r="G26" s="60" t="n"/>
      <c r="H26" s="60" t="n"/>
      <c r="I26" s="61" t="n"/>
      <c r="J26" s="61" t="n"/>
      <c r="K26" s="62" t="n"/>
      <c r="L26" s="63">
        <f>IFERROR(IF($K26="","",($K26-TODAY())/365.25),"")</f>
        <v/>
      </c>
      <c r="M26" s="64" t="n"/>
      <c r="N26" s="65">
        <f>IFERROR(IF(OR($M26="",$F26=""),"",$M26/$F26),"")</f>
        <v/>
      </c>
      <c r="O26" s="64" t="n"/>
      <c r="P26" s="64">
        <f>IFERROR(IF(OR($O26="",$F26=""),"",$O26/$F26),"")</f>
        <v/>
      </c>
      <c r="Q26" s="66">
        <f>IFERROR(IF(OR($M26="",$O26=""),"",$M26/$O26),"")</f>
        <v/>
      </c>
      <c r="R26" s="64" t="n"/>
      <c r="S26" s="64">
        <f>IFERROR(IF(OR($R26="",$F26=""),"",$R26/$F26),"")</f>
        <v/>
      </c>
      <c r="T26" s="66">
        <f>IFERROR(IF(OR($M26="",$R26=""),"",$M26/$R26),"")</f>
        <v/>
      </c>
      <c r="U26" s="61">
        <f>IFERROR(IF(OR($R26="",$O26=""),"",IF($R26=$O26,"No","Yes")),"")</f>
        <v/>
      </c>
      <c r="V26" s="62" t="n"/>
      <c r="W26" s="60">
        <f>IFERROR(IF($V26="","",TODAY()-$V26),"")</f>
        <v/>
      </c>
      <c r="X26" s="67" t="n"/>
      <c r="Y26" s="67" t="n"/>
      <c r="Z26" s="68" t="n"/>
      <c r="AA26" s="67" t="n"/>
      <c r="AB26" s="67" t="n"/>
    </row>
    <row r="27" ht="15" customHeight="1" s="46">
      <c r="A27" s="69">
        <f>IFERROR(ROW()-5,"")</f>
        <v/>
      </c>
      <c r="B27" s="70" t="n"/>
      <c r="C27" s="70" t="n"/>
      <c r="D27" s="70" t="n"/>
      <c r="E27" s="70" t="n"/>
      <c r="F27" s="69" t="n"/>
      <c r="G27" s="69" t="n"/>
      <c r="H27" s="69" t="n"/>
      <c r="I27" s="70" t="n"/>
      <c r="J27" s="70" t="n"/>
      <c r="K27" s="71" t="n"/>
      <c r="L27" s="72">
        <f>IFERROR(IF($K27="","",($K27-TODAY())/365.25),"")</f>
        <v/>
      </c>
      <c r="M27" s="73" t="n"/>
      <c r="N27" s="74">
        <f>IFERROR(IF(OR($M27="",$F27=""),"",$M27/$F27),"")</f>
        <v/>
      </c>
      <c r="O27" s="73" t="n"/>
      <c r="P27" s="73">
        <f>IFERROR(IF(OR($O27="",$F27=""),"",$O27/$F27),"")</f>
        <v/>
      </c>
      <c r="Q27" s="75">
        <f>IFERROR(IF(OR($M27="",$O27=""),"",$M27/$O27),"")</f>
        <v/>
      </c>
      <c r="R27" s="73" t="n"/>
      <c r="S27" s="73">
        <f>IFERROR(IF(OR($R27="",$F27=""),"",$R27/$F27),"")</f>
        <v/>
      </c>
      <c r="T27" s="75">
        <f>IFERROR(IF(OR($M27="",$R27=""),"",$M27/$R27),"")</f>
        <v/>
      </c>
      <c r="U27" s="70">
        <f>IFERROR(IF(OR($R27="",$O27=""),"",IF($R27=$O27,"No","Yes")),"")</f>
        <v/>
      </c>
      <c r="V27" s="71" t="n"/>
      <c r="W27" s="69">
        <f>IFERROR(IF($V27="","",TODAY()-$V27),"")</f>
        <v/>
      </c>
      <c r="X27" s="67" t="n"/>
      <c r="Y27" s="67" t="n"/>
      <c r="Z27" s="68" t="n"/>
      <c r="AA27" s="67" t="n"/>
      <c r="AB27" s="67" t="n"/>
    </row>
    <row r="28" ht="15" customHeight="1" s="46">
      <c r="A28" s="60">
        <f>IFERROR(ROW()-5,"")</f>
        <v/>
      </c>
      <c r="B28" s="61" t="n"/>
      <c r="C28" s="61" t="n"/>
      <c r="D28" s="61" t="n"/>
      <c r="E28" s="61" t="n"/>
      <c r="F28" s="60" t="n"/>
      <c r="G28" s="60" t="n"/>
      <c r="H28" s="60" t="n"/>
      <c r="I28" s="61" t="n"/>
      <c r="J28" s="61" t="n"/>
      <c r="K28" s="62" t="n"/>
      <c r="L28" s="63">
        <f>IFERROR(IF($K28="","",($K28-TODAY())/365.25),"")</f>
        <v/>
      </c>
      <c r="M28" s="64" t="n"/>
      <c r="N28" s="65">
        <f>IFERROR(IF(OR($M28="",$F28=""),"",$M28/$F28),"")</f>
        <v/>
      </c>
      <c r="O28" s="64" t="n"/>
      <c r="P28" s="64">
        <f>IFERROR(IF(OR($O28="",$F28=""),"",$O28/$F28),"")</f>
        <v/>
      </c>
      <c r="Q28" s="66">
        <f>IFERROR(IF(OR($M28="",$O28=""),"",$M28/$O28),"")</f>
        <v/>
      </c>
      <c r="R28" s="64" t="n"/>
      <c r="S28" s="64">
        <f>IFERROR(IF(OR($R28="",$F28=""),"",$R28/$F28),"")</f>
        <v/>
      </c>
      <c r="T28" s="66">
        <f>IFERROR(IF(OR($M28="",$R28=""),"",$M28/$R28),"")</f>
        <v/>
      </c>
      <c r="U28" s="61">
        <f>IFERROR(IF(OR($R28="",$O28=""),"",IF($R28=$O28,"No","Yes")),"")</f>
        <v/>
      </c>
      <c r="V28" s="62" t="n"/>
      <c r="W28" s="60">
        <f>IFERROR(IF($V28="","",TODAY()-$V28),"")</f>
        <v/>
      </c>
      <c r="X28" s="67" t="n"/>
      <c r="Y28" s="67" t="n"/>
      <c r="Z28" s="68" t="n"/>
      <c r="AA28" s="67" t="n"/>
      <c r="AB28" s="67" t="n"/>
    </row>
    <row r="29" ht="15" customHeight="1" s="46">
      <c r="A29" s="69">
        <f>IFERROR(ROW()-5,"")</f>
        <v/>
      </c>
      <c r="B29" s="70" t="n"/>
      <c r="C29" s="70" t="n"/>
      <c r="D29" s="70" t="n"/>
      <c r="E29" s="70" t="n"/>
      <c r="F29" s="69" t="n"/>
      <c r="G29" s="69" t="n"/>
      <c r="H29" s="69" t="n"/>
      <c r="I29" s="70" t="n"/>
      <c r="J29" s="70" t="n"/>
      <c r="K29" s="71" t="n"/>
      <c r="L29" s="72">
        <f>IFERROR(IF($K29="","",($K29-TODAY())/365.25),"")</f>
        <v/>
      </c>
      <c r="M29" s="73" t="n"/>
      <c r="N29" s="74">
        <f>IFERROR(IF(OR($M29="",$F29=""),"",$M29/$F29),"")</f>
        <v/>
      </c>
      <c r="O29" s="73" t="n"/>
      <c r="P29" s="73">
        <f>IFERROR(IF(OR($O29="",$F29=""),"",$O29/$F29),"")</f>
        <v/>
      </c>
      <c r="Q29" s="75">
        <f>IFERROR(IF(OR($M29="",$O29=""),"",$M29/$O29),"")</f>
        <v/>
      </c>
      <c r="R29" s="73" t="n"/>
      <c r="S29" s="73">
        <f>IFERROR(IF(OR($R29="",$F29=""),"",$R29/$F29),"")</f>
        <v/>
      </c>
      <c r="T29" s="75">
        <f>IFERROR(IF(OR($M29="",$R29=""),"",$M29/$R29),"")</f>
        <v/>
      </c>
      <c r="U29" s="70">
        <f>IFERROR(IF(OR($R29="",$O29=""),"",IF($R29=$O29,"No","Yes")),"")</f>
        <v/>
      </c>
      <c r="V29" s="71" t="n"/>
      <c r="W29" s="69">
        <f>IFERROR(IF($V29="","",TODAY()-$V29),"")</f>
        <v/>
      </c>
      <c r="X29" s="67" t="n"/>
      <c r="Y29" s="67" t="n"/>
      <c r="Z29" s="68" t="n"/>
      <c r="AA29" s="67" t="n"/>
      <c r="AB29" s="67" t="n"/>
    </row>
    <row r="30" ht="15" customHeight="1" s="46">
      <c r="A30" s="60">
        <f>IFERROR(ROW()-5,"")</f>
        <v/>
      </c>
      <c r="B30" s="61" t="n"/>
      <c r="C30" s="61" t="n"/>
      <c r="D30" s="61" t="n"/>
      <c r="E30" s="61" t="n"/>
      <c r="F30" s="60" t="n"/>
      <c r="G30" s="60" t="n"/>
      <c r="H30" s="60" t="n"/>
      <c r="I30" s="61" t="n"/>
      <c r="J30" s="61" t="n"/>
      <c r="K30" s="62" t="n"/>
      <c r="L30" s="63">
        <f>IFERROR(IF($K30="","",($K30-TODAY())/365.25),"")</f>
        <v/>
      </c>
      <c r="M30" s="64" t="n"/>
      <c r="N30" s="65">
        <f>IFERROR(IF(OR($M30="",$F30=""),"",$M30/$F30),"")</f>
        <v/>
      </c>
      <c r="O30" s="64" t="n"/>
      <c r="P30" s="64">
        <f>IFERROR(IF(OR($O30="",$F30=""),"",$O30/$F30),"")</f>
        <v/>
      </c>
      <c r="Q30" s="66">
        <f>IFERROR(IF(OR($M30="",$O30=""),"",$M30/$O30),"")</f>
        <v/>
      </c>
      <c r="R30" s="64" t="n"/>
      <c r="S30" s="64">
        <f>IFERROR(IF(OR($R30="",$F30=""),"",$R30/$F30),"")</f>
        <v/>
      </c>
      <c r="T30" s="66">
        <f>IFERROR(IF(OR($M30="",$R30=""),"",$M30/$R30),"")</f>
        <v/>
      </c>
      <c r="U30" s="61">
        <f>IFERROR(IF(OR($R30="",$O30=""),"",IF($R30=$O30,"No","Yes")),"")</f>
        <v/>
      </c>
      <c r="V30" s="62" t="n"/>
      <c r="W30" s="60">
        <f>IFERROR(IF($V30="","",TODAY()-$V30),"")</f>
        <v/>
      </c>
      <c r="X30" s="67" t="n"/>
      <c r="Y30" s="67" t="n"/>
      <c r="Z30" s="68" t="n"/>
      <c r="AA30" s="67" t="n"/>
      <c r="AB30" s="67" t="n"/>
    </row>
    <row r="31" ht="15" customHeight="1" s="46">
      <c r="A31" s="69">
        <f>IFERROR(ROW()-5,"")</f>
        <v/>
      </c>
      <c r="B31" s="70" t="n"/>
      <c r="C31" s="70" t="n"/>
      <c r="D31" s="70" t="n"/>
      <c r="E31" s="70" t="n"/>
      <c r="F31" s="69" t="n"/>
      <c r="G31" s="69" t="n"/>
      <c r="H31" s="69" t="n"/>
      <c r="I31" s="70" t="n"/>
      <c r="J31" s="70" t="n"/>
      <c r="K31" s="71" t="n"/>
      <c r="L31" s="72">
        <f>IFERROR(IF($K31="","",($K31-TODAY())/365.25),"")</f>
        <v/>
      </c>
      <c r="M31" s="73" t="n"/>
      <c r="N31" s="74">
        <f>IFERROR(IF(OR($M31="",$F31=""),"",$M31/$F31),"")</f>
        <v/>
      </c>
      <c r="O31" s="73" t="n"/>
      <c r="P31" s="73">
        <f>IFERROR(IF(OR($O31="",$F31=""),"",$O31/$F31),"")</f>
        <v/>
      </c>
      <c r="Q31" s="75">
        <f>IFERROR(IF(OR($M31="",$O31=""),"",$M31/$O31),"")</f>
        <v/>
      </c>
      <c r="R31" s="73" t="n"/>
      <c r="S31" s="73">
        <f>IFERROR(IF(OR($R31="",$F31=""),"",$R31/$F31),"")</f>
        <v/>
      </c>
      <c r="T31" s="75">
        <f>IFERROR(IF(OR($M31="",$R31=""),"",$M31/$R31),"")</f>
        <v/>
      </c>
      <c r="U31" s="70">
        <f>IFERROR(IF(OR($R31="",$O31=""),"",IF($R31=$O31,"No","Yes")),"")</f>
        <v/>
      </c>
      <c r="V31" s="71" t="n"/>
      <c r="W31" s="69">
        <f>IFERROR(IF($V31="","",TODAY()-$V31),"")</f>
        <v/>
      </c>
      <c r="X31" s="67" t="n"/>
      <c r="Y31" s="67" t="n"/>
      <c r="Z31" s="68" t="n"/>
      <c r="AA31" s="67" t="n"/>
      <c r="AB31" s="67" t="n"/>
    </row>
    <row r="32" ht="15" customHeight="1" s="46">
      <c r="A32" s="60">
        <f>IFERROR(ROW()-5,"")</f>
        <v/>
      </c>
      <c r="B32" s="61" t="n"/>
      <c r="C32" s="61" t="n"/>
      <c r="D32" s="61" t="n"/>
      <c r="E32" s="61" t="n"/>
      <c r="F32" s="60" t="n"/>
      <c r="G32" s="60" t="n"/>
      <c r="H32" s="60" t="n"/>
      <c r="I32" s="61" t="n"/>
      <c r="J32" s="61" t="n"/>
      <c r="K32" s="62" t="n"/>
      <c r="L32" s="63">
        <f>IFERROR(IF($K32="","",($K32-TODAY())/365.25),"")</f>
        <v/>
      </c>
      <c r="M32" s="64" t="n"/>
      <c r="N32" s="65">
        <f>IFERROR(IF(OR($M32="",$F32=""),"",$M32/$F32),"")</f>
        <v/>
      </c>
      <c r="O32" s="64" t="n"/>
      <c r="P32" s="64">
        <f>IFERROR(IF(OR($O32="",$F32=""),"",$O32/$F32),"")</f>
        <v/>
      </c>
      <c r="Q32" s="66">
        <f>IFERROR(IF(OR($M32="",$O32=""),"",$M32/$O32),"")</f>
        <v/>
      </c>
      <c r="R32" s="64" t="n"/>
      <c r="S32" s="64">
        <f>IFERROR(IF(OR($R32="",$F32=""),"",$R32/$F32),"")</f>
        <v/>
      </c>
      <c r="T32" s="66">
        <f>IFERROR(IF(OR($M32="",$R32=""),"",$M32/$R32),"")</f>
        <v/>
      </c>
      <c r="U32" s="61">
        <f>IFERROR(IF(OR($R32="",$O32=""),"",IF($R32=$O32,"No","Yes")),"")</f>
        <v/>
      </c>
      <c r="V32" s="62" t="n"/>
      <c r="W32" s="60">
        <f>IFERROR(IF($V32="","",TODAY()-$V32),"")</f>
        <v/>
      </c>
      <c r="X32" s="67" t="n"/>
      <c r="Y32" s="67" t="n"/>
      <c r="Z32" s="68" t="n"/>
      <c r="AA32" s="67" t="n"/>
      <c r="AB32" s="67" t="n"/>
    </row>
    <row r="33" ht="15" customHeight="1" s="46">
      <c r="A33" s="69">
        <f>IFERROR(ROW()-5,"")</f>
        <v/>
      </c>
      <c r="B33" s="70" t="n"/>
      <c r="C33" s="70" t="n"/>
      <c r="D33" s="70" t="n"/>
      <c r="E33" s="70" t="n"/>
      <c r="F33" s="69" t="n"/>
      <c r="G33" s="69" t="n"/>
      <c r="H33" s="69" t="n"/>
      <c r="I33" s="70" t="n"/>
      <c r="J33" s="70" t="n"/>
      <c r="K33" s="71" t="n"/>
      <c r="L33" s="72">
        <f>IFERROR(IF($K33="","",($K33-TODAY())/365.25),"")</f>
        <v/>
      </c>
      <c r="M33" s="73" t="n"/>
      <c r="N33" s="74">
        <f>IFERROR(IF(OR($M33="",$F33=""),"",$M33/$F33),"")</f>
        <v/>
      </c>
      <c r="O33" s="73" t="n"/>
      <c r="P33" s="73">
        <f>IFERROR(IF(OR($O33="",$F33=""),"",$O33/$F33),"")</f>
        <v/>
      </c>
      <c r="Q33" s="75">
        <f>IFERROR(IF(OR($M33="",$O33=""),"",$M33/$O33),"")</f>
        <v/>
      </c>
      <c r="R33" s="73" t="n"/>
      <c r="S33" s="73">
        <f>IFERROR(IF(OR($R33="",$F33=""),"",$R33/$F33),"")</f>
        <v/>
      </c>
      <c r="T33" s="75">
        <f>IFERROR(IF(OR($M33="",$R33=""),"",$M33/$R33),"")</f>
        <v/>
      </c>
      <c r="U33" s="70">
        <f>IFERROR(IF(OR($R33="",$O33=""),"",IF($R33=$O33,"No","Yes")),"")</f>
        <v/>
      </c>
      <c r="V33" s="71" t="n"/>
      <c r="W33" s="69">
        <f>IFERROR(IF($V33="","",TODAY()-$V33),"")</f>
        <v/>
      </c>
      <c r="X33" s="67" t="n"/>
      <c r="Y33" s="67" t="n"/>
      <c r="Z33" s="68" t="n"/>
      <c r="AA33" s="67" t="n"/>
      <c r="AB33" s="67" t="n"/>
    </row>
    <row r="34" ht="15" customHeight="1" s="46">
      <c r="A34" s="60">
        <f>IFERROR(ROW()-5,"")</f>
        <v/>
      </c>
      <c r="B34" s="61" t="n"/>
      <c r="C34" s="61" t="n"/>
      <c r="D34" s="61" t="n"/>
      <c r="E34" s="61" t="n"/>
      <c r="F34" s="60" t="n"/>
      <c r="G34" s="60" t="n"/>
      <c r="H34" s="60" t="n"/>
      <c r="I34" s="61" t="n"/>
      <c r="J34" s="61" t="n"/>
      <c r="K34" s="62" t="n"/>
      <c r="L34" s="63">
        <f>IFERROR(IF($K34="","",($K34-TODAY())/365.25),"")</f>
        <v/>
      </c>
      <c r="M34" s="64" t="n"/>
      <c r="N34" s="65">
        <f>IFERROR(IF(OR($M34="",$F34=""),"",$M34/$F34),"")</f>
        <v/>
      </c>
      <c r="O34" s="64" t="n"/>
      <c r="P34" s="64">
        <f>IFERROR(IF(OR($O34="",$F34=""),"",$O34/$F34),"")</f>
        <v/>
      </c>
      <c r="Q34" s="66">
        <f>IFERROR(IF(OR($M34="",$O34=""),"",$M34/$O34),"")</f>
        <v/>
      </c>
      <c r="R34" s="64" t="n"/>
      <c r="S34" s="64">
        <f>IFERROR(IF(OR($R34="",$F34=""),"",$R34/$F34),"")</f>
        <v/>
      </c>
      <c r="T34" s="66">
        <f>IFERROR(IF(OR($M34="",$R34=""),"",$M34/$R34),"")</f>
        <v/>
      </c>
      <c r="U34" s="61">
        <f>IFERROR(IF(OR($R34="",$O34=""),"",IF($R34=$O34,"No","Yes")),"")</f>
        <v/>
      </c>
      <c r="V34" s="62" t="n"/>
      <c r="W34" s="60">
        <f>IFERROR(IF($V34="","",TODAY()-$V34),"")</f>
        <v/>
      </c>
      <c r="X34" s="67" t="n"/>
      <c r="Y34" s="67" t="n"/>
      <c r="Z34" s="68" t="n"/>
      <c r="AA34" s="67" t="n"/>
      <c r="AB34" s="67" t="n"/>
    </row>
    <row r="35" ht="15" customHeight="1" s="46">
      <c r="A35" s="69">
        <f>IFERROR(ROW()-5,"")</f>
        <v/>
      </c>
      <c r="B35" s="70" t="n"/>
      <c r="C35" s="70" t="n"/>
      <c r="D35" s="70" t="n"/>
      <c r="E35" s="70" t="n"/>
      <c r="F35" s="69" t="n"/>
      <c r="G35" s="69" t="n"/>
      <c r="H35" s="69" t="n"/>
      <c r="I35" s="70" t="n"/>
      <c r="J35" s="70" t="n"/>
      <c r="K35" s="71" t="n"/>
      <c r="L35" s="72">
        <f>IFERROR(IF($K35="","",($K35-TODAY())/365.25),"")</f>
        <v/>
      </c>
      <c r="M35" s="73" t="n"/>
      <c r="N35" s="74">
        <f>IFERROR(IF(OR($M35="",$F35=""),"",$M35/$F35),"")</f>
        <v/>
      </c>
      <c r="O35" s="73" t="n"/>
      <c r="P35" s="73">
        <f>IFERROR(IF(OR($O35="",$F35=""),"",$O35/$F35),"")</f>
        <v/>
      </c>
      <c r="Q35" s="75">
        <f>IFERROR(IF(OR($M35="",$O35=""),"",$M35/$O35),"")</f>
        <v/>
      </c>
      <c r="R35" s="73" t="n"/>
      <c r="S35" s="73">
        <f>IFERROR(IF(OR($R35="",$F35=""),"",$R35/$F35),"")</f>
        <v/>
      </c>
      <c r="T35" s="75">
        <f>IFERROR(IF(OR($M35="",$R35=""),"",$M35/$R35),"")</f>
        <v/>
      </c>
      <c r="U35" s="70">
        <f>IFERROR(IF(OR($R35="",$O35=""),"",IF($R35=$O35,"No","Yes")),"")</f>
        <v/>
      </c>
      <c r="V35" s="71" t="n"/>
      <c r="W35" s="69">
        <f>IFERROR(IF($V35="","",TODAY()-$V35),"")</f>
        <v/>
      </c>
      <c r="X35" s="67" t="n"/>
      <c r="Y35" s="67" t="n"/>
      <c r="Z35" s="68" t="n"/>
      <c r="AA35" s="67" t="n"/>
      <c r="AB35" s="67" t="n"/>
    </row>
    <row r="36" ht="15" customHeight="1" s="46">
      <c r="A36" s="60">
        <f>IFERROR(ROW()-5,"")</f>
        <v/>
      </c>
      <c r="B36" s="61" t="n"/>
      <c r="C36" s="61" t="n"/>
      <c r="D36" s="61" t="n"/>
      <c r="E36" s="61" t="n"/>
      <c r="F36" s="60" t="n"/>
      <c r="G36" s="60" t="n"/>
      <c r="H36" s="60" t="n"/>
      <c r="I36" s="61" t="n"/>
      <c r="J36" s="61" t="n"/>
      <c r="K36" s="62" t="n"/>
      <c r="L36" s="63">
        <f>IFERROR(IF($K36="","",($K36-TODAY())/365.25),"")</f>
        <v/>
      </c>
      <c r="M36" s="64" t="n"/>
      <c r="N36" s="65">
        <f>IFERROR(IF(OR($M36="",$F36=""),"",$M36/$F36),"")</f>
        <v/>
      </c>
      <c r="O36" s="64" t="n"/>
      <c r="P36" s="64">
        <f>IFERROR(IF(OR($O36="",$F36=""),"",$O36/$F36),"")</f>
        <v/>
      </c>
      <c r="Q36" s="66">
        <f>IFERROR(IF(OR($M36="",$O36=""),"",$M36/$O36),"")</f>
        <v/>
      </c>
      <c r="R36" s="64" t="n"/>
      <c r="S36" s="64">
        <f>IFERROR(IF(OR($R36="",$F36=""),"",$R36/$F36),"")</f>
        <v/>
      </c>
      <c r="T36" s="66">
        <f>IFERROR(IF(OR($M36="",$R36=""),"",$M36/$R36),"")</f>
        <v/>
      </c>
      <c r="U36" s="61">
        <f>IFERROR(IF(OR($R36="",$O36=""),"",IF($R36=$O36,"No","Yes")),"")</f>
        <v/>
      </c>
      <c r="V36" s="62" t="n"/>
      <c r="W36" s="60">
        <f>IFERROR(IF($V36="","",TODAY()-$V36),"")</f>
        <v/>
      </c>
      <c r="X36" s="67" t="n"/>
      <c r="Y36" s="67" t="n"/>
      <c r="Z36" s="68" t="n"/>
      <c r="AA36" s="67" t="n"/>
      <c r="AB36" s="67" t="n"/>
    </row>
    <row r="37" ht="15" customHeight="1" s="46">
      <c r="A37" s="69">
        <f>IFERROR(ROW()-5,"")</f>
        <v/>
      </c>
      <c r="B37" s="70" t="n"/>
      <c r="C37" s="70" t="n"/>
      <c r="D37" s="70" t="n"/>
      <c r="E37" s="70" t="n"/>
      <c r="F37" s="69" t="n"/>
      <c r="G37" s="69" t="n"/>
      <c r="H37" s="69" t="n"/>
      <c r="I37" s="70" t="n"/>
      <c r="J37" s="70" t="n"/>
      <c r="K37" s="71" t="n"/>
      <c r="L37" s="72">
        <f>IFERROR(IF($K37="","",($K37-TODAY())/365.25),"")</f>
        <v/>
      </c>
      <c r="M37" s="73" t="n"/>
      <c r="N37" s="74">
        <f>IFERROR(IF(OR($M37="",$F37=""),"",$M37/$F37),"")</f>
        <v/>
      </c>
      <c r="O37" s="73" t="n"/>
      <c r="P37" s="73">
        <f>IFERROR(IF(OR($O37="",$F37=""),"",$O37/$F37),"")</f>
        <v/>
      </c>
      <c r="Q37" s="75">
        <f>IFERROR(IF(OR($M37="",$O37=""),"",$M37/$O37),"")</f>
        <v/>
      </c>
      <c r="R37" s="73" t="n"/>
      <c r="S37" s="73">
        <f>IFERROR(IF(OR($R37="",$F37=""),"",$R37/$F37),"")</f>
        <v/>
      </c>
      <c r="T37" s="75">
        <f>IFERROR(IF(OR($M37="",$R37=""),"",$M37/$R37),"")</f>
        <v/>
      </c>
      <c r="U37" s="70">
        <f>IFERROR(IF(OR($R37="",$O37=""),"",IF($R37=$O37,"No","Yes")),"")</f>
        <v/>
      </c>
      <c r="V37" s="71" t="n"/>
      <c r="W37" s="69">
        <f>IFERROR(IF($V37="","",TODAY()-$V37),"")</f>
        <v/>
      </c>
      <c r="X37" s="67" t="n"/>
      <c r="Y37" s="67" t="n"/>
      <c r="Z37" s="68" t="n"/>
      <c r="AA37" s="67" t="n"/>
      <c r="AB37" s="67" t="n"/>
    </row>
    <row r="38" ht="15" customHeight="1" s="46">
      <c r="A38" s="60">
        <f>IFERROR(ROW()-5,"")</f>
        <v/>
      </c>
      <c r="B38" s="61" t="n"/>
      <c r="C38" s="61" t="n"/>
      <c r="D38" s="61" t="n"/>
      <c r="E38" s="61" t="n"/>
      <c r="F38" s="60" t="n"/>
      <c r="G38" s="60" t="n"/>
      <c r="H38" s="60" t="n"/>
      <c r="I38" s="61" t="n"/>
      <c r="J38" s="61" t="n"/>
      <c r="K38" s="62" t="n"/>
      <c r="L38" s="63">
        <f>IFERROR(IF($K38="","",($K38-TODAY())/365.25),"")</f>
        <v/>
      </c>
      <c r="M38" s="64" t="n"/>
      <c r="N38" s="65">
        <f>IFERROR(IF(OR($M38="",$F38=""),"",$M38/$F38),"")</f>
        <v/>
      </c>
      <c r="O38" s="64" t="n"/>
      <c r="P38" s="64">
        <f>IFERROR(IF(OR($O38="",$F38=""),"",$O38/$F38),"")</f>
        <v/>
      </c>
      <c r="Q38" s="66">
        <f>IFERROR(IF(OR($M38="",$O38=""),"",$M38/$O38),"")</f>
        <v/>
      </c>
      <c r="R38" s="64" t="n"/>
      <c r="S38" s="64">
        <f>IFERROR(IF(OR($R38="",$F38=""),"",$R38/$F38),"")</f>
        <v/>
      </c>
      <c r="T38" s="66">
        <f>IFERROR(IF(OR($M38="",$R38=""),"",$M38/$R38),"")</f>
        <v/>
      </c>
      <c r="U38" s="61">
        <f>IFERROR(IF(OR($R38="",$O38=""),"",IF($R38=$O38,"No","Yes")),"")</f>
        <v/>
      </c>
      <c r="V38" s="62" t="n"/>
      <c r="W38" s="60">
        <f>IFERROR(IF($V38="","",TODAY()-$V38),"")</f>
        <v/>
      </c>
      <c r="X38" s="67" t="n"/>
      <c r="Y38" s="67" t="n"/>
      <c r="Z38" s="68" t="n"/>
      <c r="AA38" s="67" t="n"/>
      <c r="AB38" s="67" t="n"/>
    </row>
    <row r="39" ht="15" customHeight="1" s="46">
      <c r="A39" s="69">
        <f>IFERROR(ROW()-5,"")</f>
        <v/>
      </c>
      <c r="B39" s="70" t="n"/>
      <c r="C39" s="70" t="n"/>
      <c r="D39" s="70" t="n"/>
      <c r="E39" s="70" t="n"/>
      <c r="F39" s="69" t="n"/>
      <c r="G39" s="69" t="n"/>
      <c r="H39" s="69" t="n"/>
      <c r="I39" s="70" t="n"/>
      <c r="J39" s="70" t="n"/>
      <c r="K39" s="71" t="n"/>
      <c r="L39" s="72">
        <f>IFERROR(IF($K39="","",($K39-TODAY())/365.25),"")</f>
        <v/>
      </c>
      <c r="M39" s="73" t="n"/>
      <c r="N39" s="74">
        <f>IFERROR(IF(OR($M39="",$F39=""),"",$M39/$F39),"")</f>
        <v/>
      </c>
      <c r="O39" s="73" t="n"/>
      <c r="P39" s="73">
        <f>IFERROR(IF(OR($O39="",$F39=""),"",$O39/$F39),"")</f>
        <v/>
      </c>
      <c r="Q39" s="75">
        <f>IFERROR(IF(OR($M39="",$O39=""),"",$M39/$O39),"")</f>
        <v/>
      </c>
      <c r="R39" s="73" t="n"/>
      <c r="S39" s="73">
        <f>IFERROR(IF(OR($R39="",$F39=""),"",$R39/$F39),"")</f>
        <v/>
      </c>
      <c r="T39" s="75">
        <f>IFERROR(IF(OR($M39="",$R39=""),"",$M39/$R39),"")</f>
        <v/>
      </c>
      <c r="U39" s="70">
        <f>IFERROR(IF(OR($R39="",$O39=""),"",IF($R39=$O39,"No","Yes")),"")</f>
        <v/>
      </c>
      <c r="V39" s="71" t="n"/>
      <c r="W39" s="69">
        <f>IFERROR(IF($V39="","",TODAY()-$V39),"")</f>
        <v/>
      </c>
      <c r="X39" s="67" t="n"/>
      <c r="Y39" s="67" t="n"/>
      <c r="Z39" s="68" t="n"/>
      <c r="AA39" s="67" t="n"/>
      <c r="AB39" s="67" t="n"/>
    </row>
    <row r="40" ht="15" customHeight="1" s="46">
      <c r="A40" s="60">
        <f>IFERROR(ROW()-5,"")</f>
        <v/>
      </c>
      <c r="B40" s="61" t="n"/>
      <c r="C40" s="61" t="n"/>
      <c r="D40" s="61" t="n"/>
      <c r="E40" s="61" t="n"/>
      <c r="F40" s="60" t="n"/>
      <c r="G40" s="60" t="n"/>
      <c r="H40" s="60" t="n"/>
      <c r="I40" s="61" t="n"/>
      <c r="J40" s="61" t="n"/>
      <c r="K40" s="62" t="n"/>
      <c r="L40" s="63">
        <f>IFERROR(IF($K40="","",($K40-TODAY())/365.25),"")</f>
        <v/>
      </c>
      <c r="M40" s="64" t="n"/>
      <c r="N40" s="65">
        <f>IFERROR(IF(OR($M40="",$F40=""),"",$M40/$F40),"")</f>
        <v/>
      </c>
      <c r="O40" s="64" t="n"/>
      <c r="P40" s="64">
        <f>IFERROR(IF(OR($O40="",$F40=""),"",$O40/$F40),"")</f>
        <v/>
      </c>
      <c r="Q40" s="66">
        <f>IFERROR(IF(OR($M40="",$O40=""),"",$M40/$O40),"")</f>
        <v/>
      </c>
      <c r="R40" s="64" t="n"/>
      <c r="S40" s="64">
        <f>IFERROR(IF(OR($R40="",$F40=""),"",$R40/$F40),"")</f>
        <v/>
      </c>
      <c r="T40" s="66">
        <f>IFERROR(IF(OR($M40="",$R40=""),"",$M40/$R40),"")</f>
        <v/>
      </c>
      <c r="U40" s="61">
        <f>IFERROR(IF(OR($R40="",$O40=""),"",IF($R40=$O40,"No","Yes")),"")</f>
        <v/>
      </c>
      <c r="V40" s="62" t="n"/>
      <c r="W40" s="60">
        <f>IFERROR(IF($V40="","",TODAY()-$V40),"")</f>
        <v/>
      </c>
      <c r="X40" s="67" t="n"/>
      <c r="Y40" s="67" t="n"/>
      <c r="Z40" s="68" t="n"/>
      <c r="AA40" s="67" t="n"/>
      <c r="AB40" s="67" t="n"/>
    </row>
    <row r="41" ht="15" customHeight="1" s="46">
      <c r="A41" s="69">
        <f>IFERROR(ROW()-5,"")</f>
        <v/>
      </c>
      <c r="B41" s="70" t="n"/>
      <c r="C41" s="70" t="n"/>
      <c r="D41" s="70" t="n"/>
      <c r="E41" s="70" t="n"/>
      <c r="F41" s="69" t="n"/>
      <c r="G41" s="69" t="n"/>
      <c r="H41" s="69" t="n"/>
      <c r="I41" s="70" t="n"/>
      <c r="J41" s="70" t="n"/>
      <c r="K41" s="71" t="n"/>
      <c r="L41" s="72">
        <f>IFERROR(IF($K41="","",($K41-TODAY())/365.25),"")</f>
        <v/>
      </c>
      <c r="M41" s="73" t="n"/>
      <c r="N41" s="74">
        <f>IFERROR(IF(OR($M41="",$F41=""),"",$M41/$F41),"")</f>
        <v/>
      </c>
      <c r="O41" s="73" t="n"/>
      <c r="P41" s="73">
        <f>IFERROR(IF(OR($O41="",$F41=""),"",$O41/$F41),"")</f>
        <v/>
      </c>
      <c r="Q41" s="75">
        <f>IFERROR(IF(OR($M41="",$O41=""),"",$M41/$O41),"")</f>
        <v/>
      </c>
      <c r="R41" s="73" t="n"/>
      <c r="S41" s="73">
        <f>IFERROR(IF(OR($R41="",$F41=""),"",$R41/$F41),"")</f>
        <v/>
      </c>
      <c r="T41" s="75">
        <f>IFERROR(IF(OR($M41="",$R41=""),"",$M41/$R41),"")</f>
        <v/>
      </c>
      <c r="U41" s="70">
        <f>IFERROR(IF(OR($R41="",$O41=""),"",IF($R41=$O41,"No","Yes")),"")</f>
        <v/>
      </c>
      <c r="V41" s="71" t="n"/>
      <c r="W41" s="69">
        <f>IFERROR(IF($V41="","",TODAY()-$V41),"")</f>
        <v/>
      </c>
      <c r="X41" s="67" t="n"/>
      <c r="Y41" s="67" t="n"/>
      <c r="Z41" s="68" t="n"/>
      <c r="AA41" s="67" t="n"/>
      <c r="AB41" s="67" t="n"/>
    </row>
    <row r="42" ht="15" customHeight="1" s="46">
      <c r="A42" s="60">
        <f>IFERROR(ROW()-5,"")</f>
        <v/>
      </c>
      <c r="B42" s="61" t="n"/>
      <c r="C42" s="61" t="n"/>
      <c r="D42" s="61" t="n"/>
      <c r="E42" s="61" t="n"/>
      <c r="F42" s="60" t="n"/>
      <c r="G42" s="60" t="n"/>
      <c r="H42" s="60" t="n"/>
      <c r="I42" s="61" t="n"/>
      <c r="J42" s="61" t="n"/>
      <c r="K42" s="62" t="n"/>
      <c r="L42" s="63">
        <f>IFERROR(IF($K42="","",($K42-TODAY())/365.25),"")</f>
        <v/>
      </c>
      <c r="M42" s="64" t="n"/>
      <c r="N42" s="65">
        <f>IFERROR(IF(OR($M42="",$F42=""),"",$M42/$F42),"")</f>
        <v/>
      </c>
      <c r="O42" s="64" t="n"/>
      <c r="P42" s="64">
        <f>IFERROR(IF(OR($O42="",$F42=""),"",$O42/$F42),"")</f>
        <v/>
      </c>
      <c r="Q42" s="66">
        <f>IFERROR(IF(OR($M42="",$O42=""),"",$M42/$O42),"")</f>
        <v/>
      </c>
      <c r="R42" s="64" t="n"/>
      <c r="S42" s="64">
        <f>IFERROR(IF(OR($R42="",$F42=""),"",$R42/$F42),"")</f>
        <v/>
      </c>
      <c r="T42" s="66">
        <f>IFERROR(IF(OR($M42="",$R42=""),"",$M42/$R42),"")</f>
        <v/>
      </c>
      <c r="U42" s="61">
        <f>IFERROR(IF(OR($R42="",$O42=""),"",IF($R42=$O42,"No","Yes")),"")</f>
        <v/>
      </c>
      <c r="V42" s="62" t="n"/>
      <c r="W42" s="60">
        <f>IFERROR(IF($V42="","",TODAY()-$V42),"")</f>
        <v/>
      </c>
      <c r="X42" s="67" t="n"/>
      <c r="Y42" s="67" t="n"/>
      <c r="Z42" s="68" t="n"/>
      <c r="AA42" s="67" t="n"/>
      <c r="AB42" s="67" t="n"/>
    </row>
    <row r="43" ht="15" customHeight="1" s="46">
      <c r="A43" s="69">
        <f>IFERROR(ROW()-5,"")</f>
        <v/>
      </c>
      <c r="B43" s="70" t="n"/>
      <c r="C43" s="70" t="n"/>
      <c r="D43" s="70" t="n"/>
      <c r="E43" s="70" t="n"/>
      <c r="F43" s="69" t="n"/>
      <c r="G43" s="69" t="n"/>
      <c r="H43" s="69" t="n"/>
      <c r="I43" s="70" t="n"/>
      <c r="J43" s="70" t="n"/>
      <c r="K43" s="71" t="n"/>
      <c r="L43" s="72">
        <f>IFERROR(IF($K43="","",($K43-TODAY())/365.25),"")</f>
        <v/>
      </c>
      <c r="M43" s="73" t="n"/>
      <c r="N43" s="74">
        <f>IFERROR(IF(OR($M43="",$F43=""),"",$M43/$F43),"")</f>
        <v/>
      </c>
      <c r="O43" s="73" t="n"/>
      <c r="P43" s="73">
        <f>IFERROR(IF(OR($O43="",$F43=""),"",$O43/$F43),"")</f>
        <v/>
      </c>
      <c r="Q43" s="75">
        <f>IFERROR(IF(OR($M43="",$O43=""),"",$M43/$O43),"")</f>
        <v/>
      </c>
      <c r="R43" s="73" t="n"/>
      <c r="S43" s="73">
        <f>IFERROR(IF(OR($R43="",$F43=""),"",$R43/$F43),"")</f>
        <v/>
      </c>
      <c r="T43" s="75">
        <f>IFERROR(IF(OR($M43="",$R43=""),"",$M43/$R43),"")</f>
        <v/>
      </c>
      <c r="U43" s="70">
        <f>IFERROR(IF(OR($R43="",$O43=""),"",IF($R43=$O43,"No","Yes")),"")</f>
        <v/>
      </c>
      <c r="V43" s="71" t="n"/>
      <c r="W43" s="69">
        <f>IFERROR(IF($V43="","",TODAY()-$V43),"")</f>
        <v/>
      </c>
      <c r="X43" s="67" t="n"/>
      <c r="Y43" s="67" t="n"/>
      <c r="Z43" s="68" t="n"/>
      <c r="AA43" s="67" t="n"/>
      <c r="AB43" s="67" t="n"/>
    </row>
    <row r="44" ht="15" customHeight="1" s="46">
      <c r="A44" s="60">
        <f>IFERROR(ROW()-5,"")</f>
        <v/>
      </c>
      <c r="B44" s="61" t="n"/>
      <c r="C44" s="61" t="n"/>
      <c r="D44" s="61" t="n"/>
      <c r="E44" s="61" t="n"/>
      <c r="F44" s="60" t="n"/>
      <c r="G44" s="60" t="n"/>
      <c r="H44" s="60" t="n"/>
      <c r="I44" s="61" t="n"/>
      <c r="J44" s="61" t="n"/>
      <c r="K44" s="62" t="n"/>
      <c r="L44" s="63">
        <f>IFERROR(IF($K44="","",($K44-TODAY())/365.25),"")</f>
        <v/>
      </c>
      <c r="M44" s="64" t="n"/>
      <c r="N44" s="65">
        <f>IFERROR(IF(OR($M44="",$F44=""),"",$M44/$F44),"")</f>
        <v/>
      </c>
      <c r="O44" s="64" t="n"/>
      <c r="P44" s="64">
        <f>IFERROR(IF(OR($O44="",$F44=""),"",$O44/$F44),"")</f>
        <v/>
      </c>
      <c r="Q44" s="66">
        <f>IFERROR(IF(OR($M44="",$O44=""),"",$M44/$O44),"")</f>
        <v/>
      </c>
      <c r="R44" s="64" t="n"/>
      <c r="S44" s="64">
        <f>IFERROR(IF(OR($R44="",$F44=""),"",$R44/$F44),"")</f>
        <v/>
      </c>
      <c r="T44" s="66">
        <f>IFERROR(IF(OR($M44="",$R44=""),"",$M44/$R44),"")</f>
        <v/>
      </c>
      <c r="U44" s="61">
        <f>IFERROR(IF(OR($R44="",$O44=""),"",IF($R44=$O44,"No","Yes")),"")</f>
        <v/>
      </c>
      <c r="V44" s="62" t="n"/>
      <c r="W44" s="60">
        <f>IFERROR(IF($V44="","",TODAY()-$V44),"")</f>
        <v/>
      </c>
      <c r="X44" s="67" t="n"/>
      <c r="Y44" s="67" t="n"/>
      <c r="Z44" s="68" t="n"/>
      <c r="AA44" s="67" t="n"/>
      <c r="AB44" s="67" t="n"/>
    </row>
    <row r="45" ht="15" customHeight="1" s="46">
      <c r="A45" s="69">
        <f>IFERROR(ROW()-5,"")</f>
        <v/>
      </c>
      <c r="B45" s="70" t="n"/>
      <c r="C45" s="70" t="n"/>
      <c r="D45" s="70" t="n"/>
      <c r="E45" s="70" t="n"/>
      <c r="F45" s="69" t="n"/>
      <c r="G45" s="69" t="n"/>
      <c r="H45" s="69" t="n"/>
      <c r="I45" s="70" t="n"/>
      <c r="J45" s="70" t="n"/>
      <c r="K45" s="71" t="n"/>
      <c r="L45" s="72">
        <f>IFERROR(IF($K45="","",($K45-TODAY())/365.25),"")</f>
        <v/>
      </c>
      <c r="M45" s="73" t="n"/>
      <c r="N45" s="74">
        <f>IFERROR(IF(OR($M45="",$F45=""),"",$M45/$F45),"")</f>
        <v/>
      </c>
      <c r="O45" s="73" t="n"/>
      <c r="P45" s="73">
        <f>IFERROR(IF(OR($O45="",$F45=""),"",$O45/$F45),"")</f>
        <v/>
      </c>
      <c r="Q45" s="75">
        <f>IFERROR(IF(OR($M45="",$O45=""),"",$M45/$O45),"")</f>
        <v/>
      </c>
      <c r="R45" s="73" t="n"/>
      <c r="S45" s="73">
        <f>IFERROR(IF(OR($R45="",$F45=""),"",$R45/$F45),"")</f>
        <v/>
      </c>
      <c r="T45" s="75">
        <f>IFERROR(IF(OR($M45="",$R45=""),"",$M45/$R45),"")</f>
        <v/>
      </c>
      <c r="U45" s="70">
        <f>IFERROR(IF(OR($R45="",$O45=""),"",IF($R45=$O45,"No","Yes")),"")</f>
        <v/>
      </c>
      <c r="V45" s="71" t="n"/>
      <c r="W45" s="69">
        <f>IFERROR(IF($V45="","",TODAY()-$V45),"")</f>
        <v/>
      </c>
      <c r="X45" s="67" t="n"/>
      <c r="Y45" s="67" t="n"/>
      <c r="Z45" s="68" t="n"/>
      <c r="AA45" s="67" t="n"/>
      <c r="AB45" s="67" t="n"/>
    </row>
    <row r="46" ht="15" customHeight="1" s="46">
      <c r="A46" s="60">
        <f>IFERROR(ROW()-5,"")</f>
        <v/>
      </c>
      <c r="B46" s="61" t="n"/>
      <c r="C46" s="61" t="n"/>
      <c r="D46" s="61" t="n"/>
      <c r="E46" s="61" t="n"/>
      <c r="F46" s="60" t="n"/>
      <c r="G46" s="60" t="n"/>
      <c r="H46" s="60" t="n"/>
      <c r="I46" s="61" t="n"/>
      <c r="J46" s="61" t="n"/>
      <c r="K46" s="62" t="n"/>
      <c r="L46" s="63">
        <f>IFERROR(IF($K46="","",($K46-TODAY())/365.25),"")</f>
        <v/>
      </c>
      <c r="M46" s="64" t="n"/>
      <c r="N46" s="65">
        <f>IFERROR(IF(OR($M46="",$F46=""),"",$M46/$F46),"")</f>
        <v/>
      </c>
      <c r="O46" s="64" t="n"/>
      <c r="P46" s="64">
        <f>IFERROR(IF(OR($O46="",$F46=""),"",$O46/$F46),"")</f>
        <v/>
      </c>
      <c r="Q46" s="66">
        <f>IFERROR(IF(OR($M46="",$O46=""),"",$M46/$O46),"")</f>
        <v/>
      </c>
      <c r="R46" s="64" t="n"/>
      <c r="S46" s="64">
        <f>IFERROR(IF(OR($R46="",$F46=""),"",$R46/$F46),"")</f>
        <v/>
      </c>
      <c r="T46" s="66">
        <f>IFERROR(IF(OR($M46="",$R46=""),"",$M46/$R46),"")</f>
        <v/>
      </c>
      <c r="U46" s="61">
        <f>IFERROR(IF(OR($R46="",$O46=""),"",IF($R46=$O46,"No","Yes")),"")</f>
        <v/>
      </c>
      <c r="V46" s="62" t="n"/>
      <c r="W46" s="60">
        <f>IFERROR(IF($V46="","",TODAY()-$V46),"")</f>
        <v/>
      </c>
      <c r="X46" s="67" t="n"/>
      <c r="Y46" s="67" t="n"/>
      <c r="Z46" s="68" t="n"/>
      <c r="AA46" s="67" t="n"/>
      <c r="AB46" s="67" t="n"/>
    </row>
    <row r="47" ht="15" customHeight="1" s="46">
      <c r="A47" s="69">
        <f>IFERROR(ROW()-5,"")</f>
        <v/>
      </c>
      <c r="B47" s="70" t="n"/>
      <c r="C47" s="70" t="n"/>
      <c r="D47" s="70" t="n"/>
      <c r="E47" s="70" t="n"/>
      <c r="F47" s="69" t="n"/>
      <c r="G47" s="69" t="n"/>
      <c r="H47" s="69" t="n"/>
      <c r="I47" s="70" t="n"/>
      <c r="J47" s="70" t="n"/>
      <c r="K47" s="71" t="n"/>
      <c r="L47" s="72">
        <f>IFERROR(IF($K47="","",($K47-TODAY())/365.25),"")</f>
        <v/>
      </c>
      <c r="M47" s="73" t="n"/>
      <c r="N47" s="74">
        <f>IFERROR(IF(OR($M47="",$F47=""),"",$M47/$F47),"")</f>
        <v/>
      </c>
      <c r="O47" s="73" t="n"/>
      <c r="P47" s="73">
        <f>IFERROR(IF(OR($O47="",$F47=""),"",$O47/$F47),"")</f>
        <v/>
      </c>
      <c r="Q47" s="75">
        <f>IFERROR(IF(OR($M47="",$O47=""),"",$M47/$O47),"")</f>
        <v/>
      </c>
      <c r="R47" s="73" t="n"/>
      <c r="S47" s="73">
        <f>IFERROR(IF(OR($R47="",$F47=""),"",$R47/$F47),"")</f>
        <v/>
      </c>
      <c r="T47" s="75">
        <f>IFERROR(IF(OR($M47="",$R47=""),"",$M47/$R47),"")</f>
        <v/>
      </c>
      <c r="U47" s="70">
        <f>IFERROR(IF(OR($R47="",$O47=""),"",IF($R47=$O47,"No","Yes")),"")</f>
        <v/>
      </c>
      <c r="V47" s="71" t="n"/>
      <c r="W47" s="69">
        <f>IFERROR(IF($V47="","",TODAY()-$V47),"")</f>
        <v/>
      </c>
      <c r="X47" s="67" t="n"/>
      <c r="Y47" s="67" t="n"/>
      <c r="Z47" s="68" t="n"/>
      <c r="AA47" s="67" t="n"/>
      <c r="AB47" s="67" t="n"/>
    </row>
    <row r="48" ht="15" customHeight="1" s="46">
      <c r="A48" s="60">
        <f>IFERROR(ROW()-5,"")</f>
        <v/>
      </c>
      <c r="B48" s="61" t="n"/>
      <c r="C48" s="61" t="n"/>
      <c r="D48" s="61" t="n"/>
      <c r="E48" s="61" t="n"/>
      <c r="F48" s="60" t="n"/>
      <c r="G48" s="60" t="n"/>
      <c r="H48" s="60" t="n"/>
      <c r="I48" s="61" t="n"/>
      <c r="J48" s="61" t="n"/>
      <c r="K48" s="62" t="n"/>
      <c r="L48" s="63">
        <f>IFERROR(IF($K48="","",($K48-TODAY())/365.25),"")</f>
        <v/>
      </c>
      <c r="M48" s="64" t="n"/>
      <c r="N48" s="65">
        <f>IFERROR(IF(OR($M48="",$F48=""),"",$M48/$F48),"")</f>
        <v/>
      </c>
      <c r="O48" s="64" t="n"/>
      <c r="P48" s="64">
        <f>IFERROR(IF(OR($O48="",$F48=""),"",$O48/$F48),"")</f>
        <v/>
      </c>
      <c r="Q48" s="66">
        <f>IFERROR(IF(OR($M48="",$O48=""),"",$M48/$O48),"")</f>
        <v/>
      </c>
      <c r="R48" s="64" t="n"/>
      <c r="S48" s="64">
        <f>IFERROR(IF(OR($R48="",$F48=""),"",$R48/$F48),"")</f>
        <v/>
      </c>
      <c r="T48" s="66">
        <f>IFERROR(IF(OR($M48="",$R48=""),"",$M48/$R48),"")</f>
        <v/>
      </c>
      <c r="U48" s="61">
        <f>IFERROR(IF(OR($R48="",$O48=""),"",IF($R48=$O48,"No","Yes")),"")</f>
        <v/>
      </c>
      <c r="V48" s="62" t="n"/>
      <c r="W48" s="60">
        <f>IFERROR(IF($V48="","",TODAY()-$V48),"")</f>
        <v/>
      </c>
      <c r="X48" s="67" t="n"/>
      <c r="Y48" s="67" t="n"/>
      <c r="Z48" s="68" t="n"/>
      <c r="AA48" s="67" t="n"/>
      <c r="AB48" s="67" t="n"/>
    </row>
    <row r="49" ht="15" customHeight="1" s="46">
      <c r="A49" s="69">
        <f>IFERROR(ROW()-5,"")</f>
        <v/>
      </c>
      <c r="B49" s="70" t="n"/>
      <c r="C49" s="70" t="n"/>
      <c r="D49" s="70" t="n"/>
      <c r="E49" s="70" t="n"/>
      <c r="F49" s="69" t="n"/>
      <c r="G49" s="69" t="n"/>
      <c r="H49" s="69" t="n"/>
      <c r="I49" s="70" t="n"/>
      <c r="J49" s="70" t="n"/>
      <c r="K49" s="71" t="n"/>
      <c r="L49" s="72">
        <f>IFERROR(IF($K49="","",($K49-TODAY())/365.25),"")</f>
        <v/>
      </c>
      <c r="M49" s="73" t="n"/>
      <c r="N49" s="74">
        <f>IFERROR(IF(OR($M49="",$F49=""),"",$M49/$F49),"")</f>
        <v/>
      </c>
      <c r="O49" s="73" t="n"/>
      <c r="P49" s="73">
        <f>IFERROR(IF(OR($O49="",$F49=""),"",$O49/$F49),"")</f>
        <v/>
      </c>
      <c r="Q49" s="75">
        <f>IFERROR(IF(OR($M49="",$O49=""),"",$M49/$O49),"")</f>
        <v/>
      </c>
      <c r="R49" s="73" t="n"/>
      <c r="S49" s="73">
        <f>IFERROR(IF(OR($R49="",$F49=""),"",$R49/$F49),"")</f>
        <v/>
      </c>
      <c r="T49" s="75">
        <f>IFERROR(IF(OR($M49="",$R49=""),"",$M49/$R49),"")</f>
        <v/>
      </c>
      <c r="U49" s="70">
        <f>IFERROR(IF(OR($R49="",$O49=""),"",IF($R49=$O49,"No","Yes")),"")</f>
        <v/>
      </c>
      <c r="V49" s="71" t="n"/>
      <c r="W49" s="69">
        <f>IFERROR(IF($V49="","",TODAY()-$V49),"")</f>
        <v/>
      </c>
      <c r="X49" s="67" t="n"/>
      <c r="Y49" s="67" t="n"/>
      <c r="Z49" s="68" t="n"/>
      <c r="AA49" s="67" t="n"/>
      <c r="AB49" s="67" t="n"/>
    </row>
    <row r="50" ht="15" customHeight="1" s="46">
      <c r="A50" s="60">
        <f>IFERROR(ROW()-5,"")</f>
        <v/>
      </c>
      <c r="B50" s="61" t="n"/>
      <c r="C50" s="61" t="n"/>
      <c r="D50" s="61" t="n"/>
      <c r="E50" s="61" t="n"/>
      <c r="F50" s="60" t="n"/>
      <c r="G50" s="60" t="n"/>
      <c r="H50" s="60" t="n"/>
      <c r="I50" s="61" t="n"/>
      <c r="J50" s="61" t="n"/>
      <c r="K50" s="62" t="n"/>
      <c r="L50" s="63">
        <f>IFERROR(IF($K50="","",($K50-TODAY())/365.25),"")</f>
        <v/>
      </c>
      <c r="M50" s="64" t="n"/>
      <c r="N50" s="65">
        <f>IFERROR(IF(OR($M50="",$F50=""),"",$M50/$F50),"")</f>
        <v/>
      </c>
      <c r="O50" s="64" t="n"/>
      <c r="P50" s="64">
        <f>IFERROR(IF(OR($O50="",$F50=""),"",$O50/$F50),"")</f>
        <v/>
      </c>
      <c r="Q50" s="66">
        <f>IFERROR(IF(OR($M50="",$O50=""),"",$M50/$O50),"")</f>
        <v/>
      </c>
      <c r="R50" s="64" t="n"/>
      <c r="S50" s="64">
        <f>IFERROR(IF(OR($R50="",$F50=""),"",$R50/$F50),"")</f>
        <v/>
      </c>
      <c r="T50" s="66">
        <f>IFERROR(IF(OR($M50="",$R50=""),"",$M50/$R50),"")</f>
        <v/>
      </c>
      <c r="U50" s="61">
        <f>IFERROR(IF(OR($R50="",$O50=""),"",IF($R50=$O50,"No","Yes")),"")</f>
        <v/>
      </c>
      <c r="V50" s="62" t="n"/>
      <c r="W50" s="60">
        <f>IFERROR(IF($V50="","",TODAY()-$V50),"")</f>
        <v/>
      </c>
      <c r="X50" s="67" t="n"/>
      <c r="Y50" s="67" t="n"/>
      <c r="Z50" s="68" t="n"/>
      <c r="AA50" s="67" t="n"/>
      <c r="AB50" s="67" t="n"/>
    </row>
    <row r="51" ht="15" customHeight="1" s="46">
      <c r="A51" s="69">
        <f>IFERROR(ROW()-5,"")</f>
        <v/>
      </c>
      <c r="B51" s="70" t="n"/>
      <c r="C51" s="70" t="n"/>
      <c r="D51" s="70" t="n"/>
      <c r="E51" s="70" t="n"/>
      <c r="F51" s="69" t="n"/>
      <c r="G51" s="69" t="n"/>
      <c r="H51" s="69" t="n"/>
      <c r="I51" s="70" t="n"/>
      <c r="J51" s="70" t="n"/>
      <c r="K51" s="71" t="n"/>
      <c r="L51" s="72">
        <f>IFERROR(IF($K51="","",($K51-TODAY())/365.25),"")</f>
        <v/>
      </c>
      <c r="M51" s="73" t="n"/>
      <c r="N51" s="74">
        <f>IFERROR(IF(OR($M51="",$F51=""),"",$M51/$F51),"")</f>
        <v/>
      </c>
      <c r="O51" s="73" t="n"/>
      <c r="P51" s="73">
        <f>IFERROR(IF(OR($O51="",$F51=""),"",$O51/$F51),"")</f>
        <v/>
      </c>
      <c r="Q51" s="75">
        <f>IFERROR(IF(OR($M51="",$O51=""),"",$M51/$O51),"")</f>
        <v/>
      </c>
      <c r="R51" s="73" t="n"/>
      <c r="S51" s="73">
        <f>IFERROR(IF(OR($R51="",$F51=""),"",$R51/$F51),"")</f>
        <v/>
      </c>
      <c r="T51" s="75">
        <f>IFERROR(IF(OR($M51="",$R51=""),"",$M51/$R51),"")</f>
        <v/>
      </c>
      <c r="U51" s="70">
        <f>IFERROR(IF(OR($R51="",$O51=""),"",IF($R51=$O51,"No","Yes")),"")</f>
        <v/>
      </c>
      <c r="V51" s="71" t="n"/>
      <c r="W51" s="69">
        <f>IFERROR(IF($V51="","",TODAY()-$V51),"")</f>
        <v/>
      </c>
      <c r="X51" s="67" t="n"/>
      <c r="Y51" s="67" t="n"/>
      <c r="Z51" s="68" t="n"/>
      <c r="AA51" s="67" t="n"/>
      <c r="AB51" s="67" t="n"/>
    </row>
    <row r="52" ht="15" customHeight="1" s="46">
      <c r="A52" s="60">
        <f>IFERROR(ROW()-5,"")</f>
        <v/>
      </c>
      <c r="B52" s="61" t="n"/>
      <c r="C52" s="61" t="n"/>
      <c r="D52" s="61" t="n"/>
      <c r="E52" s="61" t="n"/>
      <c r="F52" s="60" t="n"/>
      <c r="G52" s="60" t="n"/>
      <c r="H52" s="60" t="n"/>
      <c r="I52" s="61" t="n"/>
      <c r="J52" s="61" t="n"/>
      <c r="K52" s="62" t="n"/>
      <c r="L52" s="63">
        <f>IFERROR(IF($K52="","",($K52-TODAY())/365.25),"")</f>
        <v/>
      </c>
      <c r="M52" s="64" t="n"/>
      <c r="N52" s="65">
        <f>IFERROR(IF(OR($M52="",$F52=""),"",$M52/$F52),"")</f>
        <v/>
      </c>
      <c r="O52" s="64" t="n"/>
      <c r="P52" s="64">
        <f>IFERROR(IF(OR($O52="",$F52=""),"",$O52/$F52),"")</f>
        <v/>
      </c>
      <c r="Q52" s="66">
        <f>IFERROR(IF(OR($M52="",$O52=""),"",$M52/$O52),"")</f>
        <v/>
      </c>
      <c r="R52" s="64" t="n"/>
      <c r="S52" s="64">
        <f>IFERROR(IF(OR($R52="",$F52=""),"",$R52/$F52),"")</f>
        <v/>
      </c>
      <c r="T52" s="66">
        <f>IFERROR(IF(OR($M52="",$R52=""),"",$M52/$R52),"")</f>
        <v/>
      </c>
      <c r="U52" s="61">
        <f>IFERROR(IF(OR($R52="",$O52=""),"",IF($R52=$O52,"No","Yes")),"")</f>
        <v/>
      </c>
      <c r="V52" s="62" t="n"/>
      <c r="W52" s="60">
        <f>IFERROR(IF($V52="","",TODAY()-$V52),"")</f>
        <v/>
      </c>
      <c r="X52" s="67" t="n"/>
      <c r="Y52" s="67" t="n"/>
      <c r="Z52" s="68" t="n"/>
      <c r="AA52" s="67" t="n"/>
      <c r="AB52" s="67" t="n"/>
    </row>
    <row r="53" ht="15" customHeight="1" s="46">
      <c r="A53" s="69">
        <f>IFERROR(ROW()-5,"")</f>
        <v/>
      </c>
      <c r="B53" s="70" t="n"/>
      <c r="C53" s="70" t="n"/>
      <c r="D53" s="70" t="n"/>
      <c r="E53" s="70" t="n"/>
      <c r="F53" s="69" t="n"/>
      <c r="G53" s="69" t="n"/>
      <c r="H53" s="69" t="n"/>
      <c r="I53" s="70" t="n"/>
      <c r="J53" s="70" t="n"/>
      <c r="K53" s="71" t="n"/>
      <c r="L53" s="72">
        <f>IFERROR(IF($K53="","",($K53-TODAY())/365.25),"")</f>
        <v/>
      </c>
      <c r="M53" s="73" t="n"/>
      <c r="N53" s="74">
        <f>IFERROR(IF(OR($M53="",$F53=""),"",$M53/$F53),"")</f>
        <v/>
      </c>
      <c r="O53" s="73" t="n"/>
      <c r="P53" s="73">
        <f>IFERROR(IF(OR($O53="",$F53=""),"",$O53/$F53),"")</f>
        <v/>
      </c>
      <c r="Q53" s="75">
        <f>IFERROR(IF(OR($M53="",$O53=""),"",$M53/$O53),"")</f>
        <v/>
      </c>
      <c r="R53" s="73" t="n"/>
      <c r="S53" s="73">
        <f>IFERROR(IF(OR($R53="",$F53=""),"",$R53/$F53),"")</f>
        <v/>
      </c>
      <c r="T53" s="75">
        <f>IFERROR(IF(OR($M53="",$R53=""),"",$M53/$R53),"")</f>
        <v/>
      </c>
      <c r="U53" s="70">
        <f>IFERROR(IF(OR($R53="",$O53=""),"",IF($R53=$O53,"No","Yes")),"")</f>
        <v/>
      </c>
      <c r="V53" s="71" t="n"/>
      <c r="W53" s="69">
        <f>IFERROR(IF($V53="","",TODAY()-$V53),"")</f>
        <v/>
      </c>
      <c r="X53" s="67" t="n"/>
      <c r="Y53" s="67" t="n"/>
      <c r="Z53" s="68" t="n"/>
      <c r="AA53" s="67" t="n"/>
      <c r="AB53" s="67" t="n"/>
    </row>
    <row r="54" ht="15" customHeight="1" s="46">
      <c r="A54" s="60">
        <f>IFERROR(ROW()-5,"")</f>
        <v/>
      </c>
      <c r="B54" s="61" t="n"/>
      <c r="C54" s="61" t="n"/>
      <c r="D54" s="61" t="n"/>
      <c r="E54" s="61" t="n"/>
      <c r="F54" s="60" t="n"/>
      <c r="G54" s="60" t="n"/>
      <c r="H54" s="60" t="n"/>
      <c r="I54" s="61" t="n"/>
      <c r="J54" s="61" t="n"/>
      <c r="K54" s="62" t="n"/>
      <c r="L54" s="63">
        <f>IFERROR(IF($K54="","",($K54-TODAY())/365.25),"")</f>
        <v/>
      </c>
      <c r="M54" s="64" t="n"/>
      <c r="N54" s="65">
        <f>IFERROR(IF(OR($M54="",$F54=""),"",$M54/$F54),"")</f>
        <v/>
      </c>
      <c r="O54" s="64" t="n"/>
      <c r="P54" s="64">
        <f>IFERROR(IF(OR($O54="",$F54=""),"",$O54/$F54),"")</f>
        <v/>
      </c>
      <c r="Q54" s="66">
        <f>IFERROR(IF(OR($M54="",$O54=""),"",$M54/$O54),"")</f>
        <v/>
      </c>
      <c r="R54" s="64" t="n"/>
      <c r="S54" s="64">
        <f>IFERROR(IF(OR($R54="",$F54=""),"",$R54/$F54),"")</f>
        <v/>
      </c>
      <c r="T54" s="66">
        <f>IFERROR(IF(OR($M54="",$R54=""),"",$M54/$R54),"")</f>
        <v/>
      </c>
      <c r="U54" s="61">
        <f>IFERROR(IF(OR($R54="",$O54=""),"",IF($R54=$O54,"No","Yes")),"")</f>
        <v/>
      </c>
      <c r="V54" s="62" t="n"/>
      <c r="W54" s="60">
        <f>IFERROR(IF($V54="","",TODAY()-$V54),"")</f>
        <v/>
      </c>
      <c r="X54" s="67" t="n"/>
      <c r="Y54" s="67" t="n"/>
      <c r="Z54" s="68" t="n"/>
      <c r="AA54" s="67" t="n"/>
      <c r="AB54" s="67" t="n"/>
    </row>
    <row r="55" ht="15" customHeight="1" s="46">
      <c r="A55" s="69">
        <f>IFERROR(ROW()-5,"")</f>
        <v/>
      </c>
      <c r="B55" s="70" t="n"/>
      <c r="C55" s="70" t="n"/>
      <c r="D55" s="70" t="n"/>
      <c r="E55" s="70" t="n"/>
      <c r="F55" s="69" t="n"/>
      <c r="G55" s="69" t="n"/>
      <c r="H55" s="69" t="n"/>
      <c r="I55" s="70" t="n"/>
      <c r="J55" s="70" t="n"/>
      <c r="K55" s="71" t="n"/>
      <c r="L55" s="72">
        <f>IFERROR(IF($K55="","",($K55-TODAY())/365.25),"")</f>
        <v/>
      </c>
      <c r="M55" s="73" t="n"/>
      <c r="N55" s="74">
        <f>IFERROR(IF(OR($M55="",$F55=""),"",$M55/$F55),"")</f>
        <v/>
      </c>
      <c r="O55" s="73" t="n"/>
      <c r="P55" s="73">
        <f>IFERROR(IF(OR($O55="",$F55=""),"",$O55/$F55),"")</f>
        <v/>
      </c>
      <c r="Q55" s="75">
        <f>IFERROR(IF(OR($M55="",$O55=""),"",$M55/$O55),"")</f>
        <v/>
      </c>
      <c r="R55" s="73" t="n"/>
      <c r="S55" s="73">
        <f>IFERROR(IF(OR($R55="",$F55=""),"",$R55/$F55),"")</f>
        <v/>
      </c>
      <c r="T55" s="75">
        <f>IFERROR(IF(OR($M55="",$R55=""),"",$M55/$R55),"")</f>
        <v/>
      </c>
      <c r="U55" s="70">
        <f>IFERROR(IF(OR($R55="",$O55=""),"",IF($R55=$O55,"No","Yes")),"")</f>
        <v/>
      </c>
      <c r="V55" s="71" t="n"/>
      <c r="W55" s="69">
        <f>IFERROR(IF($V55="","",TODAY()-$V55),"")</f>
        <v/>
      </c>
      <c r="X55" s="67" t="n"/>
      <c r="Y55" s="67" t="n"/>
      <c r="Z55" s="68" t="n"/>
      <c r="AA55" s="67" t="n"/>
      <c r="AB55" s="67" t="n"/>
    </row>
    <row r="56" ht="15" customHeight="1" s="46">
      <c r="A56" s="60">
        <f>IFERROR(ROW()-5,"")</f>
        <v/>
      </c>
      <c r="B56" s="61" t="n"/>
      <c r="C56" s="61" t="n"/>
      <c r="D56" s="61" t="n"/>
      <c r="E56" s="61" t="n"/>
      <c r="F56" s="60" t="n"/>
      <c r="G56" s="60" t="n"/>
      <c r="H56" s="60" t="n"/>
      <c r="I56" s="61" t="n"/>
      <c r="J56" s="61" t="n"/>
      <c r="K56" s="62" t="n"/>
      <c r="L56" s="63">
        <f>IFERROR(IF($K56="","",($K56-TODAY())/365.25),"")</f>
        <v/>
      </c>
      <c r="M56" s="64" t="n"/>
      <c r="N56" s="65">
        <f>IFERROR(IF(OR($M56="",$F56=""),"",$M56/$F56),"")</f>
        <v/>
      </c>
      <c r="O56" s="64" t="n"/>
      <c r="P56" s="64">
        <f>IFERROR(IF(OR($O56="",$F56=""),"",$O56/$F56),"")</f>
        <v/>
      </c>
      <c r="Q56" s="66">
        <f>IFERROR(IF(OR($M56="",$O56=""),"",$M56/$O56),"")</f>
        <v/>
      </c>
      <c r="R56" s="64" t="n"/>
      <c r="S56" s="64">
        <f>IFERROR(IF(OR($R56="",$F56=""),"",$R56/$F56),"")</f>
        <v/>
      </c>
      <c r="T56" s="66">
        <f>IFERROR(IF(OR($M56="",$R56=""),"",$M56/$R56),"")</f>
        <v/>
      </c>
      <c r="U56" s="61">
        <f>IFERROR(IF(OR($R56="",$O56=""),"",IF($R56=$O56,"No","Yes")),"")</f>
        <v/>
      </c>
      <c r="V56" s="62" t="n"/>
      <c r="W56" s="60">
        <f>IFERROR(IF($V56="","",TODAY()-$V56),"")</f>
        <v/>
      </c>
      <c r="X56" s="67" t="n"/>
      <c r="Y56" s="67" t="n"/>
      <c r="Z56" s="68" t="n"/>
      <c r="AA56" s="67" t="n"/>
      <c r="AB56" s="67" t="n"/>
    </row>
    <row r="57" ht="15" customHeight="1" s="46">
      <c r="A57" s="69">
        <f>IFERROR(ROW()-5,"")</f>
        <v/>
      </c>
      <c r="B57" s="70" t="n"/>
      <c r="C57" s="70" t="n"/>
      <c r="D57" s="70" t="n"/>
      <c r="E57" s="70" t="n"/>
      <c r="F57" s="69" t="n"/>
      <c r="G57" s="69" t="n"/>
      <c r="H57" s="69" t="n"/>
      <c r="I57" s="70" t="n"/>
      <c r="J57" s="70" t="n"/>
      <c r="K57" s="71" t="n"/>
      <c r="L57" s="72">
        <f>IFERROR(IF($K57="","",($K57-TODAY())/365.25),"")</f>
        <v/>
      </c>
      <c r="M57" s="73" t="n"/>
      <c r="N57" s="74">
        <f>IFERROR(IF(OR($M57="",$F57=""),"",$M57/$F57),"")</f>
        <v/>
      </c>
      <c r="O57" s="73" t="n"/>
      <c r="P57" s="73">
        <f>IFERROR(IF(OR($O57="",$F57=""),"",$O57/$F57),"")</f>
        <v/>
      </c>
      <c r="Q57" s="75">
        <f>IFERROR(IF(OR($M57="",$O57=""),"",$M57/$O57),"")</f>
        <v/>
      </c>
      <c r="R57" s="73" t="n"/>
      <c r="S57" s="73">
        <f>IFERROR(IF(OR($R57="",$F57=""),"",$R57/$F57),"")</f>
        <v/>
      </c>
      <c r="T57" s="75">
        <f>IFERROR(IF(OR($M57="",$R57=""),"",$M57/$R57),"")</f>
        <v/>
      </c>
      <c r="U57" s="70">
        <f>IFERROR(IF(OR($R57="",$O57=""),"",IF($R57=$O57,"No","Yes")),"")</f>
        <v/>
      </c>
      <c r="V57" s="71" t="n"/>
      <c r="W57" s="69">
        <f>IFERROR(IF($V57="","",TODAY()-$V57),"")</f>
        <v/>
      </c>
      <c r="X57" s="67" t="n"/>
      <c r="Y57" s="67" t="n"/>
      <c r="Z57" s="68" t="n"/>
      <c r="AA57" s="67" t="n"/>
      <c r="AB57" s="67" t="n"/>
    </row>
    <row r="58" ht="15" customHeight="1" s="46">
      <c r="A58" s="60">
        <f>IFERROR(ROW()-5,"")</f>
        <v/>
      </c>
      <c r="B58" s="61" t="n"/>
      <c r="C58" s="61" t="n"/>
      <c r="D58" s="61" t="n"/>
      <c r="E58" s="61" t="n"/>
      <c r="F58" s="60" t="n"/>
      <c r="G58" s="60" t="n"/>
      <c r="H58" s="60" t="n"/>
      <c r="I58" s="61" t="n"/>
      <c r="J58" s="61" t="n"/>
      <c r="K58" s="62" t="n"/>
      <c r="L58" s="63">
        <f>IFERROR(IF($K58="","",($K58-TODAY())/365.25),"")</f>
        <v/>
      </c>
      <c r="M58" s="64" t="n"/>
      <c r="N58" s="65">
        <f>IFERROR(IF(OR($M58="",$F58=""),"",$M58/$F58),"")</f>
        <v/>
      </c>
      <c r="O58" s="64" t="n"/>
      <c r="P58" s="64">
        <f>IFERROR(IF(OR($O58="",$F58=""),"",$O58/$F58),"")</f>
        <v/>
      </c>
      <c r="Q58" s="66">
        <f>IFERROR(IF(OR($M58="",$O58=""),"",$M58/$O58),"")</f>
        <v/>
      </c>
      <c r="R58" s="64" t="n"/>
      <c r="S58" s="64">
        <f>IFERROR(IF(OR($R58="",$F58=""),"",$R58/$F58),"")</f>
        <v/>
      </c>
      <c r="T58" s="66">
        <f>IFERROR(IF(OR($M58="",$R58=""),"",$M58/$R58),"")</f>
        <v/>
      </c>
      <c r="U58" s="61">
        <f>IFERROR(IF(OR($R58="",$O58=""),"",IF($R58=$O58,"No","Yes")),"")</f>
        <v/>
      </c>
      <c r="V58" s="62" t="n"/>
      <c r="W58" s="60">
        <f>IFERROR(IF($V58="","",TODAY()-$V58),"")</f>
        <v/>
      </c>
      <c r="X58" s="67" t="n"/>
      <c r="Y58" s="67" t="n"/>
      <c r="Z58" s="68" t="n"/>
      <c r="AA58" s="67" t="n"/>
      <c r="AB58" s="67" t="n"/>
    </row>
    <row r="59" ht="15" customHeight="1" s="46">
      <c r="A59" s="69">
        <f>IFERROR(ROW()-5,"")</f>
        <v/>
      </c>
      <c r="B59" s="70" t="n"/>
      <c r="C59" s="70" t="n"/>
      <c r="D59" s="70" t="n"/>
      <c r="E59" s="70" t="n"/>
      <c r="F59" s="69" t="n"/>
      <c r="G59" s="69" t="n"/>
      <c r="H59" s="69" t="n"/>
      <c r="I59" s="70" t="n"/>
      <c r="J59" s="70" t="n"/>
      <c r="K59" s="71" t="n"/>
      <c r="L59" s="72">
        <f>IFERROR(IF($K59="","",($K59-TODAY())/365.25),"")</f>
        <v/>
      </c>
      <c r="M59" s="73" t="n"/>
      <c r="N59" s="74">
        <f>IFERROR(IF(OR($M59="",$F59=""),"",$M59/$F59),"")</f>
        <v/>
      </c>
      <c r="O59" s="73" t="n"/>
      <c r="P59" s="73">
        <f>IFERROR(IF(OR($O59="",$F59=""),"",$O59/$F59),"")</f>
        <v/>
      </c>
      <c r="Q59" s="75">
        <f>IFERROR(IF(OR($M59="",$O59=""),"",$M59/$O59),"")</f>
        <v/>
      </c>
      <c r="R59" s="73" t="n"/>
      <c r="S59" s="73">
        <f>IFERROR(IF(OR($R59="",$F59=""),"",$R59/$F59),"")</f>
        <v/>
      </c>
      <c r="T59" s="75">
        <f>IFERROR(IF(OR($M59="",$R59=""),"",$M59/$R59),"")</f>
        <v/>
      </c>
      <c r="U59" s="70">
        <f>IFERROR(IF(OR($R59="",$O59=""),"",IF($R59=$O59,"No","Yes")),"")</f>
        <v/>
      </c>
      <c r="V59" s="71" t="n"/>
      <c r="W59" s="69">
        <f>IFERROR(IF($V59="","",TODAY()-$V59),"")</f>
        <v/>
      </c>
      <c r="X59" s="67" t="n"/>
      <c r="Y59" s="67" t="n"/>
      <c r="Z59" s="68" t="n"/>
      <c r="AA59" s="67" t="n"/>
      <c r="AB59" s="67" t="n"/>
    </row>
    <row r="60" ht="15" customHeight="1" s="46">
      <c r="A60" s="60">
        <f>IFERROR(ROW()-5,"")</f>
        <v/>
      </c>
      <c r="B60" s="61" t="n"/>
      <c r="C60" s="61" t="n"/>
      <c r="D60" s="61" t="n"/>
      <c r="E60" s="61" t="n"/>
      <c r="F60" s="60" t="n"/>
      <c r="G60" s="60" t="n"/>
      <c r="H60" s="60" t="n"/>
      <c r="I60" s="61" t="n"/>
      <c r="J60" s="61" t="n"/>
      <c r="K60" s="62" t="n"/>
      <c r="L60" s="63">
        <f>IFERROR(IF($K60="","",($K60-TODAY())/365.25),"")</f>
        <v/>
      </c>
      <c r="M60" s="64" t="n"/>
      <c r="N60" s="65">
        <f>IFERROR(IF(OR($M60="",$F60=""),"",$M60/$F60),"")</f>
        <v/>
      </c>
      <c r="O60" s="64" t="n"/>
      <c r="P60" s="64">
        <f>IFERROR(IF(OR($O60="",$F60=""),"",$O60/$F60),"")</f>
        <v/>
      </c>
      <c r="Q60" s="66">
        <f>IFERROR(IF(OR($M60="",$O60=""),"",$M60/$O60),"")</f>
        <v/>
      </c>
      <c r="R60" s="64" t="n"/>
      <c r="S60" s="64">
        <f>IFERROR(IF(OR($R60="",$F60=""),"",$R60/$F60),"")</f>
        <v/>
      </c>
      <c r="T60" s="66">
        <f>IFERROR(IF(OR($M60="",$R60=""),"",$M60/$R60),"")</f>
        <v/>
      </c>
      <c r="U60" s="61">
        <f>IFERROR(IF(OR($R60="",$O60=""),"",IF($R60=$O60,"No","Yes")),"")</f>
        <v/>
      </c>
      <c r="V60" s="62" t="n"/>
      <c r="W60" s="60">
        <f>IFERROR(IF($V60="","",TODAY()-$V60),"")</f>
        <v/>
      </c>
      <c r="X60" s="67" t="n"/>
      <c r="Y60" s="67" t="n"/>
      <c r="Z60" s="68" t="n"/>
      <c r="AA60" s="67" t="n"/>
      <c r="AB60" s="67" t="n"/>
    </row>
    <row r="61" ht="15" customHeight="1" s="46">
      <c r="A61" s="69">
        <f>IFERROR(ROW()-5,"")</f>
        <v/>
      </c>
      <c r="B61" s="70" t="n"/>
      <c r="C61" s="70" t="n"/>
      <c r="D61" s="70" t="n"/>
      <c r="E61" s="70" t="n"/>
      <c r="F61" s="69" t="n"/>
      <c r="G61" s="69" t="n"/>
      <c r="H61" s="69" t="n"/>
      <c r="I61" s="70" t="n"/>
      <c r="J61" s="70" t="n"/>
      <c r="K61" s="71" t="n"/>
      <c r="L61" s="72">
        <f>IFERROR(IF($K61="","",($K61-TODAY())/365.25),"")</f>
        <v/>
      </c>
      <c r="M61" s="73" t="n"/>
      <c r="N61" s="74">
        <f>IFERROR(IF(OR($M61="",$F61=""),"",$M61/$F61),"")</f>
        <v/>
      </c>
      <c r="O61" s="73" t="n"/>
      <c r="P61" s="73">
        <f>IFERROR(IF(OR($O61="",$F61=""),"",$O61/$F61),"")</f>
        <v/>
      </c>
      <c r="Q61" s="75">
        <f>IFERROR(IF(OR($M61="",$O61=""),"",$M61/$O61),"")</f>
        <v/>
      </c>
      <c r="R61" s="73" t="n"/>
      <c r="S61" s="73">
        <f>IFERROR(IF(OR($R61="",$F61=""),"",$R61/$F61),"")</f>
        <v/>
      </c>
      <c r="T61" s="75">
        <f>IFERROR(IF(OR($M61="",$R61=""),"",$M61/$R61),"")</f>
        <v/>
      </c>
      <c r="U61" s="70">
        <f>IFERROR(IF(OR($R61="",$O61=""),"",IF($R61=$O61,"No","Yes")),"")</f>
        <v/>
      </c>
      <c r="V61" s="71" t="n"/>
      <c r="W61" s="69">
        <f>IFERROR(IF($V61="","",TODAY()-$V61),"")</f>
        <v/>
      </c>
      <c r="X61" s="67" t="n"/>
      <c r="Y61" s="67" t="n"/>
      <c r="Z61" s="68" t="n"/>
      <c r="AA61" s="67" t="n"/>
      <c r="AB61" s="67" t="n"/>
    </row>
    <row r="62" ht="15" customHeight="1" s="46">
      <c r="A62" s="60">
        <f>IFERROR(ROW()-5,"")</f>
        <v/>
      </c>
      <c r="B62" s="61" t="n"/>
      <c r="C62" s="61" t="n"/>
      <c r="D62" s="61" t="n"/>
      <c r="E62" s="61" t="n"/>
      <c r="F62" s="60" t="n"/>
      <c r="G62" s="60" t="n"/>
      <c r="H62" s="60" t="n"/>
      <c r="I62" s="61" t="n"/>
      <c r="J62" s="61" t="n"/>
      <c r="K62" s="62" t="n"/>
      <c r="L62" s="63">
        <f>IFERROR(IF($K62="","",($K62-TODAY())/365.25),"")</f>
        <v/>
      </c>
      <c r="M62" s="64" t="n"/>
      <c r="N62" s="65">
        <f>IFERROR(IF(OR($M62="",$F62=""),"",$M62/$F62),"")</f>
        <v/>
      </c>
      <c r="O62" s="64" t="n"/>
      <c r="P62" s="64">
        <f>IFERROR(IF(OR($O62="",$F62=""),"",$O62/$F62),"")</f>
        <v/>
      </c>
      <c r="Q62" s="66">
        <f>IFERROR(IF(OR($M62="",$O62=""),"",$M62/$O62),"")</f>
        <v/>
      </c>
      <c r="R62" s="64" t="n"/>
      <c r="S62" s="64">
        <f>IFERROR(IF(OR($R62="",$F62=""),"",$R62/$F62),"")</f>
        <v/>
      </c>
      <c r="T62" s="66">
        <f>IFERROR(IF(OR($M62="",$R62=""),"",$M62/$R62),"")</f>
        <v/>
      </c>
      <c r="U62" s="61">
        <f>IFERROR(IF(OR($R62="",$O62=""),"",IF($R62=$O62,"No","Yes")),"")</f>
        <v/>
      </c>
      <c r="V62" s="62" t="n"/>
      <c r="W62" s="60">
        <f>IFERROR(IF($V62="","",TODAY()-$V62),"")</f>
        <v/>
      </c>
      <c r="X62" s="67" t="n"/>
      <c r="Y62" s="67" t="n"/>
      <c r="Z62" s="68" t="n"/>
      <c r="AA62" s="67" t="n"/>
      <c r="AB62" s="67" t="n"/>
    </row>
    <row r="63" ht="15" customHeight="1" s="46">
      <c r="A63" s="69">
        <f>IFERROR(ROW()-5,"")</f>
        <v/>
      </c>
      <c r="B63" s="70" t="n"/>
      <c r="C63" s="70" t="n"/>
      <c r="D63" s="70" t="n"/>
      <c r="E63" s="70" t="n"/>
      <c r="F63" s="69" t="n"/>
      <c r="G63" s="69" t="n"/>
      <c r="H63" s="69" t="n"/>
      <c r="I63" s="70" t="n"/>
      <c r="J63" s="70" t="n"/>
      <c r="K63" s="71" t="n"/>
      <c r="L63" s="72">
        <f>IFERROR(IF($K63="","",($K63-TODAY())/365.25),"")</f>
        <v/>
      </c>
      <c r="M63" s="73" t="n"/>
      <c r="N63" s="74">
        <f>IFERROR(IF(OR($M63="",$F63=""),"",$M63/$F63),"")</f>
        <v/>
      </c>
      <c r="O63" s="73" t="n"/>
      <c r="P63" s="73">
        <f>IFERROR(IF(OR($O63="",$F63=""),"",$O63/$F63),"")</f>
        <v/>
      </c>
      <c r="Q63" s="75">
        <f>IFERROR(IF(OR($M63="",$O63=""),"",$M63/$O63),"")</f>
        <v/>
      </c>
      <c r="R63" s="73" t="n"/>
      <c r="S63" s="73">
        <f>IFERROR(IF(OR($R63="",$F63=""),"",$R63/$F63),"")</f>
        <v/>
      </c>
      <c r="T63" s="75">
        <f>IFERROR(IF(OR($M63="",$R63=""),"",$M63/$R63),"")</f>
        <v/>
      </c>
      <c r="U63" s="70">
        <f>IFERROR(IF(OR($R63="",$O63=""),"",IF($R63=$O63,"No","Yes")),"")</f>
        <v/>
      </c>
      <c r="V63" s="71" t="n"/>
      <c r="W63" s="69">
        <f>IFERROR(IF($V63="","",TODAY()-$V63),"")</f>
        <v/>
      </c>
      <c r="X63" s="67" t="n"/>
      <c r="Y63" s="67" t="n"/>
      <c r="Z63" s="68" t="n"/>
      <c r="AA63" s="67" t="n"/>
      <c r="AB63" s="67" t="n"/>
    </row>
    <row r="64" ht="15" customHeight="1" s="46">
      <c r="A64" s="60">
        <f>IFERROR(ROW()-5,"")</f>
        <v/>
      </c>
      <c r="B64" s="61" t="n"/>
      <c r="C64" s="61" t="n"/>
      <c r="D64" s="61" t="n"/>
      <c r="E64" s="61" t="n"/>
      <c r="F64" s="60" t="n"/>
      <c r="G64" s="60" t="n"/>
      <c r="H64" s="60" t="n"/>
      <c r="I64" s="61" t="n"/>
      <c r="J64" s="61" t="n"/>
      <c r="K64" s="62" t="n"/>
      <c r="L64" s="63">
        <f>IFERROR(IF($K64="","",($K64-TODAY())/365.25),"")</f>
        <v/>
      </c>
      <c r="M64" s="64" t="n"/>
      <c r="N64" s="65">
        <f>IFERROR(IF(OR($M64="",$F64=""),"",$M64/$F64),"")</f>
        <v/>
      </c>
      <c r="O64" s="64" t="n"/>
      <c r="P64" s="64">
        <f>IFERROR(IF(OR($O64="",$F64=""),"",$O64/$F64),"")</f>
        <v/>
      </c>
      <c r="Q64" s="66">
        <f>IFERROR(IF(OR($M64="",$O64=""),"",$M64/$O64),"")</f>
        <v/>
      </c>
      <c r="R64" s="64" t="n"/>
      <c r="S64" s="64">
        <f>IFERROR(IF(OR($R64="",$F64=""),"",$R64/$F64),"")</f>
        <v/>
      </c>
      <c r="T64" s="66">
        <f>IFERROR(IF(OR($M64="",$R64=""),"",$M64/$R64),"")</f>
        <v/>
      </c>
      <c r="U64" s="61">
        <f>IFERROR(IF(OR($R64="",$O64=""),"",IF($R64=$O64,"No","Yes")),"")</f>
        <v/>
      </c>
      <c r="V64" s="62" t="n"/>
      <c r="W64" s="60">
        <f>IFERROR(IF($V64="","",TODAY()-$V64),"")</f>
        <v/>
      </c>
      <c r="X64" s="67" t="n"/>
      <c r="Y64" s="67" t="n"/>
      <c r="Z64" s="68" t="n"/>
      <c r="AA64" s="67" t="n"/>
      <c r="AB64" s="67" t="n"/>
    </row>
    <row r="65" ht="15" customHeight="1" s="46">
      <c r="A65" s="69">
        <f>IFERROR(ROW()-5,"")</f>
        <v/>
      </c>
      <c r="B65" s="70" t="n"/>
      <c r="C65" s="70" t="n"/>
      <c r="D65" s="70" t="n"/>
      <c r="E65" s="70" t="n"/>
      <c r="F65" s="69" t="n"/>
      <c r="G65" s="69" t="n"/>
      <c r="H65" s="69" t="n"/>
      <c r="I65" s="70" t="n"/>
      <c r="J65" s="70" t="n"/>
      <c r="K65" s="71" t="n"/>
      <c r="L65" s="72">
        <f>IFERROR(IF($K65="","",($K65-TODAY())/365.25),"")</f>
        <v/>
      </c>
      <c r="M65" s="73" t="n"/>
      <c r="N65" s="74">
        <f>IFERROR(IF(OR($M65="",$F65=""),"",$M65/$F65),"")</f>
        <v/>
      </c>
      <c r="O65" s="73" t="n"/>
      <c r="P65" s="73">
        <f>IFERROR(IF(OR($O65="",$F65=""),"",$O65/$F65),"")</f>
        <v/>
      </c>
      <c r="Q65" s="75">
        <f>IFERROR(IF(OR($M65="",$O65=""),"",$M65/$O65),"")</f>
        <v/>
      </c>
      <c r="R65" s="73" t="n"/>
      <c r="S65" s="73">
        <f>IFERROR(IF(OR($R65="",$F65=""),"",$R65/$F65),"")</f>
        <v/>
      </c>
      <c r="T65" s="75">
        <f>IFERROR(IF(OR($M65="",$R65=""),"",$M65/$R65),"")</f>
        <v/>
      </c>
      <c r="U65" s="70">
        <f>IFERROR(IF(OR($R65="",$O65=""),"",IF($R65=$O65,"No","Yes")),"")</f>
        <v/>
      </c>
      <c r="V65" s="71" t="n"/>
      <c r="W65" s="69">
        <f>IFERROR(IF($V65="","",TODAY()-$V65),"")</f>
        <v/>
      </c>
      <c r="X65" s="67" t="n"/>
      <c r="Y65" s="67" t="n"/>
      <c r="Z65" s="68" t="n"/>
      <c r="AA65" s="67" t="n"/>
      <c r="AB65" s="67" t="n"/>
    </row>
    <row r="66" ht="15" customHeight="1" s="46">
      <c r="A66" s="60">
        <f>IFERROR(ROW()-5,"")</f>
        <v/>
      </c>
      <c r="B66" s="61" t="n"/>
      <c r="C66" s="61" t="n"/>
      <c r="D66" s="61" t="n"/>
      <c r="E66" s="61" t="n"/>
      <c r="F66" s="60" t="n"/>
      <c r="G66" s="60" t="n"/>
      <c r="H66" s="60" t="n"/>
      <c r="I66" s="61" t="n"/>
      <c r="J66" s="61" t="n"/>
      <c r="K66" s="62" t="n"/>
      <c r="L66" s="63">
        <f>IFERROR(IF($K66="","",($K66-TODAY())/365.25),"")</f>
        <v/>
      </c>
      <c r="M66" s="64" t="n"/>
      <c r="N66" s="65">
        <f>IFERROR(IF(OR($M66="",$F66=""),"",$M66/$F66),"")</f>
        <v/>
      </c>
      <c r="O66" s="64" t="n"/>
      <c r="P66" s="64">
        <f>IFERROR(IF(OR($O66="",$F66=""),"",$O66/$F66),"")</f>
        <v/>
      </c>
      <c r="Q66" s="66">
        <f>IFERROR(IF(OR($M66="",$O66=""),"",$M66/$O66),"")</f>
        <v/>
      </c>
      <c r="R66" s="64" t="n"/>
      <c r="S66" s="64">
        <f>IFERROR(IF(OR($R66="",$F66=""),"",$R66/$F66),"")</f>
        <v/>
      </c>
      <c r="T66" s="66">
        <f>IFERROR(IF(OR($M66="",$R66=""),"",$M66/$R66),"")</f>
        <v/>
      </c>
      <c r="U66" s="61">
        <f>IFERROR(IF(OR($R66="",$O66=""),"",IF($R66=$O66,"No","Yes")),"")</f>
        <v/>
      </c>
      <c r="V66" s="62" t="n"/>
      <c r="W66" s="60">
        <f>IFERROR(IF($V66="","",TODAY()-$V66),"")</f>
        <v/>
      </c>
      <c r="X66" s="67" t="n"/>
      <c r="Y66" s="67" t="n"/>
      <c r="Z66" s="68" t="n"/>
      <c r="AA66" s="67" t="n"/>
      <c r="AB66" s="67" t="n"/>
    </row>
    <row r="67" ht="15" customHeight="1" s="46">
      <c r="A67" s="69">
        <f>IFERROR(ROW()-5,"")</f>
        <v/>
      </c>
      <c r="B67" s="70" t="n"/>
      <c r="C67" s="70" t="n"/>
      <c r="D67" s="70" t="n"/>
      <c r="E67" s="70" t="n"/>
      <c r="F67" s="69" t="n"/>
      <c r="G67" s="69" t="n"/>
      <c r="H67" s="69" t="n"/>
      <c r="I67" s="70" t="n"/>
      <c r="J67" s="70" t="n"/>
      <c r="K67" s="71" t="n"/>
      <c r="L67" s="72">
        <f>IFERROR(IF($K67="","",($K67-TODAY())/365.25),"")</f>
        <v/>
      </c>
      <c r="M67" s="73" t="n"/>
      <c r="N67" s="74">
        <f>IFERROR(IF(OR($M67="",$F67=""),"",$M67/$F67),"")</f>
        <v/>
      </c>
      <c r="O67" s="73" t="n"/>
      <c r="P67" s="73">
        <f>IFERROR(IF(OR($O67="",$F67=""),"",$O67/$F67),"")</f>
        <v/>
      </c>
      <c r="Q67" s="75">
        <f>IFERROR(IF(OR($M67="",$O67=""),"",$M67/$O67),"")</f>
        <v/>
      </c>
      <c r="R67" s="73" t="n"/>
      <c r="S67" s="73">
        <f>IFERROR(IF(OR($R67="",$F67=""),"",$R67/$F67),"")</f>
        <v/>
      </c>
      <c r="T67" s="75">
        <f>IFERROR(IF(OR($M67="",$R67=""),"",$M67/$R67),"")</f>
        <v/>
      </c>
      <c r="U67" s="70">
        <f>IFERROR(IF(OR($R67="",$O67=""),"",IF($R67=$O67,"No","Yes")),"")</f>
        <v/>
      </c>
      <c r="V67" s="71" t="n"/>
      <c r="W67" s="69">
        <f>IFERROR(IF($V67="","",TODAY()-$V67),"")</f>
        <v/>
      </c>
      <c r="X67" s="67" t="n"/>
      <c r="Y67" s="67" t="n"/>
      <c r="Z67" s="68" t="n"/>
      <c r="AA67" s="67" t="n"/>
      <c r="AB67" s="67" t="n"/>
    </row>
    <row r="68" ht="15" customHeight="1" s="46">
      <c r="A68" s="60">
        <f>IFERROR(ROW()-5,"")</f>
        <v/>
      </c>
      <c r="B68" s="61" t="n"/>
      <c r="C68" s="61" t="n"/>
      <c r="D68" s="61" t="n"/>
      <c r="E68" s="61" t="n"/>
      <c r="F68" s="60" t="n"/>
      <c r="G68" s="60" t="n"/>
      <c r="H68" s="60" t="n"/>
      <c r="I68" s="61" t="n"/>
      <c r="J68" s="61" t="n"/>
      <c r="K68" s="62" t="n"/>
      <c r="L68" s="63">
        <f>IFERROR(IF($K68="","",($K68-TODAY())/365.25),"")</f>
        <v/>
      </c>
      <c r="M68" s="64" t="n"/>
      <c r="N68" s="65">
        <f>IFERROR(IF(OR($M68="",$F68=""),"",$M68/$F68),"")</f>
        <v/>
      </c>
      <c r="O68" s="64" t="n"/>
      <c r="P68" s="64">
        <f>IFERROR(IF(OR($O68="",$F68=""),"",$O68/$F68),"")</f>
        <v/>
      </c>
      <c r="Q68" s="66">
        <f>IFERROR(IF(OR($M68="",$O68=""),"",$M68/$O68),"")</f>
        <v/>
      </c>
      <c r="R68" s="64" t="n"/>
      <c r="S68" s="64">
        <f>IFERROR(IF(OR($R68="",$F68=""),"",$R68/$F68),"")</f>
        <v/>
      </c>
      <c r="T68" s="66">
        <f>IFERROR(IF(OR($M68="",$R68=""),"",$M68/$R68),"")</f>
        <v/>
      </c>
      <c r="U68" s="61">
        <f>IFERROR(IF(OR($R68="",$O68=""),"",IF($R68=$O68,"No","Yes")),"")</f>
        <v/>
      </c>
      <c r="V68" s="62" t="n"/>
      <c r="W68" s="60">
        <f>IFERROR(IF($V68="","",TODAY()-$V68),"")</f>
        <v/>
      </c>
      <c r="X68" s="67" t="n"/>
      <c r="Y68" s="67" t="n"/>
      <c r="Z68" s="68" t="n"/>
      <c r="AA68" s="67" t="n"/>
      <c r="AB68" s="67" t="n"/>
    </row>
    <row r="69" ht="15" customHeight="1" s="46">
      <c r="A69" s="69">
        <f>IFERROR(ROW()-5,"")</f>
        <v/>
      </c>
      <c r="B69" s="70" t="n"/>
      <c r="C69" s="70" t="n"/>
      <c r="D69" s="70" t="n"/>
      <c r="E69" s="70" t="n"/>
      <c r="F69" s="69" t="n"/>
      <c r="G69" s="69" t="n"/>
      <c r="H69" s="69" t="n"/>
      <c r="I69" s="70" t="n"/>
      <c r="J69" s="70" t="n"/>
      <c r="K69" s="71" t="n"/>
      <c r="L69" s="72">
        <f>IFERROR(IF($K69="","",($K69-TODAY())/365.25),"")</f>
        <v/>
      </c>
      <c r="M69" s="73" t="n"/>
      <c r="N69" s="74">
        <f>IFERROR(IF(OR($M69="",$F69=""),"",$M69/$F69),"")</f>
        <v/>
      </c>
      <c r="O69" s="73" t="n"/>
      <c r="P69" s="73">
        <f>IFERROR(IF(OR($O69="",$F69=""),"",$O69/$F69),"")</f>
        <v/>
      </c>
      <c r="Q69" s="75">
        <f>IFERROR(IF(OR($M69="",$O69=""),"",$M69/$O69),"")</f>
        <v/>
      </c>
      <c r="R69" s="73" t="n"/>
      <c r="S69" s="73">
        <f>IFERROR(IF(OR($R69="",$F69=""),"",$R69/$F69),"")</f>
        <v/>
      </c>
      <c r="T69" s="75">
        <f>IFERROR(IF(OR($M69="",$R69=""),"",$M69/$R69),"")</f>
        <v/>
      </c>
      <c r="U69" s="70">
        <f>IFERROR(IF(OR($R69="",$O69=""),"",IF($R69=$O69,"No","Yes")),"")</f>
        <v/>
      </c>
      <c r="V69" s="71" t="n"/>
      <c r="W69" s="69">
        <f>IFERROR(IF($V69="","",TODAY()-$V69),"")</f>
        <v/>
      </c>
      <c r="X69" s="67" t="n"/>
      <c r="Y69" s="67" t="n"/>
      <c r="Z69" s="68" t="n"/>
      <c r="AA69" s="67" t="n"/>
      <c r="AB69" s="67" t="n"/>
    </row>
    <row r="70" ht="15" customHeight="1" s="46">
      <c r="A70" s="60">
        <f>IFERROR(ROW()-5,"")</f>
        <v/>
      </c>
      <c r="B70" s="61" t="n"/>
      <c r="C70" s="61" t="n"/>
      <c r="D70" s="61" t="n"/>
      <c r="E70" s="61" t="n"/>
      <c r="F70" s="60" t="n"/>
      <c r="G70" s="60" t="n"/>
      <c r="H70" s="60" t="n"/>
      <c r="I70" s="61" t="n"/>
      <c r="J70" s="61" t="n"/>
      <c r="K70" s="62" t="n"/>
      <c r="L70" s="63">
        <f>IFERROR(IF($K70="","",($K70-TODAY())/365.25),"")</f>
        <v/>
      </c>
      <c r="M70" s="64" t="n"/>
      <c r="N70" s="65">
        <f>IFERROR(IF(OR($M70="",$F70=""),"",$M70/$F70),"")</f>
        <v/>
      </c>
      <c r="O70" s="64" t="n"/>
      <c r="P70" s="64">
        <f>IFERROR(IF(OR($O70="",$F70=""),"",$O70/$F70),"")</f>
        <v/>
      </c>
      <c r="Q70" s="66">
        <f>IFERROR(IF(OR($M70="",$O70=""),"",$M70/$O70),"")</f>
        <v/>
      </c>
      <c r="R70" s="64" t="n"/>
      <c r="S70" s="64">
        <f>IFERROR(IF(OR($R70="",$F70=""),"",$R70/$F70),"")</f>
        <v/>
      </c>
      <c r="T70" s="66">
        <f>IFERROR(IF(OR($M70="",$R70=""),"",$M70/$R70),"")</f>
        <v/>
      </c>
      <c r="U70" s="61">
        <f>IFERROR(IF(OR($R70="",$O70=""),"",IF($R70=$O70,"No","Yes")),"")</f>
        <v/>
      </c>
      <c r="V70" s="62" t="n"/>
      <c r="W70" s="60">
        <f>IFERROR(IF($V70="","",TODAY()-$V70),"")</f>
        <v/>
      </c>
      <c r="X70" s="67" t="n"/>
      <c r="Y70" s="67" t="n"/>
      <c r="Z70" s="68" t="n"/>
      <c r="AA70" s="67" t="n"/>
      <c r="AB70" s="67" t="n"/>
    </row>
    <row r="71" ht="15" customHeight="1" s="46">
      <c r="A71" s="69">
        <f>IFERROR(ROW()-5,"")</f>
        <v/>
      </c>
      <c r="B71" s="70" t="n"/>
      <c r="C71" s="70" t="n"/>
      <c r="D71" s="70" t="n"/>
      <c r="E71" s="70" t="n"/>
      <c r="F71" s="69" t="n"/>
      <c r="G71" s="69" t="n"/>
      <c r="H71" s="69" t="n"/>
      <c r="I71" s="70" t="n"/>
      <c r="J71" s="70" t="n"/>
      <c r="K71" s="71" t="n"/>
      <c r="L71" s="72">
        <f>IFERROR(IF($K71="","",($K71-TODAY())/365.25),"")</f>
        <v/>
      </c>
      <c r="M71" s="73" t="n"/>
      <c r="N71" s="74">
        <f>IFERROR(IF(OR($M71="",$F71=""),"",$M71/$F71),"")</f>
        <v/>
      </c>
      <c r="O71" s="73" t="n"/>
      <c r="P71" s="73">
        <f>IFERROR(IF(OR($O71="",$F71=""),"",$O71/$F71),"")</f>
        <v/>
      </c>
      <c r="Q71" s="75">
        <f>IFERROR(IF(OR($M71="",$O71=""),"",$M71/$O71),"")</f>
        <v/>
      </c>
      <c r="R71" s="73" t="n"/>
      <c r="S71" s="73">
        <f>IFERROR(IF(OR($R71="",$F71=""),"",$R71/$F71),"")</f>
        <v/>
      </c>
      <c r="T71" s="75">
        <f>IFERROR(IF(OR($M71="",$R71=""),"",$M71/$R71),"")</f>
        <v/>
      </c>
      <c r="U71" s="70">
        <f>IFERROR(IF(OR($R71="",$O71=""),"",IF($R71=$O71,"No","Yes")),"")</f>
        <v/>
      </c>
      <c r="V71" s="71" t="n"/>
      <c r="W71" s="69">
        <f>IFERROR(IF($V71="","",TODAY()-$V71),"")</f>
        <v/>
      </c>
      <c r="X71" s="67" t="n"/>
      <c r="Y71" s="67" t="n"/>
      <c r="Z71" s="68" t="n"/>
      <c r="AA71" s="67" t="n"/>
      <c r="AB71" s="67" t="n"/>
    </row>
    <row r="72" ht="15" customHeight="1" s="46">
      <c r="A72" s="60">
        <f>IFERROR(ROW()-5,"")</f>
        <v/>
      </c>
      <c r="B72" s="61" t="n"/>
      <c r="C72" s="61" t="n"/>
      <c r="D72" s="61" t="n"/>
      <c r="E72" s="61" t="n"/>
      <c r="F72" s="60" t="n"/>
      <c r="G72" s="60" t="n"/>
      <c r="H72" s="60" t="n"/>
      <c r="I72" s="61" t="n"/>
      <c r="J72" s="61" t="n"/>
      <c r="K72" s="62" t="n"/>
      <c r="L72" s="63">
        <f>IFERROR(IF($K72="","",($K72-TODAY())/365.25),"")</f>
        <v/>
      </c>
      <c r="M72" s="64" t="n"/>
      <c r="N72" s="65">
        <f>IFERROR(IF(OR($M72="",$F72=""),"",$M72/$F72),"")</f>
        <v/>
      </c>
      <c r="O72" s="64" t="n"/>
      <c r="P72" s="64">
        <f>IFERROR(IF(OR($O72="",$F72=""),"",$O72/$F72),"")</f>
        <v/>
      </c>
      <c r="Q72" s="66">
        <f>IFERROR(IF(OR($M72="",$O72=""),"",$M72/$O72),"")</f>
        <v/>
      </c>
      <c r="R72" s="64" t="n"/>
      <c r="S72" s="64">
        <f>IFERROR(IF(OR($R72="",$F72=""),"",$R72/$F72),"")</f>
        <v/>
      </c>
      <c r="T72" s="66">
        <f>IFERROR(IF(OR($M72="",$R72=""),"",$M72/$R72),"")</f>
        <v/>
      </c>
      <c r="U72" s="61">
        <f>IFERROR(IF(OR($R72="",$O72=""),"",IF($R72=$O72,"No","Yes")),"")</f>
        <v/>
      </c>
      <c r="V72" s="62" t="n"/>
      <c r="W72" s="60">
        <f>IFERROR(IF($V72="","",TODAY()-$V72),"")</f>
        <v/>
      </c>
      <c r="X72" s="67" t="n"/>
      <c r="Y72" s="67" t="n"/>
      <c r="Z72" s="68" t="n"/>
      <c r="AA72" s="67" t="n"/>
      <c r="AB72" s="67" t="n"/>
    </row>
    <row r="73" ht="15" customHeight="1" s="46">
      <c r="A73" s="69">
        <f>IFERROR(ROW()-5,"")</f>
        <v/>
      </c>
      <c r="B73" s="70" t="n"/>
      <c r="C73" s="70" t="n"/>
      <c r="D73" s="70" t="n"/>
      <c r="E73" s="70" t="n"/>
      <c r="F73" s="69" t="n"/>
      <c r="G73" s="69" t="n"/>
      <c r="H73" s="69" t="n"/>
      <c r="I73" s="70" t="n"/>
      <c r="J73" s="70" t="n"/>
      <c r="K73" s="71" t="n"/>
      <c r="L73" s="72">
        <f>IFERROR(IF($K73="","",($K73-TODAY())/365.25),"")</f>
        <v/>
      </c>
      <c r="M73" s="73" t="n"/>
      <c r="N73" s="74">
        <f>IFERROR(IF(OR($M73="",$F73=""),"",$M73/$F73),"")</f>
        <v/>
      </c>
      <c r="O73" s="73" t="n"/>
      <c r="P73" s="73">
        <f>IFERROR(IF(OR($O73="",$F73=""),"",$O73/$F73),"")</f>
        <v/>
      </c>
      <c r="Q73" s="75">
        <f>IFERROR(IF(OR($M73="",$O73=""),"",$M73/$O73),"")</f>
        <v/>
      </c>
      <c r="R73" s="73" t="n"/>
      <c r="S73" s="73">
        <f>IFERROR(IF(OR($R73="",$F73=""),"",$R73/$F73),"")</f>
        <v/>
      </c>
      <c r="T73" s="75">
        <f>IFERROR(IF(OR($M73="",$R73=""),"",$M73/$R73),"")</f>
        <v/>
      </c>
      <c r="U73" s="70">
        <f>IFERROR(IF(OR($R73="",$O73=""),"",IF($R73=$O73,"No","Yes")),"")</f>
        <v/>
      </c>
      <c r="V73" s="71" t="n"/>
      <c r="W73" s="69">
        <f>IFERROR(IF($V73="","",TODAY()-$V73),"")</f>
        <v/>
      </c>
      <c r="X73" s="67" t="n"/>
      <c r="Y73" s="67" t="n"/>
      <c r="Z73" s="68" t="n"/>
      <c r="AA73" s="67" t="n"/>
      <c r="AB73" s="67" t="n"/>
    </row>
    <row r="74" ht="15" customHeight="1" s="46">
      <c r="A74" s="60">
        <f>IFERROR(ROW()-5,"")</f>
        <v/>
      </c>
      <c r="B74" s="61" t="n"/>
      <c r="C74" s="61" t="n"/>
      <c r="D74" s="61" t="n"/>
      <c r="E74" s="61" t="n"/>
      <c r="F74" s="60" t="n"/>
      <c r="G74" s="60" t="n"/>
      <c r="H74" s="60" t="n"/>
      <c r="I74" s="61" t="n"/>
      <c r="J74" s="61" t="n"/>
      <c r="K74" s="62" t="n"/>
      <c r="L74" s="63">
        <f>IFERROR(IF($K74="","",($K74-TODAY())/365.25),"")</f>
        <v/>
      </c>
      <c r="M74" s="64" t="n"/>
      <c r="N74" s="65">
        <f>IFERROR(IF(OR($M74="",$F74=""),"",$M74/$F74),"")</f>
        <v/>
      </c>
      <c r="O74" s="64" t="n"/>
      <c r="P74" s="64">
        <f>IFERROR(IF(OR($O74="",$F74=""),"",$O74/$F74),"")</f>
        <v/>
      </c>
      <c r="Q74" s="66">
        <f>IFERROR(IF(OR($M74="",$O74=""),"",$M74/$O74),"")</f>
        <v/>
      </c>
      <c r="R74" s="64" t="n"/>
      <c r="S74" s="64">
        <f>IFERROR(IF(OR($R74="",$F74=""),"",$R74/$F74),"")</f>
        <v/>
      </c>
      <c r="T74" s="66">
        <f>IFERROR(IF(OR($M74="",$R74=""),"",$M74/$R74),"")</f>
        <v/>
      </c>
      <c r="U74" s="61">
        <f>IFERROR(IF(OR($R74="",$O74=""),"",IF($R74=$O74,"No","Yes")),"")</f>
        <v/>
      </c>
      <c r="V74" s="62" t="n"/>
      <c r="W74" s="60">
        <f>IFERROR(IF($V74="","",TODAY()-$V74),"")</f>
        <v/>
      </c>
      <c r="X74" s="67" t="n"/>
      <c r="Y74" s="67" t="n"/>
      <c r="Z74" s="68" t="n"/>
      <c r="AA74" s="67" t="n"/>
      <c r="AB74" s="67" t="n"/>
    </row>
    <row r="75" ht="15" customHeight="1" s="46">
      <c r="A75" s="69">
        <f>IFERROR(ROW()-5,"")</f>
        <v/>
      </c>
      <c r="B75" s="70" t="n"/>
      <c r="C75" s="70" t="n"/>
      <c r="D75" s="70" t="n"/>
      <c r="E75" s="70" t="n"/>
      <c r="F75" s="69" t="n"/>
      <c r="G75" s="69" t="n"/>
      <c r="H75" s="69" t="n"/>
      <c r="I75" s="70" t="n"/>
      <c r="J75" s="70" t="n"/>
      <c r="K75" s="71" t="n"/>
      <c r="L75" s="72">
        <f>IFERROR(IF($K75="","",($K75-TODAY())/365.25),"")</f>
        <v/>
      </c>
      <c r="M75" s="73" t="n"/>
      <c r="N75" s="74">
        <f>IFERROR(IF(OR($M75="",$F75=""),"",$M75/$F75),"")</f>
        <v/>
      </c>
      <c r="O75" s="73" t="n"/>
      <c r="P75" s="73">
        <f>IFERROR(IF(OR($O75="",$F75=""),"",$O75/$F75),"")</f>
        <v/>
      </c>
      <c r="Q75" s="75">
        <f>IFERROR(IF(OR($M75="",$O75=""),"",$M75/$O75),"")</f>
        <v/>
      </c>
      <c r="R75" s="73" t="n"/>
      <c r="S75" s="73">
        <f>IFERROR(IF(OR($R75="",$F75=""),"",$R75/$F75),"")</f>
        <v/>
      </c>
      <c r="T75" s="75">
        <f>IFERROR(IF(OR($M75="",$R75=""),"",$M75/$R75),"")</f>
        <v/>
      </c>
      <c r="U75" s="70">
        <f>IFERROR(IF(OR($R75="",$O75=""),"",IF($R75=$O75,"No","Yes")),"")</f>
        <v/>
      </c>
      <c r="V75" s="71" t="n"/>
      <c r="W75" s="69">
        <f>IFERROR(IF($V75="","",TODAY()-$V75),"")</f>
        <v/>
      </c>
      <c r="X75" s="67" t="n"/>
      <c r="Y75" s="67" t="n"/>
      <c r="Z75" s="68" t="n"/>
      <c r="AA75" s="67" t="n"/>
      <c r="AB75" s="67" t="n"/>
    </row>
    <row r="76" ht="15" customHeight="1" s="46">
      <c r="A76" s="60">
        <f>IFERROR(ROW()-5,"")</f>
        <v/>
      </c>
      <c r="B76" s="61" t="n"/>
      <c r="C76" s="61" t="n"/>
      <c r="D76" s="61" t="n"/>
      <c r="E76" s="61" t="n"/>
      <c r="F76" s="60" t="n"/>
      <c r="G76" s="60" t="n"/>
      <c r="H76" s="60" t="n"/>
      <c r="I76" s="61" t="n"/>
      <c r="J76" s="61" t="n"/>
      <c r="K76" s="62" t="n"/>
      <c r="L76" s="63">
        <f>IFERROR(IF($K76="","",($K76-TODAY())/365.25),"")</f>
        <v/>
      </c>
      <c r="M76" s="64" t="n"/>
      <c r="N76" s="65">
        <f>IFERROR(IF(OR($M76="",$F76=""),"",$M76/$F76),"")</f>
        <v/>
      </c>
      <c r="O76" s="64" t="n"/>
      <c r="P76" s="64">
        <f>IFERROR(IF(OR($O76="",$F76=""),"",$O76/$F76),"")</f>
        <v/>
      </c>
      <c r="Q76" s="66">
        <f>IFERROR(IF(OR($M76="",$O76=""),"",$M76/$O76),"")</f>
        <v/>
      </c>
      <c r="R76" s="64" t="n"/>
      <c r="S76" s="64">
        <f>IFERROR(IF(OR($R76="",$F76=""),"",$R76/$F76),"")</f>
        <v/>
      </c>
      <c r="T76" s="66">
        <f>IFERROR(IF(OR($M76="",$R76=""),"",$M76/$R76),"")</f>
        <v/>
      </c>
      <c r="U76" s="61">
        <f>IFERROR(IF(OR($R76="",$O76=""),"",IF($R76=$O76,"No","Yes")),"")</f>
        <v/>
      </c>
      <c r="V76" s="62" t="n"/>
      <c r="W76" s="60">
        <f>IFERROR(IF($V76="","",TODAY()-$V76),"")</f>
        <v/>
      </c>
      <c r="X76" s="67" t="n"/>
      <c r="Y76" s="67" t="n"/>
      <c r="Z76" s="68" t="n"/>
      <c r="AA76" s="67" t="n"/>
      <c r="AB76" s="67" t="n"/>
    </row>
    <row r="77" ht="15" customHeight="1" s="46">
      <c r="A77" s="69">
        <f>IFERROR(ROW()-5,"")</f>
        <v/>
      </c>
      <c r="B77" s="70" t="n"/>
      <c r="C77" s="70" t="n"/>
      <c r="D77" s="70" t="n"/>
      <c r="E77" s="70" t="n"/>
      <c r="F77" s="69" t="n"/>
      <c r="G77" s="69" t="n"/>
      <c r="H77" s="69" t="n"/>
      <c r="I77" s="70" t="n"/>
      <c r="J77" s="70" t="n"/>
      <c r="K77" s="71" t="n"/>
      <c r="L77" s="72">
        <f>IFERROR(IF($K77="","",($K77-TODAY())/365.25),"")</f>
        <v/>
      </c>
      <c r="M77" s="73" t="n"/>
      <c r="N77" s="74">
        <f>IFERROR(IF(OR($M77="",$F77=""),"",$M77/$F77),"")</f>
        <v/>
      </c>
      <c r="O77" s="73" t="n"/>
      <c r="P77" s="73">
        <f>IFERROR(IF(OR($O77="",$F77=""),"",$O77/$F77),"")</f>
        <v/>
      </c>
      <c r="Q77" s="75">
        <f>IFERROR(IF(OR($M77="",$O77=""),"",$M77/$O77),"")</f>
        <v/>
      </c>
      <c r="R77" s="73" t="n"/>
      <c r="S77" s="73">
        <f>IFERROR(IF(OR($R77="",$F77=""),"",$R77/$F77),"")</f>
        <v/>
      </c>
      <c r="T77" s="75">
        <f>IFERROR(IF(OR($M77="",$R77=""),"",$M77/$R77),"")</f>
        <v/>
      </c>
      <c r="U77" s="70">
        <f>IFERROR(IF(OR($R77="",$O77=""),"",IF($R77=$O77,"No","Yes")),"")</f>
        <v/>
      </c>
      <c r="V77" s="71" t="n"/>
      <c r="W77" s="69">
        <f>IFERROR(IF($V77="","",TODAY()-$V77),"")</f>
        <v/>
      </c>
      <c r="X77" s="67" t="n"/>
      <c r="Y77" s="67" t="n"/>
      <c r="Z77" s="68" t="n"/>
      <c r="AA77" s="67" t="n"/>
      <c r="AB77" s="67" t="n"/>
    </row>
    <row r="78" ht="15" customHeight="1" s="46">
      <c r="A78" s="60">
        <f>IFERROR(ROW()-5,"")</f>
        <v/>
      </c>
      <c r="B78" s="61" t="n"/>
      <c r="C78" s="61" t="n"/>
      <c r="D78" s="61" t="n"/>
      <c r="E78" s="61" t="n"/>
      <c r="F78" s="60" t="n"/>
      <c r="G78" s="60" t="n"/>
      <c r="H78" s="60" t="n"/>
      <c r="I78" s="61" t="n"/>
      <c r="J78" s="61" t="n"/>
      <c r="K78" s="62" t="n"/>
      <c r="L78" s="63">
        <f>IFERROR(IF($K78="","",($K78-TODAY())/365.25),"")</f>
        <v/>
      </c>
      <c r="M78" s="64" t="n"/>
      <c r="N78" s="65">
        <f>IFERROR(IF(OR($M78="",$F78=""),"",$M78/$F78),"")</f>
        <v/>
      </c>
      <c r="O78" s="64" t="n"/>
      <c r="P78" s="64">
        <f>IFERROR(IF(OR($O78="",$F78=""),"",$O78/$F78),"")</f>
        <v/>
      </c>
      <c r="Q78" s="66">
        <f>IFERROR(IF(OR($M78="",$O78=""),"",$M78/$O78),"")</f>
        <v/>
      </c>
      <c r="R78" s="64" t="n"/>
      <c r="S78" s="64">
        <f>IFERROR(IF(OR($R78="",$F78=""),"",$R78/$F78),"")</f>
        <v/>
      </c>
      <c r="T78" s="66">
        <f>IFERROR(IF(OR($M78="",$R78=""),"",$M78/$R78),"")</f>
        <v/>
      </c>
      <c r="U78" s="61">
        <f>IFERROR(IF(OR($R78="",$O78=""),"",IF($R78=$O78,"No","Yes")),"")</f>
        <v/>
      </c>
      <c r="V78" s="62" t="n"/>
      <c r="W78" s="60">
        <f>IFERROR(IF($V78="","",TODAY()-$V78),"")</f>
        <v/>
      </c>
      <c r="X78" s="67" t="n"/>
      <c r="Y78" s="67" t="n"/>
      <c r="Z78" s="68" t="n"/>
      <c r="AA78" s="67" t="n"/>
      <c r="AB78" s="67" t="n"/>
    </row>
    <row r="79" ht="15" customHeight="1" s="46">
      <c r="A79" s="69">
        <f>IFERROR(ROW()-5,"")</f>
        <v/>
      </c>
      <c r="B79" s="70" t="n"/>
      <c r="C79" s="70" t="n"/>
      <c r="D79" s="70" t="n"/>
      <c r="E79" s="70" t="n"/>
      <c r="F79" s="69" t="n"/>
      <c r="G79" s="69" t="n"/>
      <c r="H79" s="69" t="n"/>
      <c r="I79" s="70" t="n"/>
      <c r="J79" s="70" t="n"/>
      <c r="K79" s="71" t="n"/>
      <c r="L79" s="72">
        <f>IFERROR(IF($K79="","",($K79-TODAY())/365.25),"")</f>
        <v/>
      </c>
      <c r="M79" s="73" t="n"/>
      <c r="N79" s="74">
        <f>IFERROR(IF(OR($M79="",$F79=""),"",$M79/$F79),"")</f>
        <v/>
      </c>
      <c r="O79" s="73" t="n"/>
      <c r="P79" s="73">
        <f>IFERROR(IF(OR($O79="",$F79=""),"",$O79/$F79),"")</f>
        <v/>
      </c>
      <c r="Q79" s="75">
        <f>IFERROR(IF(OR($M79="",$O79=""),"",$M79/$O79),"")</f>
        <v/>
      </c>
      <c r="R79" s="73" t="n"/>
      <c r="S79" s="73">
        <f>IFERROR(IF(OR($R79="",$F79=""),"",$R79/$F79),"")</f>
        <v/>
      </c>
      <c r="T79" s="75">
        <f>IFERROR(IF(OR($M79="",$R79=""),"",$M79/$R79),"")</f>
        <v/>
      </c>
      <c r="U79" s="70">
        <f>IFERROR(IF(OR($R79="",$O79=""),"",IF($R79=$O79,"No","Yes")),"")</f>
        <v/>
      </c>
      <c r="V79" s="71" t="n"/>
      <c r="W79" s="69">
        <f>IFERROR(IF($V79="","",TODAY()-$V79),"")</f>
        <v/>
      </c>
      <c r="X79" s="67" t="n"/>
      <c r="Y79" s="67" t="n"/>
      <c r="Z79" s="68" t="n"/>
      <c r="AA79" s="67" t="n"/>
      <c r="AB79" s="67" t="n"/>
    </row>
    <row r="80" ht="15" customHeight="1" s="46">
      <c r="A80" s="60">
        <f>IFERROR(ROW()-5,"")</f>
        <v/>
      </c>
      <c r="B80" s="61" t="n"/>
      <c r="C80" s="61" t="n"/>
      <c r="D80" s="61" t="n"/>
      <c r="E80" s="61" t="n"/>
      <c r="F80" s="60" t="n"/>
      <c r="G80" s="60" t="n"/>
      <c r="H80" s="60" t="n"/>
      <c r="I80" s="61" t="n"/>
      <c r="J80" s="61" t="n"/>
      <c r="K80" s="62" t="n"/>
      <c r="L80" s="63">
        <f>IFERROR(IF($K80="","",($K80-TODAY())/365.25),"")</f>
        <v/>
      </c>
      <c r="M80" s="64" t="n"/>
      <c r="N80" s="65">
        <f>IFERROR(IF(OR($M80="",$F80=""),"",$M80/$F80),"")</f>
        <v/>
      </c>
      <c r="O80" s="64" t="n"/>
      <c r="P80" s="64">
        <f>IFERROR(IF(OR($O80="",$F80=""),"",$O80/$F80),"")</f>
        <v/>
      </c>
      <c r="Q80" s="66">
        <f>IFERROR(IF(OR($M80="",$O80=""),"",$M80/$O80),"")</f>
        <v/>
      </c>
      <c r="R80" s="64" t="n"/>
      <c r="S80" s="64">
        <f>IFERROR(IF(OR($R80="",$F80=""),"",$R80/$F80),"")</f>
        <v/>
      </c>
      <c r="T80" s="66">
        <f>IFERROR(IF(OR($M80="",$R80=""),"",$M80/$R80),"")</f>
        <v/>
      </c>
      <c r="U80" s="61">
        <f>IFERROR(IF(OR($R80="",$O80=""),"",IF($R80=$O80,"No","Yes")),"")</f>
        <v/>
      </c>
      <c r="V80" s="62" t="n"/>
      <c r="W80" s="60">
        <f>IFERROR(IF($V80="","",TODAY()-$V80),"")</f>
        <v/>
      </c>
      <c r="X80" s="67" t="n"/>
      <c r="Y80" s="67" t="n"/>
      <c r="Z80" s="68" t="n"/>
      <c r="AA80" s="67" t="n"/>
      <c r="AB80" s="67" t="n"/>
    </row>
    <row r="81" ht="15" customHeight="1" s="46">
      <c r="A81" s="69">
        <f>IFERROR(ROW()-5,"")</f>
        <v/>
      </c>
      <c r="B81" s="70" t="n"/>
      <c r="C81" s="70" t="n"/>
      <c r="D81" s="70" t="n"/>
      <c r="E81" s="70" t="n"/>
      <c r="F81" s="69" t="n"/>
      <c r="G81" s="69" t="n"/>
      <c r="H81" s="69" t="n"/>
      <c r="I81" s="70" t="n"/>
      <c r="J81" s="70" t="n"/>
      <c r="K81" s="71" t="n"/>
      <c r="L81" s="72">
        <f>IFERROR(IF($K81="","",($K81-TODAY())/365.25),"")</f>
        <v/>
      </c>
      <c r="M81" s="73" t="n"/>
      <c r="N81" s="74">
        <f>IFERROR(IF(OR($M81="",$F81=""),"",$M81/$F81),"")</f>
        <v/>
      </c>
      <c r="O81" s="73" t="n"/>
      <c r="P81" s="73">
        <f>IFERROR(IF(OR($O81="",$F81=""),"",$O81/$F81),"")</f>
        <v/>
      </c>
      <c r="Q81" s="75">
        <f>IFERROR(IF(OR($M81="",$O81=""),"",$M81/$O81),"")</f>
        <v/>
      </c>
      <c r="R81" s="73" t="n"/>
      <c r="S81" s="73">
        <f>IFERROR(IF(OR($R81="",$F81=""),"",$R81/$F81),"")</f>
        <v/>
      </c>
      <c r="T81" s="75">
        <f>IFERROR(IF(OR($M81="",$R81=""),"",$M81/$R81),"")</f>
        <v/>
      </c>
      <c r="U81" s="70">
        <f>IFERROR(IF(OR($R81="",$O81=""),"",IF($R81=$O81,"No","Yes")),"")</f>
        <v/>
      </c>
      <c r="V81" s="71" t="n"/>
      <c r="W81" s="69">
        <f>IFERROR(IF($V81="","",TODAY()-$V81),"")</f>
        <v/>
      </c>
      <c r="X81" s="67" t="n"/>
      <c r="Y81" s="67" t="n"/>
      <c r="Z81" s="68" t="n"/>
      <c r="AA81" s="67" t="n"/>
      <c r="AB81" s="67" t="n"/>
    </row>
    <row r="82" ht="15" customHeight="1" s="46">
      <c r="A82" s="60">
        <f>IFERROR(ROW()-5,"")</f>
        <v/>
      </c>
      <c r="B82" s="61" t="n"/>
      <c r="C82" s="61" t="n"/>
      <c r="D82" s="61" t="n"/>
      <c r="E82" s="61" t="n"/>
      <c r="F82" s="60" t="n"/>
      <c r="G82" s="60" t="n"/>
      <c r="H82" s="60" t="n"/>
      <c r="I82" s="61" t="n"/>
      <c r="J82" s="61" t="n"/>
      <c r="K82" s="62" t="n"/>
      <c r="L82" s="63">
        <f>IFERROR(IF($K82="","",($K82-TODAY())/365.25),"")</f>
        <v/>
      </c>
      <c r="M82" s="64" t="n"/>
      <c r="N82" s="65">
        <f>IFERROR(IF(OR($M82="",$F82=""),"",$M82/$F82),"")</f>
        <v/>
      </c>
      <c r="O82" s="64" t="n"/>
      <c r="P82" s="64">
        <f>IFERROR(IF(OR($O82="",$F82=""),"",$O82/$F82),"")</f>
        <v/>
      </c>
      <c r="Q82" s="66">
        <f>IFERROR(IF(OR($M82="",$O82=""),"",$M82/$O82),"")</f>
        <v/>
      </c>
      <c r="R82" s="64" t="n"/>
      <c r="S82" s="64">
        <f>IFERROR(IF(OR($R82="",$F82=""),"",$R82/$F82),"")</f>
        <v/>
      </c>
      <c r="T82" s="66">
        <f>IFERROR(IF(OR($M82="",$R82=""),"",$M82/$R82),"")</f>
        <v/>
      </c>
      <c r="U82" s="61">
        <f>IFERROR(IF(OR($R82="",$O82=""),"",IF($R82=$O82,"No","Yes")),"")</f>
        <v/>
      </c>
      <c r="V82" s="62" t="n"/>
      <c r="W82" s="60">
        <f>IFERROR(IF($V82="","",TODAY()-$V82),"")</f>
        <v/>
      </c>
      <c r="X82" s="67" t="n"/>
      <c r="Y82" s="67" t="n"/>
      <c r="Z82" s="68" t="n"/>
      <c r="AA82" s="67" t="n"/>
      <c r="AB82" s="67" t="n"/>
    </row>
    <row r="83" ht="15" customHeight="1" s="46">
      <c r="A83" s="69">
        <f>IFERROR(ROW()-5,"")</f>
        <v/>
      </c>
      <c r="B83" s="70" t="n"/>
      <c r="C83" s="70" t="n"/>
      <c r="D83" s="70" t="n"/>
      <c r="E83" s="70" t="n"/>
      <c r="F83" s="69" t="n"/>
      <c r="G83" s="69" t="n"/>
      <c r="H83" s="69" t="n"/>
      <c r="I83" s="70" t="n"/>
      <c r="J83" s="70" t="n"/>
      <c r="K83" s="71" t="n"/>
      <c r="L83" s="72">
        <f>IFERROR(IF($K83="","",($K83-TODAY())/365.25),"")</f>
        <v/>
      </c>
      <c r="M83" s="73" t="n"/>
      <c r="N83" s="74">
        <f>IFERROR(IF(OR($M83="",$F83=""),"",$M83/$F83),"")</f>
        <v/>
      </c>
      <c r="O83" s="73" t="n"/>
      <c r="P83" s="73">
        <f>IFERROR(IF(OR($O83="",$F83=""),"",$O83/$F83),"")</f>
        <v/>
      </c>
      <c r="Q83" s="75">
        <f>IFERROR(IF(OR($M83="",$O83=""),"",$M83/$O83),"")</f>
        <v/>
      </c>
      <c r="R83" s="73" t="n"/>
      <c r="S83" s="73">
        <f>IFERROR(IF(OR($R83="",$F83=""),"",$R83/$F83),"")</f>
        <v/>
      </c>
      <c r="T83" s="75">
        <f>IFERROR(IF(OR($M83="",$R83=""),"",$M83/$R83),"")</f>
        <v/>
      </c>
      <c r="U83" s="70">
        <f>IFERROR(IF(OR($R83="",$O83=""),"",IF($R83=$O83,"No","Yes")),"")</f>
        <v/>
      </c>
      <c r="V83" s="71" t="n"/>
      <c r="W83" s="69">
        <f>IFERROR(IF($V83="","",TODAY()-$V83),"")</f>
        <v/>
      </c>
      <c r="X83" s="67" t="n"/>
      <c r="Y83" s="67" t="n"/>
      <c r="Z83" s="68" t="n"/>
      <c r="AA83" s="67" t="n"/>
      <c r="AB83" s="67" t="n"/>
    </row>
    <row r="84" ht="15" customHeight="1" s="46">
      <c r="A84" s="60">
        <f>IFERROR(ROW()-5,"")</f>
        <v/>
      </c>
      <c r="B84" s="61" t="n"/>
      <c r="C84" s="61" t="n"/>
      <c r="D84" s="61" t="n"/>
      <c r="E84" s="61" t="n"/>
      <c r="F84" s="60" t="n"/>
      <c r="G84" s="60" t="n"/>
      <c r="H84" s="60" t="n"/>
      <c r="I84" s="61" t="n"/>
      <c r="J84" s="61" t="n"/>
      <c r="K84" s="62" t="n"/>
      <c r="L84" s="63">
        <f>IFERROR(IF($K84="","",($K84-TODAY())/365.25),"")</f>
        <v/>
      </c>
      <c r="M84" s="64" t="n"/>
      <c r="N84" s="65">
        <f>IFERROR(IF(OR($M84="",$F84=""),"",$M84/$F84),"")</f>
        <v/>
      </c>
      <c r="O84" s="64" t="n"/>
      <c r="P84" s="64">
        <f>IFERROR(IF(OR($O84="",$F84=""),"",$O84/$F84),"")</f>
        <v/>
      </c>
      <c r="Q84" s="66">
        <f>IFERROR(IF(OR($M84="",$O84=""),"",$M84/$O84),"")</f>
        <v/>
      </c>
      <c r="R84" s="64" t="n"/>
      <c r="S84" s="64">
        <f>IFERROR(IF(OR($R84="",$F84=""),"",$R84/$F84),"")</f>
        <v/>
      </c>
      <c r="T84" s="66">
        <f>IFERROR(IF(OR($M84="",$R84=""),"",$M84/$R84),"")</f>
        <v/>
      </c>
      <c r="U84" s="61">
        <f>IFERROR(IF(OR($R84="",$O84=""),"",IF($R84=$O84,"No","Yes")),"")</f>
        <v/>
      </c>
      <c r="V84" s="62" t="n"/>
      <c r="W84" s="60">
        <f>IFERROR(IF($V84="","",TODAY()-$V84),"")</f>
        <v/>
      </c>
      <c r="X84" s="67" t="n"/>
      <c r="Y84" s="67" t="n"/>
      <c r="Z84" s="68" t="n"/>
      <c r="AA84" s="67" t="n"/>
      <c r="AB84" s="67" t="n"/>
    </row>
    <row r="85" ht="15" customHeight="1" s="46">
      <c r="A85" s="69">
        <f>IFERROR(ROW()-5,"")</f>
        <v/>
      </c>
      <c r="B85" s="70" t="n"/>
      <c r="C85" s="70" t="n"/>
      <c r="D85" s="70" t="n"/>
      <c r="E85" s="70" t="n"/>
      <c r="F85" s="69" t="n"/>
      <c r="G85" s="69" t="n"/>
      <c r="H85" s="69" t="n"/>
      <c r="I85" s="70" t="n"/>
      <c r="J85" s="70" t="n"/>
      <c r="K85" s="71" t="n"/>
      <c r="L85" s="72">
        <f>IFERROR(IF($K85="","",($K85-TODAY())/365.25),"")</f>
        <v/>
      </c>
      <c r="M85" s="73" t="n"/>
      <c r="N85" s="74">
        <f>IFERROR(IF(OR($M85="",$F85=""),"",$M85/$F85),"")</f>
        <v/>
      </c>
      <c r="O85" s="73" t="n"/>
      <c r="P85" s="73">
        <f>IFERROR(IF(OR($O85="",$F85=""),"",$O85/$F85),"")</f>
        <v/>
      </c>
      <c r="Q85" s="75">
        <f>IFERROR(IF(OR($M85="",$O85=""),"",$M85/$O85),"")</f>
        <v/>
      </c>
      <c r="R85" s="73" t="n"/>
      <c r="S85" s="73">
        <f>IFERROR(IF(OR($R85="",$F85=""),"",$R85/$F85),"")</f>
        <v/>
      </c>
      <c r="T85" s="75">
        <f>IFERROR(IF(OR($M85="",$R85=""),"",$M85/$R85),"")</f>
        <v/>
      </c>
      <c r="U85" s="70">
        <f>IFERROR(IF(OR($R85="",$O85=""),"",IF($R85=$O85,"No","Yes")),"")</f>
        <v/>
      </c>
      <c r="V85" s="71" t="n"/>
      <c r="W85" s="69">
        <f>IFERROR(IF($V85="","",TODAY()-$V85),"")</f>
        <v/>
      </c>
      <c r="X85" s="67" t="n"/>
      <c r="Y85" s="67" t="n"/>
      <c r="Z85" s="68" t="n"/>
      <c r="AA85" s="67" t="n"/>
      <c r="AB85" s="67" t="n"/>
    </row>
    <row r="86" ht="15" customHeight="1" s="46">
      <c r="A86" s="60">
        <f>IFERROR(ROW()-5,"")</f>
        <v/>
      </c>
      <c r="B86" s="61" t="n"/>
      <c r="C86" s="61" t="n"/>
      <c r="D86" s="61" t="n"/>
      <c r="E86" s="61" t="n"/>
      <c r="F86" s="60" t="n"/>
      <c r="G86" s="60" t="n"/>
      <c r="H86" s="60" t="n"/>
      <c r="I86" s="61" t="n"/>
      <c r="J86" s="61" t="n"/>
      <c r="K86" s="62" t="n"/>
      <c r="L86" s="63">
        <f>IFERROR(IF($K86="","",($K86-TODAY())/365.25),"")</f>
        <v/>
      </c>
      <c r="M86" s="64" t="n"/>
      <c r="N86" s="65">
        <f>IFERROR(IF(OR($M86="",$F86=""),"",$M86/$F86),"")</f>
        <v/>
      </c>
      <c r="O86" s="64" t="n"/>
      <c r="P86" s="64">
        <f>IFERROR(IF(OR($O86="",$F86=""),"",$O86/$F86),"")</f>
        <v/>
      </c>
      <c r="Q86" s="66">
        <f>IFERROR(IF(OR($M86="",$O86=""),"",$M86/$O86),"")</f>
        <v/>
      </c>
      <c r="R86" s="64" t="n"/>
      <c r="S86" s="64">
        <f>IFERROR(IF(OR($R86="",$F86=""),"",$R86/$F86),"")</f>
        <v/>
      </c>
      <c r="T86" s="66">
        <f>IFERROR(IF(OR($M86="",$R86=""),"",$M86/$R86),"")</f>
        <v/>
      </c>
      <c r="U86" s="61">
        <f>IFERROR(IF(OR($R86="",$O86=""),"",IF($R86=$O86,"No","Yes")),"")</f>
        <v/>
      </c>
      <c r="V86" s="62" t="n"/>
      <c r="W86" s="60">
        <f>IFERROR(IF($V86="","",TODAY()-$V86),"")</f>
        <v/>
      </c>
      <c r="X86" s="67" t="n"/>
      <c r="Y86" s="67" t="n"/>
      <c r="Z86" s="68" t="n"/>
      <c r="AA86" s="67" t="n"/>
      <c r="AB86" s="67" t="n"/>
    </row>
    <row r="87" ht="15" customHeight="1" s="46">
      <c r="A87" s="69">
        <f>IFERROR(ROW()-5,"")</f>
        <v/>
      </c>
      <c r="B87" s="70" t="n"/>
      <c r="C87" s="70" t="n"/>
      <c r="D87" s="70" t="n"/>
      <c r="E87" s="70" t="n"/>
      <c r="F87" s="69" t="n"/>
      <c r="G87" s="69" t="n"/>
      <c r="H87" s="69" t="n"/>
      <c r="I87" s="70" t="n"/>
      <c r="J87" s="70" t="n"/>
      <c r="K87" s="71" t="n"/>
      <c r="L87" s="72">
        <f>IFERROR(IF($K87="","",($K87-TODAY())/365.25),"")</f>
        <v/>
      </c>
      <c r="M87" s="73" t="n"/>
      <c r="N87" s="74">
        <f>IFERROR(IF(OR($M87="",$F87=""),"",$M87/$F87),"")</f>
        <v/>
      </c>
      <c r="O87" s="73" t="n"/>
      <c r="P87" s="73">
        <f>IFERROR(IF(OR($O87="",$F87=""),"",$O87/$F87),"")</f>
        <v/>
      </c>
      <c r="Q87" s="75">
        <f>IFERROR(IF(OR($M87="",$O87=""),"",$M87/$O87),"")</f>
        <v/>
      </c>
      <c r="R87" s="73" t="n"/>
      <c r="S87" s="73">
        <f>IFERROR(IF(OR($R87="",$F87=""),"",$R87/$F87),"")</f>
        <v/>
      </c>
      <c r="T87" s="75">
        <f>IFERROR(IF(OR($M87="",$R87=""),"",$M87/$R87),"")</f>
        <v/>
      </c>
      <c r="U87" s="70">
        <f>IFERROR(IF(OR($R87="",$O87=""),"",IF($R87=$O87,"No","Yes")),"")</f>
        <v/>
      </c>
      <c r="V87" s="71" t="n"/>
      <c r="W87" s="69">
        <f>IFERROR(IF($V87="","",TODAY()-$V87),"")</f>
        <v/>
      </c>
      <c r="X87" s="67" t="n"/>
      <c r="Y87" s="67" t="n"/>
      <c r="Z87" s="68" t="n"/>
      <c r="AA87" s="67" t="n"/>
      <c r="AB87" s="67" t="n"/>
    </row>
    <row r="88" ht="15" customHeight="1" s="46">
      <c r="A88" s="60">
        <f>IFERROR(ROW()-5,"")</f>
        <v/>
      </c>
      <c r="B88" s="61" t="n"/>
      <c r="C88" s="61" t="n"/>
      <c r="D88" s="61" t="n"/>
      <c r="E88" s="61" t="n"/>
      <c r="F88" s="60" t="n"/>
      <c r="G88" s="60" t="n"/>
      <c r="H88" s="60" t="n"/>
      <c r="I88" s="61" t="n"/>
      <c r="J88" s="61" t="n"/>
      <c r="K88" s="62" t="n"/>
      <c r="L88" s="63">
        <f>IFERROR(IF($K88="","",($K88-TODAY())/365.25),"")</f>
        <v/>
      </c>
      <c r="M88" s="64" t="n"/>
      <c r="N88" s="65">
        <f>IFERROR(IF(OR($M88="",$F88=""),"",$M88/$F88),"")</f>
        <v/>
      </c>
      <c r="O88" s="64" t="n"/>
      <c r="P88" s="64">
        <f>IFERROR(IF(OR($O88="",$F88=""),"",$O88/$F88),"")</f>
        <v/>
      </c>
      <c r="Q88" s="66">
        <f>IFERROR(IF(OR($M88="",$O88=""),"",$M88/$O88),"")</f>
        <v/>
      </c>
      <c r="R88" s="64" t="n"/>
      <c r="S88" s="64">
        <f>IFERROR(IF(OR($R88="",$F88=""),"",$R88/$F88),"")</f>
        <v/>
      </c>
      <c r="T88" s="66">
        <f>IFERROR(IF(OR($M88="",$R88=""),"",$M88/$R88),"")</f>
        <v/>
      </c>
      <c r="U88" s="61">
        <f>IFERROR(IF(OR($R88="",$O88=""),"",IF($R88=$O88,"No","Yes")),"")</f>
        <v/>
      </c>
      <c r="V88" s="62" t="n"/>
      <c r="W88" s="60">
        <f>IFERROR(IF($V88="","",TODAY()-$V88),"")</f>
        <v/>
      </c>
      <c r="X88" s="67" t="n"/>
      <c r="Y88" s="67" t="n"/>
      <c r="Z88" s="68" t="n"/>
      <c r="AA88" s="67" t="n"/>
      <c r="AB88" s="67" t="n"/>
    </row>
    <row r="89" ht="15" customHeight="1" s="46">
      <c r="A89" s="69">
        <f>IFERROR(ROW()-5,"")</f>
        <v/>
      </c>
      <c r="B89" s="70" t="n"/>
      <c r="C89" s="70" t="n"/>
      <c r="D89" s="70" t="n"/>
      <c r="E89" s="70" t="n"/>
      <c r="F89" s="69" t="n"/>
      <c r="G89" s="69" t="n"/>
      <c r="H89" s="69" t="n"/>
      <c r="I89" s="70" t="n"/>
      <c r="J89" s="70" t="n"/>
      <c r="K89" s="71" t="n"/>
      <c r="L89" s="72">
        <f>IFERROR(IF($K89="","",($K89-TODAY())/365.25),"")</f>
        <v/>
      </c>
      <c r="M89" s="73" t="n"/>
      <c r="N89" s="74">
        <f>IFERROR(IF(OR($M89="",$F89=""),"",$M89/$F89),"")</f>
        <v/>
      </c>
      <c r="O89" s="73" t="n"/>
      <c r="P89" s="73">
        <f>IFERROR(IF(OR($O89="",$F89=""),"",$O89/$F89),"")</f>
        <v/>
      </c>
      <c r="Q89" s="75">
        <f>IFERROR(IF(OR($M89="",$O89=""),"",$M89/$O89),"")</f>
        <v/>
      </c>
      <c r="R89" s="73" t="n"/>
      <c r="S89" s="73">
        <f>IFERROR(IF(OR($R89="",$F89=""),"",$R89/$F89),"")</f>
        <v/>
      </c>
      <c r="T89" s="75">
        <f>IFERROR(IF(OR($M89="",$R89=""),"",$M89/$R89),"")</f>
        <v/>
      </c>
      <c r="U89" s="70">
        <f>IFERROR(IF(OR($R89="",$O89=""),"",IF($R89=$O89,"No","Yes")),"")</f>
        <v/>
      </c>
      <c r="V89" s="71" t="n"/>
      <c r="W89" s="69">
        <f>IFERROR(IF($V89="","",TODAY()-$V89),"")</f>
        <v/>
      </c>
      <c r="X89" s="67" t="n"/>
      <c r="Y89" s="67" t="n"/>
      <c r="Z89" s="68" t="n"/>
      <c r="AA89" s="67" t="n"/>
      <c r="AB89" s="67" t="n"/>
    </row>
    <row r="90" ht="15" customHeight="1" s="46">
      <c r="A90" s="60">
        <f>IFERROR(ROW()-5,"")</f>
        <v/>
      </c>
      <c r="B90" s="61" t="n"/>
      <c r="C90" s="61" t="n"/>
      <c r="D90" s="61" t="n"/>
      <c r="E90" s="61" t="n"/>
      <c r="F90" s="60" t="n"/>
      <c r="G90" s="60" t="n"/>
      <c r="H90" s="60" t="n"/>
      <c r="I90" s="61" t="n"/>
      <c r="J90" s="61" t="n"/>
      <c r="K90" s="62" t="n"/>
      <c r="L90" s="63">
        <f>IFERROR(IF($K90="","",($K90-TODAY())/365.25),"")</f>
        <v/>
      </c>
      <c r="M90" s="64" t="n"/>
      <c r="N90" s="65">
        <f>IFERROR(IF(OR($M90="",$F90=""),"",$M90/$F90),"")</f>
        <v/>
      </c>
      <c r="O90" s="64" t="n"/>
      <c r="P90" s="64">
        <f>IFERROR(IF(OR($O90="",$F90=""),"",$O90/$F90),"")</f>
        <v/>
      </c>
      <c r="Q90" s="66">
        <f>IFERROR(IF(OR($M90="",$O90=""),"",$M90/$O90),"")</f>
        <v/>
      </c>
      <c r="R90" s="64" t="n"/>
      <c r="S90" s="64">
        <f>IFERROR(IF(OR($R90="",$F90=""),"",$R90/$F90),"")</f>
        <v/>
      </c>
      <c r="T90" s="66">
        <f>IFERROR(IF(OR($M90="",$R90=""),"",$M90/$R90),"")</f>
        <v/>
      </c>
      <c r="U90" s="61">
        <f>IFERROR(IF(OR($R90="",$O90=""),"",IF($R90=$O90,"No","Yes")),"")</f>
        <v/>
      </c>
      <c r="V90" s="62" t="n"/>
      <c r="W90" s="60">
        <f>IFERROR(IF($V90="","",TODAY()-$V90),"")</f>
        <v/>
      </c>
      <c r="X90" s="67" t="n"/>
      <c r="Y90" s="67" t="n"/>
      <c r="Z90" s="68" t="n"/>
      <c r="AA90" s="67" t="n"/>
      <c r="AB90" s="67" t="n"/>
    </row>
    <row r="91" ht="15" customHeight="1" s="46">
      <c r="A91" s="69">
        <f>IFERROR(ROW()-5,"")</f>
        <v/>
      </c>
      <c r="B91" s="70" t="n"/>
      <c r="C91" s="70" t="n"/>
      <c r="D91" s="70" t="n"/>
      <c r="E91" s="70" t="n"/>
      <c r="F91" s="69" t="n"/>
      <c r="G91" s="69" t="n"/>
      <c r="H91" s="69" t="n"/>
      <c r="I91" s="70" t="n"/>
      <c r="J91" s="70" t="n"/>
      <c r="K91" s="71" t="n"/>
      <c r="L91" s="72">
        <f>IFERROR(IF($K91="","",($K91-TODAY())/365.25),"")</f>
        <v/>
      </c>
      <c r="M91" s="73" t="n"/>
      <c r="N91" s="74">
        <f>IFERROR(IF(OR($M91="",$F91=""),"",$M91/$F91),"")</f>
        <v/>
      </c>
      <c r="O91" s="73" t="n"/>
      <c r="P91" s="73">
        <f>IFERROR(IF(OR($O91="",$F91=""),"",$O91/$F91),"")</f>
        <v/>
      </c>
      <c r="Q91" s="75">
        <f>IFERROR(IF(OR($M91="",$O91=""),"",$M91/$O91),"")</f>
        <v/>
      </c>
      <c r="R91" s="73" t="n"/>
      <c r="S91" s="73">
        <f>IFERROR(IF(OR($R91="",$F91=""),"",$R91/$F91),"")</f>
        <v/>
      </c>
      <c r="T91" s="75">
        <f>IFERROR(IF(OR($M91="",$R91=""),"",$M91/$R91),"")</f>
        <v/>
      </c>
      <c r="U91" s="70">
        <f>IFERROR(IF(OR($R91="",$O91=""),"",IF($R91=$O91,"No","Yes")),"")</f>
        <v/>
      </c>
      <c r="V91" s="71" t="n"/>
      <c r="W91" s="69">
        <f>IFERROR(IF($V91="","",TODAY()-$V91),"")</f>
        <v/>
      </c>
      <c r="X91" s="67" t="n"/>
      <c r="Y91" s="67" t="n"/>
      <c r="Z91" s="68" t="n"/>
      <c r="AA91" s="67" t="n"/>
      <c r="AB91" s="67" t="n"/>
    </row>
    <row r="92" ht="15" customHeight="1" s="46">
      <c r="A92" s="60">
        <f>IFERROR(ROW()-5,"")</f>
        <v/>
      </c>
      <c r="B92" s="61" t="n"/>
      <c r="C92" s="61" t="n"/>
      <c r="D92" s="61" t="n"/>
      <c r="E92" s="61" t="n"/>
      <c r="F92" s="60" t="n"/>
      <c r="G92" s="60" t="n"/>
      <c r="H92" s="60" t="n"/>
      <c r="I92" s="61" t="n"/>
      <c r="J92" s="61" t="n"/>
      <c r="K92" s="62" t="n"/>
      <c r="L92" s="63">
        <f>IFERROR(IF($K92="","",($K92-TODAY())/365.25),"")</f>
        <v/>
      </c>
      <c r="M92" s="64" t="n"/>
      <c r="N92" s="65">
        <f>IFERROR(IF(OR($M92="",$F92=""),"",$M92/$F92),"")</f>
        <v/>
      </c>
      <c r="O92" s="64" t="n"/>
      <c r="P92" s="64">
        <f>IFERROR(IF(OR($O92="",$F92=""),"",$O92/$F92),"")</f>
        <v/>
      </c>
      <c r="Q92" s="66">
        <f>IFERROR(IF(OR($M92="",$O92=""),"",$M92/$O92),"")</f>
        <v/>
      </c>
      <c r="R92" s="64" t="n"/>
      <c r="S92" s="64">
        <f>IFERROR(IF(OR($R92="",$F92=""),"",$R92/$F92),"")</f>
        <v/>
      </c>
      <c r="T92" s="66">
        <f>IFERROR(IF(OR($M92="",$R92=""),"",$M92/$R92),"")</f>
        <v/>
      </c>
      <c r="U92" s="61">
        <f>IFERROR(IF(OR($R92="",$O92=""),"",IF($R92=$O92,"No","Yes")),"")</f>
        <v/>
      </c>
      <c r="V92" s="62" t="n"/>
      <c r="W92" s="60">
        <f>IFERROR(IF($V92="","",TODAY()-$V92),"")</f>
        <v/>
      </c>
      <c r="X92" s="67" t="n"/>
      <c r="Y92" s="67" t="n"/>
      <c r="Z92" s="68" t="n"/>
      <c r="AA92" s="67" t="n"/>
      <c r="AB92" s="67" t="n"/>
    </row>
    <row r="93" ht="15" customHeight="1" s="46">
      <c r="A93" s="69">
        <f>IFERROR(ROW()-5,"")</f>
        <v/>
      </c>
      <c r="B93" s="70" t="n"/>
      <c r="C93" s="70" t="n"/>
      <c r="D93" s="70" t="n"/>
      <c r="E93" s="70" t="n"/>
      <c r="F93" s="69" t="n"/>
      <c r="G93" s="69" t="n"/>
      <c r="H93" s="69" t="n"/>
      <c r="I93" s="70" t="n"/>
      <c r="J93" s="70" t="n"/>
      <c r="K93" s="71" t="n"/>
      <c r="L93" s="72">
        <f>IFERROR(IF($K93="","",($K93-TODAY())/365.25),"")</f>
        <v/>
      </c>
      <c r="M93" s="73" t="n"/>
      <c r="N93" s="74">
        <f>IFERROR(IF(OR($M93="",$F93=""),"",$M93/$F93),"")</f>
        <v/>
      </c>
      <c r="O93" s="73" t="n"/>
      <c r="P93" s="73">
        <f>IFERROR(IF(OR($O93="",$F93=""),"",$O93/$F93),"")</f>
        <v/>
      </c>
      <c r="Q93" s="75">
        <f>IFERROR(IF(OR($M93="",$O93=""),"",$M93/$O93),"")</f>
        <v/>
      </c>
      <c r="R93" s="73" t="n"/>
      <c r="S93" s="73">
        <f>IFERROR(IF(OR($R93="",$F93=""),"",$R93/$F93),"")</f>
        <v/>
      </c>
      <c r="T93" s="75">
        <f>IFERROR(IF(OR($M93="",$R93=""),"",$M93/$R93),"")</f>
        <v/>
      </c>
      <c r="U93" s="70">
        <f>IFERROR(IF(OR($R93="",$O93=""),"",IF($R93=$O93,"No","Yes")),"")</f>
        <v/>
      </c>
      <c r="V93" s="71" t="n"/>
      <c r="W93" s="69">
        <f>IFERROR(IF($V93="","",TODAY()-$V93),"")</f>
        <v/>
      </c>
      <c r="X93" s="67" t="n"/>
      <c r="Y93" s="67" t="n"/>
      <c r="Z93" s="68" t="n"/>
      <c r="AA93" s="67" t="n"/>
      <c r="AB93" s="67" t="n"/>
    </row>
    <row r="94" ht="15" customHeight="1" s="46">
      <c r="A94" s="60">
        <f>IFERROR(ROW()-5,"")</f>
        <v/>
      </c>
      <c r="B94" s="61" t="n"/>
      <c r="C94" s="61" t="n"/>
      <c r="D94" s="61" t="n"/>
      <c r="E94" s="61" t="n"/>
      <c r="F94" s="60" t="n"/>
      <c r="G94" s="60" t="n"/>
      <c r="H94" s="60" t="n"/>
      <c r="I94" s="61" t="n"/>
      <c r="J94" s="61" t="n"/>
      <c r="K94" s="62" t="n"/>
      <c r="L94" s="63">
        <f>IFERROR(IF($K94="","",($K94-TODAY())/365.25),"")</f>
        <v/>
      </c>
      <c r="M94" s="64" t="n"/>
      <c r="N94" s="65">
        <f>IFERROR(IF(OR($M94="",$F94=""),"",$M94/$F94),"")</f>
        <v/>
      </c>
      <c r="O94" s="64" t="n"/>
      <c r="P94" s="64">
        <f>IFERROR(IF(OR($O94="",$F94=""),"",$O94/$F94),"")</f>
        <v/>
      </c>
      <c r="Q94" s="66">
        <f>IFERROR(IF(OR($M94="",$O94=""),"",$M94/$O94),"")</f>
        <v/>
      </c>
      <c r="R94" s="64" t="n"/>
      <c r="S94" s="64">
        <f>IFERROR(IF(OR($R94="",$F94=""),"",$R94/$F94),"")</f>
        <v/>
      </c>
      <c r="T94" s="66">
        <f>IFERROR(IF(OR($M94="",$R94=""),"",$M94/$R94),"")</f>
        <v/>
      </c>
      <c r="U94" s="61">
        <f>IFERROR(IF(OR($R94="",$O94=""),"",IF($R94=$O94,"No","Yes")),"")</f>
        <v/>
      </c>
      <c r="V94" s="62" t="n"/>
      <c r="W94" s="60">
        <f>IFERROR(IF($V94="","",TODAY()-$V94),"")</f>
        <v/>
      </c>
      <c r="X94" s="67" t="n"/>
      <c r="Y94" s="67" t="n"/>
      <c r="Z94" s="68" t="n"/>
      <c r="AA94" s="67" t="n"/>
      <c r="AB94" s="67" t="n"/>
    </row>
    <row r="95" ht="15" customHeight="1" s="46">
      <c r="A95" s="69">
        <f>IFERROR(ROW()-5,"")</f>
        <v/>
      </c>
      <c r="B95" s="70" t="n"/>
      <c r="C95" s="70" t="n"/>
      <c r="D95" s="70" t="n"/>
      <c r="E95" s="70" t="n"/>
      <c r="F95" s="69" t="n"/>
      <c r="G95" s="69" t="n"/>
      <c r="H95" s="69" t="n"/>
      <c r="I95" s="70" t="n"/>
      <c r="J95" s="70" t="n"/>
      <c r="K95" s="71" t="n"/>
      <c r="L95" s="72">
        <f>IFERROR(IF($K95="","",($K95-TODAY())/365.25),"")</f>
        <v/>
      </c>
      <c r="M95" s="73" t="n"/>
      <c r="N95" s="74">
        <f>IFERROR(IF(OR($M95="",$F95=""),"",$M95/$F95),"")</f>
        <v/>
      </c>
      <c r="O95" s="73" t="n"/>
      <c r="P95" s="73">
        <f>IFERROR(IF(OR($O95="",$F95=""),"",$O95/$F95),"")</f>
        <v/>
      </c>
      <c r="Q95" s="75">
        <f>IFERROR(IF(OR($M95="",$O95=""),"",$M95/$O95),"")</f>
        <v/>
      </c>
      <c r="R95" s="73" t="n"/>
      <c r="S95" s="73">
        <f>IFERROR(IF(OR($R95="",$F95=""),"",$R95/$F95),"")</f>
        <v/>
      </c>
      <c r="T95" s="75">
        <f>IFERROR(IF(OR($M95="",$R95=""),"",$M95/$R95),"")</f>
        <v/>
      </c>
      <c r="U95" s="70">
        <f>IFERROR(IF(OR($R95="",$O95=""),"",IF($R95=$O95,"No","Yes")),"")</f>
        <v/>
      </c>
      <c r="V95" s="71" t="n"/>
      <c r="W95" s="69">
        <f>IFERROR(IF($V95="","",TODAY()-$V95),"")</f>
        <v/>
      </c>
      <c r="X95" s="67" t="n"/>
      <c r="Y95" s="67" t="n"/>
      <c r="Z95" s="68" t="n"/>
      <c r="AA95" s="67" t="n"/>
      <c r="AB95" s="67" t="n"/>
    </row>
    <row r="96" ht="15" customHeight="1" s="46">
      <c r="A96" s="60">
        <f>IFERROR(ROW()-5,"")</f>
        <v/>
      </c>
      <c r="B96" s="61" t="n"/>
      <c r="C96" s="61" t="n"/>
      <c r="D96" s="61" t="n"/>
      <c r="E96" s="61" t="n"/>
      <c r="F96" s="60" t="n"/>
      <c r="G96" s="60" t="n"/>
      <c r="H96" s="60" t="n"/>
      <c r="I96" s="61" t="n"/>
      <c r="J96" s="61" t="n"/>
      <c r="K96" s="62" t="n"/>
      <c r="L96" s="63">
        <f>IFERROR(IF($K96="","",($K96-TODAY())/365.25),"")</f>
        <v/>
      </c>
      <c r="M96" s="64" t="n"/>
      <c r="N96" s="65">
        <f>IFERROR(IF(OR($M96="",$F96=""),"",$M96/$F96),"")</f>
        <v/>
      </c>
      <c r="O96" s="64" t="n"/>
      <c r="P96" s="64">
        <f>IFERROR(IF(OR($O96="",$F96=""),"",$O96/$F96),"")</f>
        <v/>
      </c>
      <c r="Q96" s="66">
        <f>IFERROR(IF(OR($M96="",$O96=""),"",$M96/$O96),"")</f>
        <v/>
      </c>
      <c r="R96" s="64" t="n"/>
      <c r="S96" s="64">
        <f>IFERROR(IF(OR($R96="",$F96=""),"",$R96/$F96),"")</f>
        <v/>
      </c>
      <c r="T96" s="66">
        <f>IFERROR(IF(OR($M96="",$R96=""),"",$M96/$R96),"")</f>
        <v/>
      </c>
      <c r="U96" s="61">
        <f>IFERROR(IF(OR($R96="",$O96=""),"",IF($R96=$O96,"No","Yes")),"")</f>
        <v/>
      </c>
      <c r="V96" s="62" t="n"/>
      <c r="W96" s="60">
        <f>IFERROR(IF($V96="","",TODAY()-$V96),"")</f>
        <v/>
      </c>
      <c r="X96" s="67" t="n"/>
      <c r="Y96" s="67" t="n"/>
      <c r="Z96" s="68" t="n"/>
      <c r="AA96" s="67" t="n"/>
      <c r="AB96" s="67" t="n"/>
    </row>
    <row r="97" ht="15" customHeight="1" s="46">
      <c r="A97" s="69">
        <f>IFERROR(ROW()-5,"")</f>
        <v/>
      </c>
      <c r="B97" s="70" t="n"/>
      <c r="C97" s="70" t="n"/>
      <c r="D97" s="70" t="n"/>
      <c r="E97" s="70" t="n"/>
      <c r="F97" s="69" t="n"/>
      <c r="G97" s="69" t="n"/>
      <c r="H97" s="69" t="n"/>
      <c r="I97" s="70" t="n"/>
      <c r="J97" s="70" t="n"/>
      <c r="K97" s="71" t="n"/>
      <c r="L97" s="72">
        <f>IFERROR(IF($K97="","",($K97-TODAY())/365.25),"")</f>
        <v/>
      </c>
      <c r="M97" s="73" t="n"/>
      <c r="N97" s="74">
        <f>IFERROR(IF(OR($M97="",$F97=""),"",$M97/$F97),"")</f>
        <v/>
      </c>
      <c r="O97" s="73" t="n"/>
      <c r="P97" s="73">
        <f>IFERROR(IF(OR($O97="",$F97=""),"",$O97/$F97),"")</f>
        <v/>
      </c>
      <c r="Q97" s="75">
        <f>IFERROR(IF(OR($M97="",$O97=""),"",$M97/$O97),"")</f>
        <v/>
      </c>
      <c r="R97" s="73" t="n"/>
      <c r="S97" s="73">
        <f>IFERROR(IF(OR($R97="",$F97=""),"",$R97/$F97),"")</f>
        <v/>
      </c>
      <c r="T97" s="75">
        <f>IFERROR(IF(OR($M97="",$R97=""),"",$M97/$R97),"")</f>
        <v/>
      </c>
      <c r="U97" s="70">
        <f>IFERROR(IF(OR($R97="",$O97=""),"",IF($R97=$O97,"No","Yes")),"")</f>
        <v/>
      </c>
      <c r="V97" s="71" t="n"/>
      <c r="W97" s="69">
        <f>IFERROR(IF($V97="","",TODAY()-$V97),"")</f>
        <v/>
      </c>
      <c r="X97" s="67" t="n"/>
      <c r="Y97" s="67" t="n"/>
      <c r="Z97" s="68" t="n"/>
      <c r="AA97" s="67" t="n"/>
      <c r="AB97" s="67" t="n"/>
    </row>
    <row r="98" ht="15" customHeight="1" s="46">
      <c r="A98" s="60">
        <f>IFERROR(ROW()-5,"")</f>
        <v/>
      </c>
      <c r="B98" s="61" t="n"/>
      <c r="C98" s="61" t="n"/>
      <c r="D98" s="61" t="n"/>
      <c r="E98" s="61" t="n"/>
      <c r="F98" s="60" t="n"/>
      <c r="G98" s="60" t="n"/>
      <c r="H98" s="60" t="n"/>
      <c r="I98" s="61" t="n"/>
      <c r="J98" s="61" t="n"/>
      <c r="K98" s="62" t="n"/>
      <c r="L98" s="63">
        <f>IFERROR(IF($K98="","",($K98-TODAY())/365.25),"")</f>
        <v/>
      </c>
      <c r="M98" s="64" t="n"/>
      <c r="N98" s="65">
        <f>IFERROR(IF(OR($M98="",$F98=""),"",$M98/$F98),"")</f>
        <v/>
      </c>
      <c r="O98" s="64" t="n"/>
      <c r="P98" s="64">
        <f>IFERROR(IF(OR($O98="",$F98=""),"",$O98/$F98),"")</f>
        <v/>
      </c>
      <c r="Q98" s="66">
        <f>IFERROR(IF(OR($M98="",$O98=""),"",$M98/$O98),"")</f>
        <v/>
      </c>
      <c r="R98" s="64" t="n"/>
      <c r="S98" s="64">
        <f>IFERROR(IF(OR($R98="",$F98=""),"",$R98/$F98),"")</f>
        <v/>
      </c>
      <c r="T98" s="66">
        <f>IFERROR(IF(OR($M98="",$R98=""),"",$M98/$R98),"")</f>
        <v/>
      </c>
      <c r="U98" s="61">
        <f>IFERROR(IF(OR($R98="",$O98=""),"",IF($R98=$O98,"No","Yes")),"")</f>
        <v/>
      </c>
      <c r="V98" s="62" t="n"/>
      <c r="W98" s="60">
        <f>IFERROR(IF($V98="","",TODAY()-$V98),"")</f>
        <v/>
      </c>
      <c r="X98" s="67" t="n"/>
      <c r="Y98" s="67" t="n"/>
      <c r="Z98" s="68" t="n"/>
      <c r="AA98" s="67" t="n"/>
      <c r="AB98" s="67" t="n"/>
    </row>
    <row r="99" ht="15" customHeight="1" s="46">
      <c r="A99" s="69">
        <f>IFERROR(ROW()-5,"")</f>
        <v/>
      </c>
      <c r="B99" s="70" t="n"/>
      <c r="C99" s="70" t="n"/>
      <c r="D99" s="70" t="n"/>
      <c r="E99" s="70" t="n"/>
      <c r="F99" s="69" t="n"/>
      <c r="G99" s="69" t="n"/>
      <c r="H99" s="69" t="n"/>
      <c r="I99" s="70" t="n"/>
      <c r="J99" s="70" t="n"/>
      <c r="K99" s="71" t="n"/>
      <c r="L99" s="72">
        <f>IFERROR(IF($K99="","",($K99-TODAY())/365.25),"")</f>
        <v/>
      </c>
      <c r="M99" s="73" t="n"/>
      <c r="N99" s="74">
        <f>IFERROR(IF(OR($M99="",$F99=""),"",$M99/$F99),"")</f>
        <v/>
      </c>
      <c r="O99" s="73" t="n"/>
      <c r="P99" s="73">
        <f>IFERROR(IF(OR($O99="",$F99=""),"",$O99/$F99),"")</f>
        <v/>
      </c>
      <c r="Q99" s="75">
        <f>IFERROR(IF(OR($M99="",$O99=""),"",$M99/$O99),"")</f>
        <v/>
      </c>
      <c r="R99" s="73" t="n"/>
      <c r="S99" s="73">
        <f>IFERROR(IF(OR($R99="",$F99=""),"",$R99/$F99),"")</f>
        <v/>
      </c>
      <c r="T99" s="75">
        <f>IFERROR(IF(OR($M99="",$R99=""),"",$M99/$R99),"")</f>
        <v/>
      </c>
      <c r="U99" s="70">
        <f>IFERROR(IF(OR($R99="",$O99=""),"",IF($R99=$O99,"No","Yes")),"")</f>
        <v/>
      </c>
      <c r="V99" s="71" t="n"/>
      <c r="W99" s="69">
        <f>IFERROR(IF($V99="","",TODAY()-$V99),"")</f>
        <v/>
      </c>
      <c r="X99" s="67" t="n"/>
      <c r="Y99" s="67" t="n"/>
      <c r="Z99" s="68" t="n"/>
      <c r="AA99" s="67" t="n"/>
      <c r="AB99" s="67" t="n"/>
    </row>
    <row r="100" ht="15" customHeight="1" s="46">
      <c r="A100" s="60">
        <f>IFERROR(ROW()-5,"")</f>
        <v/>
      </c>
      <c r="B100" s="61" t="n"/>
      <c r="C100" s="61" t="n"/>
      <c r="D100" s="61" t="n"/>
      <c r="E100" s="61" t="n"/>
      <c r="F100" s="60" t="n"/>
      <c r="G100" s="60" t="n"/>
      <c r="H100" s="60" t="n"/>
      <c r="I100" s="61" t="n"/>
      <c r="J100" s="61" t="n"/>
      <c r="K100" s="62" t="n"/>
      <c r="L100" s="63">
        <f>IFERROR(IF($K100="","",($K100-TODAY())/365.25),"")</f>
        <v/>
      </c>
      <c r="M100" s="64" t="n"/>
      <c r="N100" s="65">
        <f>IFERROR(IF(OR($M100="",$F100=""),"",$M100/$F100),"")</f>
        <v/>
      </c>
      <c r="O100" s="64" t="n"/>
      <c r="P100" s="64">
        <f>IFERROR(IF(OR($O100="",$F100=""),"",$O100/$F100),"")</f>
        <v/>
      </c>
      <c r="Q100" s="66">
        <f>IFERROR(IF(OR($M100="",$O100=""),"",$M100/$O100),"")</f>
        <v/>
      </c>
      <c r="R100" s="64" t="n"/>
      <c r="S100" s="64">
        <f>IFERROR(IF(OR($R100="",$F100=""),"",$R100/$F100),"")</f>
        <v/>
      </c>
      <c r="T100" s="66">
        <f>IFERROR(IF(OR($M100="",$R100=""),"",$M100/$R100),"")</f>
        <v/>
      </c>
      <c r="U100" s="61">
        <f>IFERROR(IF(OR($R100="",$O100=""),"",IF($R100=$O100,"No","Yes")),"")</f>
        <v/>
      </c>
      <c r="V100" s="62" t="n"/>
      <c r="W100" s="60">
        <f>IFERROR(IF($V100="","",TODAY()-$V100),"")</f>
        <v/>
      </c>
      <c r="X100" s="67" t="n"/>
      <c r="Y100" s="67" t="n"/>
      <c r="Z100" s="68" t="n"/>
      <c r="AA100" s="67" t="n"/>
      <c r="AB100" s="67" t="n"/>
    </row>
    <row r="101" ht="15" customHeight="1" s="46">
      <c r="A101" s="69">
        <f>IFERROR(ROW()-5,"")</f>
        <v/>
      </c>
      <c r="B101" s="70" t="n"/>
      <c r="C101" s="70" t="n"/>
      <c r="D101" s="70" t="n"/>
      <c r="E101" s="70" t="n"/>
      <c r="F101" s="69" t="n"/>
      <c r="G101" s="69" t="n"/>
      <c r="H101" s="69" t="n"/>
      <c r="I101" s="70" t="n"/>
      <c r="J101" s="70" t="n"/>
      <c r="K101" s="71" t="n"/>
      <c r="L101" s="72">
        <f>IFERROR(IF($K101="","",($K101-TODAY())/365.25),"")</f>
        <v/>
      </c>
      <c r="M101" s="73" t="n"/>
      <c r="N101" s="74">
        <f>IFERROR(IF(OR($M101="",$F101=""),"",$M101/$F101),"")</f>
        <v/>
      </c>
      <c r="O101" s="73" t="n"/>
      <c r="P101" s="73">
        <f>IFERROR(IF(OR($O101="",$F101=""),"",$O101/$F101),"")</f>
        <v/>
      </c>
      <c r="Q101" s="75">
        <f>IFERROR(IF(OR($M101="",$O101=""),"",$M101/$O101),"")</f>
        <v/>
      </c>
      <c r="R101" s="73" t="n"/>
      <c r="S101" s="73">
        <f>IFERROR(IF(OR($R101="",$F101=""),"",$R101/$F101),"")</f>
        <v/>
      </c>
      <c r="T101" s="75">
        <f>IFERROR(IF(OR($M101="",$R101=""),"",$M101/$R101),"")</f>
        <v/>
      </c>
      <c r="U101" s="70">
        <f>IFERROR(IF(OR($R101="",$O101=""),"",IF($R101=$O101,"No","Yes")),"")</f>
        <v/>
      </c>
      <c r="V101" s="71" t="n"/>
      <c r="W101" s="69">
        <f>IFERROR(IF($V101="","",TODAY()-$V101),"")</f>
        <v/>
      </c>
      <c r="X101" s="67" t="n"/>
      <c r="Y101" s="67" t="n"/>
      <c r="Z101" s="68" t="n"/>
      <c r="AA101" s="67" t="n"/>
      <c r="AB101" s="67" t="n"/>
    </row>
    <row r="102" ht="15" customHeight="1" s="46">
      <c r="A102" s="60">
        <f>IFERROR(ROW()-5,"")</f>
        <v/>
      </c>
      <c r="B102" s="61" t="n"/>
      <c r="C102" s="61" t="n"/>
      <c r="D102" s="61" t="n"/>
      <c r="E102" s="61" t="n"/>
      <c r="F102" s="60" t="n"/>
      <c r="G102" s="60" t="n"/>
      <c r="H102" s="60" t="n"/>
      <c r="I102" s="61" t="n"/>
      <c r="J102" s="61" t="n"/>
      <c r="K102" s="62" t="n"/>
      <c r="L102" s="63">
        <f>IFERROR(IF($K102="","",($K102-TODAY())/365.25),"")</f>
        <v/>
      </c>
      <c r="M102" s="64" t="n"/>
      <c r="N102" s="65">
        <f>IFERROR(IF(OR($M102="",$F102=""),"",$M102/$F102),"")</f>
        <v/>
      </c>
      <c r="O102" s="64" t="n"/>
      <c r="P102" s="64">
        <f>IFERROR(IF(OR($O102="",$F102=""),"",$O102/$F102),"")</f>
        <v/>
      </c>
      <c r="Q102" s="66">
        <f>IFERROR(IF(OR($M102="",$O102=""),"",$M102/$O102),"")</f>
        <v/>
      </c>
      <c r="R102" s="64" t="n"/>
      <c r="S102" s="64">
        <f>IFERROR(IF(OR($R102="",$F102=""),"",$R102/$F102),"")</f>
        <v/>
      </c>
      <c r="T102" s="66">
        <f>IFERROR(IF(OR($M102="",$R102=""),"",$M102/$R102),"")</f>
        <v/>
      </c>
      <c r="U102" s="61">
        <f>IFERROR(IF(OR($R102="",$O102=""),"",IF($R102=$O102,"No","Yes")),"")</f>
        <v/>
      </c>
      <c r="V102" s="62" t="n"/>
      <c r="W102" s="60">
        <f>IFERROR(IF($V102="","",TODAY()-$V102),"")</f>
        <v/>
      </c>
      <c r="X102" s="67" t="n"/>
      <c r="Y102" s="67" t="n"/>
      <c r="Z102" s="68" t="n"/>
      <c r="AA102" s="67" t="n"/>
      <c r="AB102" s="67" t="n"/>
    </row>
    <row r="103" ht="15" customHeight="1" s="46">
      <c r="A103" s="69">
        <f>IFERROR(ROW()-5,"")</f>
        <v/>
      </c>
      <c r="B103" s="70" t="n"/>
      <c r="C103" s="70" t="n"/>
      <c r="D103" s="70" t="n"/>
      <c r="E103" s="70" t="n"/>
      <c r="F103" s="69" t="n"/>
      <c r="G103" s="69" t="n"/>
      <c r="H103" s="69" t="n"/>
      <c r="I103" s="70" t="n"/>
      <c r="J103" s="70" t="n"/>
      <c r="K103" s="71" t="n"/>
      <c r="L103" s="72">
        <f>IFERROR(IF($K103="","",($K103-TODAY())/365.25),"")</f>
        <v/>
      </c>
      <c r="M103" s="73" t="n"/>
      <c r="N103" s="74">
        <f>IFERROR(IF(OR($M103="",$F103=""),"",$M103/$F103),"")</f>
        <v/>
      </c>
      <c r="O103" s="73" t="n"/>
      <c r="P103" s="73">
        <f>IFERROR(IF(OR($O103="",$F103=""),"",$O103/$F103),"")</f>
        <v/>
      </c>
      <c r="Q103" s="75">
        <f>IFERROR(IF(OR($M103="",$O103=""),"",$M103/$O103),"")</f>
        <v/>
      </c>
      <c r="R103" s="73" t="n"/>
      <c r="S103" s="73">
        <f>IFERROR(IF(OR($R103="",$F103=""),"",$R103/$F103),"")</f>
        <v/>
      </c>
      <c r="T103" s="75">
        <f>IFERROR(IF(OR($M103="",$R103=""),"",$M103/$R103),"")</f>
        <v/>
      </c>
      <c r="U103" s="70">
        <f>IFERROR(IF(OR($R103="",$O103=""),"",IF($R103=$O103,"No","Yes")),"")</f>
        <v/>
      </c>
      <c r="V103" s="71" t="n"/>
      <c r="W103" s="69">
        <f>IFERROR(IF($V103="","",TODAY()-$V103),"")</f>
        <v/>
      </c>
      <c r="X103" s="67" t="n"/>
      <c r="Y103" s="67" t="n"/>
      <c r="Z103" s="68" t="n"/>
      <c r="AA103" s="67" t="n"/>
      <c r="AB103" s="67" t="n"/>
    </row>
    <row r="104" ht="15" customHeight="1" s="46">
      <c r="A104" s="60">
        <f>IFERROR(ROW()-5,"")</f>
        <v/>
      </c>
      <c r="B104" s="61" t="n"/>
      <c r="C104" s="61" t="n"/>
      <c r="D104" s="61" t="n"/>
      <c r="E104" s="61" t="n"/>
      <c r="F104" s="60" t="n"/>
      <c r="G104" s="60" t="n"/>
      <c r="H104" s="60" t="n"/>
      <c r="I104" s="61" t="n"/>
      <c r="J104" s="61" t="n"/>
      <c r="K104" s="62" t="n"/>
      <c r="L104" s="63">
        <f>IFERROR(IF($K104="","",($K104-TODAY())/365.25),"")</f>
        <v/>
      </c>
      <c r="M104" s="64" t="n"/>
      <c r="N104" s="65">
        <f>IFERROR(IF(OR($M104="",$F104=""),"",$M104/$F104),"")</f>
        <v/>
      </c>
      <c r="O104" s="64" t="n"/>
      <c r="P104" s="64">
        <f>IFERROR(IF(OR($O104="",$F104=""),"",$O104/$F104),"")</f>
        <v/>
      </c>
      <c r="Q104" s="66">
        <f>IFERROR(IF(OR($M104="",$O104=""),"",$M104/$O104),"")</f>
        <v/>
      </c>
      <c r="R104" s="64" t="n"/>
      <c r="S104" s="64">
        <f>IFERROR(IF(OR($R104="",$F104=""),"",$R104/$F104),"")</f>
        <v/>
      </c>
      <c r="T104" s="66">
        <f>IFERROR(IF(OR($M104="",$R104=""),"",$M104/$R104),"")</f>
        <v/>
      </c>
      <c r="U104" s="61">
        <f>IFERROR(IF(OR($R104="",$O104=""),"",IF($R104=$O104,"No","Yes")),"")</f>
        <v/>
      </c>
      <c r="V104" s="62" t="n"/>
      <c r="W104" s="60">
        <f>IFERROR(IF($V104="","",TODAY()-$V104),"")</f>
        <v/>
      </c>
      <c r="X104" s="67" t="n"/>
      <c r="Y104" s="67" t="n"/>
      <c r="Z104" s="68" t="n"/>
      <c r="AA104" s="67" t="n"/>
      <c r="AB104" s="67" t="n"/>
    </row>
    <row r="105" ht="15" customHeight="1" s="46">
      <c r="A105" s="69">
        <f>IFERROR(ROW()-5,"")</f>
        <v/>
      </c>
      <c r="B105" s="70" t="n"/>
      <c r="C105" s="70" t="n"/>
      <c r="D105" s="70" t="n"/>
      <c r="E105" s="70" t="n"/>
      <c r="F105" s="69" t="n"/>
      <c r="G105" s="69" t="n"/>
      <c r="H105" s="69" t="n"/>
      <c r="I105" s="70" t="n"/>
      <c r="J105" s="70" t="n"/>
      <c r="K105" s="71" t="n"/>
      <c r="L105" s="72">
        <f>IFERROR(IF($K105="","",($K105-TODAY())/365.25),"")</f>
        <v/>
      </c>
      <c r="M105" s="73" t="n"/>
      <c r="N105" s="74">
        <f>IFERROR(IF(OR($M105="",$F105=""),"",$M105/$F105),"")</f>
        <v/>
      </c>
      <c r="O105" s="73" t="n"/>
      <c r="P105" s="73">
        <f>IFERROR(IF(OR($O105="",$F105=""),"",$O105/$F105),"")</f>
        <v/>
      </c>
      <c r="Q105" s="75">
        <f>IFERROR(IF(OR($M105="",$O105=""),"",$M105/$O105),"")</f>
        <v/>
      </c>
      <c r="R105" s="73" t="n"/>
      <c r="S105" s="73">
        <f>IFERROR(IF(OR($R105="",$F105=""),"",$R105/$F105),"")</f>
        <v/>
      </c>
      <c r="T105" s="75">
        <f>IFERROR(IF(OR($M105="",$R105=""),"",$M105/$R105),"")</f>
        <v/>
      </c>
      <c r="U105" s="70">
        <f>IFERROR(IF(OR($R105="",$O105=""),"",IF($R105=$O105,"No","Yes")),"")</f>
        <v/>
      </c>
      <c r="V105" s="71" t="n"/>
      <c r="W105" s="69">
        <f>IFERROR(IF($V105="","",TODAY()-$V105),"")</f>
        <v/>
      </c>
      <c r="X105" s="67" t="n"/>
      <c r="Y105" s="67" t="n"/>
      <c r="Z105" s="68" t="n"/>
      <c r="AA105" s="67" t="n"/>
      <c r="AB105" s="67" t="n"/>
    </row>
    <row r="106" ht="16.5" customHeight="1" s="46">
      <c r="A106" s="76" t="inlineStr">
        <is>
          <t>AVG</t>
        </is>
      </c>
      <c r="B106" s="77">
        <f>COUNTA(B6:B105)&amp;" comps"</f>
        <v/>
      </c>
      <c r="C106" s="78" t="n"/>
      <c r="D106" s="78" t="n"/>
      <c r="E106" s="78" t="n"/>
      <c r="F106" s="79">
        <f>IF(COUNT(F6:F105)=0,"",AVERAGE(F6:F105))</f>
        <v/>
      </c>
      <c r="G106" s="79" t="n"/>
      <c r="H106" s="79" t="n"/>
      <c r="I106" s="80" t="n"/>
      <c r="J106" s="81" t="n"/>
      <c r="K106" s="78" t="n"/>
      <c r="L106" s="82">
        <f>IF(COUNT(L6:L105)=0,"",AVERAGE(L6:L105))</f>
        <v/>
      </c>
      <c r="M106" s="83">
        <f>IF(COUNT(M6:M105)=0,"",AVERAGE(M6:M105))</f>
        <v/>
      </c>
      <c r="N106" s="84">
        <f>IF(COUNT(N6:N105)=0,"",AVERAGE(N6:N105))</f>
        <v/>
      </c>
      <c r="O106" s="83">
        <f>IF(COUNT(O6:O105)=0,"",AVERAGE(O6:O105))</f>
        <v/>
      </c>
      <c r="P106" s="83">
        <f>IF(COUNT(P6:P105)=0,"",AVERAGE(P6:P105))</f>
        <v/>
      </c>
      <c r="Q106" s="85">
        <f>IF(COUNT(Q6:Q105)=0,"",AVERAGE(Q6:Q105))</f>
        <v/>
      </c>
      <c r="R106" s="83">
        <f>IF(COUNT(R6:R105)=0,"",AVERAGE(R6:R105))</f>
        <v/>
      </c>
      <c r="S106" s="83">
        <f>IF(COUNT(S6:S105)=0,"",AVERAGE(S6:S105))</f>
        <v/>
      </c>
      <c r="T106" s="85">
        <f>IF(COUNT(T6:T105)=0,"",AVERAGE(T6:T105))</f>
        <v/>
      </c>
      <c r="U106" s="77">
        <f>IFERROR(COUNTIF(U6:U105,"Yes")&amp;" / "&amp;(COUNTIF(U6:U105,"Yes")+COUNTIF(U6:U105,"No"))&amp;" ("&amp;TEXT(COUNTIF(U6:U105,"Yes")/(COUNTIF(U6:U105,"Yes")+COUNTIF(U6:U105,"No")),"0%")&amp;")","")</f>
        <v/>
      </c>
      <c r="V106" s="78" t="n"/>
      <c r="W106" s="78" t="n"/>
      <c r="X106" s="86" t="n"/>
      <c r="Y106" s="86" t="n"/>
      <c r="Z106" s="87">
        <f>IF(COUNT(Z6:Z105)=0,"",ROUND(AVERAGE(Z6:Z105),0))</f>
        <v/>
      </c>
      <c r="AA106" s="86" t="n"/>
      <c r="AB106" s="86" t="n"/>
    </row>
    <row r="107"/>
    <row r="108" ht="12.75" customHeight="1" s="46">
      <c r="A108" s="5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003DA5"/>
    <outlinePr summaryBelow="1" summaryRight="1"/>
    <pageSetUpPr fitToPage="0"/>
  </sheetPr>
  <dimension ref="A1:AJ1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45" min="1" max="1"/>
    <col width="30" customWidth="1" style="45" min="2" max="2"/>
    <col width="25" customWidth="1" style="45" min="3" max="3"/>
    <col width="14" customWidth="1" style="45" min="4" max="4"/>
    <col width="6" customWidth="1" style="45" min="5" max="5"/>
    <col width="11" customWidth="1" style="45" min="6" max="6"/>
    <col width="9" customWidth="1" style="45" min="7" max="7"/>
    <col width="10" customWidth="1" style="45" min="8" max="8"/>
    <col width="12" customWidth="1" style="45" min="9" max="10"/>
    <col width="9" customWidth="1" style="46" min="10" max="10"/>
    <col width="13" customWidth="1" style="45" min="11" max="11"/>
    <col width="10" customWidth="1" style="45" min="12" max="13"/>
    <col width="13" customWidth="1" style="46" min="13" max="13"/>
    <col width="10" customWidth="1" style="45" min="14" max="14"/>
    <col width="9" customWidth="1" style="45" min="15" max="15"/>
    <col width="13" customWidth="1" style="45" min="16" max="16"/>
    <col width="10" customWidth="1" style="45" min="17" max="18"/>
    <col width="9" customWidth="1" style="46" min="18" max="18"/>
    <col width="13" customWidth="1" style="45" min="19" max="19"/>
    <col width="10" customWidth="1" style="45" min="20" max="20"/>
    <col width="9" customWidth="1" style="45" min="21" max="23"/>
    <col width="9" customWidth="1" style="46" min="22" max="22"/>
    <col width="10" customWidth="1" style="46" min="23" max="23"/>
    <col width="12" customWidth="1" style="45" min="24" max="24"/>
    <col width="12" customWidth="1" style="45" min="25" max="25"/>
    <col width="8" customWidth="1" style="46" min="26" max="26"/>
    <col width="10" customWidth="1" style="46" min="27" max="27"/>
    <col width="10" customWidth="1" style="46" min="28" max="28"/>
    <col width="9" customWidth="1" style="46" min="29" max="29"/>
    <col width="18" customWidth="1" style="46" min="30" max="30"/>
    <col width="18" customWidth="1" style="46" min="31" max="31"/>
    <col width="14" customWidth="1" style="46" min="32" max="32"/>
    <col width="18" customWidth="1" style="46" min="33" max="33"/>
    <col width="35" customWidth="1" style="46" min="34" max="34"/>
  </cols>
  <sheetData>
    <row r="1" ht="12" customHeight="1" s="46"/>
    <row r="2" ht="25.5" customHeight="1" s="46">
      <c r="A2" s="58" t="inlineStr">
        <is>
          <t>Briggs CRE — Sales Comps · Sold</t>
        </is>
      </c>
    </row>
    <row r="3" ht="13.5" customHeight="1" s="46">
      <c r="A3" s="52" t="inlineStr">
        <is>
          <t>Source: CoStar / Salesforce · Shaded columns are formula-protected — do not overwrite · TERM = remaining term as of sale date · BPS = Sale Cap − Last Cap</t>
        </is>
      </c>
    </row>
    <row r="4" ht="7.5" customHeight="1" s="46"/>
    <row r="5" ht="21.75" customHeight="1" s="46">
      <c r="A5" s="59" t="inlineStr">
        <is>
          <t>#</t>
        </is>
      </c>
      <c r="B5" s="59" t="inlineStr">
        <is>
          <t>PROPERTY NAME</t>
        </is>
      </c>
      <c r="C5" s="59" t="inlineStr">
        <is>
          <t>ADDRESS</t>
        </is>
      </c>
      <c r="D5" s="59" t="inlineStr">
        <is>
          <t>CITY</t>
        </is>
      </c>
      <c r="E5" s="59" t="inlineStr">
        <is>
          <t>ST</t>
        </is>
      </c>
      <c r="F5" s="59" t="inlineStr">
        <is>
          <t>RBA (SF)</t>
        </is>
      </c>
      <c r="G5" s="59" t="inlineStr">
        <is>
          <t>CHAIRS</t>
        </is>
      </c>
      <c r="H5" s="59" t="inlineStr">
        <is>
          <t>PATIENTS</t>
        </is>
      </c>
      <c r="I5" s="59" t="inlineStr">
        <is>
          <t>TENANT</t>
        </is>
      </c>
      <c r="J5" s="59" t="inlineStr">
        <is>
          <t>LEASE TYPE</t>
        </is>
      </c>
      <c r="K5" s="59" t="inlineStr">
        <is>
          <t>LEASE EXP</t>
        </is>
      </c>
      <c r="L5" s="59" t="inlineStr">
        <is>
          <t>TERM (YRS)</t>
        </is>
      </c>
      <c r="M5" s="59" t="inlineStr">
        <is>
          <t>ANNUAL NOI</t>
        </is>
      </c>
      <c r="N5" s="59" t="inlineStr">
        <is>
          <t>RENT/SF</t>
        </is>
      </c>
      <c r="O5" s="59" t="inlineStr">
        <is>
          <t>INIT PRICE</t>
        </is>
      </c>
      <c r="P5" s="59" t="inlineStr">
        <is>
          <t>INIT $/SF</t>
        </is>
      </c>
      <c r="Q5" s="59" t="inlineStr">
        <is>
          <t>INIT CAP</t>
        </is>
      </c>
      <c r="R5" s="59" t="inlineStr">
        <is>
          <t>LAST PRICE</t>
        </is>
      </c>
      <c r="S5" s="59" t="inlineStr">
        <is>
          <t>LAST $/SF</t>
        </is>
      </c>
      <c r="T5" s="59" t="inlineStr">
        <is>
          <t>LAST CAP</t>
        </is>
      </c>
      <c r="U5" s="59" t="inlineStr">
        <is>
          <t>SALE PRICE</t>
        </is>
      </c>
      <c r="V5" s="59" t="inlineStr">
        <is>
          <t>SALE $/SF</t>
        </is>
      </c>
      <c r="W5" s="59" t="inlineStr">
        <is>
          <t>SALE CAP</t>
        </is>
      </c>
      <c r="X5" s="59" t="inlineStr">
        <is>
          <t>BPS</t>
        </is>
      </c>
      <c r="Y5" s="59" t="inlineStr">
        <is>
          <t>PRICE ADJ</t>
        </is>
      </c>
      <c r="Z5" s="59" t="inlineStr">
        <is>
          <t>SALE DATE</t>
        </is>
      </c>
      <c r="AA5" s="59" t="inlineStr">
        <is>
          <t>LIST DATE</t>
        </is>
      </c>
      <c r="AB5" s="59" t="inlineStr">
        <is>
          <t>DOM</t>
        </is>
      </c>
      <c r="AC5" s="59" t="inlineStr">
        <is>
          <t>BUMPS</t>
        </is>
      </c>
      <c r="AD5" s="59" t="inlineStr">
        <is>
          <t>OPTIONS</t>
        </is>
      </c>
      <c r="AE5" s="59" t="inlineStr">
        <is>
          <t>YR BUILT</t>
        </is>
      </c>
      <c r="AF5" s="59" t="inlineStr">
        <is>
          <t>BUYER</t>
        </is>
      </c>
      <c r="AG5" s="59" t="inlineStr">
        <is>
          <t>SELLER</t>
        </is>
      </c>
      <c r="AH5" s="59" t="inlineStr">
        <is>
          <t>FINANCING</t>
        </is>
      </c>
      <c r="AI5" s="59" t="inlineStr">
        <is>
          <t>SUBMARKET</t>
        </is>
      </c>
      <c r="AJ5" s="59" t="inlineStr">
        <is>
          <t>NOTES</t>
        </is>
      </c>
    </row>
    <row r="6" ht="15" customHeight="1" s="46">
      <c r="A6" s="60">
        <f>IFERROR(ROW()-5,"")</f>
        <v/>
      </c>
      <c r="B6" s="61" t="n"/>
      <c r="C6" s="61" t="n"/>
      <c r="D6" s="61" t="n"/>
      <c r="E6" s="61" t="n"/>
      <c r="F6" s="60" t="n"/>
      <c r="G6" s="60" t="n"/>
      <c r="H6" s="60" t="n"/>
      <c r="I6" s="61" t="n"/>
      <c r="J6" s="61" t="n"/>
      <c r="K6" s="62" t="n"/>
      <c r="L6" s="63">
        <f>IFERROR(IF(OR($K6="",$Z6=""),"",($K6-$Z6)/365.25),"")</f>
        <v/>
      </c>
      <c r="M6" s="64" t="n"/>
      <c r="N6" s="65">
        <f>IFERROR(IF(OR($M6="",$F6=""),"",$M6/$F6),"")</f>
        <v/>
      </c>
      <c r="O6" s="64" t="n"/>
      <c r="P6" s="64">
        <f>IFERROR(IF(OR($O6="",$F6=""),"",$O6/$F6),"")</f>
        <v/>
      </c>
      <c r="Q6" s="66">
        <f>IFERROR(IF(OR($M6="",$O6=""),"",$M6/$O6),"")</f>
        <v/>
      </c>
      <c r="R6" s="64" t="n"/>
      <c r="S6" s="64">
        <f>IFERROR(IF(OR($R6="",$F6=""),"",$R6/$F6),"")</f>
        <v/>
      </c>
      <c r="T6" s="66">
        <f>IFERROR(IF(OR($M6="",$R6=""),"",$M6/$R6),"")</f>
        <v/>
      </c>
      <c r="U6" s="64" t="n"/>
      <c r="V6" s="64">
        <f>IFERROR(IF(OR($U6="",$F6=""),"",$U6/$F6),"")</f>
        <v/>
      </c>
      <c r="W6" s="66">
        <f>IFERROR(IF(OR($M6="",$U6=""),"",$M6/$U6),"")</f>
        <v/>
      </c>
      <c r="X6" s="88">
        <f>IFERROR(IF(OR($W6="",$T6=""),"",($W6-$T6)*10000),"")</f>
        <v/>
      </c>
      <c r="Y6" s="61">
        <f>IFERROR(IF(OR($R6="",$O6=""),"",IF($R6=$O6,"No","Yes")),"")</f>
        <v/>
      </c>
      <c r="Z6" s="62" t="n"/>
      <c r="AA6" s="62" t="n"/>
      <c r="AB6" s="89">
        <f>IFERROR(IF(OR($Z6="",$AA6=""),"",$Z6-$AA6),"")</f>
        <v/>
      </c>
      <c r="AC6" s="67" t="n"/>
      <c r="AD6" s="67" t="n"/>
      <c r="AE6" s="68" t="n"/>
      <c r="AF6" s="67" t="n"/>
      <c r="AG6" s="67" t="n"/>
      <c r="AH6" s="67" t="n"/>
      <c r="AI6" s="67" t="n"/>
      <c r="AJ6" s="67" t="n"/>
    </row>
    <row r="7" ht="15" customHeight="1" s="46">
      <c r="A7" s="69">
        <f>IFERROR(ROW()-5,"")</f>
        <v/>
      </c>
      <c r="B7" s="70" t="n"/>
      <c r="C7" s="70" t="n"/>
      <c r="D7" s="70" t="n"/>
      <c r="E7" s="70" t="n"/>
      <c r="F7" s="69" t="n"/>
      <c r="G7" s="69" t="n"/>
      <c r="H7" s="69" t="n"/>
      <c r="I7" s="70" t="n"/>
      <c r="J7" s="70" t="n"/>
      <c r="K7" s="71" t="n"/>
      <c r="L7" s="72">
        <f>IFERROR(IF(OR($K7="",$Z7=""),"",($K7-$Z7)/365.25),"")</f>
        <v/>
      </c>
      <c r="M7" s="73" t="n"/>
      <c r="N7" s="74">
        <f>IFERROR(IF(OR($M7="",$F7=""),"",$M7/$F7),"")</f>
        <v/>
      </c>
      <c r="O7" s="73" t="n"/>
      <c r="P7" s="73">
        <f>IFERROR(IF(OR($O7="",$F7=""),"",$O7/$F7),"")</f>
        <v/>
      </c>
      <c r="Q7" s="75">
        <f>IFERROR(IF(OR($M7="",$O7=""),"",$M7/$O7),"")</f>
        <v/>
      </c>
      <c r="R7" s="73" t="n"/>
      <c r="S7" s="73">
        <f>IFERROR(IF(OR($R7="",$F7=""),"",$R7/$F7),"")</f>
        <v/>
      </c>
      <c r="T7" s="75">
        <f>IFERROR(IF(OR($M7="",$R7=""),"",$M7/$R7),"")</f>
        <v/>
      </c>
      <c r="U7" s="73" t="n"/>
      <c r="V7" s="73">
        <f>IFERROR(IF(OR($U7="",$F7=""),"",$U7/$F7),"")</f>
        <v/>
      </c>
      <c r="W7" s="75">
        <f>IFERROR(IF(OR($M7="",$U7=""),"",$M7/$U7),"")</f>
        <v/>
      </c>
      <c r="X7" s="90">
        <f>IFERROR(IF(OR($W7="",$T7=""),"",($W7-$T7)*10000),"")</f>
        <v/>
      </c>
      <c r="Y7" s="70">
        <f>IFERROR(IF(OR($R7="",$O7=""),"",IF($R7=$O7,"No","Yes")),"")</f>
        <v/>
      </c>
      <c r="Z7" s="71" t="n"/>
      <c r="AA7" s="71" t="n"/>
      <c r="AB7" s="89">
        <f>IFERROR(IF(OR($Z7="",$AA7=""),"",$Z7-$AA7),"")</f>
        <v/>
      </c>
      <c r="AC7" s="67" t="n"/>
      <c r="AD7" s="67" t="n"/>
      <c r="AE7" s="68" t="n"/>
      <c r="AF7" s="67" t="n"/>
      <c r="AG7" s="67" t="n"/>
      <c r="AH7" s="67" t="n"/>
      <c r="AI7" s="67" t="n"/>
      <c r="AJ7" s="67" t="n"/>
    </row>
    <row r="8" ht="15" customHeight="1" s="46">
      <c r="A8" s="60">
        <f>IFERROR(ROW()-5,"")</f>
        <v/>
      </c>
      <c r="B8" s="61" t="n"/>
      <c r="C8" s="61" t="n"/>
      <c r="D8" s="61" t="n"/>
      <c r="E8" s="61" t="n"/>
      <c r="F8" s="60" t="n"/>
      <c r="G8" s="60" t="n"/>
      <c r="H8" s="60" t="n"/>
      <c r="I8" s="61" t="n"/>
      <c r="J8" s="61" t="n"/>
      <c r="K8" s="62" t="n"/>
      <c r="L8" s="63">
        <f>IFERROR(IF(OR($K8="",$Z8=""),"",($K8-$Z8)/365.25),"")</f>
        <v/>
      </c>
      <c r="M8" s="64" t="n"/>
      <c r="N8" s="65">
        <f>IFERROR(IF(OR($M8="",$F8=""),"",$M8/$F8),"")</f>
        <v/>
      </c>
      <c r="O8" s="64" t="n"/>
      <c r="P8" s="64">
        <f>IFERROR(IF(OR($O8="",$F8=""),"",$O8/$F8),"")</f>
        <v/>
      </c>
      <c r="Q8" s="66">
        <f>IFERROR(IF(OR($M8="",$O8=""),"",$M8/$O8),"")</f>
        <v/>
      </c>
      <c r="R8" s="64" t="n"/>
      <c r="S8" s="64">
        <f>IFERROR(IF(OR($R8="",$F8=""),"",$R8/$F8),"")</f>
        <v/>
      </c>
      <c r="T8" s="66">
        <f>IFERROR(IF(OR($M8="",$R8=""),"",$M8/$R8),"")</f>
        <v/>
      </c>
      <c r="U8" s="64" t="n"/>
      <c r="V8" s="64">
        <f>IFERROR(IF(OR($U8="",$F8=""),"",$U8/$F8),"")</f>
        <v/>
      </c>
      <c r="W8" s="66">
        <f>IFERROR(IF(OR($M8="",$U8=""),"",$M8/$U8),"")</f>
        <v/>
      </c>
      <c r="X8" s="88">
        <f>IFERROR(IF(OR($W8="",$T8=""),"",($W8-$T8)*10000),"")</f>
        <v/>
      </c>
      <c r="Y8" s="61">
        <f>IFERROR(IF(OR($R8="",$O8=""),"",IF($R8=$O8,"No","Yes")),"")</f>
        <v/>
      </c>
      <c r="Z8" s="62" t="n"/>
      <c r="AA8" s="62" t="n"/>
      <c r="AB8" s="89">
        <f>IFERROR(IF(OR($Z8="",$AA8=""),"",$Z8-$AA8),"")</f>
        <v/>
      </c>
      <c r="AC8" s="67" t="n"/>
      <c r="AD8" s="67" t="n"/>
      <c r="AE8" s="68" t="n"/>
      <c r="AF8" s="67" t="n"/>
      <c r="AG8" s="67" t="n"/>
      <c r="AH8" s="67" t="n"/>
      <c r="AI8" s="67" t="n"/>
      <c r="AJ8" s="67" t="n"/>
    </row>
    <row r="9" ht="15" customHeight="1" s="46">
      <c r="A9" s="69">
        <f>IFERROR(ROW()-5,"")</f>
        <v/>
      </c>
      <c r="B9" s="70" t="n"/>
      <c r="C9" s="70" t="n"/>
      <c r="D9" s="70" t="n"/>
      <c r="E9" s="70" t="n"/>
      <c r="F9" s="69" t="n"/>
      <c r="G9" s="69" t="n"/>
      <c r="H9" s="69" t="n"/>
      <c r="I9" s="70" t="n"/>
      <c r="J9" s="70" t="n"/>
      <c r="K9" s="71" t="n"/>
      <c r="L9" s="72">
        <f>IFERROR(IF(OR($K9="",$Z9=""),"",($K9-$Z9)/365.25),"")</f>
        <v/>
      </c>
      <c r="M9" s="73" t="n"/>
      <c r="N9" s="74">
        <f>IFERROR(IF(OR($M9="",$F9=""),"",$M9/$F9),"")</f>
        <v/>
      </c>
      <c r="O9" s="73" t="n"/>
      <c r="P9" s="73">
        <f>IFERROR(IF(OR($O9="",$F9=""),"",$O9/$F9),"")</f>
        <v/>
      </c>
      <c r="Q9" s="75">
        <f>IFERROR(IF(OR($M9="",$O9=""),"",$M9/$O9),"")</f>
        <v/>
      </c>
      <c r="R9" s="73" t="n"/>
      <c r="S9" s="73">
        <f>IFERROR(IF(OR($R9="",$F9=""),"",$R9/$F9),"")</f>
        <v/>
      </c>
      <c r="T9" s="75">
        <f>IFERROR(IF(OR($M9="",$R9=""),"",$M9/$R9),"")</f>
        <v/>
      </c>
      <c r="U9" s="73" t="n"/>
      <c r="V9" s="73">
        <f>IFERROR(IF(OR($U9="",$F9=""),"",$U9/$F9),"")</f>
        <v/>
      </c>
      <c r="W9" s="75">
        <f>IFERROR(IF(OR($M9="",$U9=""),"",$M9/$U9),"")</f>
        <v/>
      </c>
      <c r="X9" s="90">
        <f>IFERROR(IF(OR($W9="",$T9=""),"",($W9-$T9)*10000),"")</f>
        <v/>
      </c>
      <c r="Y9" s="70">
        <f>IFERROR(IF(OR($R9="",$O9=""),"",IF($R9=$O9,"No","Yes")),"")</f>
        <v/>
      </c>
      <c r="Z9" s="71" t="n"/>
      <c r="AA9" s="71" t="n"/>
      <c r="AB9" s="89">
        <f>IFERROR(IF(OR($Z9="",$AA9=""),"",$Z9-$AA9),"")</f>
        <v/>
      </c>
      <c r="AC9" s="67" t="n"/>
      <c r="AD9" s="67" t="n"/>
      <c r="AE9" s="68" t="n"/>
      <c r="AF9" s="67" t="n"/>
      <c r="AG9" s="67" t="n"/>
      <c r="AH9" s="67" t="n"/>
      <c r="AI9" s="67" t="n"/>
      <c r="AJ9" s="67" t="n"/>
    </row>
    <row r="10" ht="15" customHeight="1" s="46">
      <c r="A10" s="60">
        <f>IFERROR(ROW()-5,"")</f>
        <v/>
      </c>
      <c r="B10" s="61" t="n"/>
      <c r="C10" s="61" t="n"/>
      <c r="D10" s="61" t="n"/>
      <c r="E10" s="61" t="n"/>
      <c r="F10" s="60" t="n"/>
      <c r="G10" s="60" t="n"/>
      <c r="H10" s="60" t="n"/>
      <c r="I10" s="61" t="n"/>
      <c r="J10" s="61" t="n"/>
      <c r="K10" s="62" t="n"/>
      <c r="L10" s="63">
        <f>IFERROR(IF(OR($K10="",$Z10=""),"",($K10-$Z10)/365.25),"")</f>
        <v/>
      </c>
      <c r="M10" s="64" t="n"/>
      <c r="N10" s="65">
        <f>IFERROR(IF(OR($M10="",$F10=""),"",$M10/$F10),"")</f>
        <v/>
      </c>
      <c r="O10" s="64" t="n"/>
      <c r="P10" s="64">
        <f>IFERROR(IF(OR($O10="",$F10=""),"",$O10/$F10),"")</f>
        <v/>
      </c>
      <c r="Q10" s="66">
        <f>IFERROR(IF(OR($M10="",$O10=""),"",$M10/$O10),"")</f>
        <v/>
      </c>
      <c r="R10" s="64" t="n"/>
      <c r="S10" s="64">
        <f>IFERROR(IF(OR($R10="",$F10=""),"",$R10/$F10),"")</f>
        <v/>
      </c>
      <c r="T10" s="66">
        <f>IFERROR(IF(OR($M10="",$R10=""),"",$M10/$R10),"")</f>
        <v/>
      </c>
      <c r="U10" s="64" t="n"/>
      <c r="V10" s="64">
        <f>IFERROR(IF(OR($U10="",$F10=""),"",$U10/$F10),"")</f>
        <v/>
      </c>
      <c r="W10" s="66">
        <f>IFERROR(IF(OR($M10="",$U10=""),"",$M10/$U10),"")</f>
        <v/>
      </c>
      <c r="X10" s="88">
        <f>IFERROR(IF(OR($W10="",$T10=""),"",($W10-$T10)*10000),"")</f>
        <v/>
      </c>
      <c r="Y10" s="61">
        <f>IFERROR(IF(OR($R10="",$O10=""),"",IF($R10=$O10,"No","Yes")),"")</f>
        <v/>
      </c>
      <c r="Z10" s="62" t="n"/>
      <c r="AA10" s="62" t="n"/>
      <c r="AB10" s="89">
        <f>IFERROR(IF(OR($Z10="",$AA10=""),"",$Z10-$AA10),"")</f>
        <v/>
      </c>
      <c r="AC10" s="67" t="n"/>
      <c r="AD10" s="67" t="n"/>
      <c r="AE10" s="68" t="n"/>
      <c r="AF10" s="67" t="n"/>
      <c r="AG10" s="67" t="n"/>
      <c r="AH10" s="67" t="n"/>
      <c r="AI10" s="67" t="n"/>
      <c r="AJ10" s="67" t="n"/>
    </row>
    <row r="11" ht="15" customHeight="1" s="46">
      <c r="A11" s="69">
        <f>IFERROR(ROW()-5,"")</f>
        <v/>
      </c>
      <c r="B11" s="70" t="n"/>
      <c r="C11" s="70" t="n"/>
      <c r="D11" s="70" t="n"/>
      <c r="E11" s="70" t="n"/>
      <c r="F11" s="69" t="n"/>
      <c r="G11" s="69" t="n"/>
      <c r="H11" s="69" t="n"/>
      <c r="I11" s="70" t="n"/>
      <c r="J11" s="70" t="n"/>
      <c r="K11" s="71" t="n"/>
      <c r="L11" s="72">
        <f>IFERROR(IF(OR($K11="",$Z11=""),"",($K11-$Z11)/365.25),"")</f>
        <v/>
      </c>
      <c r="M11" s="73" t="n"/>
      <c r="N11" s="74">
        <f>IFERROR(IF(OR($M11="",$F11=""),"",$M11/$F11),"")</f>
        <v/>
      </c>
      <c r="O11" s="73" t="n"/>
      <c r="P11" s="73">
        <f>IFERROR(IF(OR($O11="",$F11=""),"",$O11/$F11),"")</f>
        <v/>
      </c>
      <c r="Q11" s="75">
        <f>IFERROR(IF(OR($M11="",$O11=""),"",$M11/$O11),"")</f>
        <v/>
      </c>
      <c r="R11" s="73" t="n"/>
      <c r="S11" s="73">
        <f>IFERROR(IF(OR($R11="",$F11=""),"",$R11/$F11),"")</f>
        <v/>
      </c>
      <c r="T11" s="75">
        <f>IFERROR(IF(OR($M11="",$R11=""),"",$M11/$R11),"")</f>
        <v/>
      </c>
      <c r="U11" s="73" t="n"/>
      <c r="V11" s="73">
        <f>IFERROR(IF(OR($U11="",$F11=""),"",$U11/$F11),"")</f>
        <v/>
      </c>
      <c r="W11" s="75">
        <f>IFERROR(IF(OR($M11="",$U11=""),"",$M11/$U11),"")</f>
        <v/>
      </c>
      <c r="X11" s="90">
        <f>IFERROR(IF(OR($W11="",$T11=""),"",($W11-$T11)*10000),"")</f>
        <v/>
      </c>
      <c r="Y11" s="70">
        <f>IFERROR(IF(OR($R11="",$O11=""),"",IF($R11=$O11,"No","Yes")),"")</f>
        <v/>
      </c>
      <c r="Z11" s="71" t="n"/>
      <c r="AA11" s="71" t="n"/>
      <c r="AB11" s="89">
        <f>IFERROR(IF(OR($Z11="",$AA11=""),"",$Z11-$AA11),"")</f>
        <v/>
      </c>
      <c r="AC11" s="67" t="n"/>
      <c r="AD11" s="67" t="n"/>
      <c r="AE11" s="68" t="n"/>
      <c r="AF11" s="67" t="n"/>
      <c r="AG11" s="67" t="n"/>
      <c r="AH11" s="67" t="n"/>
      <c r="AI11" s="67" t="n"/>
      <c r="AJ11" s="67" t="n"/>
    </row>
    <row r="12" ht="15" customHeight="1" s="46">
      <c r="A12" s="60">
        <f>IFERROR(ROW()-5,"")</f>
        <v/>
      </c>
      <c r="B12" s="61" t="n"/>
      <c r="C12" s="61" t="n"/>
      <c r="D12" s="61" t="n"/>
      <c r="E12" s="61" t="n"/>
      <c r="F12" s="60" t="n"/>
      <c r="G12" s="60" t="n"/>
      <c r="H12" s="60" t="n"/>
      <c r="I12" s="61" t="n"/>
      <c r="J12" s="61" t="n"/>
      <c r="K12" s="62" t="n"/>
      <c r="L12" s="63">
        <f>IFERROR(IF(OR($K12="",$Z12=""),"",($K12-$Z12)/365.25),"")</f>
        <v/>
      </c>
      <c r="M12" s="64" t="n"/>
      <c r="N12" s="65">
        <f>IFERROR(IF(OR($M12="",$F12=""),"",$M12/$F12),"")</f>
        <v/>
      </c>
      <c r="O12" s="64" t="n"/>
      <c r="P12" s="64">
        <f>IFERROR(IF(OR($O12="",$F12=""),"",$O12/$F12),"")</f>
        <v/>
      </c>
      <c r="Q12" s="66">
        <f>IFERROR(IF(OR($M12="",$O12=""),"",$M12/$O12),"")</f>
        <v/>
      </c>
      <c r="R12" s="64" t="n"/>
      <c r="S12" s="64">
        <f>IFERROR(IF(OR($R12="",$F12=""),"",$R12/$F12),"")</f>
        <v/>
      </c>
      <c r="T12" s="66">
        <f>IFERROR(IF(OR($M12="",$R12=""),"",$M12/$R12),"")</f>
        <v/>
      </c>
      <c r="U12" s="64" t="n"/>
      <c r="V12" s="64">
        <f>IFERROR(IF(OR($U12="",$F12=""),"",$U12/$F12),"")</f>
        <v/>
      </c>
      <c r="W12" s="66">
        <f>IFERROR(IF(OR($M12="",$U12=""),"",$M12/$U12),"")</f>
        <v/>
      </c>
      <c r="X12" s="88">
        <f>IFERROR(IF(OR($W12="",$T12=""),"",($W12-$T12)*10000),"")</f>
        <v/>
      </c>
      <c r="Y12" s="61">
        <f>IFERROR(IF(OR($R12="",$O12=""),"",IF($R12=$O12,"No","Yes")),"")</f>
        <v/>
      </c>
      <c r="Z12" s="62" t="n"/>
      <c r="AA12" s="62" t="n"/>
      <c r="AB12" s="89">
        <f>IFERROR(IF(OR($Z12="",$AA12=""),"",$Z12-$AA12),"")</f>
        <v/>
      </c>
      <c r="AC12" s="67" t="n"/>
      <c r="AD12" s="67" t="n"/>
      <c r="AE12" s="68" t="n"/>
      <c r="AF12" s="67" t="n"/>
      <c r="AG12" s="67" t="n"/>
      <c r="AH12" s="67" t="n"/>
      <c r="AI12" s="67" t="n"/>
      <c r="AJ12" s="67" t="n"/>
    </row>
    <row r="13" ht="15" customHeight="1" s="46">
      <c r="A13" s="69">
        <f>IFERROR(ROW()-5,"")</f>
        <v/>
      </c>
      <c r="B13" s="70" t="n"/>
      <c r="C13" s="70" t="n"/>
      <c r="D13" s="70" t="n"/>
      <c r="E13" s="70" t="n"/>
      <c r="F13" s="69" t="n"/>
      <c r="G13" s="69" t="n"/>
      <c r="H13" s="69" t="n"/>
      <c r="I13" s="70" t="n"/>
      <c r="J13" s="70" t="n"/>
      <c r="K13" s="71" t="n"/>
      <c r="L13" s="72">
        <f>IFERROR(IF(OR($K13="",$Z13=""),"",($K13-$Z13)/365.25),"")</f>
        <v/>
      </c>
      <c r="M13" s="73" t="n"/>
      <c r="N13" s="74">
        <f>IFERROR(IF(OR($M13="",$F13=""),"",$M13/$F13),"")</f>
        <v/>
      </c>
      <c r="O13" s="73" t="n"/>
      <c r="P13" s="73">
        <f>IFERROR(IF(OR($O13="",$F13=""),"",$O13/$F13),"")</f>
        <v/>
      </c>
      <c r="Q13" s="75">
        <f>IFERROR(IF(OR($M13="",$O13=""),"",$M13/$O13),"")</f>
        <v/>
      </c>
      <c r="R13" s="73" t="n"/>
      <c r="S13" s="73">
        <f>IFERROR(IF(OR($R13="",$F13=""),"",$R13/$F13),"")</f>
        <v/>
      </c>
      <c r="T13" s="75">
        <f>IFERROR(IF(OR($M13="",$R13=""),"",$M13/$R13),"")</f>
        <v/>
      </c>
      <c r="U13" s="73" t="n"/>
      <c r="V13" s="73">
        <f>IFERROR(IF(OR($U13="",$F13=""),"",$U13/$F13),"")</f>
        <v/>
      </c>
      <c r="W13" s="75">
        <f>IFERROR(IF(OR($M13="",$U13=""),"",$M13/$U13),"")</f>
        <v/>
      </c>
      <c r="X13" s="90">
        <f>IFERROR(IF(OR($W13="",$T13=""),"",($W13-$T13)*10000),"")</f>
        <v/>
      </c>
      <c r="Y13" s="70">
        <f>IFERROR(IF(OR($R13="",$O13=""),"",IF($R13=$O13,"No","Yes")),"")</f>
        <v/>
      </c>
      <c r="Z13" s="71" t="n"/>
      <c r="AA13" s="71" t="n"/>
      <c r="AB13" s="89">
        <f>IFERROR(IF(OR($Z13="",$AA13=""),"",$Z13-$AA13),"")</f>
        <v/>
      </c>
      <c r="AC13" s="67" t="n"/>
      <c r="AD13" s="67" t="n"/>
      <c r="AE13" s="68" t="n"/>
      <c r="AF13" s="67" t="n"/>
      <c r="AG13" s="67" t="n"/>
      <c r="AH13" s="67" t="n"/>
      <c r="AI13" s="67" t="n"/>
      <c r="AJ13" s="67" t="n"/>
    </row>
    <row r="14" ht="15" customHeight="1" s="46">
      <c r="A14" s="60">
        <f>IFERROR(ROW()-5,"")</f>
        <v/>
      </c>
      <c r="B14" s="61" t="n"/>
      <c r="C14" s="61" t="n"/>
      <c r="D14" s="61" t="n"/>
      <c r="E14" s="61" t="n"/>
      <c r="F14" s="60" t="n"/>
      <c r="G14" s="60" t="n"/>
      <c r="H14" s="60" t="n"/>
      <c r="I14" s="61" t="n"/>
      <c r="J14" s="61" t="n"/>
      <c r="K14" s="62" t="n"/>
      <c r="L14" s="63">
        <f>IFERROR(IF(OR($K14="",$Z14=""),"",($K14-$Z14)/365.25),"")</f>
        <v/>
      </c>
      <c r="M14" s="64" t="n"/>
      <c r="N14" s="65">
        <f>IFERROR(IF(OR($M14="",$F14=""),"",$M14/$F14),"")</f>
        <v/>
      </c>
      <c r="O14" s="64" t="n"/>
      <c r="P14" s="64">
        <f>IFERROR(IF(OR($O14="",$F14=""),"",$O14/$F14),"")</f>
        <v/>
      </c>
      <c r="Q14" s="66">
        <f>IFERROR(IF(OR($M14="",$O14=""),"",$M14/$O14),"")</f>
        <v/>
      </c>
      <c r="R14" s="64" t="n"/>
      <c r="S14" s="64">
        <f>IFERROR(IF(OR($R14="",$F14=""),"",$R14/$F14),"")</f>
        <v/>
      </c>
      <c r="T14" s="66">
        <f>IFERROR(IF(OR($M14="",$R14=""),"",$M14/$R14),"")</f>
        <v/>
      </c>
      <c r="U14" s="64" t="n"/>
      <c r="V14" s="64">
        <f>IFERROR(IF(OR($U14="",$F14=""),"",$U14/$F14),"")</f>
        <v/>
      </c>
      <c r="W14" s="66">
        <f>IFERROR(IF(OR($M14="",$U14=""),"",$M14/$U14),"")</f>
        <v/>
      </c>
      <c r="X14" s="88">
        <f>IFERROR(IF(OR($W14="",$T14=""),"",($W14-$T14)*10000),"")</f>
        <v/>
      </c>
      <c r="Y14" s="61">
        <f>IFERROR(IF(OR($R14="",$O14=""),"",IF($R14=$O14,"No","Yes")),"")</f>
        <v/>
      </c>
      <c r="Z14" s="62" t="n"/>
      <c r="AA14" s="62" t="n"/>
      <c r="AB14" s="89">
        <f>IFERROR(IF(OR($Z14="",$AA14=""),"",$Z14-$AA14),"")</f>
        <v/>
      </c>
      <c r="AC14" s="67" t="n"/>
      <c r="AD14" s="67" t="n"/>
      <c r="AE14" s="68" t="n"/>
      <c r="AF14" s="67" t="n"/>
      <c r="AG14" s="67" t="n"/>
      <c r="AH14" s="67" t="n"/>
      <c r="AI14" s="67" t="n"/>
      <c r="AJ14" s="67" t="n"/>
    </row>
    <row r="15" ht="15" customHeight="1" s="46">
      <c r="A15" s="69">
        <f>IFERROR(ROW()-5,"")</f>
        <v/>
      </c>
      <c r="B15" s="70" t="n"/>
      <c r="C15" s="70" t="n"/>
      <c r="D15" s="70" t="n"/>
      <c r="E15" s="70" t="n"/>
      <c r="F15" s="69" t="n"/>
      <c r="G15" s="69" t="n"/>
      <c r="H15" s="69" t="n"/>
      <c r="I15" s="70" t="n"/>
      <c r="J15" s="70" t="n"/>
      <c r="K15" s="71" t="n"/>
      <c r="L15" s="72">
        <f>IFERROR(IF(OR($K15="",$Z15=""),"",($K15-$Z15)/365.25),"")</f>
        <v/>
      </c>
      <c r="M15" s="73" t="n"/>
      <c r="N15" s="74">
        <f>IFERROR(IF(OR($M15="",$F15=""),"",$M15/$F15),"")</f>
        <v/>
      </c>
      <c r="O15" s="73" t="n"/>
      <c r="P15" s="73">
        <f>IFERROR(IF(OR($O15="",$F15=""),"",$O15/$F15),"")</f>
        <v/>
      </c>
      <c r="Q15" s="75">
        <f>IFERROR(IF(OR($M15="",$O15=""),"",$M15/$O15),"")</f>
        <v/>
      </c>
      <c r="R15" s="73" t="n"/>
      <c r="S15" s="73">
        <f>IFERROR(IF(OR($R15="",$F15=""),"",$R15/$F15),"")</f>
        <v/>
      </c>
      <c r="T15" s="75">
        <f>IFERROR(IF(OR($M15="",$R15=""),"",$M15/$R15),"")</f>
        <v/>
      </c>
      <c r="U15" s="73" t="n"/>
      <c r="V15" s="73">
        <f>IFERROR(IF(OR($U15="",$F15=""),"",$U15/$F15),"")</f>
        <v/>
      </c>
      <c r="W15" s="75">
        <f>IFERROR(IF(OR($M15="",$U15=""),"",$M15/$U15),"")</f>
        <v/>
      </c>
      <c r="X15" s="90">
        <f>IFERROR(IF(OR($W15="",$T15=""),"",($W15-$T15)*10000),"")</f>
        <v/>
      </c>
      <c r="Y15" s="70">
        <f>IFERROR(IF(OR($R15="",$O15=""),"",IF($R15=$O15,"No","Yes")),"")</f>
        <v/>
      </c>
      <c r="Z15" s="71" t="n"/>
      <c r="AA15" s="71" t="n"/>
      <c r="AB15" s="89">
        <f>IFERROR(IF(OR($Z15="",$AA15=""),"",$Z15-$AA15),"")</f>
        <v/>
      </c>
      <c r="AC15" s="67" t="n"/>
      <c r="AD15" s="67" t="n"/>
      <c r="AE15" s="68" t="n"/>
      <c r="AF15" s="67" t="n"/>
      <c r="AG15" s="67" t="n"/>
      <c r="AH15" s="67" t="n"/>
      <c r="AI15" s="67" t="n"/>
      <c r="AJ15" s="67" t="n"/>
    </row>
    <row r="16" ht="15" customHeight="1" s="46">
      <c r="A16" s="60">
        <f>IFERROR(ROW()-5,"")</f>
        <v/>
      </c>
      <c r="B16" s="61" t="n"/>
      <c r="C16" s="61" t="n"/>
      <c r="D16" s="61" t="n"/>
      <c r="E16" s="61" t="n"/>
      <c r="F16" s="60" t="n"/>
      <c r="G16" s="60" t="n"/>
      <c r="H16" s="60" t="n"/>
      <c r="I16" s="61" t="n"/>
      <c r="J16" s="61" t="n"/>
      <c r="K16" s="62" t="n"/>
      <c r="L16" s="63">
        <f>IFERROR(IF(OR($K16="",$Z16=""),"",($K16-$Z16)/365.25),"")</f>
        <v/>
      </c>
      <c r="M16" s="64" t="n"/>
      <c r="N16" s="65">
        <f>IFERROR(IF(OR($M16="",$F16=""),"",$M16/$F16),"")</f>
        <v/>
      </c>
      <c r="O16" s="64" t="n"/>
      <c r="P16" s="64">
        <f>IFERROR(IF(OR($O16="",$F16=""),"",$O16/$F16),"")</f>
        <v/>
      </c>
      <c r="Q16" s="66">
        <f>IFERROR(IF(OR($M16="",$O16=""),"",$M16/$O16),"")</f>
        <v/>
      </c>
      <c r="R16" s="64" t="n"/>
      <c r="S16" s="64">
        <f>IFERROR(IF(OR($R16="",$F16=""),"",$R16/$F16),"")</f>
        <v/>
      </c>
      <c r="T16" s="66">
        <f>IFERROR(IF(OR($M16="",$R16=""),"",$M16/$R16),"")</f>
        <v/>
      </c>
      <c r="U16" s="64" t="n"/>
      <c r="V16" s="64">
        <f>IFERROR(IF(OR($U16="",$F16=""),"",$U16/$F16),"")</f>
        <v/>
      </c>
      <c r="W16" s="66">
        <f>IFERROR(IF(OR($M16="",$U16=""),"",$M16/$U16),"")</f>
        <v/>
      </c>
      <c r="X16" s="88">
        <f>IFERROR(IF(OR($W16="",$T16=""),"",($W16-$T16)*10000),"")</f>
        <v/>
      </c>
      <c r="Y16" s="61">
        <f>IFERROR(IF(OR($R16="",$O16=""),"",IF($R16=$O16,"No","Yes")),"")</f>
        <v/>
      </c>
      <c r="Z16" s="62" t="n"/>
      <c r="AA16" s="62" t="n"/>
      <c r="AB16" s="89">
        <f>IFERROR(IF(OR($Z16="",$AA16=""),"",$Z16-$AA16),"")</f>
        <v/>
      </c>
      <c r="AC16" s="67" t="n"/>
      <c r="AD16" s="67" t="n"/>
      <c r="AE16" s="68" t="n"/>
      <c r="AF16" s="67" t="n"/>
      <c r="AG16" s="67" t="n"/>
      <c r="AH16" s="67" t="n"/>
      <c r="AI16" s="67" t="n"/>
      <c r="AJ16" s="67" t="n"/>
    </row>
    <row r="17" ht="15" customHeight="1" s="46">
      <c r="A17" s="69">
        <f>IFERROR(ROW()-5,"")</f>
        <v/>
      </c>
      <c r="B17" s="70" t="n"/>
      <c r="C17" s="70" t="n"/>
      <c r="D17" s="70" t="n"/>
      <c r="E17" s="70" t="n"/>
      <c r="F17" s="69" t="n"/>
      <c r="G17" s="69" t="n"/>
      <c r="H17" s="69" t="n"/>
      <c r="I17" s="70" t="n"/>
      <c r="J17" s="70" t="n"/>
      <c r="K17" s="71" t="n"/>
      <c r="L17" s="72">
        <f>IFERROR(IF(OR($K17="",$Z17=""),"",($K17-$Z17)/365.25),"")</f>
        <v/>
      </c>
      <c r="M17" s="73" t="n"/>
      <c r="N17" s="74">
        <f>IFERROR(IF(OR($M17="",$F17=""),"",$M17/$F17),"")</f>
        <v/>
      </c>
      <c r="O17" s="73" t="n"/>
      <c r="P17" s="73">
        <f>IFERROR(IF(OR($O17="",$F17=""),"",$O17/$F17),"")</f>
        <v/>
      </c>
      <c r="Q17" s="75">
        <f>IFERROR(IF(OR($M17="",$O17=""),"",$M17/$O17),"")</f>
        <v/>
      </c>
      <c r="R17" s="73" t="n"/>
      <c r="S17" s="73">
        <f>IFERROR(IF(OR($R17="",$F17=""),"",$R17/$F17),"")</f>
        <v/>
      </c>
      <c r="T17" s="75">
        <f>IFERROR(IF(OR($M17="",$R17=""),"",$M17/$R17),"")</f>
        <v/>
      </c>
      <c r="U17" s="73" t="n"/>
      <c r="V17" s="73">
        <f>IFERROR(IF(OR($U17="",$F17=""),"",$U17/$F17),"")</f>
        <v/>
      </c>
      <c r="W17" s="75">
        <f>IFERROR(IF(OR($M17="",$U17=""),"",$M17/$U17),"")</f>
        <v/>
      </c>
      <c r="X17" s="90">
        <f>IFERROR(IF(OR($W17="",$T17=""),"",($W17-$T17)*10000),"")</f>
        <v/>
      </c>
      <c r="Y17" s="70">
        <f>IFERROR(IF(OR($R17="",$O17=""),"",IF($R17=$O17,"No","Yes")),"")</f>
        <v/>
      </c>
      <c r="Z17" s="71" t="n"/>
      <c r="AA17" s="71" t="n"/>
      <c r="AB17" s="89">
        <f>IFERROR(IF(OR($Z17="",$AA17=""),"",$Z17-$AA17),"")</f>
        <v/>
      </c>
      <c r="AC17" s="67" t="n"/>
      <c r="AD17" s="67" t="n"/>
      <c r="AE17" s="68" t="n"/>
      <c r="AF17" s="67" t="n"/>
      <c r="AG17" s="67" t="n"/>
      <c r="AH17" s="67" t="n"/>
      <c r="AI17" s="67" t="n"/>
      <c r="AJ17" s="67" t="n"/>
    </row>
    <row r="18" ht="15" customHeight="1" s="46">
      <c r="A18" s="60">
        <f>IFERROR(ROW()-5,"")</f>
        <v/>
      </c>
      <c r="B18" s="61" t="n"/>
      <c r="C18" s="61" t="n"/>
      <c r="D18" s="61" t="n"/>
      <c r="E18" s="61" t="n"/>
      <c r="F18" s="60" t="n"/>
      <c r="G18" s="60" t="n"/>
      <c r="H18" s="60" t="n"/>
      <c r="I18" s="61" t="n"/>
      <c r="J18" s="61" t="n"/>
      <c r="K18" s="62" t="n"/>
      <c r="L18" s="63">
        <f>IFERROR(IF(OR($K18="",$Z18=""),"",($K18-$Z18)/365.25),"")</f>
        <v/>
      </c>
      <c r="M18" s="64" t="n"/>
      <c r="N18" s="65">
        <f>IFERROR(IF(OR($M18="",$F18=""),"",$M18/$F18),"")</f>
        <v/>
      </c>
      <c r="O18" s="64" t="n"/>
      <c r="P18" s="64">
        <f>IFERROR(IF(OR($O18="",$F18=""),"",$O18/$F18),"")</f>
        <v/>
      </c>
      <c r="Q18" s="66">
        <f>IFERROR(IF(OR($M18="",$O18=""),"",$M18/$O18),"")</f>
        <v/>
      </c>
      <c r="R18" s="64" t="n"/>
      <c r="S18" s="64">
        <f>IFERROR(IF(OR($R18="",$F18=""),"",$R18/$F18),"")</f>
        <v/>
      </c>
      <c r="T18" s="66">
        <f>IFERROR(IF(OR($M18="",$R18=""),"",$M18/$R18),"")</f>
        <v/>
      </c>
      <c r="U18" s="64" t="n"/>
      <c r="V18" s="64">
        <f>IFERROR(IF(OR($U18="",$F18=""),"",$U18/$F18),"")</f>
        <v/>
      </c>
      <c r="W18" s="66">
        <f>IFERROR(IF(OR($M18="",$U18=""),"",$M18/$U18),"")</f>
        <v/>
      </c>
      <c r="X18" s="88">
        <f>IFERROR(IF(OR($W18="",$T18=""),"",($W18-$T18)*10000),"")</f>
        <v/>
      </c>
      <c r="Y18" s="61">
        <f>IFERROR(IF(OR($R18="",$O18=""),"",IF($R18=$O18,"No","Yes")),"")</f>
        <v/>
      </c>
      <c r="Z18" s="62" t="n"/>
      <c r="AA18" s="62" t="n"/>
      <c r="AB18" s="89">
        <f>IFERROR(IF(OR($Z18="",$AA18=""),"",$Z18-$AA18),"")</f>
        <v/>
      </c>
      <c r="AC18" s="67" t="n"/>
      <c r="AD18" s="67" t="n"/>
      <c r="AE18" s="68" t="n"/>
      <c r="AF18" s="67" t="n"/>
      <c r="AG18" s="67" t="n"/>
      <c r="AH18" s="67" t="n"/>
      <c r="AI18" s="67" t="n"/>
      <c r="AJ18" s="67" t="n"/>
    </row>
    <row r="19" ht="15" customHeight="1" s="46">
      <c r="A19" s="69">
        <f>IFERROR(ROW()-5,"")</f>
        <v/>
      </c>
      <c r="B19" s="70" t="n"/>
      <c r="C19" s="70" t="n"/>
      <c r="D19" s="70" t="n"/>
      <c r="E19" s="70" t="n"/>
      <c r="F19" s="69" t="n"/>
      <c r="G19" s="69" t="n"/>
      <c r="H19" s="69" t="n"/>
      <c r="I19" s="70" t="n"/>
      <c r="J19" s="70" t="n"/>
      <c r="K19" s="71" t="n"/>
      <c r="L19" s="72">
        <f>IFERROR(IF(OR($K19="",$Z19=""),"",($K19-$Z19)/365.25),"")</f>
        <v/>
      </c>
      <c r="M19" s="73" t="n"/>
      <c r="N19" s="74">
        <f>IFERROR(IF(OR($M19="",$F19=""),"",$M19/$F19),"")</f>
        <v/>
      </c>
      <c r="O19" s="73" t="n"/>
      <c r="P19" s="73">
        <f>IFERROR(IF(OR($O19="",$F19=""),"",$O19/$F19),"")</f>
        <v/>
      </c>
      <c r="Q19" s="75">
        <f>IFERROR(IF(OR($M19="",$O19=""),"",$M19/$O19),"")</f>
        <v/>
      </c>
      <c r="R19" s="73" t="n"/>
      <c r="S19" s="73">
        <f>IFERROR(IF(OR($R19="",$F19=""),"",$R19/$F19),"")</f>
        <v/>
      </c>
      <c r="T19" s="75">
        <f>IFERROR(IF(OR($M19="",$R19=""),"",$M19/$R19),"")</f>
        <v/>
      </c>
      <c r="U19" s="73" t="n"/>
      <c r="V19" s="73">
        <f>IFERROR(IF(OR($U19="",$F19=""),"",$U19/$F19),"")</f>
        <v/>
      </c>
      <c r="W19" s="75">
        <f>IFERROR(IF(OR($M19="",$U19=""),"",$M19/$U19),"")</f>
        <v/>
      </c>
      <c r="X19" s="90">
        <f>IFERROR(IF(OR($W19="",$T19=""),"",($W19-$T19)*10000),"")</f>
        <v/>
      </c>
      <c r="Y19" s="70">
        <f>IFERROR(IF(OR($R19="",$O19=""),"",IF($R19=$O19,"No","Yes")),"")</f>
        <v/>
      </c>
      <c r="Z19" s="71" t="n"/>
      <c r="AA19" s="71" t="n"/>
      <c r="AB19" s="89">
        <f>IFERROR(IF(OR($Z19="",$AA19=""),"",$Z19-$AA19),"")</f>
        <v/>
      </c>
      <c r="AC19" s="67" t="n"/>
      <c r="AD19" s="67" t="n"/>
      <c r="AE19" s="68" t="n"/>
      <c r="AF19" s="67" t="n"/>
      <c r="AG19" s="67" t="n"/>
      <c r="AH19" s="67" t="n"/>
      <c r="AI19" s="67" t="n"/>
      <c r="AJ19" s="67" t="n"/>
    </row>
    <row r="20" ht="15" customHeight="1" s="46">
      <c r="A20" s="60">
        <f>IFERROR(ROW()-5,"")</f>
        <v/>
      </c>
      <c r="B20" s="61" t="n"/>
      <c r="C20" s="61" t="n"/>
      <c r="D20" s="61" t="n"/>
      <c r="E20" s="61" t="n"/>
      <c r="F20" s="60" t="n"/>
      <c r="G20" s="60" t="n"/>
      <c r="H20" s="60" t="n"/>
      <c r="I20" s="61" t="n"/>
      <c r="J20" s="61" t="n"/>
      <c r="K20" s="62" t="n"/>
      <c r="L20" s="63">
        <f>IFERROR(IF(OR($K20="",$Z20=""),"",($K20-$Z20)/365.25),"")</f>
        <v/>
      </c>
      <c r="M20" s="64" t="n"/>
      <c r="N20" s="65">
        <f>IFERROR(IF(OR($M20="",$F20=""),"",$M20/$F20),"")</f>
        <v/>
      </c>
      <c r="O20" s="64" t="n"/>
      <c r="P20" s="64">
        <f>IFERROR(IF(OR($O20="",$F20=""),"",$O20/$F20),"")</f>
        <v/>
      </c>
      <c r="Q20" s="66">
        <f>IFERROR(IF(OR($M20="",$O20=""),"",$M20/$O20),"")</f>
        <v/>
      </c>
      <c r="R20" s="64" t="n"/>
      <c r="S20" s="64">
        <f>IFERROR(IF(OR($R20="",$F20=""),"",$R20/$F20),"")</f>
        <v/>
      </c>
      <c r="T20" s="66">
        <f>IFERROR(IF(OR($M20="",$R20=""),"",$M20/$R20),"")</f>
        <v/>
      </c>
      <c r="U20" s="64" t="n"/>
      <c r="V20" s="64">
        <f>IFERROR(IF(OR($U20="",$F20=""),"",$U20/$F20),"")</f>
        <v/>
      </c>
      <c r="W20" s="66">
        <f>IFERROR(IF(OR($M20="",$U20=""),"",$M20/$U20),"")</f>
        <v/>
      </c>
      <c r="X20" s="88">
        <f>IFERROR(IF(OR($W20="",$T20=""),"",($W20-$T20)*10000),"")</f>
        <v/>
      </c>
      <c r="Y20" s="61">
        <f>IFERROR(IF(OR($R20="",$O20=""),"",IF($R20=$O20,"No","Yes")),"")</f>
        <v/>
      </c>
      <c r="Z20" s="62" t="n"/>
      <c r="AA20" s="62" t="n"/>
      <c r="AB20" s="89">
        <f>IFERROR(IF(OR($Z20="",$AA20=""),"",$Z20-$AA20),"")</f>
        <v/>
      </c>
      <c r="AC20" s="67" t="n"/>
      <c r="AD20" s="67" t="n"/>
      <c r="AE20" s="68" t="n"/>
      <c r="AF20" s="67" t="n"/>
      <c r="AG20" s="67" t="n"/>
      <c r="AH20" s="67" t="n"/>
      <c r="AI20" s="67" t="n"/>
      <c r="AJ20" s="67" t="n"/>
    </row>
    <row r="21" ht="15" customHeight="1" s="46">
      <c r="A21" s="69">
        <f>IFERROR(ROW()-5,"")</f>
        <v/>
      </c>
      <c r="B21" s="70" t="n"/>
      <c r="C21" s="70" t="n"/>
      <c r="D21" s="70" t="n"/>
      <c r="E21" s="70" t="n"/>
      <c r="F21" s="69" t="n"/>
      <c r="G21" s="69" t="n"/>
      <c r="H21" s="69" t="n"/>
      <c r="I21" s="70" t="n"/>
      <c r="J21" s="70" t="n"/>
      <c r="K21" s="71" t="n"/>
      <c r="L21" s="72">
        <f>IFERROR(IF(OR($K21="",$Z21=""),"",($K21-$Z21)/365.25),"")</f>
        <v/>
      </c>
      <c r="M21" s="73" t="n"/>
      <c r="N21" s="74">
        <f>IFERROR(IF(OR($M21="",$F21=""),"",$M21/$F21),"")</f>
        <v/>
      </c>
      <c r="O21" s="73" t="n"/>
      <c r="P21" s="73">
        <f>IFERROR(IF(OR($O21="",$F21=""),"",$O21/$F21),"")</f>
        <v/>
      </c>
      <c r="Q21" s="75">
        <f>IFERROR(IF(OR($M21="",$O21=""),"",$M21/$O21),"")</f>
        <v/>
      </c>
      <c r="R21" s="73" t="n"/>
      <c r="S21" s="73">
        <f>IFERROR(IF(OR($R21="",$F21=""),"",$R21/$F21),"")</f>
        <v/>
      </c>
      <c r="T21" s="75">
        <f>IFERROR(IF(OR($M21="",$R21=""),"",$M21/$R21),"")</f>
        <v/>
      </c>
      <c r="U21" s="73" t="n"/>
      <c r="V21" s="73">
        <f>IFERROR(IF(OR($U21="",$F21=""),"",$U21/$F21),"")</f>
        <v/>
      </c>
      <c r="W21" s="75">
        <f>IFERROR(IF(OR($M21="",$U21=""),"",$M21/$U21),"")</f>
        <v/>
      </c>
      <c r="X21" s="90">
        <f>IFERROR(IF(OR($W21="",$T21=""),"",($W21-$T21)*10000),"")</f>
        <v/>
      </c>
      <c r="Y21" s="70">
        <f>IFERROR(IF(OR($R21="",$O21=""),"",IF($R21=$O21,"No","Yes")),"")</f>
        <v/>
      </c>
      <c r="Z21" s="71" t="n"/>
      <c r="AA21" s="71" t="n"/>
      <c r="AB21" s="89">
        <f>IFERROR(IF(OR($Z21="",$AA21=""),"",$Z21-$AA21),"")</f>
        <v/>
      </c>
      <c r="AC21" s="67" t="n"/>
      <c r="AD21" s="67" t="n"/>
      <c r="AE21" s="68" t="n"/>
      <c r="AF21" s="67" t="n"/>
      <c r="AG21" s="67" t="n"/>
      <c r="AH21" s="67" t="n"/>
      <c r="AI21" s="67" t="n"/>
      <c r="AJ21" s="67" t="n"/>
    </row>
    <row r="22" ht="15" customHeight="1" s="46">
      <c r="A22" s="60">
        <f>IFERROR(ROW()-5,"")</f>
        <v/>
      </c>
      <c r="B22" s="61" t="n"/>
      <c r="C22" s="61" t="n"/>
      <c r="D22" s="61" t="n"/>
      <c r="E22" s="61" t="n"/>
      <c r="F22" s="60" t="n"/>
      <c r="G22" s="60" t="n"/>
      <c r="H22" s="60" t="n"/>
      <c r="I22" s="61" t="n"/>
      <c r="J22" s="61" t="n"/>
      <c r="K22" s="62" t="n"/>
      <c r="L22" s="63">
        <f>IFERROR(IF(OR($K22="",$Z22=""),"",($K22-$Z22)/365.25),"")</f>
        <v/>
      </c>
      <c r="M22" s="64" t="n"/>
      <c r="N22" s="65">
        <f>IFERROR(IF(OR($M22="",$F22=""),"",$M22/$F22),"")</f>
        <v/>
      </c>
      <c r="O22" s="64" t="n"/>
      <c r="P22" s="64">
        <f>IFERROR(IF(OR($O22="",$F22=""),"",$O22/$F22),"")</f>
        <v/>
      </c>
      <c r="Q22" s="66">
        <f>IFERROR(IF(OR($M22="",$O22=""),"",$M22/$O22),"")</f>
        <v/>
      </c>
      <c r="R22" s="64" t="n"/>
      <c r="S22" s="64">
        <f>IFERROR(IF(OR($R22="",$F22=""),"",$R22/$F22),"")</f>
        <v/>
      </c>
      <c r="T22" s="66">
        <f>IFERROR(IF(OR($M22="",$R22=""),"",$M22/$R22),"")</f>
        <v/>
      </c>
      <c r="U22" s="64" t="n"/>
      <c r="V22" s="64">
        <f>IFERROR(IF(OR($U22="",$F22=""),"",$U22/$F22),"")</f>
        <v/>
      </c>
      <c r="W22" s="66">
        <f>IFERROR(IF(OR($M22="",$U22=""),"",$M22/$U22),"")</f>
        <v/>
      </c>
      <c r="X22" s="88">
        <f>IFERROR(IF(OR($W22="",$T22=""),"",($W22-$T22)*10000),"")</f>
        <v/>
      </c>
      <c r="Y22" s="61">
        <f>IFERROR(IF(OR($R22="",$O22=""),"",IF($R22=$O22,"No","Yes")),"")</f>
        <v/>
      </c>
      <c r="Z22" s="62" t="n"/>
      <c r="AA22" s="62" t="n"/>
      <c r="AB22" s="89">
        <f>IFERROR(IF(OR($Z22="",$AA22=""),"",$Z22-$AA22),"")</f>
        <v/>
      </c>
      <c r="AC22" s="67" t="n"/>
      <c r="AD22" s="67" t="n"/>
      <c r="AE22" s="68" t="n"/>
      <c r="AF22" s="67" t="n"/>
      <c r="AG22" s="67" t="n"/>
      <c r="AH22" s="67" t="n"/>
      <c r="AI22" s="67" t="n"/>
      <c r="AJ22" s="67" t="n"/>
    </row>
    <row r="23" ht="15" customHeight="1" s="46">
      <c r="A23" s="69">
        <f>IFERROR(ROW()-5,"")</f>
        <v/>
      </c>
      <c r="B23" s="70" t="n"/>
      <c r="C23" s="70" t="n"/>
      <c r="D23" s="70" t="n"/>
      <c r="E23" s="70" t="n"/>
      <c r="F23" s="69" t="n"/>
      <c r="G23" s="69" t="n"/>
      <c r="H23" s="69" t="n"/>
      <c r="I23" s="70" t="n"/>
      <c r="J23" s="70" t="n"/>
      <c r="K23" s="71" t="n"/>
      <c r="L23" s="72">
        <f>IFERROR(IF(OR($K23="",$Z23=""),"",($K23-$Z23)/365.25),"")</f>
        <v/>
      </c>
      <c r="M23" s="73" t="n"/>
      <c r="N23" s="74">
        <f>IFERROR(IF(OR($M23="",$F23=""),"",$M23/$F23),"")</f>
        <v/>
      </c>
      <c r="O23" s="73" t="n"/>
      <c r="P23" s="73">
        <f>IFERROR(IF(OR($O23="",$F23=""),"",$O23/$F23),"")</f>
        <v/>
      </c>
      <c r="Q23" s="75">
        <f>IFERROR(IF(OR($M23="",$O23=""),"",$M23/$O23),"")</f>
        <v/>
      </c>
      <c r="R23" s="73" t="n"/>
      <c r="S23" s="73">
        <f>IFERROR(IF(OR($R23="",$F23=""),"",$R23/$F23),"")</f>
        <v/>
      </c>
      <c r="T23" s="75">
        <f>IFERROR(IF(OR($M23="",$R23=""),"",$M23/$R23),"")</f>
        <v/>
      </c>
      <c r="U23" s="73" t="n"/>
      <c r="V23" s="73">
        <f>IFERROR(IF(OR($U23="",$F23=""),"",$U23/$F23),"")</f>
        <v/>
      </c>
      <c r="W23" s="75">
        <f>IFERROR(IF(OR($M23="",$U23=""),"",$M23/$U23),"")</f>
        <v/>
      </c>
      <c r="X23" s="90">
        <f>IFERROR(IF(OR($W23="",$T23=""),"",($W23-$T23)*10000),"")</f>
        <v/>
      </c>
      <c r="Y23" s="70">
        <f>IFERROR(IF(OR($R23="",$O23=""),"",IF($R23=$O23,"No","Yes")),"")</f>
        <v/>
      </c>
      <c r="Z23" s="71" t="n"/>
      <c r="AA23" s="71" t="n"/>
      <c r="AB23" s="89">
        <f>IFERROR(IF(OR($Z23="",$AA23=""),"",$Z23-$AA23),"")</f>
        <v/>
      </c>
      <c r="AC23" s="67" t="n"/>
      <c r="AD23" s="67" t="n"/>
      <c r="AE23" s="68" t="n"/>
      <c r="AF23" s="67" t="n"/>
      <c r="AG23" s="67" t="n"/>
      <c r="AH23" s="67" t="n"/>
      <c r="AI23" s="67" t="n"/>
      <c r="AJ23" s="67" t="n"/>
    </row>
    <row r="24" ht="15" customHeight="1" s="46">
      <c r="A24" s="60">
        <f>IFERROR(ROW()-5,"")</f>
        <v/>
      </c>
      <c r="B24" s="61" t="n"/>
      <c r="C24" s="61" t="n"/>
      <c r="D24" s="61" t="n"/>
      <c r="E24" s="61" t="n"/>
      <c r="F24" s="60" t="n"/>
      <c r="G24" s="60" t="n"/>
      <c r="H24" s="60" t="n"/>
      <c r="I24" s="61" t="n"/>
      <c r="J24" s="61" t="n"/>
      <c r="K24" s="62" t="n"/>
      <c r="L24" s="63">
        <f>IFERROR(IF(OR($K24="",$Z24=""),"",($K24-$Z24)/365.25),"")</f>
        <v/>
      </c>
      <c r="M24" s="64" t="n"/>
      <c r="N24" s="65">
        <f>IFERROR(IF(OR($M24="",$F24=""),"",$M24/$F24),"")</f>
        <v/>
      </c>
      <c r="O24" s="64" t="n"/>
      <c r="P24" s="64">
        <f>IFERROR(IF(OR($O24="",$F24=""),"",$O24/$F24),"")</f>
        <v/>
      </c>
      <c r="Q24" s="66">
        <f>IFERROR(IF(OR($M24="",$O24=""),"",$M24/$O24),"")</f>
        <v/>
      </c>
      <c r="R24" s="64" t="n"/>
      <c r="S24" s="64">
        <f>IFERROR(IF(OR($R24="",$F24=""),"",$R24/$F24),"")</f>
        <v/>
      </c>
      <c r="T24" s="66">
        <f>IFERROR(IF(OR($M24="",$R24=""),"",$M24/$R24),"")</f>
        <v/>
      </c>
      <c r="U24" s="64" t="n"/>
      <c r="V24" s="64">
        <f>IFERROR(IF(OR($U24="",$F24=""),"",$U24/$F24),"")</f>
        <v/>
      </c>
      <c r="W24" s="66">
        <f>IFERROR(IF(OR($M24="",$U24=""),"",$M24/$U24),"")</f>
        <v/>
      </c>
      <c r="X24" s="88">
        <f>IFERROR(IF(OR($W24="",$T24=""),"",($W24-$T24)*10000),"")</f>
        <v/>
      </c>
      <c r="Y24" s="61">
        <f>IFERROR(IF(OR($R24="",$O24=""),"",IF($R24=$O24,"No","Yes")),"")</f>
        <v/>
      </c>
      <c r="Z24" s="62" t="n"/>
      <c r="AA24" s="62" t="n"/>
      <c r="AB24" s="89">
        <f>IFERROR(IF(OR($Z24="",$AA24=""),"",$Z24-$AA24),"")</f>
        <v/>
      </c>
      <c r="AC24" s="67" t="n"/>
      <c r="AD24" s="67" t="n"/>
      <c r="AE24" s="68" t="n"/>
      <c r="AF24" s="67" t="n"/>
      <c r="AG24" s="67" t="n"/>
      <c r="AH24" s="67" t="n"/>
      <c r="AI24" s="67" t="n"/>
      <c r="AJ24" s="67" t="n"/>
    </row>
    <row r="25" ht="15" customHeight="1" s="46">
      <c r="A25" s="69">
        <f>IFERROR(ROW()-5,"")</f>
        <v/>
      </c>
      <c r="B25" s="70" t="n"/>
      <c r="C25" s="70" t="n"/>
      <c r="D25" s="70" t="n"/>
      <c r="E25" s="70" t="n"/>
      <c r="F25" s="69" t="n"/>
      <c r="G25" s="69" t="n"/>
      <c r="H25" s="69" t="n"/>
      <c r="I25" s="70" t="n"/>
      <c r="J25" s="70" t="n"/>
      <c r="K25" s="71" t="n"/>
      <c r="L25" s="72">
        <f>IFERROR(IF(OR($K25="",$Z25=""),"",($K25-$Z25)/365.25),"")</f>
        <v/>
      </c>
      <c r="M25" s="73" t="n"/>
      <c r="N25" s="74">
        <f>IFERROR(IF(OR($M25="",$F25=""),"",$M25/$F25),"")</f>
        <v/>
      </c>
      <c r="O25" s="73" t="n"/>
      <c r="P25" s="73">
        <f>IFERROR(IF(OR($O25="",$F25=""),"",$O25/$F25),"")</f>
        <v/>
      </c>
      <c r="Q25" s="75">
        <f>IFERROR(IF(OR($M25="",$O25=""),"",$M25/$O25),"")</f>
        <v/>
      </c>
      <c r="R25" s="73" t="n"/>
      <c r="S25" s="73">
        <f>IFERROR(IF(OR($R25="",$F25=""),"",$R25/$F25),"")</f>
        <v/>
      </c>
      <c r="T25" s="75">
        <f>IFERROR(IF(OR($M25="",$R25=""),"",$M25/$R25),"")</f>
        <v/>
      </c>
      <c r="U25" s="73" t="n"/>
      <c r="V25" s="73">
        <f>IFERROR(IF(OR($U25="",$F25=""),"",$U25/$F25),"")</f>
        <v/>
      </c>
      <c r="W25" s="75">
        <f>IFERROR(IF(OR($M25="",$U25=""),"",$M25/$U25),"")</f>
        <v/>
      </c>
      <c r="X25" s="90">
        <f>IFERROR(IF(OR($W25="",$T25=""),"",($W25-$T25)*10000),"")</f>
        <v/>
      </c>
      <c r="Y25" s="70">
        <f>IFERROR(IF(OR($R25="",$O25=""),"",IF($R25=$O25,"No","Yes")),"")</f>
        <v/>
      </c>
      <c r="Z25" s="71" t="n"/>
      <c r="AA25" s="71" t="n"/>
      <c r="AB25" s="89">
        <f>IFERROR(IF(OR($Z25="",$AA25=""),"",$Z25-$AA25),"")</f>
        <v/>
      </c>
      <c r="AC25" s="67" t="n"/>
      <c r="AD25" s="67" t="n"/>
      <c r="AE25" s="68" t="n"/>
      <c r="AF25" s="67" t="n"/>
      <c r="AG25" s="67" t="n"/>
      <c r="AH25" s="67" t="n"/>
      <c r="AI25" s="67" t="n"/>
      <c r="AJ25" s="67" t="n"/>
    </row>
    <row r="26" ht="15" customHeight="1" s="46">
      <c r="A26" s="60">
        <f>IFERROR(ROW()-5,"")</f>
        <v/>
      </c>
      <c r="B26" s="61" t="n"/>
      <c r="C26" s="61" t="n"/>
      <c r="D26" s="61" t="n"/>
      <c r="E26" s="61" t="n"/>
      <c r="F26" s="60" t="n"/>
      <c r="G26" s="60" t="n"/>
      <c r="H26" s="60" t="n"/>
      <c r="I26" s="61" t="n"/>
      <c r="J26" s="61" t="n"/>
      <c r="K26" s="62" t="n"/>
      <c r="L26" s="63">
        <f>IFERROR(IF(OR($K26="",$Z26=""),"",($K26-$Z26)/365.25),"")</f>
        <v/>
      </c>
      <c r="M26" s="64" t="n"/>
      <c r="N26" s="65">
        <f>IFERROR(IF(OR($M26="",$F26=""),"",$M26/$F26),"")</f>
        <v/>
      </c>
      <c r="O26" s="64" t="n"/>
      <c r="P26" s="64">
        <f>IFERROR(IF(OR($O26="",$F26=""),"",$O26/$F26),"")</f>
        <v/>
      </c>
      <c r="Q26" s="66">
        <f>IFERROR(IF(OR($M26="",$O26=""),"",$M26/$O26),"")</f>
        <v/>
      </c>
      <c r="R26" s="64" t="n"/>
      <c r="S26" s="64">
        <f>IFERROR(IF(OR($R26="",$F26=""),"",$R26/$F26),"")</f>
        <v/>
      </c>
      <c r="T26" s="66">
        <f>IFERROR(IF(OR($M26="",$R26=""),"",$M26/$R26),"")</f>
        <v/>
      </c>
      <c r="U26" s="64" t="n"/>
      <c r="V26" s="64">
        <f>IFERROR(IF(OR($U26="",$F26=""),"",$U26/$F26),"")</f>
        <v/>
      </c>
      <c r="W26" s="66">
        <f>IFERROR(IF(OR($M26="",$U26=""),"",$M26/$U26),"")</f>
        <v/>
      </c>
      <c r="X26" s="88">
        <f>IFERROR(IF(OR($W26="",$T26=""),"",($W26-$T26)*10000),"")</f>
        <v/>
      </c>
      <c r="Y26" s="61">
        <f>IFERROR(IF(OR($R26="",$O26=""),"",IF($R26=$O26,"No","Yes")),"")</f>
        <v/>
      </c>
      <c r="Z26" s="62" t="n"/>
      <c r="AA26" s="62" t="n"/>
      <c r="AB26" s="89">
        <f>IFERROR(IF(OR($Z26="",$AA26=""),"",$Z26-$AA26),"")</f>
        <v/>
      </c>
      <c r="AC26" s="67" t="n"/>
      <c r="AD26" s="67" t="n"/>
      <c r="AE26" s="68" t="n"/>
      <c r="AF26" s="67" t="n"/>
      <c r="AG26" s="67" t="n"/>
      <c r="AH26" s="67" t="n"/>
      <c r="AI26" s="67" t="n"/>
      <c r="AJ26" s="67" t="n"/>
    </row>
    <row r="27" ht="15" customHeight="1" s="46">
      <c r="A27" s="69">
        <f>IFERROR(ROW()-5,"")</f>
        <v/>
      </c>
      <c r="B27" s="70" t="n"/>
      <c r="C27" s="70" t="n"/>
      <c r="D27" s="70" t="n"/>
      <c r="E27" s="70" t="n"/>
      <c r="F27" s="69" t="n"/>
      <c r="G27" s="69" t="n"/>
      <c r="H27" s="69" t="n"/>
      <c r="I27" s="70" t="n"/>
      <c r="J27" s="70" t="n"/>
      <c r="K27" s="71" t="n"/>
      <c r="L27" s="72">
        <f>IFERROR(IF(OR($K27="",$Z27=""),"",($K27-$Z27)/365.25),"")</f>
        <v/>
      </c>
      <c r="M27" s="73" t="n"/>
      <c r="N27" s="74">
        <f>IFERROR(IF(OR($M27="",$F27=""),"",$M27/$F27),"")</f>
        <v/>
      </c>
      <c r="O27" s="73" t="n"/>
      <c r="P27" s="73">
        <f>IFERROR(IF(OR($O27="",$F27=""),"",$O27/$F27),"")</f>
        <v/>
      </c>
      <c r="Q27" s="75">
        <f>IFERROR(IF(OR($M27="",$O27=""),"",$M27/$O27),"")</f>
        <v/>
      </c>
      <c r="R27" s="73" t="n"/>
      <c r="S27" s="73">
        <f>IFERROR(IF(OR($R27="",$F27=""),"",$R27/$F27),"")</f>
        <v/>
      </c>
      <c r="T27" s="75">
        <f>IFERROR(IF(OR($M27="",$R27=""),"",$M27/$R27),"")</f>
        <v/>
      </c>
      <c r="U27" s="73" t="n"/>
      <c r="V27" s="73">
        <f>IFERROR(IF(OR($U27="",$F27=""),"",$U27/$F27),"")</f>
        <v/>
      </c>
      <c r="W27" s="75">
        <f>IFERROR(IF(OR($M27="",$U27=""),"",$M27/$U27),"")</f>
        <v/>
      </c>
      <c r="X27" s="90">
        <f>IFERROR(IF(OR($W27="",$T27=""),"",($W27-$T27)*10000),"")</f>
        <v/>
      </c>
      <c r="Y27" s="70">
        <f>IFERROR(IF(OR($R27="",$O27=""),"",IF($R27=$O27,"No","Yes")),"")</f>
        <v/>
      </c>
      <c r="Z27" s="71" t="n"/>
      <c r="AA27" s="71" t="n"/>
      <c r="AB27" s="89">
        <f>IFERROR(IF(OR($Z27="",$AA27=""),"",$Z27-$AA27),"")</f>
        <v/>
      </c>
      <c r="AC27" s="67" t="n"/>
      <c r="AD27" s="67" t="n"/>
      <c r="AE27" s="68" t="n"/>
      <c r="AF27" s="67" t="n"/>
      <c r="AG27" s="67" t="n"/>
      <c r="AH27" s="67" t="n"/>
      <c r="AI27" s="67" t="n"/>
      <c r="AJ27" s="67" t="n"/>
    </row>
    <row r="28" ht="15" customHeight="1" s="46">
      <c r="A28" s="60">
        <f>IFERROR(ROW()-5,"")</f>
        <v/>
      </c>
      <c r="B28" s="61" t="n"/>
      <c r="C28" s="61" t="n"/>
      <c r="D28" s="61" t="n"/>
      <c r="E28" s="61" t="n"/>
      <c r="F28" s="60" t="n"/>
      <c r="G28" s="60" t="n"/>
      <c r="H28" s="60" t="n"/>
      <c r="I28" s="61" t="n"/>
      <c r="J28" s="61" t="n"/>
      <c r="K28" s="62" t="n"/>
      <c r="L28" s="63">
        <f>IFERROR(IF(OR($K28="",$Z28=""),"",($K28-$Z28)/365.25),"")</f>
        <v/>
      </c>
      <c r="M28" s="64" t="n"/>
      <c r="N28" s="65">
        <f>IFERROR(IF(OR($M28="",$F28=""),"",$M28/$F28),"")</f>
        <v/>
      </c>
      <c r="O28" s="64" t="n"/>
      <c r="P28" s="64">
        <f>IFERROR(IF(OR($O28="",$F28=""),"",$O28/$F28),"")</f>
        <v/>
      </c>
      <c r="Q28" s="66">
        <f>IFERROR(IF(OR($M28="",$O28=""),"",$M28/$O28),"")</f>
        <v/>
      </c>
      <c r="R28" s="64" t="n"/>
      <c r="S28" s="64">
        <f>IFERROR(IF(OR($R28="",$F28=""),"",$R28/$F28),"")</f>
        <v/>
      </c>
      <c r="T28" s="66">
        <f>IFERROR(IF(OR($M28="",$R28=""),"",$M28/$R28),"")</f>
        <v/>
      </c>
      <c r="U28" s="64" t="n"/>
      <c r="V28" s="64">
        <f>IFERROR(IF(OR($U28="",$F28=""),"",$U28/$F28),"")</f>
        <v/>
      </c>
      <c r="W28" s="66">
        <f>IFERROR(IF(OR($M28="",$U28=""),"",$M28/$U28),"")</f>
        <v/>
      </c>
      <c r="X28" s="88">
        <f>IFERROR(IF(OR($W28="",$T28=""),"",($W28-$T28)*10000),"")</f>
        <v/>
      </c>
      <c r="Y28" s="61">
        <f>IFERROR(IF(OR($R28="",$O28=""),"",IF($R28=$O28,"No","Yes")),"")</f>
        <v/>
      </c>
      <c r="Z28" s="62" t="n"/>
      <c r="AA28" s="62" t="n"/>
      <c r="AB28" s="89">
        <f>IFERROR(IF(OR($Z28="",$AA28=""),"",$Z28-$AA28),"")</f>
        <v/>
      </c>
      <c r="AC28" s="67" t="n"/>
      <c r="AD28" s="67" t="n"/>
      <c r="AE28" s="68" t="n"/>
      <c r="AF28" s="67" t="n"/>
      <c r="AG28" s="67" t="n"/>
      <c r="AH28" s="67" t="n"/>
      <c r="AI28" s="67" t="n"/>
      <c r="AJ28" s="67" t="n"/>
    </row>
    <row r="29" ht="15" customHeight="1" s="46">
      <c r="A29" s="69">
        <f>IFERROR(ROW()-5,"")</f>
        <v/>
      </c>
      <c r="B29" s="70" t="n"/>
      <c r="C29" s="70" t="n"/>
      <c r="D29" s="70" t="n"/>
      <c r="E29" s="70" t="n"/>
      <c r="F29" s="69" t="n"/>
      <c r="G29" s="69" t="n"/>
      <c r="H29" s="69" t="n"/>
      <c r="I29" s="70" t="n"/>
      <c r="J29" s="70" t="n"/>
      <c r="K29" s="71" t="n"/>
      <c r="L29" s="72">
        <f>IFERROR(IF(OR($K29="",$Z29=""),"",($K29-$Z29)/365.25),"")</f>
        <v/>
      </c>
      <c r="M29" s="73" t="n"/>
      <c r="N29" s="74">
        <f>IFERROR(IF(OR($M29="",$F29=""),"",$M29/$F29),"")</f>
        <v/>
      </c>
      <c r="O29" s="73" t="n"/>
      <c r="P29" s="73">
        <f>IFERROR(IF(OR($O29="",$F29=""),"",$O29/$F29),"")</f>
        <v/>
      </c>
      <c r="Q29" s="75">
        <f>IFERROR(IF(OR($M29="",$O29=""),"",$M29/$O29),"")</f>
        <v/>
      </c>
      <c r="R29" s="73" t="n"/>
      <c r="S29" s="73">
        <f>IFERROR(IF(OR($R29="",$F29=""),"",$R29/$F29),"")</f>
        <v/>
      </c>
      <c r="T29" s="75">
        <f>IFERROR(IF(OR($M29="",$R29=""),"",$M29/$R29),"")</f>
        <v/>
      </c>
      <c r="U29" s="73" t="n"/>
      <c r="V29" s="73">
        <f>IFERROR(IF(OR($U29="",$F29=""),"",$U29/$F29),"")</f>
        <v/>
      </c>
      <c r="W29" s="75">
        <f>IFERROR(IF(OR($M29="",$U29=""),"",$M29/$U29),"")</f>
        <v/>
      </c>
      <c r="X29" s="90">
        <f>IFERROR(IF(OR($W29="",$T29=""),"",($W29-$T29)*10000),"")</f>
        <v/>
      </c>
      <c r="Y29" s="70">
        <f>IFERROR(IF(OR($R29="",$O29=""),"",IF($R29=$O29,"No","Yes")),"")</f>
        <v/>
      </c>
      <c r="Z29" s="71" t="n"/>
      <c r="AA29" s="71" t="n"/>
      <c r="AB29" s="89">
        <f>IFERROR(IF(OR($Z29="",$AA29=""),"",$Z29-$AA29),"")</f>
        <v/>
      </c>
      <c r="AC29" s="67" t="n"/>
      <c r="AD29" s="67" t="n"/>
      <c r="AE29" s="68" t="n"/>
      <c r="AF29" s="67" t="n"/>
      <c r="AG29" s="67" t="n"/>
      <c r="AH29" s="67" t="n"/>
      <c r="AI29" s="67" t="n"/>
      <c r="AJ29" s="67" t="n"/>
    </row>
    <row r="30" ht="15" customHeight="1" s="46">
      <c r="A30" s="60">
        <f>IFERROR(ROW()-5,"")</f>
        <v/>
      </c>
      <c r="B30" s="61" t="n"/>
      <c r="C30" s="61" t="n"/>
      <c r="D30" s="61" t="n"/>
      <c r="E30" s="61" t="n"/>
      <c r="F30" s="60" t="n"/>
      <c r="G30" s="60" t="n"/>
      <c r="H30" s="60" t="n"/>
      <c r="I30" s="61" t="n"/>
      <c r="J30" s="61" t="n"/>
      <c r="K30" s="62" t="n"/>
      <c r="L30" s="63">
        <f>IFERROR(IF(OR($K30="",$Z30=""),"",($K30-$Z30)/365.25),"")</f>
        <v/>
      </c>
      <c r="M30" s="64" t="n"/>
      <c r="N30" s="65">
        <f>IFERROR(IF(OR($M30="",$F30=""),"",$M30/$F30),"")</f>
        <v/>
      </c>
      <c r="O30" s="64" t="n"/>
      <c r="P30" s="64">
        <f>IFERROR(IF(OR($O30="",$F30=""),"",$O30/$F30),"")</f>
        <v/>
      </c>
      <c r="Q30" s="66">
        <f>IFERROR(IF(OR($M30="",$O30=""),"",$M30/$O30),"")</f>
        <v/>
      </c>
      <c r="R30" s="64" t="n"/>
      <c r="S30" s="64">
        <f>IFERROR(IF(OR($R30="",$F30=""),"",$R30/$F30),"")</f>
        <v/>
      </c>
      <c r="T30" s="66">
        <f>IFERROR(IF(OR($M30="",$R30=""),"",$M30/$R30),"")</f>
        <v/>
      </c>
      <c r="U30" s="64" t="n"/>
      <c r="V30" s="64">
        <f>IFERROR(IF(OR($U30="",$F30=""),"",$U30/$F30),"")</f>
        <v/>
      </c>
      <c r="W30" s="66">
        <f>IFERROR(IF(OR($M30="",$U30=""),"",$M30/$U30),"")</f>
        <v/>
      </c>
      <c r="X30" s="88">
        <f>IFERROR(IF(OR($W30="",$T30=""),"",($W30-$T30)*10000),"")</f>
        <v/>
      </c>
      <c r="Y30" s="61">
        <f>IFERROR(IF(OR($R30="",$O30=""),"",IF($R30=$O30,"No","Yes")),"")</f>
        <v/>
      </c>
      <c r="Z30" s="62" t="n"/>
      <c r="AA30" s="62" t="n"/>
      <c r="AB30" s="89">
        <f>IFERROR(IF(OR($Z30="",$AA30=""),"",$Z30-$AA30),"")</f>
        <v/>
      </c>
      <c r="AC30" s="67" t="n"/>
      <c r="AD30" s="67" t="n"/>
      <c r="AE30" s="68" t="n"/>
      <c r="AF30" s="67" t="n"/>
      <c r="AG30" s="67" t="n"/>
      <c r="AH30" s="67" t="n"/>
      <c r="AI30" s="67" t="n"/>
      <c r="AJ30" s="67" t="n"/>
    </row>
    <row r="31" ht="15" customHeight="1" s="46">
      <c r="A31" s="69">
        <f>IFERROR(ROW()-5,"")</f>
        <v/>
      </c>
      <c r="B31" s="70" t="n"/>
      <c r="C31" s="70" t="n"/>
      <c r="D31" s="70" t="n"/>
      <c r="E31" s="70" t="n"/>
      <c r="F31" s="69" t="n"/>
      <c r="G31" s="69" t="n"/>
      <c r="H31" s="69" t="n"/>
      <c r="I31" s="70" t="n"/>
      <c r="J31" s="70" t="n"/>
      <c r="K31" s="71" t="n"/>
      <c r="L31" s="72">
        <f>IFERROR(IF(OR($K31="",$Z31=""),"",($K31-$Z31)/365.25),"")</f>
        <v/>
      </c>
      <c r="M31" s="73" t="n"/>
      <c r="N31" s="74">
        <f>IFERROR(IF(OR($M31="",$F31=""),"",$M31/$F31),"")</f>
        <v/>
      </c>
      <c r="O31" s="73" t="n"/>
      <c r="P31" s="73">
        <f>IFERROR(IF(OR($O31="",$F31=""),"",$O31/$F31),"")</f>
        <v/>
      </c>
      <c r="Q31" s="75">
        <f>IFERROR(IF(OR($M31="",$O31=""),"",$M31/$O31),"")</f>
        <v/>
      </c>
      <c r="R31" s="73" t="n"/>
      <c r="S31" s="73">
        <f>IFERROR(IF(OR($R31="",$F31=""),"",$R31/$F31),"")</f>
        <v/>
      </c>
      <c r="T31" s="75">
        <f>IFERROR(IF(OR($M31="",$R31=""),"",$M31/$R31),"")</f>
        <v/>
      </c>
      <c r="U31" s="73" t="n"/>
      <c r="V31" s="73">
        <f>IFERROR(IF(OR($U31="",$F31=""),"",$U31/$F31),"")</f>
        <v/>
      </c>
      <c r="W31" s="75">
        <f>IFERROR(IF(OR($M31="",$U31=""),"",$M31/$U31),"")</f>
        <v/>
      </c>
      <c r="X31" s="90">
        <f>IFERROR(IF(OR($W31="",$T31=""),"",($W31-$T31)*10000),"")</f>
        <v/>
      </c>
      <c r="Y31" s="70">
        <f>IFERROR(IF(OR($R31="",$O31=""),"",IF($R31=$O31,"No","Yes")),"")</f>
        <v/>
      </c>
      <c r="Z31" s="71" t="n"/>
      <c r="AA31" s="71" t="n"/>
      <c r="AB31" s="89">
        <f>IFERROR(IF(OR($Z31="",$AA31=""),"",$Z31-$AA31),"")</f>
        <v/>
      </c>
      <c r="AC31" s="67" t="n"/>
      <c r="AD31" s="67" t="n"/>
      <c r="AE31" s="68" t="n"/>
      <c r="AF31" s="67" t="n"/>
      <c r="AG31" s="67" t="n"/>
      <c r="AH31" s="67" t="n"/>
      <c r="AI31" s="67" t="n"/>
      <c r="AJ31" s="67" t="n"/>
    </row>
    <row r="32" ht="15" customHeight="1" s="46">
      <c r="A32" s="60">
        <f>IFERROR(ROW()-5,"")</f>
        <v/>
      </c>
      <c r="B32" s="61" t="n"/>
      <c r="C32" s="61" t="n"/>
      <c r="D32" s="61" t="n"/>
      <c r="E32" s="61" t="n"/>
      <c r="F32" s="60" t="n"/>
      <c r="G32" s="60" t="n"/>
      <c r="H32" s="60" t="n"/>
      <c r="I32" s="61" t="n"/>
      <c r="J32" s="61" t="n"/>
      <c r="K32" s="62" t="n"/>
      <c r="L32" s="63">
        <f>IFERROR(IF(OR($K32="",$Z32=""),"",($K32-$Z32)/365.25),"")</f>
        <v/>
      </c>
      <c r="M32" s="64" t="n"/>
      <c r="N32" s="65">
        <f>IFERROR(IF(OR($M32="",$F32=""),"",$M32/$F32),"")</f>
        <v/>
      </c>
      <c r="O32" s="64" t="n"/>
      <c r="P32" s="64">
        <f>IFERROR(IF(OR($O32="",$F32=""),"",$O32/$F32),"")</f>
        <v/>
      </c>
      <c r="Q32" s="66">
        <f>IFERROR(IF(OR($M32="",$O32=""),"",$M32/$O32),"")</f>
        <v/>
      </c>
      <c r="R32" s="64" t="n"/>
      <c r="S32" s="64">
        <f>IFERROR(IF(OR($R32="",$F32=""),"",$R32/$F32),"")</f>
        <v/>
      </c>
      <c r="T32" s="66">
        <f>IFERROR(IF(OR($M32="",$R32=""),"",$M32/$R32),"")</f>
        <v/>
      </c>
      <c r="U32" s="64" t="n"/>
      <c r="V32" s="64">
        <f>IFERROR(IF(OR($U32="",$F32=""),"",$U32/$F32),"")</f>
        <v/>
      </c>
      <c r="W32" s="66">
        <f>IFERROR(IF(OR($M32="",$U32=""),"",$M32/$U32),"")</f>
        <v/>
      </c>
      <c r="X32" s="88">
        <f>IFERROR(IF(OR($W32="",$T32=""),"",($W32-$T32)*10000),"")</f>
        <v/>
      </c>
      <c r="Y32" s="61">
        <f>IFERROR(IF(OR($R32="",$O32=""),"",IF($R32=$O32,"No","Yes")),"")</f>
        <v/>
      </c>
      <c r="Z32" s="62" t="n"/>
      <c r="AA32" s="62" t="n"/>
      <c r="AB32" s="89">
        <f>IFERROR(IF(OR($Z32="",$AA32=""),"",$Z32-$AA32),"")</f>
        <v/>
      </c>
      <c r="AC32" s="67" t="n"/>
      <c r="AD32" s="67" t="n"/>
      <c r="AE32" s="68" t="n"/>
      <c r="AF32" s="67" t="n"/>
      <c r="AG32" s="67" t="n"/>
      <c r="AH32" s="67" t="n"/>
      <c r="AI32" s="67" t="n"/>
      <c r="AJ32" s="67" t="n"/>
    </row>
    <row r="33" ht="15" customHeight="1" s="46">
      <c r="A33" s="69">
        <f>IFERROR(ROW()-5,"")</f>
        <v/>
      </c>
      <c r="B33" s="70" t="n"/>
      <c r="C33" s="70" t="n"/>
      <c r="D33" s="70" t="n"/>
      <c r="E33" s="70" t="n"/>
      <c r="F33" s="69" t="n"/>
      <c r="G33" s="69" t="n"/>
      <c r="H33" s="69" t="n"/>
      <c r="I33" s="70" t="n"/>
      <c r="J33" s="70" t="n"/>
      <c r="K33" s="71" t="n"/>
      <c r="L33" s="72">
        <f>IFERROR(IF(OR($K33="",$Z33=""),"",($K33-$Z33)/365.25),"")</f>
        <v/>
      </c>
      <c r="M33" s="73" t="n"/>
      <c r="N33" s="74">
        <f>IFERROR(IF(OR($M33="",$F33=""),"",$M33/$F33),"")</f>
        <v/>
      </c>
      <c r="O33" s="73" t="n"/>
      <c r="P33" s="73">
        <f>IFERROR(IF(OR($O33="",$F33=""),"",$O33/$F33),"")</f>
        <v/>
      </c>
      <c r="Q33" s="75">
        <f>IFERROR(IF(OR($M33="",$O33=""),"",$M33/$O33),"")</f>
        <v/>
      </c>
      <c r="R33" s="73" t="n"/>
      <c r="S33" s="73">
        <f>IFERROR(IF(OR($R33="",$F33=""),"",$R33/$F33),"")</f>
        <v/>
      </c>
      <c r="T33" s="75">
        <f>IFERROR(IF(OR($M33="",$R33=""),"",$M33/$R33),"")</f>
        <v/>
      </c>
      <c r="U33" s="73" t="n"/>
      <c r="V33" s="73">
        <f>IFERROR(IF(OR($U33="",$F33=""),"",$U33/$F33),"")</f>
        <v/>
      </c>
      <c r="W33" s="75">
        <f>IFERROR(IF(OR($M33="",$U33=""),"",$M33/$U33),"")</f>
        <v/>
      </c>
      <c r="X33" s="90">
        <f>IFERROR(IF(OR($W33="",$T33=""),"",($W33-$T33)*10000),"")</f>
        <v/>
      </c>
      <c r="Y33" s="70">
        <f>IFERROR(IF(OR($R33="",$O33=""),"",IF($R33=$O33,"No","Yes")),"")</f>
        <v/>
      </c>
      <c r="Z33" s="71" t="n"/>
      <c r="AA33" s="71" t="n"/>
      <c r="AB33" s="89">
        <f>IFERROR(IF(OR($Z33="",$AA33=""),"",$Z33-$AA33),"")</f>
        <v/>
      </c>
      <c r="AC33" s="67" t="n"/>
      <c r="AD33" s="67" t="n"/>
      <c r="AE33" s="68" t="n"/>
      <c r="AF33" s="67" t="n"/>
      <c r="AG33" s="67" t="n"/>
      <c r="AH33" s="67" t="n"/>
      <c r="AI33" s="67" t="n"/>
      <c r="AJ33" s="67" t="n"/>
    </row>
    <row r="34" ht="15" customHeight="1" s="46">
      <c r="A34" s="60">
        <f>IFERROR(ROW()-5,"")</f>
        <v/>
      </c>
      <c r="B34" s="61" t="n"/>
      <c r="C34" s="61" t="n"/>
      <c r="D34" s="61" t="n"/>
      <c r="E34" s="61" t="n"/>
      <c r="F34" s="60" t="n"/>
      <c r="G34" s="60" t="n"/>
      <c r="H34" s="60" t="n"/>
      <c r="I34" s="61" t="n"/>
      <c r="J34" s="61" t="n"/>
      <c r="K34" s="62" t="n"/>
      <c r="L34" s="63">
        <f>IFERROR(IF(OR($K34="",$Z34=""),"",($K34-$Z34)/365.25),"")</f>
        <v/>
      </c>
      <c r="M34" s="64" t="n"/>
      <c r="N34" s="65">
        <f>IFERROR(IF(OR($M34="",$F34=""),"",$M34/$F34),"")</f>
        <v/>
      </c>
      <c r="O34" s="64" t="n"/>
      <c r="P34" s="64">
        <f>IFERROR(IF(OR($O34="",$F34=""),"",$O34/$F34),"")</f>
        <v/>
      </c>
      <c r="Q34" s="66">
        <f>IFERROR(IF(OR($M34="",$O34=""),"",$M34/$O34),"")</f>
        <v/>
      </c>
      <c r="R34" s="64" t="n"/>
      <c r="S34" s="64">
        <f>IFERROR(IF(OR($R34="",$F34=""),"",$R34/$F34),"")</f>
        <v/>
      </c>
      <c r="T34" s="66">
        <f>IFERROR(IF(OR($M34="",$R34=""),"",$M34/$R34),"")</f>
        <v/>
      </c>
      <c r="U34" s="64" t="n"/>
      <c r="V34" s="64">
        <f>IFERROR(IF(OR($U34="",$F34=""),"",$U34/$F34),"")</f>
        <v/>
      </c>
      <c r="W34" s="66">
        <f>IFERROR(IF(OR($M34="",$U34=""),"",$M34/$U34),"")</f>
        <v/>
      </c>
      <c r="X34" s="88">
        <f>IFERROR(IF(OR($W34="",$T34=""),"",($W34-$T34)*10000),"")</f>
        <v/>
      </c>
      <c r="Y34" s="61">
        <f>IFERROR(IF(OR($R34="",$O34=""),"",IF($R34=$O34,"No","Yes")),"")</f>
        <v/>
      </c>
      <c r="Z34" s="62" t="n"/>
      <c r="AA34" s="62" t="n"/>
      <c r="AB34" s="89">
        <f>IFERROR(IF(OR($Z34="",$AA34=""),"",$Z34-$AA34),"")</f>
        <v/>
      </c>
      <c r="AC34" s="67" t="n"/>
      <c r="AD34" s="67" t="n"/>
      <c r="AE34" s="68" t="n"/>
      <c r="AF34" s="67" t="n"/>
      <c r="AG34" s="67" t="n"/>
      <c r="AH34" s="67" t="n"/>
      <c r="AI34" s="67" t="n"/>
      <c r="AJ34" s="67" t="n"/>
    </row>
    <row r="35" ht="15" customHeight="1" s="46">
      <c r="A35" s="69">
        <f>IFERROR(ROW()-5,"")</f>
        <v/>
      </c>
      <c r="B35" s="70" t="n"/>
      <c r="C35" s="70" t="n"/>
      <c r="D35" s="70" t="n"/>
      <c r="E35" s="70" t="n"/>
      <c r="F35" s="69" t="n"/>
      <c r="G35" s="69" t="n"/>
      <c r="H35" s="69" t="n"/>
      <c r="I35" s="70" t="n"/>
      <c r="J35" s="70" t="n"/>
      <c r="K35" s="71" t="n"/>
      <c r="L35" s="72">
        <f>IFERROR(IF(OR($K35="",$Z35=""),"",($K35-$Z35)/365.25),"")</f>
        <v/>
      </c>
      <c r="M35" s="73" t="n"/>
      <c r="N35" s="74">
        <f>IFERROR(IF(OR($M35="",$F35=""),"",$M35/$F35),"")</f>
        <v/>
      </c>
      <c r="O35" s="73" t="n"/>
      <c r="P35" s="73">
        <f>IFERROR(IF(OR($O35="",$F35=""),"",$O35/$F35),"")</f>
        <v/>
      </c>
      <c r="Q35" s="75">
        <f>IFERROR(IF(OR($M35="",$O35=""),"",$M35/$O35),"")</f>
        <v/>
      </c>
      <c r="R35" s="73" t="n"/>
      <c r="S35" s="73">
        <f>IFERROR(IF(OR($R35="",$F35=""),"",$R35/$F35),"")</f>
        <v/>
      </c>
      <c r="T35" s="75">
        <f>IFERROR(IF(OR($M35="",$R35=""),"",$M35/$R35),"")</f>
        <v/>
      </c>
      <c r="U35" s="73" t="n"/>
      <c r="V35" s="73">
        <f>IFERROR(IF(OR($U35="",$F35=""),"",$U35/$F35),"")</f>
        <v/>
      </c>
      <c r="W35" s="75">
        <f>IFERROR(IF(OR($M35="",$U35=""),"",$M35/$U35),"")</f>
        <v/>
      </c>
      <c r="X35" s="90">
        <f>IFERROR(IF(OR($W35="",$T35=""),"",($W35-$T35)*10000),"")</f>
        <v/>
      </c>
      <c r="Y35" s="70">
        <f>IFERROR(IF(OR($R35="",$O35=""),"",IF($R35=$O35,"No","Yes")),"")</f>
        <v/>
      </c>
      <c r="Z35" s="71" t="n"/>
      <c r="AA35" s="71" t="n"/>
      <c r="AB35" s="89">
        <f>IFERROR(IF(OR($Z35="",$AA35=""),"",$Z35-$AA35),"")</f>
        <v/>
      </c>
      <c r="AC35" s="67" t="n"/>
      <c r="AD35" s="67" t="n"/>
      <c r="AE35" s="68" t="n"/>
      <c r="AF35" s="67" t="n"/>
      <c r="AG35" s="67" t="n"/>
      <c r="AH35" s="67" t="n"/>
      <c r="AI35" s="67" t="n"/>
      <c r="AJ35" s="67" t="n"/>
    </row>
    <row r="36" ht="15" customHeight="1" s="46">
      <c r="A36" s="60">
        <f>IFERROR(ROW()-5,"")</f>
        <v/>
      </c>
      <c r="B36" s="61" t="n"/>
      <c r="C36" s="61" t="n"/>
      <c r="D36" s="61" t="n"/>
      <c r="E36" s="61" t="n"/>
      <c r="F36" s="60" t="n"/>
      <c r="G36" s="60" t="n"/>
      <c r="H36" s="60" t="n"/>
      <c r="I36" s="61" t="n"/>
      <c r="J36" s="61" t="n"/>
      <c r="K36" s="62" t="n"/>
      <c r="L36" s="63">
        <f>IFERROR(IF(OR($K36="",$Z36=""),"",($K36-$Z36)/365.25),"")</f>
        <v/>
      </c>
      <c r="M36" s="64" t="n"/>
      <c r="N36" s="65">
        <f>IFERROR(IF(OR($M36="",$F36=""),"",$M36/$F36),"")</f>
        <v/>
      </c>
      <c r="O36" s="64" t="n"/>
      <c r="P36" s="64">
        <f>IFERROR(IF(OR($O36="",$F36=""),"",$O36/$F36),"")</f>
        <v/>
      </c>
      <c r="Q36" s="66">
        <f>IFERROR(IF(OR($M36="",$O36=""),"",$M36/$O36),"")</f>
        <v/>
      </c>
      <c r="R36" s="64" t="n"/>
      <c r="S36" s="64">
        <f>IFERROR(IF(OR($R36="",$F36=""),"",$R36/$F36),"")</f>
        <v/>
      </c>
      <c r="T36" s="66">
        <f>IFERROR(IF(OR($M36="",$R36=""),"",$M36/$R36),"")</f>
        <v/>
      </c>
      <c r="U36" s="64" t="n"/>
      <c r="V36" s="64">
        <f>IFERROR(IF(OR($U36="",$F36=""),"",$U36/$F36),"")</f>
        <v/>
      </c>
      <c r="W36" s="66">
        <f>IFERROR(IF(OR($M36="",$U36=""),"",$M36/$U36),"")</f>
        <v/>
      </c>
      <c r="X36" s="88">
        <f>IFERROR(IF(OR($W36="",$T36=""),"",($W36-$T36)*10000),"")</f>
        <v/>
      </c>
      <c r="Y36" s="61">
        <f>IFERROR(IF(OR($R36="",$O36=""),"",IF($R36=$O36,"No","Yes")),"")</f>
        <v/>
      </c>
      <c r="Z36" s="62" t="n"/>
      <c r="AA36" s="62" t="n"/>
      <c r="AB36" s="89">
        <f>IFERROR(IF(OR($Z36="",$AA36=""),"",$Z36-$AA36),"")</f>
        <v/>
      </c>
      <c r="AC36" s="67" t="n"/>
      <c r="AD36" s="67" t="n"/>
      <c r="AE36" s="68" t="n"/>
      <c r="AF36" s="67" t="n"/>
      <c r="AG36" s="67" t="n"/>
      <c r="AH36" s="67" t="n"/>
      <c r="AI36" s="67" t="n"/>
      <c r="AJ36" s="67" t="n"/>
    </row>
    <row r="37" ht="15" customHeight="1" s="46">
      <c r="A37" s="69">
        <f>IFERROR(ROW()-5,"")</f>
        <v/>
      </c>
      <c r="B37" s="70" t="n"/>
      <c r="C37" s="70" t="n"/>
      <c r="D37" s="70" t="n"/>
      <c r="E37" s="70" t="n"/>
      <c r="F37" s="69" t="n"/>
      <c r="G37" s="69" t="n"/>
      <c r="H37" s="69" t="n"/>
      <c r="I37" s="70" t="n"/>
      <c r="J37" s="70" t="n"/>
      <c r="K37" s="71" t="n"/>
      <c r="L37" s="72">
        <f>IFERROR(IF(OR($K37="",$Z37=""),"",($K37-$Z37)/365.25),"")</f>
        <v/>
      </c>
      <c r="M37" s="73" t="n"/>
      <c r="N37" s="74">
        <f>IFERROR(IF(OR($M37="",$F37=""),"",$M37/$F37),"")</f>
        <v/>
      </c>
      <c r="O37" s="73" t="n"/>
      <c r="P37" s="73">
        <f>IFERROR(IF(OR($O37="",$F37=""),"",$O37/$F37),"")</f>
        <v/>
      </c>
      <c r="Q37" s="75">
        <f>IFERROR(IF(OR($M37="",$O37=""),"",$M37/$O37),"")</f>
        <v/>
      </c>
      <c r="R37" s="73" t="n"/>
      <c r="S37" s="73">
        <f>IFERROR(IF(OR($R37="",$F37=""),"",$R37/$F37),"")</f>
        <v/>
      </c>
      <c r="T37" s="75">
        <f>IFERROR(IF(OR($M37="",$R37=""),"",$M37/$R37),"")</f>
        <v/>
      </c>
      <c r="U37" s="73" t="n"/>
      <c r="V37" s="73">
        <f>IFERROR(IF(OR($U37="",$F37=""),"",$U37/$F37),"")</f>
        <v/>
      </c>
      <c r="W37" s="75">
        <f>IFERROR(IF(OR($M37="",$U37=""),"",$M37/$U37),"")</f>
        <v/>
      </c>
      <c r="X37" s="90">
        <f>IFERROR(IF(OR($W37="",$T37=""),"",($W37-$T37)*10000),"")</f>
        <v/>
      </c>
      <c r="Y37" s="70">
        <f>IFERROR(IF(OR($R37="",$O37=""),"",IF($R37=$O37,"No","Yes")),"")</f>
        <v/>
      </c>
      <c r="Z37" s="71" t="n"/>
      <c r="AA37" s="71" t="n"/>
      <c r="AB37" s="89">
        <f>IFERROR(IF(OR($Z37="",$AA37=""),"",$Z37-$AA37),"")</f>
        <v/>
      </c>
      <c r="AC37" s="67" t="n"/>
      <c r="AD37" s="67" t="n"/>
      <c r="AE37" s="68" t="n"/>
      <c r="AF37" s="67" t="n"/>
      <c r="AG37" s="67" t="n"/>
      <c r="AH37" s="67" t="n"/>
      <c r="AI37" s="67" t="n"/>
      <c r="AJ37" s="67" t="n"/>
    </row>
    <row r="38" ht="15" customHeight="1" s="46">
      <c r="A38" s="60">
        <f>IFERROR(ROW()-5,"")</f>
        <v/>
      </c>
      <c r="B38" s="61" t="n"/>
      <c r="C38" s="61" t="n"/>
      <c r="D38" s="61" t="n"/>
      <c r="E38" s="61" t="n"/>
      <c r="F38" s="60" t="n"/>
      <c r="G38" s="60" t="n"/>
      <c r="H38" s="60" t="n"/>
      <c r="I38" s="61" t="n"/>
      <c r="J38" s="61" t="n"/>
      <c r="K38" s="62" t="n"/>
      <c r="L38" s="63">
        <f>IFERROR(IF(OR($K38="",$Z38=""),"",($K38-$Z38)/365.25),"")</f>
        <v/>
      </c>
      <c r="M38" s="64" t="n"/>
      <c r="N38" s="65">
        <f>IFERROR(IF(OR($M38="",$F38=""),"",$M38/$F38),"")</f>
        <v/>
      </c>
      <c r="O38" s="64" t="n"/>
      <c r="P38" s="64">
        <f>IFERROR(IF(OR($O38="",$F38=""),"",$O38/$F38),"")</f>
        <v/>
      </c>
      <c r="Q38" s="66">
        <f>IFERROR(IF(OR($M38="",$O38=""),"",$M38/$O38),"")</f>
        <v/>
      </c>
      <c r="R38" s="64" t="n"/>
      <c r="S38" s="64">
        <f>IFERROR(IF(OR($R38="",$F38=""),"",$R38/$F38),"")</f>
        <v/>
      </c>
      <c r="T38" s="66">
        <f>IFERROR(IF(OR($M38="",$R38=""),"",$M38/$R38),"")</f>
        <v/>
      </c>
      <c r="U38" s="64" t="n"/>
      <c r="V38" s="64">
        <f>IFERROR(IF(OR($U38="",$F38=""),"",$U38/$F38),"")</f>
        <v/>
      </c>
      <c r="W38" s="66">
        <f>IFERROR(IF(OR($M38="",$U38=""),"",$M38/$U38),"")</f>
        <v/>
      </c>
      <c r="X38" s="88">
        <f>IFERROR(IF(OR($W38="",$T38=""),"",($W38-$T38)*10000),"")</f>
        <v/>
      </c>
      <c r="Y38" s="61">
        <f>IFERROR(IF(OR($R38="",$O38=""),"",IF($R38=$O38,"No","Yes")),"")</f>
        <v/>
      </c>
      <c r="Z38" s="62" t="n"/>
      <c r="AA38" s="62" t="n"/>
      <c r="AB38" s="89">
        <f>IFERROR(IF(OR($Z38="",$AA38=""),"",$Z38-$AA38),"")</f>
        <v/>
      </c>
      <c r="AC38" s="67" t="n"/>
      <c r="AD38" s="67" t="n"/>
      <c r="AE38" s="68" t="n"/>
      <c r="AF38" s="67" t="n"/>
      <c r="AG38" s="67" t="n"/>
      <c r="AH38" s="67" t="n"/>
      <c r="AI38" s="67" t="n"/>
      <c r="AJ38" s="67" t="n"/>
    </row>
    <row r="39" ht="15" customHeight="1" s="46">
      <c r="A39" s="69">
        <f>IFERROR(ROW()-5,"")</f>
        <v/>
      </c>
      <c r="B39" s="70" t="n"/>
      <c r="C39" s="70" t="n"/>
      <c r="D39" s="70" t="n"/>
      <c r="E39" s="70" t="n"/>
      <c r="F39" s="69" t="n"/>
      <c r="G39" s="69" t="n"/>
      <c r="H39" s="69" t="n"/>
      <c r="I39" s="70" t="n"/>
      <c r="J39" s="70" t="n"/>
      <c r="K39" s="71" t="n"/>
      <c r="L39" s="72">
        <f>IFERROR(IF(OR($K39="",$Z39=""),"",($K39-$Z39)/365.25),"")</f>
        <v/>
      </c>
      <c r="M39" s="73" t="n"/>
      <c r="N39" s="74">
        <f>IFERROR(IF(OR($M39="",$F39=""),"",$M39/$F39),"")</f>
        <v/>
      </c>
      <c r="O39" s="73" t="n"/>
      <c r="P39" s="73">
        <f>IFERROR(IF(OR($O39="",$F39=""),"",$O39/$F39),"")</f>
        <v/>
      </c>
      <c r="Q39" s="75">
        <f>IFERROR(IF(OR($M39="",$O39=""),"",$M39/$O39),"")</f>
        <v/>
      </c>
      <c r="R39" s="73" t="n"/>
      <c r="S39" s="73">
        <f>IFERROR(IF(OR($R39="",$F39=""),"",$R39/$F39),"")</f>
        <v/>
      </c>
      <c r="T39" s="75">
        <f>IFERROR(IF(OR($M39="",$R39=""),"",$M39/$R39),"")</f>
        <v/>
      </c>
      <c r="U39" s="73" t="n"/>
      <c r="V39" s="73">
        <f>IFERROR(IF(OR($U39="",$F39=""),"",$U39/$F39),"")</f>
        <v/>
      </c>
      <c r="W39" s="75">
        <f>IFERROR(IF(OR($M39="",$U39=""),"",$M39/$U39),"")</f>
        <v/>
      </c>
      <c r="X39" s="90">
        <f>IFERROR(IF(OR($W39="",$T39=""),"",($W39-$T39)*10000),"")</f>
        <v/>
      </c>
      <c r="Y39" s="70">
        <f>IFERROR(IF(OR($R39="",$O39=""),"",IF($R39=$O39,"No","Yes")),"")</f>
        <v/>
      </c>
      <c r="Z39" s="71" t="n"/>
      <c r="AA39" s="71" t="n"/>
      <c r="AB39" s="89">
        <f>IFERROR(IF(OR($Z39="",$AA39=""),"",$Z39-$AA39),"")</f>
        <v/>
      </c>
      <c r="AC39" s="67" t="n"/>
      <c r="AD39" s="67" t="n"/>
      <c r="AE39" s="68" t="n"/>
      <c r="AF39" s="67" t="n"/>
      <c r="AG39" s="67" t="n"/>
      <c r="AH39" s="67" t="n"/>
      <c r="AI39" s="67" t="n"/>
      <c r="AJ39" s="67" t="n"/>
    </row>
    <row r="40" ht="15" customHeight="1" s="46">
      <c r="A40" s="60">
        <f>IFERROR(ROW()-5,"")</f>
        <v/>
      </c>
      <c r="B40" s="61" t="n"/>
      <c r="C40" s="61" t="n"/>
      <c r="D40" s="61" t="n"/>
      <c r="E40" s="61" t="n"/>
      <c r="F40" s="60" t="n"/>
      <c r="G40" s="60" t="n"/>
      <c r="H40" s="60" t="n"/>
      <c r="I40" s="61" t="n"/>
      <c r="J40" s="61" t="n"/>
      <c r="K40" s="62" t="n"/>
      <c r="L40" s="63">
        <f>IFERROR(IF(OR($K40="",$Z40=""),"",($K40-$Z40)/365.25),"")</f>
        <v/>
      </c>
      <c r="M40" s="64" t="n"/>
      <c r="N40" s="65">
        <f>IFERROR(IF(OR($M40="",$F40=""),"",$M40/$F40),"")</f>
        <v/>
      </c>
      <c r="O40" s="64" t="n"/>
      <c r="P40" s="64">
        <f>IFERROR(IF(OR($O40="",$F40=""),"",$O40/$F40),"")</f>
        <v/>
      </c>
      <c r="Q40" s="66">
        <f>IFERROR(IF(OR($M40="",$O40=""),"",$M40/$O40),"")</f>
        <v/>
      </c>
      <c r="R40" s="64" t="n"/>
      <c r="S40" s="64">
        <f>IFERROR(IF(OR($R40="",$F40=""),"",$R40/$F40),"")</f>
        <v/>
      </c>
      <c r="T40" s="66">
        <f>IFERROR(IF(OR($M40="",$R40=""),"",$M40/$R40),"")</f>
        <v/>
      </c>
      <c r="U40" s="64" t="n"/>
      <c r="V40" s="64">
        <f>IFERROR(IF(OR($U40="",$F40=""),"",$U40/$F40),"")</f>
        <v/>
      </c>
      <c r="W40" s="66">
        <f>IFERROR(IF(OR($M40="",$U40=""),"",$M40/$U40),"")</f>
        <v/>
      </c>
      <c r="X40" s="88">
        <f>IFERROR(IF(OR($W40="",$T40=""),"",($W40-$T40)*10000),"")</f>
        <v/>
      </c>
      <c r="Y40" s="61">
        <f>IFERROR(IF(OR($R40="",$O40=""),"",IF($R40=$O40,"No","Yes")),"")</f>
        <v/>
      </c>
      <c r="Z40" s="62" t="n"/>
      <c r="AA40" s="62" t="n"/>
      <c r="AB40" s="89">
        <f>IFERROR(IF(OR($Z40="",$AA40=""),"",$Z40-$AA40),"")</f>
        <v/>
      </c>
      <c r="AC40" s="67" t="n"/>
      <c r="AD40" s="67" t="n"/>
      <c r="AE40" s="68" t="n"/>
      <c r="AF40" s="67" t="n"/>
      <c r="AG40" s="67" t="n"/>
      <c r="AH40" s="67" t="n"/>
      <c r="AI40" s="67" t="n"/>
      <c r="AJ40" s="67" t="n"/>
    </row>
    <row r="41" ht="15" customHeight="1" s="46">
      <c r="A41" s="69">
        <f>IFERROR(ROW()-5,"")</f>
        <v/>
      </c>
      <c r="B41" s="70" t="n"/>
      <c r="C41" s="70" t="n"/>
      <c r="D41" s="70" t="n"/>
      <c r="E41" s="70" t="n"/>
      <c r="F41" s="69" t="n"/>
      <c r="G41" s="69" t="n"/>
      <c r="H41" s="69" t="n"/>
      <c r="I41" s="70" t="n"/>
      <c r="J41" s="70" t="n"/>
      <c r="K41" s="71" t="n"/>
      <c r="L41" s="72">
        <f>IFERROR(IF(OR($K41="",$Z41=""),"",($K41-$Z41)/365.25),"")</f>
        <v/>
      </c>
      <c r="M41" s="73" t="n"/>
      <c r="N41" s="74">
        <f>IFERROR(IF(OR($M41="",$F41=""),"",$M41/$F41),"")</f>
        <v/>
      </c>
      <c r="O41" s="73" t="n"/>
      <c r="P41" s="73">
        <f>IFERROR(IF(OR($O41="",$F41=""),"",$O41/$F41),"")</f>
        <v/>
      </c>
      <c r="Q41" s="75">
        <f>IFERROR(IF(OR($M41="",$O41=""),"",$M41/$O41),"")</f>
        <v/>
      </c>
      <c r="R41" s="73" t="n"/>
      <c r="S41" s="73">
        <f>IFERROR(IF(OR($R41="",$F41=""),"",$R41/$F41),"")</f>
        <v/>
      </c>
      <c r="T41" s="75">
        <f>IFERROR(IF(OR($M41="",$R41=""),"",$M41/$R41),"")</f>
        <v/>
      </c>
      <c r="U41" s="73" t="n"/>
      <c r="V41" s="73">
        <f>IFERROR(IF(OR($U41="",$F41=""),"",$U41/$F41),"")</f>
        <v/>
      </c>
      <c r="W41" s="75">
        <f>IFERROR(IF(OR($M41="",$U41=""),"",$M41/$U41),"")</f>
        <v/>
      </c>
      <c r="X41" s="90">
        <f>IFERROR(IF(OR($W41="",$T41=""),"",($W41-$T41)*10000),"")</f>
        <v/>
      </c>
      <c r="Y41" s="70">
        <f>IFERROR(IF(OR($R41="",$O41=""),"",IF($R41=$O41,"No","Yes")),"")</f>
        <v/>
      </c>
      <c r="Z41" s="71" t="n"/>
      <c r="AA41" s="71" t="n"/>
      <c r="AB41" s="89">
        <f>IFERROR(IF(OR($Z41="",$AA41=""),"",$Z41-$AA41),"")</f>
        <v/>
      </c>
      <c r="AC41" s="67" t="n"/>
      <c r="AD41" s="67" t="n"/>
      <c r="AE41" s="68" t="n"/>
      <c r="AF41" s="67" t="n"/>
      <c r="AG41" s="67" t="n"/>
      <c r="AH41" s="67" t="n"/>
      <c r="AI41" s="67" t="n"/>
      <c r="AJ41" s="67" t="n"/>
    </row>
    <row r="42" ht="15" customHeight="1" s="46">
      <c r="A42" s="60">
        <f>IFERROR(ROW()-5,"")</f>
        <v/>
      </c>
      <c r="B42" s="61" t="n"/>
      <c r="C42" s="61" t="n"/>
      <c r="D42" s="61" t="n"/>
      <c r="E42" s="61" t="n"/>
      <c r="F42" s="60" t="n"/>
      <c r="G42" s="60" t="n"/>
      <c r="H42" s="60" t="n"/>
      <c r="I42" s="61" t="n"/>
      <c r="J42" s="61" t="n"/>
      <c r="K42" s="62" t="n"/>
      <c r="L42" s="63">
        <f>IFERROR(IF(OR($K42="",$Z42=""),"",($K42-$Z42)/365.25),"")</f>
        <v/>
      </c>
      <c r="M42" s="64" t="n"/>
      <c r="N42" s="65">
        <f>IFERROR(IF(OR($M42="",$F42=""),"",$M42/$F42),"")</f>
        <v/>
      </c>
      <c r="O42" s="64" t="n"/>
      <c r="P42" s="64">
        <f>IFERROR(IF(OR($O42="",$F42=""),"",$O42/$F42),"")</f>
        <v/>
      </c>
      <c r="Q42" s="66">
        <f>IFERROR(IF(OR($M42="",$O42=""),"",$M42/$O42),"")</f>
        <v/>
      </c>
      <c r="R42" s="64" t="n"/>
      <c r="S42" s="64">
        <f>IFERROR(IF(OR($R42="",$F42=""),"",$R42/$F42),"")</f>
        <v/>
      </c>
      <c r="T42" s="66">
        <f>IFERROR(IF(OR($M42="",$R42=""),"",$M42/$R42),"")</f>
        <v/>
      </c>
      <c r="U42" s="64" t="n"/>
      <c r="V42" s="64">
        <f>IFERROR(IF(OR($U42="",$F42=""),"",$U42/$F42),"")</f>
        <v/>
      </c>
      <c r="W42" s="66">
        <f>IFERROR(IF(OR($M42="",$U42=""),"",$M42/$U42),"")</f>
        <v/>
      </c>
      <c r="X42" s="88">
        <f>IFERROR(IF(OR($W42="",$T42=""),"",($W42-$T42)*10000),"")</f>
        <v/>
      </c>
      <c r="Y42" s="61">
        <f>IFERROR(IF(OR($R42="",$O42=""),"",IF($R42=$O42,"No","Yes")),"")</f>
        <v/>
      </c>
      <c r="Z42" s="62" t="n"/>
      <c r="AA42" s="62" t="n"/>
      <c r="AB42" s="89">
        <f>IFERROR(IF(OR($Z42="",$AA42=""),"",$Z42-$AA42),"")</f>
        <v/>
      </c>
      <c r="AC42" s="67" t="n"/>
      <c r="AD42" s="67" t="n"/>
      <c r="AE42" s="68" t="n"/>
      <c r="AF42" s="67" t="n"/>
      <c r="AG42" s="67" t="n"/>
      <c r="AH42" s="67" t="n"/>
      <c r="AI42" s="67" t="n"/>
      <c r="AJ42" s="67" t="n"/>
    </row>
    <row r="43" ht="15" customHeight="1" s="46">
      <c r="A43" s="69">
        <f>IFERROR(ROW()-5,"")</f>
        <v/>
      </c>
      <c r="B43" s="70" t="n"/>
      <c r="C43" s="70" t="n"/>
      <c r="D43" s="70" t="n"/>
      <c r="E43" s="70" t="n"/>
      <c r="F43" s="69" t="n"/>
      <c r="G43" s="69" t="n"/>
      <c r="H43" s="69" t="n"/>
      <c r="I43" s="70" t="n"/>
      <c r="J43" s="70" t="n"/>
      <c r="K43" s="71" t="n"/>
      <c r="L43" s="72">
        <f>IFERROR(IF(OR($K43="",$Z43=""),"",($K43-$Z43)/365.25),"")</f>
        <v/>
      </c>
      <c r="M43" s="73" t="n"/>
      <c r="N43" s="74">
        <f>IFERROR(IF(OR($M43="",$F43=""),"",$M43/$F43),"")</f>
        <v/>
      </c>
      <c r="O43" s="73" t="n"/>
      <c r="P43" s="73">
        <f>IFERROR(IF(OR($O43="",$F43=""),"",$O43/$F43),"")</f>
        <v/>
      </c>
      <c r="Q43" s="75">
        <f>IFERROR(IF(OR($M43="",$O43=""),"",$M43/$O43),"")</f>
        <v/>
      </c>
      <c r="R43" s="73" t="n"/>
      <c r="S43" s="73">
        <f>IFERROR(IF(OR($R43="",$F43=""),"",$R43/$F43),"")</f>
        <v/>
      </c>
      <c r="T43" s="75">
        <f>IFERROR(IF(OR($M43="",$R43=""),"",$M43/$R43),"")</f>
        <v/>
      </c>
      <c r="U43" s="73" t="n"/>
      <c r="V43" s="73">
        <f>IFERROR(IF(OR($U43="",$F43=""),"",$U43/$F43),"")</f>
        <v/>
      </c>
      <c r="W43" s="75">
        <f>IFERROR(IF(OR($M43="",$U43=""),"",$M43/$U43),"")</f>
        <v/>
      </c>
      <c r="X43" s="90">
        <f>IFERROR(IF(OR($W43="",$T43=""),"",($W43-$T43)*10000),"")</f>
        <v/>
      </c>
      <c r="Y43" s="70">
        <f>IFERROR(IF(OR($R43="",$O43=""),"",IF($R43=$O43,"No","Yes")),"")</f>
        <v/>
      </c>
      <c r="Z43" s="71" t="n"/>
      <c r="AA43" s="71" t="n"/>
      <c r="AB43" s="89">
        <f>IFERROR(IF(OR($Z43="",$AA43=""),"",$Z43-$AA43),"")</f>
        <v/>
      </c>
      <c r="AC43" s="67" t="n"/>
      <c r="AD43" s="67" t="n"/>
      <c r="AE43" s="68" t="n"/>
      <c r="AF43" s="67" t="n"/>
      <c r="AG43" s="67" t="n"/>
      <c r="AH43" s="67" t="n"/>
      <c r="AI43" s="67" t="n"/>
      <c r="AJ43" s="67" t="n"/>
    </row>
    <row r="44" ht="15" customHeight="1" s="46">
      <c r="A44" s="60">
        <f>IFERROR(ROW()-5,"")</f>
        <v/>
      </c>
      <c r="B44" s="61" t="n"/>
      <c r="C44" s="61" t="n"/>
      <c r="D44" s="61" t="n"/>
      <c r="E44" s="61" t="n"/>
      <c r="F44" s="60" t="n"/>
      <c r="G44" s="60" t="n"/>
      <c r="H44" s="60" t="n"/>
      <c r="I44" s="61" t="n"/>
      <c r="J44" s="61" t="n"/>
      <c r="K44" s="62" t="n"/>
      <c r="L44" s="63">
        <f>IFERROR(IF(OR($K44="",$Z44=""),"",($K44-$Z44)/365.25),"")</f>
        <v/>
      </c>
      <c r="M44" s="64" t="n"/>
      <c r="N44" s="65">
        <f>IFERROR(IF(OR($M44="",$F44=""),"",$M44/$F44),"")</f>
        <v/>
      </c>
      <c r="O44" s="64" t="n"/>
      <c r="P44" s="64">
        <f>IFERROR(IF(OR($O44="",$F44=""),"",$O44/$F44),"")</f>
        <v/>
      </c>
      <c r="Q44" s="66">
        <f>IFERROR(IF(OR($M44="",$O44=""),"",$M44/$O44),"")</f>
        <v/>
      </c>
      <c r="R44" s="64" t="n"/>
      <c r="S44" s="64">
        <f>IFERROR(IF(OR($R44="",$F44=""),"",$R44/$F44),"")</f>
        <v/>
      </c>
      <c r="T44" s="66">
        <f>IFERROR(IF(OR($M44="",$R44=""),"",$M44/$R44),"")</f>
        <v/>
      </c>
      <c r="U44" s="64" t="n"/>
      <c r="V44" s="64">
        <f>IFERROR(IF(OR($U44="",$F44=""),"",$U44/$F44),"")</f>
        <v/>
      </c>
      <c r="W44" s="66">
        <f>IFERROR(IF(OR($M44="",$U44=""),"",$M44/$U44),"")</f>
        <v/>
      </c>
      <c r="X44" s="88">
        <f>IFERROR(IF(OR($W44="",$T44=""),"",($W44-$T44)*10000),"")</f>
        <v/>
      </c>
      <c r="Y44" s="61">
        <f>IFERROR(IF(OR($R44="",$O44=""),"",IF($R44=$O44,"No","Yes")),"")</f>
        <v/>
      </c>
      <c r="Z44" s="62" t="n"/>
      <c r="AA44" s="62" t="n"/>
      <c r="AB44" s="89">
        <f>IFERROR(IF(OR($Z44="",$AA44=""),"",$Z44-$AA44),"")</f>
        <v/>
      </c>
      <c r="AC44" s="67" t="n"/>
      <c r="AD44" s="67" t="n"/>
      <c r="AE44" s="68" t="n"/>
      <c r="AF44" s="67" t="n"/>
      <c r="AG44" s="67" t="n"/>
      <c r="AH44" s="67" t="n"/>
      <c r="AI44" s="67" t="n"/>
      <c r="AJ44" s="67" t="n"/>
    </row>
    <row r="45" ht="15" customHeight="1" s="46">
      <c r="A45" s="69">
        <f>IFERROR(ROW()-5,"")</f>
        <v/>
      </c>
      <c r="B45" s="70" t="n"/>
      <c r="C45" s="70" t="n"/>
      <c r="D45" s="70" t="n"/>
      <c r="E45" s="70" t="n"/>
      <c r="F45" s="69" t="n"/>
      <c r="G45" s="69" t="n"/>
      <c r="H45" s="69" t="n"/>
      <c r="I45" s="70" t="n"/>
      <c r="J45" s="70" t="n"/>
      <c r="K45" s="71" t="n"/>
      <c r="L45" s="72">
        <f>IFERROR(IF(OR($K45="",$Z45=""),"",($K45-$Z45)/365.25),"")</f>
        <v/>
      </c>
      <c r="M45" s="73" t="n"/>
      <c r="N45" s="74">
        <f>IFERROR(IF(OR($M45="",$F45=""),"",$M45/$F45),"")</f>
        <v/>
      </c>
      <c r="O45" s="73" t="n"/>
      <c r="P45" s="73">
        <f>IFERROR(IF(OR($O45="",$F45=""),"",$O45/$F45),"")</f>
        <v/>
      </c>
      <c r="Q45" s="75">
        <f>IFERROR(IF(OR($M45="",$O45=""),"",$M45/$O45),"")</f>
        <v/>
      </c>
      <c r="R45" s="73" t="n"/>
      <c r="S45" s="73">
        <f>IFERROR(IF(OR($R45="",$F45=""),"",$R45/$F45),"")</f>
        <v/>
      </c>
      <c r="T45" s="75">
        <f>IFERROR(IF(OR($M45="",$R45=""),"",$M45/$R45),"")</f>
        <v/>
      </c>
      <c r="U45" s="73" t="n"/>
      <c r="V45" s="73">
        <f>IFERROR(IF(OR($U45="",$F45=""),"",$U45/$F45),"")</f>
        <v/>
      </c>
      <c r="W45" s="75">
        <f>IFERROR(IF(OR($M45="",$U45=""),"",$M45/$U45),"")</f>
        <v/>
      </c>
      <c r="X45" s="90">
        <f>IFERROR(IF(OR($W45="",$T45=""),"",($W45-$T45)*10000),"")</f>
        <v/>
      </c>
      <c r="Y45" s="70">
        <f>IFERROR(IF(OR($R45="",$O45=""),"",IF($R45=$O45,"No","Yes")),"")</f>
        <v/>
      </c>
      <c r="Z45" s="71" t="n"/>
      <c r="AA45" s="71" t="n"/>
      <c r="AB45" s="89">
        <f>IFERROR(IF(OR($Z45="",$AA45=""),"",$Z45-$AA45),"")</f>
        <v/>
      </c>
      <c r="AC45" s="67" t="n"/>
      <c r="AD45" s="67" t="n"/>
      <c r="AE45" s="68" t="n"/>
      <c r="AF45" s="67" t="n"/>
      <c r="AG45" s="67" t="n"/>
      <c r="AH45" s="67" t="n"/>
      <c r="AI45" s="67" t="n"/>
      <c r="AJ45" s="67" t="n"/>
    </row>
    <row r="46" ht="15" customHeight="1" s="46">
      <c r="A46" s="60">
        <f>IFERROR(ROW()-5,"")</f>
        <v/>
      </c>
      <c r="B46" s="61" t="n"/>
      <c r="C46" s="61" t="n"/>
      <c r="D46" s="61" t="n"/>
      <c r="E46" s="61" t="n"/>
      <c r="F46" s="60" t="n"/>
      <c r="G46" s="60" t="n"/>
      <c r="H46" s="60" t="n"/>
      <c r="I46" s="61" t="n"/>
      <c r="J46" s="61" t="n"/>
      <c r="K46" s="62" t="n"/>
      <c r="L46" s="63">
        <f>IFERROR(IF(OR($K46="",$Z46=""),"",($K46-$Z46)/365.25),"")</f>
        <v/>
      </c>
      <c r="M46" s="64" t="n"/>
      <c r="N46" s="65">
        <f>IFERROR(IF(OR($M46="",$F46=""),"",$M46/$F46),"")</f>
        <v/>
      </c>
      <c r="O46" s="64" t="n"/>
      <c r="P46" s="64">
        <f>IFERROR(IF(OR($O46="",$F46=""),"",$O46/$F46),"")</f>
        <v/>
      </c>
      <c r="Q46" s="66">
        <f>IFERROR(IF(OR($M46="",$O46=""),"",$M46/$O46),"")</f>
        <v/>
      </c>
      <c r="R46" s="64" t="n"/>
      <c r="S46" s="64">
        <f>IFERROR(IF(OR($R46="",$F46=""),"",$R46/$F46),"")</f>
        <v/>
      </c>
      <c r="T46" s="66">
        <f>IFERROR(IF(OR($M46="",$R46=""),"",$M46/$R46),"")</f>
        <v/>
      </c>
      <c r="U46" s="64" t="n"/>
      <c r="V46" s="64">
        <f>IFERROR(IF(OR($U46="",$F46=""),"",$U46/$F46),"")</f>
        <v/>
      </c>
      <c r="W46" s="66">
        <f>IFERROR(IF(OR($M46="",$U46=""),"",$M46/$U46),"")</f>
        <v/>
      </c>
      <c r="X46" s="88">
        <f>IFERROR(IF(OR($W46="",$T46=""),"",($W46-$T46)*10000),"")</f>
        <v/>
      </c>
      <c r="Y46" s="61">
        <f>IFERROR(IF(OR($R46="",$O46=""),"",IF($R46=$O46,"No","Yes")),"")</f>
        <v/>
      </c>
      <c r="Z46" s="62" t="n"/>
      <c r="AA46" s="62" t="n"/>
      <c r="AB46" s="89">
        <f>IFERROR(IF(OR($Z46="",$AA46=""),"",$Z46-$AA46),"")</f>
        <v/>
      </c>
      <c r="AC46" s="67" t="n"/>
      <c r="AD46" s="67" t="n"/>
      <c r="AE46" s="68" t="n"/>
      <c r="AF46" s="67" t="n"/>
      <c r="AG46" s="67" t="n"/>
      <c r="AH46" s="67" t="n"/>
      <c r="AI46" s="67" t="n"/>
      <c r="AJ46" s="67" t="n"/>
    </row>
    <row r="47" ht="15" customHeight="1" s="46">
      <c r="A47" s="69">
        <f>IFERROR(ROW()-5,"")</f>
        <v/>
      </c>
      <c r="B47" s="70" t="n"/>
      <c r="C47" s="70" t="n"/>
      <c r="D47" s="70" t="n"/>
      <c r="E47" s="70" t="n"/>
      <c r="F47" s="69" t="n"/>
      <c r="G47" s="69" t="n"/>
      <c r="H47" s="69" t="n"/>
      <c r="I47" s="70" t="n"/>
      <c r="J47" s="70" t="n"/>
      <c r="K47" s="71" t="n"/>
      <c r="L47" s="72">
        <f>IFERROR(IF(OR($K47="",$Z47=""),"",($K47-$Z47)/365.25),"")</f>
        <v/>
      </c>
      <c r="M47" s="73" t="n"/>
      <c r="N47" s="74">
        <f>IFERROR(IF(OR($M47="",$F47=""),"",$M47/$F47),"")</f>
        <v/>
      </c>
      <c r="O47" s="73" t="n"/>
      <c r="P47" s="73">
        <f>IFERROR(IF(OR($O47="",$F47=""),"",$O47/$F47),"")</f>
        <v/>
      </c>
      <c r="Q47" s="75">
        <f>IFERROR(IF(OR($M47="",$O47=""),"",$M47/$O47),"")</f>
        <v/>
      </c>
      <c r="R47" s="73" t="n"/>
      <c r="S47" s="73">
        <f>IFERROR(IF(OR($R47="",$F47=""),"",$R47/$F47),"")</f>
        <v/>
      </c>
      <c r="T47" s="75">
        <f>IFERROR(IF(OR($M47="",$R47=""),"",$M47/$R47),"")</f>
        <v/>
      </c>
      <c r="U47" s="73" t="n"/>
      <c r="V47" s="73">
        <f>IFERROR(IF(OR($U47="",$F47=""),"",$U47/$F47),"")</f>
        <v/>
      </c>
      <c r="W47" s="75">
        <f>IFERROR(IF(OR($M47="",$U47=""),"",$M47/$U47),"")</f>
        <v/>
      </c>
      <c r="X47" s="90">
        <f>IFERROR(IF(OR($W47="",$T47=""),"",($W47-$T47)*10000),"")</f>
        <v/>
      </c>
      <c r="Y47" s="70">
        <f>IFERROR(IF(OR($R47="",$O47=""),"",IF($R47=$O47,"No","Yes")),"")</f>
        <v/>
      </c>
      <c r="Z47" s="71" t="n"/>
      <c r="AA47" s="71" t="n"/>
      <c r="AB47" s="89">
        <f>IFERROR(IF(OR($Z47="",$AA47=""),"",$Z47-$AA47),"")</f>
        <v/>
      </c>
      <c r="AC47" s="67" t="n"/>
      <c r="AD47" s="67" t="n"/>
      <c r="AE47" s="68" t="n"/>
      <c r="AF47" s="67" t="n"/>
      <c r="AG47" s="67" t="n"/>
      <c r="AH47" s="67" t="n"/>
      <c r="AI47" s="67" t="n"/>
      <c r="AJ47" s="67" t="n"/>
    </row>
    <row r="48" ht="15" customHeight="1" s="46">
      <c r="A48" s="60">
        <f>IFERROR(ROW()-5,"")</f>
        <v/>
      </c>
      <c r="B48" s="61" t="n"/>
      <c r="C48" s="61" t="n"/>
      <c r="D48" s="61" t="n"/>
      <c r="E48" s="61" t="n"/>
      <c r="F48" s="60" t="n"/>
      <c r="G48" s="60" t="n"/>
      <c r="H48" s="60" t="n"/>
      <c r="I48" s="61" t="n"/>
      <c r="J48" s="61" t="n"/>
      <c r="K48" s="62" t="n"/>
      <c r="L48" s="63">
        <f>IFERROR(IF(OR($K48="",$Z48=""),"",($K48-$Z48)/365.25),"")</f>
        <v/>
      </c>
      <c r="M48" s="64" t="n"/>
      <c r="N48" s="65">
        <f>IFERROR(IF(OR($M48="",$F48=""),"",$M48/$F48),"")</f>
        <v/>
      </c>
      <c r="O48" s="64" t="n"/>
      <c r="P48" s="64">
        <f>IFERROR(IF(OR($O48="",$F48=""),"",$O48/$F48),"")</f>
        <v/>
      </c>
      <c r="Q48" s="66">
        <f>IFERROR(IF(OR($M48="",$O48=""),"",$M48/$O48),"")</f>
        <v/>
      </c>
      <c r="R48" s="64" t="n"/>
      <c r="S48" s="64">
        <f>IFERROR(IF(OR($R48="",$F48=""),"",$R48/$F48),"")</f>
        <v/>
      </c>
      <c r="T48" s="66">
        <f>IFERROR(IF(OR($M48="",$R48=""),"",$M48/$R48),"")</f>
        <v/>
      </c>
      <c r="U48" s="64" t="n"/>
      <c r="V48" s="64">
        <f>IFERROR(IF(OR($U48="",$F48=""),"",$U48/$F48),"")</f>
        <v/>
      </c>
      <c r="W48" s="66">
        <f>IFERROR(IF(OR($M48="",$U48=""),"",$M48/$U48),"")</f>
        <v/>
      </c>
      <c r="X48" s="88">
        <f>IFERROR(IF(OR($W48="",$T48=""),"",($W48-$T48)*10000),"")</f>
        <v/>
      </c>
      <c r="Y48" s="61">
        <f>IFERROR(IF(OR($R48="",$O48=""),"",IF($R48=$O48,"No","Yes")),"")</f>
        <v/>
      </c>
      <c r="Z48" s="62" t="n"/>
      <c r="AA48" s="62" t="n"/>
      <c r="AB48" s="89">
        <f>IFERROR(IF(OR($Z48="",$AA48=""),"",$Z48-$AA48),"")</f>
        <v/>
      </c>
      <c r="AC48" s="67" t="n"/>
      <c r="AD48" s="67" t="n"/>
      <c r="AE48" s="68" t="n"/>
      <c r="AF48" s="67" t="n"/>
      <c r="AG48" s="67" t="n"/>
      <c r="AH48" s="67" t="n"/>
      <c r="AI48" s="67" t="n"/>
      <c r="AJ48" s="67" t="n"/>
    </row>
    <row r="49" ht="15" customHeight="1" s="46">
      <c r="A49" s="69">
        <f>IFERROR(ROW()-5,"")</f>
        <v/>
      </c>
      <c r="B49" s="70" t="n"/>
      <c r="C49" s="70" t="n"/>
      <c r="D49" s="70" t="n"/>
      <c r="E49" s="70" t="n"/>
      <c r="F49" s="69" t="n"/>
      <c r="G49" s="69" t="n"/>
      <c r="H49" s="69" t="n"/>
      <c r="I49" s="70" t="n"/>
      <c r="J49" s="70" t="n"/>
      <c r="K49" s="71" t="n"/>
      <c r="L49" s="72">
        <f>IFERROR(IF(OR($K49="",$Z49=""),"",($K49-$Z49)/365.25),"")</f>
        <v/>
      </c>
      <c r="M49" s="73" t="n"/>
      <c r="N49" s="74">
        <f>IFERROR(IF(OR($M49="",$F49=""),"",$M49/$F49),"")</f>
        <v/>
      </c>
      <c r="O49" s="73" t="n"/>
      <c r="P49" s="73">
        <f>IFERROR(IF(OR($O49="",$F49=""),"",$O49/$F49),"")</f>
        <v/>
      </c>
      <c r="Q49" s="75">
        <f>IFERROR(IF(OR($M49="",$O49=""),"",$M49/$O49),"")</f>
        <v/>
      </c>
      <c r="R49" s="73" t="n"/>
      <c r="S49" s="73">
        <f>IFERROR(IF(OR($R49="",$F49=""),"",$R49/$F49),"")</f>
        <v/>
      </c>
      <c r="T49" s="75">
        <f>IFERROR(IF(OR($M49="",$R49=""),"",$M49/$R49),"")</f>
        <v/>
      </c>
      <c r="U49" s="73" t="n"/>
      <c r="V49" s="73">
        <f>IFERROR(IF(OR($U49="",$F49=""),"",$U49/$F49),"")</f>
        <v/>
      </c>
      <c r="W49" s="75">
        <f>IFERROR(IF(OR($M49="",$U49=""),"",$M49/$U49),"")</f>
        <v/>
      </c>
      <c r="X49" s="90">
        <f>IFERROR(IF(OR($W49="",$T49=""),"",($W49-$T49)*10000),"")</f>
        <v/>
      </c>
      <c r="Y49" s="70">
        <f>IFERROR(IF(OR($R49="",$O49=""),"",IF($R49=$O49,"No","Yes")),"")</f>
        <v/>
      </c>
      <c r="Z49" s="71" t="n"/>
      <c r="AA49" s="71" t="n"/>
      <c r="AB49" s="89">
        <f>IFERROR(IF(OR($Z49="",$AA49=""),"",$Z49-$AA49),"")</f>
        <v/>
      </c>
      <c r="AC49" s="67" t="n"/>
      <c r="AD49" s="67" t="n"/>
      <c r="AE49" s="68" t="n"/>
      <c r="AF49" s="67" t="n"/>
      <c r="AG49" s="67" t="n"/>
      <c r="AH49" s="67" t="n"/>
      <c r="AI49" s="67" t="n"/>
      <c r="AJ49" s="67" t="n"/>
    </row>
    <row r="50" ht="15" customHeight="1" s="46">
      <c r="A50" s="60">
        <f>IFERROR(ROW()-5,"")</f>
        <v/>
      </c>
      <c r="B50" s="61" t="n"/>
      <c r="C50" s="61" t="n"/>
      <c r="D50" s="61" t="n"/>
      <c r="E50" s="61" t="n"/>
      <c r="F50" s="60" t="n"/>
      <c r="G50" s="60" t="n"/>
      <c r="H50" s="60" t="n"/>
      <c r="I50" s="61" t="n"/>
      <c r="J50" s="61" t="n"/>
      <c r="K50" s="62" t="n"/>
      <c r="L50" s="63">
        <f>IFERROR(IF(OR($K50="",$Z50=""),"",($K50-$Z50)/365.25),"")</f>
        <v/>
      </c>
      <c r="M50" s="64" t="n"/>
      <c r="N50" s="65">
        <f>IFERROR(IF(OR($M50="",$F50=""),"",$M50/$F50),"")</f>
        <v/>
      </c>
      <c r="O50" s="64" t="n"/>
      <c r="P50" s="64">
        <f>IFERROR(IF(OR($O50="",$F50=""),"",$O50/$F50),"")</f>
        <v/>
      </c>
      <c r="Q50" s="66">
        <f>IFERROR(IF(OR($M50="",$O50=""),"",$M50/$O50),"")</f>
        <v/>
      </c>
      <c r="R50" s="64" t="n"/>
      <c r="S50" s="64">
        <f>IFERROR(IF(OR($R50="",$F50=""),"",$R50/$F50),"")</f>
        <v/>
      </c>
      <c r="T50" s="66">
        <f>IFERROR(IF(OR($M50="",$R50=""),"",$M50/$R50),"")</f>
        <v/>
      </c>
      <c r="U50" s="64" t="n"/>
      <c r="V50" s="64">
        <f>IFERROR(IF(OR($U50="",$F50=""),"",$U50/$F50),"")</f>
        <v/>
      </c>
      <c r="W50" s="66">
        <f>IFERROR(IF(OR($M50="",$U50=""),"",$M50/$U50),"")</f>
        <v/>
      </c>
      <c r="X50" s="88">
        <f>IFERROR(IF(OR($W50="",$T50=""),"",($W50-$T50)*10000),"")</f>
        <v/>
      </c>
      <c r="Y50" s="61">
        <f>IFERROR(IF(OR($R50="",$O50=""),"",IF($R50=$O50,"No","Yes")),"")</f>
        <v/>
      </c>
      <c r="Z50" s="62" t="n"/>
      <c r="AA50" s="62" t="n"/>
      <c r="AB50" s="89">
        <f>IFERROR(IF(OR($Z50="",$AA50=""),"",$Z50-$AA50),"")</f>
        <v/>
      </c>
      <c r="AC50" s="67" t="n"/>
      <c r="AD50" s="67" t="n"/>
      <c r="AE50" s="68" t="n"/>
      <c r="AF50" s="67" t="n"/>
      <c r="AG50" s="67" t="n"/>
      <c r="AH50" s="67" t="n"/>
      <c r="AI50" s="67" t="n"/>
      <c r="AJ50" s="67" t="n"/>
    </row>
    <row r="51" ht="15" customHeight="1" s="46">
      <c r="A51" s="69">
        <f>IFERROR(ROW()-5,"")</f>
        <v/>
      </c>
      <c r="B51" s="70" t="n"/>
      <c r="C51" s="70" t="n"/>
      <c r="D51" s="70" t="n"/>
      <c r="E51" s="70" t="n"/>
      <c r="F51" s="69" t="n"/>
      <c r="G51" s="69" t="n"/>
      <c r="H51" s="69" t="n"/>
      <c r="I51" s="70" t="n"/>
      <c r="J51" s="70" t="n"/>
      <c r="K51" s="71" t="n"/>
      <c r="L51" s="72">
        <f>IFERROR(IF(OR($K51="",$Z51=""),"",($K51-$Z51)/365.25),"")</f>
        <v/>
      </c>
      <c r="M51" s="73" t="n"/>
      <c r="N51" s="74">
        <f>IFERROR(IF(OR($M51="",$F51=""),"",$M51/$F51),"")</f>
        <v/>
      </c>
      <c r="O51" s="73" t="n"/>
      <c r="P51" s="73">
        <f>IFERROR(IF(OR($O51="",$F51=""),"",$O51/$F51),"")</f>
        <v/>
      </c>
      <c r="Q51" s="75">
        <f>IFERROR(IF(OR($M51="",$O51=""),"",$M51/$O51),"")</f>
        <v/>
      </c>
      <c r="R51" s="73" t="n"/>
      <c r="S51" s="73">
        <f>IFERROR(IF(OR($R51="",$F51=""),"",$R51/$F51),"")</f>
        <v/>
      </c>
      <c r="T51" s="75">
        <f>IFERROR(IF(OR($M51="",$R51=""),"",$M51/$R51),"")</f>
        <v/>
      </c>
      <c r="U51" s="73" t="n"/>
      <c r="V51" s="73">
        <f>IFERROR(IF(OR($U51="",$F51=""),"",$U51/$F51),"")</f>
        <v/>
      </c>
      <c r="W51" s="75">
        <f>IFERROR(IF(OR($M51="",$U51=""),"",$M51/$U51),"")</f>
        <v/>
      </c>
      <c r="X51" s="90">
        <f>IFERROR(IF(OR($W51="",$T51=""),"",($W51-$T51)*10000),"")</f>
        <v/>
      </c>
      <c r="Y51" s="70">
        <f>IFERROR(IF(OR($R51="",$O51=""),"",IF($R51=$O51,"No","Yes")),"")</f>
        <v/>
      </c>
      <c r="Z51" s="71" t="n"/>
      <c r="AA51" s="71" t="n"/>
      <c r="AB51" s="89">
        <f>IFERROR(IF(OR($Z51="",$AA51=""),"",$Z51-$AA51),"")</f>
        <v/>
      </c>
      <c r="AC51" s="67" t="n"/>
      <c r="AD51" s="67" t="n"/>
      <c r="AE51" s="68" t="n"/>
      <c r="AF51" s="67" t="n"/>
      <c r="AG51" s="67" t="n"/>
      <c r="AH51" s="67" t="n"/>
      <c r="AI51" s="67" t="n"/>
      <c r="AJ51" s="67" t="n"/>
    </row>
    <row r="52" ht="15" customHeight="1" s="46">
      <c r="A52" s="60">
        <f>IFERROR(ROW()-5,"")</f>
        <v/>
      </c>
      <c r="B52" s="61" t="n"/>
      <c r="C52" s="61" t="n"/>
      <c r="D52" s="61" t="n"/>
      <c r="E52" s="61" t="n"/>
      <c r="F52" s="60" t="n"/>
      <c r="G52" s="60" t="n"/>
      <c r="H52" s="60" t="n"/>
      <c r="I52" s="61" t="n"/>
      <c r="J52" s="61" t="n"/>
      <c r="K52" s="62" t="n"/>
      <c r="L52" s="63">
        <f>IFERROR(IF(OR($K52="",$Z52=""),"",($K52-$Z52)/365.25),"")</f>
        <v/>
      </c>
      <c r="M52" s="64" t="n"/>
      <c r="N52" s="65">
        <f>IFERROR(IF(OR($M52="",$F52=""),"",$M52/$F52),"")</f>
        <v/>
      </c>
      <c r="O52" s="64" t="n"/>
      <c r="P52" s="64">
        <f>IFERROR(IF(OR($O52="",$F52=""),"",$O52/$F52),"")</f>
        <v/>
      </c>
      <c r="Q52" s="66">
        <f>IFERROR(IF(OR($M52="",$O52=""),"",$M52/$O52),"")</f>
        <v/>
      </c>
      <c r="R52" s="64" t="n"/>
      <c r="S52" s="64">
        <f>IFERROR(IF(OR($R52="",$F52=""),"",$R52/$F52),"")</f>
        <v/>
      </c>
      <c r="T52" s="66">
        <f>IFERROR(IF(OR($M52="",$R52=""),"",$M52/$R52),"")</f>
        <v/>
      </c>
      <c r="U52" s="64" t="n"/>
      <c r="V52" s="64">
        <f>IFERROR(IF(OR($U52="",$F52=""),"",$U52/$F52),"")</f>
        <v/>
      </c>
      <c r="W52" s="66">
        <f>IFERROR(IF(OR($M52="",$U52=""),"",$M52/$U52),"")</f>
        <v/>
      </c>
      <c r="X52" s="88">
        <f>IFERROR(IF(OR($W52="",$T52=""),"",($W52-$T52)*10000),"")</f>
        <v/>
      </c>
      <c r="Y52" s="61">
        <f>IFERROR(IF(OR($R52="",$O52=""),"",IF($R52=$O52,"No","Yes")),"")</f>
        <v/>
      </c>
      <c r="Z52" s="62" t="n"/>
      <c r="AA52" s="62" t="n"/>
      <c r="AB52" s="89">
        <f>IFERROR(IF(OR($Z52="",$AA52=""),"",$Z52-$AA52),"")</f>
        <v/>
      </c>
      <c r="AC52" s="67" t="n"/>
      <c r="AD52" s="67" t="n"/>
      <c r="AE52" s="68" t="n"/>
      <c r="AF52" s="67" t="n"/>
      <c r="AG52" s="67" t="n"/>
      <c r="AH52" s="67" t="n"/>
      <c r="AI52" s="67" t="n"/>
      <c r="AJ52" s="67" t="n"/>
    </row>
    <row r="53" ht="15" customHeight="1" s="46">
      <c r="A53" s="69">
        <f>IFERROR(ROW()-5,"")</f>
        <v/>
      </c>
      <c r="B53" s="70" t="n"/>
      <c r="C53" s="70" t="n"/>
      <c r="D53" s="70" t="n"/>
      <c r="E53" s="70" t="n"/>
      <c r="F53" s="69" t="n"/>
      <c r="G53" s="69" t="n"/>
      <c r="H53" s="69" t="n"/>
      <c r="I53" s="70" t="n"/>
      <c r="J53" s="70" t="n"/>
      <c r="K53" s="71" t="n"/>
      <c r="L53" s="72">
        <f>IFERROR(IF(OR($K53="",$Z53=""),"",($K53-$Z53)/365.25),"")</f>
        <v/>
      </c>
      <c r="M53" s="73" t="n"/>
      <c r="N53" s="74">
        <f>IFERROR(IF(OR($M53="",$F53=""),"",$M53/$F53),"")</f>
        <v/>
      </c>
      <c r="O53" s="73" t="n"/>
      <c r="P53" s="73">
        <f>IFERROR(IF(OR($O53="",$F53=""),"",$O53/$F53),"")</f>
        <v/>
      </c>
      <c r="Q53" s="75">
        <f>IFERROR(IF(OR($M53="",$O53=""),"",$M53/$O53),"")</f>
        <v/>
      </c>
      <c r="R53" s="73" t="n"/>
      <c r="S53" s="73">
        <f>IFERROR(IF(OR($R53="",$F53=""),"",$R53/$F53),"")</f>
        <v/>
      </c>
      <c r="T53" s="75">
        <f>IFERROR(IF(OR($M53="",$R53=""),"",$M53/$R53),"")</f>
        <v/>
      </c>
      <c r="U53" s="73" t="n"/>
      <c r="V53" s="73">
        <f>IFERROR(IF(OR($U53="",$F53=""),"",$U53/$F53),"")</f>
        <v/>
      </c>
      <c r="W53" s="75">
        <f>IFERROR(IF(OR($M53="",$U53=""),"",$M53/$U53),"")</f>
        <v/>
      </c>
      <c r="X53" s="90">
        <f>IFERROR(IF(OR($W53="",$T53=""),"",($W53-$T53)*10000),"")</f>
        <v/>
      </c>
      <c r="Y53" s="70">
        <f>IFERROR(IF(OR($R53="",$O53=""),"",IF($R53=$O53,"No","Yes")),"")</f>
        <v/>
      </c>
      <c r="Z53" s="71" t="n"/>
      <c r="AA53" s="71" t="n"/>
      <c r="AB53" s="89">
        <f>IFERROR(IF(OR($Z53="",$AA53=""),"",$Z53-$AA53),"")</f>
        <v/>
      </c>
      <c r="AC53" s="67" t="n"/>
      <c r="AD53" s="67" t="n"/>
      <c r="AE53" s="68" t="n"/>
      <c r="AF53" s="67" t="n"/>
      <c r="AG53" s="67" t="n"/>
      <c r="AH53" s="67" t="n"/>
      <c r="AI53" s="67" t="n"/>
      <c r="AJ53" s="67" t="n"/>
    </row>
    <row r="54" ht="15" customHeight="1" s="46">
      <c r="A54" s="60">
        <f>IFERROR(ROW()-5,"")</f>
        <v/>
      </c>
      <c r="B54" s="61" t="n"/>
      <c r="C54" s="61" t="n"/>
      <c r="D54" s="61" t="n"/>
      <c r="E54" s="61" t="n"/>
      <c r="F54" s="60" t="n"/>
      <c r="G54" s="60" t="n"/>
      <c r="H54" s="60" t="n"/>
      <c r="I54" s="61" t="n"/>
      <c r="J54" s="61" t="n"/>
      <c r="K54" s="62" t="n"/>
      <c r="L54" s="63">
        <f>IFERROR(IF(OR($K54="",$Z54=""),"",($K54-$Z54)/365.25),"")</f>
        <v/>
      </c>
      <c r="M54" s="64" t="n"/>
      <c r="N54" s="65">
        <f>IFERROR(IF(OR($M54="",$F54=""),"",$M54/$F54),"")</f>
        <v/>
      </c>
      <c r="O54" s="64" t="n"/>
      <c r="P54" s="64">
        <f>IFERROR(IF(OR($O54="",$F54=""),"",$O54/$F54),"")</f>
        <v/>
      </c>
      <c r="Q54" s="66">
        <f>IFERROR(IF(OR($M54="",$O54=""),"",$M54/$O54),"")</f>
        <v/>
      </c>
      <c r="R54" s="64" t="n"/>
      <c r="S54" s="64">
        <f>IFERROR(IF(OR($R54="",$F54=""),"",$R54/$F54),"")</f>
        <v/>
      </c>
      <c r="T54" s="66">
        <f>IFERROR(IF(OR($M54="",$R54=""),"",$M54/$R54),"")</f>
        <v/>
      </c>
      <c r="U54" s="64" t="n"/>
      <c r="V54" s="64">
        <f>IFERROR(IF(OR($U54="",$F54=""),"",$U54/$F54),"")</f>
        <v/>
      </c>
      <c r="W54" s="66">
        <f>IFERROR(IF(OR($M54="",$U54=""),"",$M54/$U54),"")</f>
        <v/>
      </c>
      <c r="X54" s="88">
        <f>IFERROR(IF(OR($W54="",$T54=""),"",($W54-$T54)*10000),"")</f>
        <v/>
      </c>
      <c r="Y54" s="61">
        <f>IFERROR(IF(OR($R54="",$O54=""),"",IF($R54=$O54,"No","Yes")),"")</f>
        <v/>
      </c>
      <c r="Z54" s="62" t="n"/>
      <c r="AA54" s="62" t="n"/>
      <c r="AB54" s="89">
        <f>IFERROR(IF(OR($Z54="",$AA54=""),"",$Z54-$AA54),"")</f>
        <v/>
      </c>
      <c r="AC54" s="67" t="n"/>
      <c r="AD54" s="67" t="n"/>
      <c r="AE54" s="68" t="n"/>
      <c r="AF54" s="67" t="n"/>
      <c r="AG54" s="67" t="n"/>
      <c r="AH54" s="67" t="n"/>
      <c r="AI54" s="67" t="n"/>
      <c r="AJ54" s="67" t="n"/>
    </row>
    <row r="55" ht="15" customHeight="1" s="46">
      <c r="A55" s="69">
        <f>IFERROR(ROW()-5,"")</f>
        <v/>
      </c>
      <c r="B55" s="70" t="n"/>
      <c r="C55" s="70" t="n"/>
      <c r="D55" s="70" t="n"/>
      <c r="E55" s="70" t="n"/>
      <c r="F55" s="69" t="n"/>
      <c r="G55" s="69" t="n"/>
      <c r="H55" s="69" t="n"/>
      <c r="I55" s="70" t="n"/>
      <c r="J55" s="70" t="n"/>
      <c r="K55" s="71" t="n"/>
      <c r="L55" s="72">
        <f>IFERROR(IF(OR($K55="",$Z55=""),"",($K55-$Z55)/365.25),"")</f>
        <v/>
      </c>
      <c r="M55" s="73" t="n"/>
      <c r="N55" s="74">
        <f>IFERROR(IF(OR($M55="",$F55=""),"",$M55/$F55),"")</f>
        <v/>
      </c>
      <c r="O55" s="73" t="n"/>
      <c r="P55" s="73">
        <f>IFERROR(IF(OR($O55="",$F55=""),"",$O55/$F55),"")</f>
        <v/>
      </c>
      <c r="Q55" s="75">
        <f>IFERROR(IF(OR($M55="",$O55=""),"",$M55/$O55),"")</f>
        <v/>
      </c>
      <c r="R55" s="73" t="n"/>
      <c r="S55" s="73">
        <f>IFERROR(IF(OR($R55="",$F55=""),"",$R55/$F55),"")</f>
        <v/>
      </c>
      <c r="T55" s="75">
        <f>IFERROR(IF(OR($M55="",$R55=""),"",$M55/$R55),"")</f>
        <v/>
      </c>
      <c r="U55" s="73" t="n"/>
      <c r="V55" s="73">
        <f>IFERROR(IF(OR($U55="",$F55=""),"",$U55/$F55),"")</f>
        <v/>
      </c>
      <c r="W55" s="75">
        <f>IFERROR(IF(OR($M55="",$U55=""),"",$M55/$U55),"")</f>
        <v/>
      </c>
      <c r="X55" s="90">
        <f>IFERROR(IF(OR($W55="",$T55=""),"",($W55-$T55)*10000),"")</f>
        <v/>
      </c>
      <c r="Y55" s="70">
        <f>IFERROR(IF(OR($R55="",$O55=""),"",IF($R55=$O55,"No","Yes")),"")</f>
        <v/>
      </c>
      <c r="Z55" s="71" t="n"/>
      <c r="AA55" s="71" t="n"/>
      <c r="AB55" s="89">
        <f>IFERROR(IF(OR($Z55="",$AA55=""),"",$Z55-$AA55),"")</f>
        <v/>
      </c>
      <c r="AC55" s="67" t="n"/>
      <c r="AD55" s="67" t="n"/>
      <c r="AE55" s="68" t="n"/>
      <c r="AF55" s="67" t="n"/>
      <c r="AG55" s="67" t="n"/>
      <c r="AH55" s="67" t="n"/>
      <c r="AI55" s="67" t="n"/>
      <c r="AJ55" s="67" t="n"/>
    </row>
    <row r="56" ht="15" customHeight="1" s="46">
      <c r="A56" s="60">
        <f>IFERROR(ROW()-5,"")</f>
        <v/>
      </c>
      <c r="B56" s="61" t="n"/>
      <c r="C56" s="61" t="n"/>
      <c r="D56" s="61" t="n"/>
      <c r="E56" s="61" t="n"/>
      <c r="F56" s="60" t="n"/>
      <c r="G56" s="60" t="n"/>
      <c r="H56" s="60" t="n"/>
      <c r="I56" s="61" t="n"/>
      <c r="J56" s="61" t="n"/>
      <c r="K56" s="62" t="n"/>
      <c r="L56" s="63">
        <f>IFERROR(IF(OR($K56="",$Z56=""),"",($K56-$Z56)/365.25),"")</f>
        <v/>
      </c>
      <c r="M56" s="64" t="n"/>
      <c r="N56" s="65">
        <f>IFERROR(IF(OR($M56="",$F56=""),"",$M56/$F56),"")</f>
        <v/>
      </c>
      <c r="O56" s="64" t="n"/>
      <c r="P56" s="64">
        <f>IFERROR(IF(OR($O56="",$F56=""),"",$O56/$F56),"")</f>
        <v/>
      </c>
      <c r="Q56" s="66">
        <f>IFERROR(IF(OR($M56="",$O56=""),"",$M56/$O56),"")</f>
        <v/>
      </c>
      <c r="R56" s="64" t="n"/>
      <c r="S56" s="64">
        <f>IFERROR(IF(OR($R56="",$F56=""),"",$R56/$F56),"")</f>
        <v/>
      </c>
      <c r="T56" s="66">
        <f>IFERROR(IF(OR($M56="",$R56=""),"",$M56/$R56),"")</f>
        <v/>
      </c>
      <c r="U56" s="64" t="n"/>
      <c r="V56" s="64">
        <f>IFERROR(IF(OR($U56="",$F56=""),"",$U56/$F56),"")</f>
        <v/>
      </c>
      <c r="W56" s="66">
        <f>IFERROR(IF(OR($M56="",$U56=""),"",$M56/$U56),"")</f>
        <v/>
      </c>
      <c r="X56" s="88">
        <f>IFERROR(IF(OR($W56="",$T56=""),"",($W56-$T56)*10000),"")</f>
        <v/>
      </c>
      <c r="Y56" s="61">
        <f>IFERROR(IF(OR($R56="",$O56=""),"",IF($R56=$O56,"No","Yes")),"")</f>
        <v/>
      </c>
      <c r="Z56" s="62" t="n"/>
      <c r="AA56" s="62" t="n"/>
      <c r="AB56" s="89">
        <f>IFERROR(IF(OR($Z56="",$AA56=""),"",$Z56-$AA56),"")</f>
        <v/>
      </c>
      <c r="AC56" s="67" t="n"/>
      <c r="AD56" s="67" t="n"/>
      <c r="AE56" s="68" t="n"/>
      <c r="AF56" s="67" t="n"/>
      <c r="AG56" s="67" t="n"/>
      <c r="AH56" s="67" t="n"/>
      <c r="AI56" s="67" t="n"/>
      <c r="AJ56" s="67" t="n"/>
    </row>
    <row r="57" ht="15" customHeight="1" s="46">
      <c r="A57" s="69">
        <f>IFERROR(ROW()-5,"")</f>
        <v/>
      </c>
      <c r="B57" s="70" t="n"/>
      <c r="C57" s="70" t="n"/>
      <c r="D57" s="70" t="n"/>
      <c r="E57" s="70" t="n"/>
      <c r="F57" s="69" t="n"/>
      <c r="G57" s="69" t="n"/>
      <c r="H57" s="69" t="n"/>
      <c r="I57" s="70" t="n"/>
      <c r="J57" s="70" t="n"/>
      <c r="K57" s="71" t="n"/>
      <c r="L57" s="72">
        <f>IFERROR(IF(OR($K57="",$Z57=""),"",($K57-$Z57)/365.25),"")</f>
        <v/>
      </c>
      <c r="M57" s="73" t="n"/>
      <c r="N57" s="74">
        <f>IFERROR(IF(OR($M57="",$F57=""),"",$M57/$F57),"")</f>
        <v/>
      </c>
      <c r="O57" s="73" t="n"/>
      <c r="P57" s="73">
        <f>IFERROR(IF(OR($O57="",$F57=""),"",$O57/$F57),"")</f>
        <v/>
      </c>
      <c r="Q57" s="75">
        <f>IFERROR(IF(OR($M57="",$O57=""),"",$M57/$O57),"")</f>
        <v/>
      </c>
      <c r="R57" s="73" t="n"/>
      <c r="S57" s="73">
        <f>IFERROR(IF(OR($R57="",$F57=""),"",$R57/$F57),"")</f>
        <v/>
      </c>
      <c r="T57" s="75">
        <f>IFERROR(IF(OR($M57="",$R57=""),"",$M57/$R57),"")</f>
        <v/>
      </c>
      <c r="U57" s="73" t="n"/>
      <c r="V57" s="73">
        <f>IFERROR(IF(OR($U57="",$F57=""),"",$U57/$F57),"")</f>
        <v/>
      </c>
      <c r="W57" s="75">
        <f>IFERROR(IF(OR($M57="",$U57=""),"",$M57/$U57),"")</f>
        <v/>
      </c>
      <c r="X57" s="90">
        <f>IFERROR(IF(OR($W57="",$T57=""),"",($W57-$T57)*10000),"")</f>
        <v/>
      </c>
      <c r="Y57" s="70">
        <f>IFERROR(IF(OR($R57="",$O57=""),"",IF($R57=$O57,"No","Yes")),"")</f>
        <v/>
      </c>
      <c r="Z57" s="71" t="n"/>
      <c r="AA57" s="71" t="n"/>
      <c r="AB57" s="89">
        <f>IFERROR(IF(OR($Z57="",$AA57=""),"",$Z57-$AA57),"")</f>
        <v/>
      </c>
      <c r="AC57" s="67" t="n"/>
      <c r="AD57" s="67" t="n"/>
      <c r="AE57" s="68" t="n"/>
      <c r="AF57" s="67" t="n"/>
      <c r="AG57" s="67" t="n"/>
      <c r="AH57" s="67" t="n"/>
      <c r="AI57" s="67" t="n"/>
      <c r="AJ57" s="67" t="n"/>
    </row>
    <row r="58" ht="15" customHeight="1" s="46">
      <c r="A58" s="60">
        <f>IFERROR(ROW()-5,"")</f>
        <v/>
      </c>
      <c r="B58" s="61" t="n"/>
      <c r="C58" s="61" t="n"/>
      <c r="D58" s="61" t="n"/>
      <c r="E58" s="61" t="n"/>
      <c r="F58" s="60" t="n"/>
      <c r="G58" s="60" t="n"/>
      <c r="H58" s="60" t="n"/>
      <c r="I58" s="61" t="n"/>
      <c r="J58" s="61" t="n"/>
      <c r="K58" s="62" t="n"/>
      <c r="L58" s="63">
        <f>IFERROR(IF(OR($K58="",$Z58=""),"",($K58-$Z58)/365.25),"")</f>
        <v/>
      </c>
      <c r="M58" s="64" t="n"/>
      <c r="N58" s="65">
        <f>IFERROR(IF(OR($M58="",$F58=""),"",$M58/$F58),"")</f>
        <v/>
      </c>
      <c r="O58" s="64" t="n"/>
      <c r="P58" s="64">
        <f>IFERROR(IF(OR($O58="",$F58=""),"",$O58/$F58),"")</f>
        <v/>
      </c>
      <c r="Q58" s="66">
        <f>IFERROR(IF(OR($M58="",$O58=""),"",$M58/$O58),"")</f>
        <v/>
      </c>
      <c r="R58" s="64" t="n"/>
      <c r="S58" s="64">
        <f>IFERROR(IF(OR($R58="",$F58=""),"",$R58/$F58),"")</f>
        <v/>
      </c>
      <c r="T58" s="66">
        <f>IFERROR(IF(OR($M58="",$R58=""),"",$M58/$R58),"")</f>
        <v/>
      </c>
      <c r="U58" s="64" t="n"/>
      <c r="V58" s="64">
        <f>IFERROR(IF(OR($U58="",$F58=""),"",$U58/$F58),"")</f>
        <v/>
      </c>
      <c r="W58" s="66">
        <f>IFERROR(IF(OR($M58="",$U58=""),"",$M58/$U58),"")</f>
        <v/>
      </c>
      <c r="X58" s="88">
        <f>IFERROR(IF(OR($W58="",$T58=""),"",($W58-$T58)*10000),"")</f>
        <v/>
      </c>
      <c r="Y58" s="61">
        <f>IFERROR(IF(OR($R58="",$O58=""),"",IF($R58=$O58,"No","Yes")),"")</f>
        <v/>
      </c>
      <c r="Z58" s="62" t="n"/>
      <c r="AA58" s="62" t="n"/>
      <c r="AB58" s="89">
        <f>IFERROR(IF(OR($Z58="",$AA58=""),"",$Z58-$AA58),"")</f>
        <v/>
      </c>
      <c r="AC58" s="67" t="n"/>
      <c r="AD58" s="67" t="n"/>
      <c r="AE58" s="68" t="n"/>
      <c r="AF58" s="67" t="n"/>
      <c r="AG58" s="67" t="n"/>
      <c r="AH58" s="67" t="n"/>
      <c r="AI58" s="67" t="n"/>
      <c r="AJ58" s="67" t="n"/>
    </row>
    <row r="59" ht="15" customHeight="1" s="46">
      <c r="A59" s="69">
        <f>IFERROR(ROW()-5,"")</f>
        <v/>
      </c>
      <c r="B59" s="70" t="n"/>
      <c r="C59" s="70" t="n"/>
      <c r="D59" s="70" t="n"/>
      <c r="E59" s="70" t="n"/>
      <c r="F59" s="69" t="n"/>
      <c r="G59" s="69" t="n"/>
      <c r="H59" s="69" t="n"/>
      <c r="I59" s="70" t="n"/>
      <c r="J59" s="70" t="n"/>
      <c r="K59" s="71" t="n"/>
      <c r="L59" s="72">
        <f>IFERROR(IF(OR($K59="",$Z59=""),"",($K59-$Z59)/365.25),"")</f>
        <v/>
      </c>
      <c r="M59" s="73" t="n"/>
      <c r="N59" s="74">
        <f>IFERROR(IF(OR($M59="",$F59=""),"",$M59/$F59),"")</f>
        <v/>
      </c>
      <c r="O59" s="73" t="n"/>
      <c r="P59" s="73">
        <f>IFERROR(IF(OR($O59="",$F59=""),"",$O59/$F59),"")</f>
        <v/>
      </c>
      <c r="Q59" s="75">
        <f>IFERROR(IF(OR($M59="",$O59=""),"",$M59/$O59),"")</f>
        <v/>
      </c>
      <c r="R59" s="73" t="n"/>
      <c r="S59" s="73">
        <f>IFERROR(IF(OR($R59="",$F59=""),"",$R59/$F59),"")</f>
        <v/>
      </c>
      <c r="T59" s="75">
        <f>IFERROR(IF(OR($M59="",$R59=""),"",$M59/$R59),"")</f>
        <v/>
      </c>
      <c r="U59" s="73" t="n"/>
      <c r="V59" s="73">
        <f>IFERROR(IF(OR($U59="",$F59=""),"",$U59/$F59),"")</f>
        <v/>
      </c>
      <c r="W59" s="75">
        <f>IFERROR(IF(OR($M59="",$U59=""),"",$M59/$U59),"")</f>
        <v/>
      </c>
      <c r="X59" s="90">
        <f>IFERROR(IF(OR($W59="",$T59=""),"",($W59-$T59)*10000),"")</f>
        <v/>
      </c>
      <c r="Y59" s="70">
        <f>IFERROR(IF(OR($R59="",$O59=""),"",IF($R59=$O59,"No","Yes")),"")</f>
        <v/>
      </c>
      <c r="Z59" s="71" t="n"/>
      <c r="AA59" s="71" t="n"/>
      <c r="AB59" s="89">
        <f>IFERROR(IF(OR($Z59="",$AA59=""),"",$Z59-$AA59),"")</f>
        <v/>
      </c>
      <c r="AC59" s="67" t="n"/>
      <c r="AD59" s="67" t="n"/>
      <c r="AE59" s="68" t="n"/>
      <c r="AF59" s="67" t="n"/>
      <c r="AG59" s="67" t="n"/>
      <c r="AH59" s="67" t="n"/>
      <c r="AI59" s="67" t="n"/>
      <c r="AJ59" s="67" t="n"/>
    </row>
    <row r="60" ht="15" customHeight="1" s="46">
      <c r="A60" s="60">
        <f>IFERROR(ROW()-5,"")</f>
        <v/>
      </c>
      <c r="B60" s="61" t="n"/>
      <c r="C60" s="61" t="n"/>
      <c r="D60" s="61" t="n"/>
      <c r="E60" s="61" t="n"/>
      <c r="F60" s="60" t="n"/>
      <c r="G60" s="60" t="n"/>
      <c r="H60" s="60" t="n"/>
      <c r="I60" s="61" t="n"/>
      <c r="J60" s="61" t="n"/>
      <c r="K60" s="62" t="n"/>
      <c r="L60" s="63">
        <f>IFERROR(IF(OR($K60="",$Z60=""),"",($K60-$Z60)/365.25),"")</f>
        <v/>
      </c>
      <c r="M60" s="64" t="n"/>
      <c r="N60" s="65">
        <f>IFERROR(IF(OR($M60="",$F60=""),"",$M60/$F60),"")</f>
        <v/>
      </c>
      <c r="O60" s="64" t="n"/>
      <c r="P60" s="64">
        <f>IFERROR(IF(OR($O60="",$F60=""),"",$O60/$F60),"")</f>
        <v/>
      </c>
      <c r="Q60" s="66">
        <f>IFERROR(IF(OR($M60="",$O60=""),"",$M60/$O60),"")</f>
        <v/>
      </c>
      <c r="R60" s="64" t="n"/>
      <c r="S60" s="64">
        <f>IFERROR(IF(OR($R60="",$F60=""),"",$R60/$F60),"")</f>
        <v/>
      </c>
      <c r="T60" s="66">
        <f>IFERROR(IF(OR($M60="",$R60=""),"",$M60/$R60),"")</f>
        <v/>
      </c>
      <c r="U60" s="64" t="n"/>
      <c r="V60" s="64">
        <f>IFERROR(IF(OR($U60="",$F60=""),"",$U60/$F60),"")</f>
        <v/>
      </c>
      <c r="W60" s="66">
        <f>IFERROR(IF(OR($M60="",$U60=""),"",$M60/$U60),"")</f>
        <v/>
      </c>
      <c r="X60" s="88">
        <f>IFERROR(IF(OR($W60="",$T60=""),"",($W60-$T60)*10000),"")</f>
        <v/>
      </c>
      <c r="Y60" s="61">
        <f>IFERROR(IF(OR($R60="",$O60=""),"",IF($R60=$O60,"No","Yes")),"")</f>
        <v/>
      </c>
      <c r="Z60" s="62" t="n"/>
      <c r="AA60" s="62" t="n"/>
      <c r="AB60" s="89">
        <f>IFERROR(IF(OR($Z60="",$AA60=""),"",$Z60-$AA60),"")</f>
        <v/>
      </c>
      <c r="AC60" s="67" t="n"/>
      <c r="AD60" s="67" t="n"/>
      <c r="AE60" s="68" t="n"/>
      <c r="AF60" s="67" t="n"/>
      <c r="AG60" s="67" t="n"/>
      <c r="AH60" s="67" t="n"/>
      <c r="AI60" s="67" t="n"/>
      <c r="AJ60" s="67" t="n"/>
    </row>
    <row r="61" ht="15" customHeight="1" s="46">
      <c r="A61" s="69">
        <f>IFERROR(ROW()-5,"")</f>
        <v/>
      </c>
      <c r="B61" s="70" t="n"/>
      <c r="C61" s="70" t="n"/>
      <c r="D61" s="70" t="n"/>
      <c r="E61" s="70" t="n"/>
      <c r="F61" s="69" t="n"/>
      <c r="G61" s="69" t="n"/>
      <c r="H61" s="69" t="n"/>
      <c r="I61" s="70" t="n"/>
      <c r="J61" s="70" t="n"/>
      <c r="K61" s="71" t="n"/>
      <c r="L61" s="72">
        <f>IFERROR(IF(OR($K61="",$Z61=""),"",($K61-$Z61)/365.25),"")</f>
        <v/>
      </c>
      <c r="M61" s="73" t="n"/>
      <c r="N61" s="74">
        <f>IFERROR(IF(OR($M61="",$F61=""),"",$M61/$F61),"")</f>
        <v/>
      </c>
      <c r="O61" s="73" t="n"/>
      <c r="P61" s="73">
        <f>IFERROR(IF(OR($O61="",$F61=""),"",$O61/$F61),"")</f>
        <v/>
      </c>
      <c r="Q61" s="75">
        <f>IFERROR(IF(OR($M61="",$O61=""),"",$M61/$O61),"")</f>
        <v/>
      </c>
      <c r="R61" s="73" t="n"/>
      <c r="S61" s="73">
        <f>IFERROR(IF(OR($R61="",$F61=""),"",$R61/$F61),"")</f>
        <v/>
      </c>
      <c r="T61" s="75">
        <f>IFERROR(IF(OR($M61="",$R61=""),"",$M61/$R61),"")</f>
        <v/>
      </c>
      <c r="U61" s="73" t="n"/>
      <c r="V61" s="73">
        <f>IFERROR(IF(OR($U61="",$F61=""),"",$U61/$F61),"")</f>
        <v/>
      </c>
      <c r="W61" s="75">
        <f>IFERROR(IF(OR($M61="",$U61=""),"",$M61/$U61),"")</f>
        <v/>
      </c>
      <c r="X61" s="90">
        <f>IFERROR(IF(OR($W61="",$T61=""),"",($W61-$T61)*10000),"")</f>
        <v/>
      </c>
      <c r="Y61" s="70">
        <f>IFERROR(IF(OR($R61="",$O61=""),"",IF($R61=$O61,"No","Yes")),"")</f>
        <v/>
      </c>
      <c r="Z61" s="71" t="n"/>
      <c r="AA61" s="71" t="n"/>
      <c r="AB61" s="89">
        <f>IFERROR(IF(OR($Z61="",$AA61=""),"",$Z61-$AA61),"")</f>
        <v/>
      </c>
      <c r="AC61" s="67" t="n"/>
      <c r="AD61" s="67" t="n"/>
      <c r="AE61" s="68" t="n"/>
      <c r="AF61" s="67" t="n"/>
      <c r="AG61" s="67" t="n"/>
      <c r="AH61" s="67" t="n"/>
      <c r="AI61" s="67" t="n"/>
      <c r="AJ61" s="67" t="n"/>
    </row>
    <row r="62" ht="15" customHeight="1" s="46">
      <c r="A62" s="60">
        <f>IFERROR(ROW()-5,"")</f>
        <v/>
      </c>
      <c r="B62" s="61" t="n"/>
      <c r="C62" s="61" t="n"/>
      <c r="D62" s="61" t="n"/>
      <c r="E62" s="61" t="n"/>
      <c r="F62" s="60" t="n"/>
      <c r="G62" s="60" t="n"/>
      <c r="H62" s="60" t="n"/>
      <c r="I62" s="61" t="n"/>
      <c r="J62" s="61" t="n"/>
      <c r="K62" s="62" t="n"/>
      <c r="L62" s="63">
        <f>IFERROR(IF(OR($K62="",$Z62=""),"",($K62-$Z62)/365.25),"")</f>
        <v/>
      </c>
      <c r="M62" s="64" t="n"/>
      <c r="N62" s="65">
        <f>IFERROR(IF(OR($M62="",$F62=""),"",$M62/$F62),"")</f>
        <v/>
      </c>
      <c r="O62" s="64" t="n"/>
      <c r="P62" s="64">
        <f>IFERROR(IF(OR($O62="",$F62=""),"",$O62/$F62),"")</f>
        <v/>
      </c>
      <c r="Q62" s="66">
        <f>IFERROR(IF(OR($M62="",$O62=""),"",$M62/$O62),"")</f>
        <v/>
      </c>
      <c r="R62" s="64" t="n"/>
      <c r="S62" s="64">
        <f>IFERROR(IF(OR($R62="",$F62=""),"",$R62/$F62),"")</f>
        <v/>
      </c>
      <c r="T62" s="66">
        <f>IFERROR(IF(OR($M62="",$R62=""),"",$M62/$R62),"")</f>
        <v/>
      </c>
      <c r="U62" s="64" t="n"/>
      <c r="V62" s="64">
        <f>IFERROR(IF(OR($U62="",$F62=""),"",$U62/$F62),"")</f>
        <v/>
      </c>
      <c r="W62" s="66">
        <f>IFERROR(IF(OR($M62="",$U62=""),"",$M62/$U62),"")</f>
        <v/>
      </c>
      <c r="X62" s="88">
        <f>IFERROR(IF(OR($W62="",$T62=""),"",($W62-$T62)*10000),"")</f>
        <v/>
      </c>
      <c r="Y62" s="61">
        <f>IFERROR(IF(OR($R62="",$O62=""),"",IF($R62=$O62,"No","Yes")),"")</f>
        <v/>
      </c>
      <c r="Z62" s="62" t="n"/>
      <c r="AA62" s="62" t="n"/>
      <c r="AB62" s="89">
        <f>IFERROR(IF(OR($Z62="",$AA62=""),"",$Z62-$AA62),"")</f>
        <v/>
      </c>
      <c r="AC62" s="67" t="n"/>
      <c r="AD62" s="67" t="n"/>
      <c r="AE62" s="68" t="n"/>
      <c r="AF62" s="67" t="n"/>
      <c r="AG62" s="67" t="n"/>
      <c r="AH62" s="67" t="n"/>
      <c r="AI62" s="67" t="n"/>
      <c r="AJ62" s="67" t="n"/>
    </row>
    <row r="63" ht="15" customHeight="1" s="46">
      <c r="A63" s="69">
        <f>IFERROR(ROW()-5,"")</f>
        <v/>
      </c>
      <c r="B63" s="70" t="n"/>
      <c r="C63" s="70" t="n"/>
      <c r="D63" s="70" t="n"/>
      <c r="E63" s="70" t="n"/>
      <c r="F63" s="69" t="n"/>
      <c r="G63" s="69" t="n"/>
      <c r="H63" s="69" t="n"/>
      <c r="I63" s="70" t="n"/>
      <c r="J63" s="70" t="n"/>
      <c r="K63" s="71" t="n"/>
      <c r="L63" s="72">
        <f>IFERROR(IF(OR($K63="",$Z63=""),"",($K63-$Z63)/365.25),"")</f>
        <v/>
      </c>
      <c r="M63" s="73" t="n"/>
      <c r="N63" s="74">
        <f>IFERROR(IF(OR($M63="",$F63=""),"",$M63/$F63),"")</f>
        <v/>
      </c>
      <c r="O63" s="73" t="n"/>
      <c r="P63" s="73">
        <f>IFERROR(IF(OR($O63="",$F63=""),"",$O63/$F63),"")</f>
        <v/>
      </c>
      <c r="Q63" s="75">
        <f>IFERROR(IF(OR($M63="",$O63=""),"",$M63/$O63),"")</f>
        <v/>
      </c>
      <c r="R63" s="73" t="n"/>
      <c r="S63" s="73">
        <f>IFERROR(IF(OR($R63="",$F63=""),"",$R63/$F63),"")</f>
        <v/>
      </c>
      <c r="T63" s="75">
        <f>IFERROR(IF(OR($M63="",$R63=""),"",$M63/$R63),"")</f>
        <v/>
      </c>
      <c r="U63" s="73" t="n"/>
      <c r="V63" s="73">
        <f>IFERROR(IF(OR($U63="",$F63=""),"",$U63/$F63),"")</f>
        <v/>
      </c>
      <c r="W63" s="75">
        <f>IFERROR(IF(OR($M63="",$U63=""),"",$M63/$U63),"")</f>
        <v/>
      </c>
      <c r="X63" s="90">
        <f>IFERROR(IF(OR($W63="",$T63=""),"",($W63-$T63)*10000),"")</f>
        <v/>
      </c>
      <c r="Y63" s="70">
        <f>IFERROR(IF(OR($R63="",$O63=""),"",IF($R63=$O63,"No","Yes")),"")</f>
        <v/>
      </c>
      <c r="Z63" s="71" t="n"/>
      <c r="AA63" s="71" t="n"/>
      <c r="AB63" s="89">
        <f>IFERROR(IF(OR($Z63="",$AA63=""),"",$Z63-$AA63),"")</f>
        <v/>
      </c>
      <c r="AC63" s="67" t="n"/>
      <c r="AD63" s="67" t="n"/>
      <c r="AE63" s="68" t="n"/>
      <c r="AF63" s="67" t="n"/>
      <c r="AG63" s="67" t="n"/>
      <c r="AH63" s="67" t="n"/>
      <c r="AI63" s="67" t="n"/>
      <c r="AJ63" s="67" t="n"/>
    </row>
    <row r="64" ht="15" customHeight="1" s="46">
      <c r="A64" s="60">
        <f>IFERROR(ROW()-5,"")</f>
        <v/>
      </c>
      <c r="B64" s="61" t="n"/>
      <c r="C64" s="61" t="n"/>
      <c r="D64" s="61" t="n"/>
      <c r="E64" s="61" t="n"/>
      <c r="F64" s="60" t="n"/>
      <c r="G64" s="60" t="n"/>
      <c r="H64" s="60" t="n"/>
      <c r="I64" s="61" t="n"/>
      <c r="J64" s="61" t="n"/>
      <c r="K64" s="62" t="n"/>
      <c r="L64" s="63">
        <f>IFERROR(IF(OR($K64="",$Z64=""),"",($K64-$Z64)/365.25),"")</f>
        <v/>
      </c>
      <c r="M64" s="64" t="n"/>
      <c r="N64" s="65">
        <f>IFERROR(IF(OR($M64="",$F64=""),"",$M64/$F64),"")</f>
        <v/>
      </c>
      <c r="O64" s="64" t="n"/>
      <c r="P64" s="64">
        <f>IFERROR(IF(OR($O64="",$F64=""),"",$O64/$F64),"")</f>
        <v/>
      </c>
      <c r="Q64" s="66">
        <f>IFERROR(IF(OR($M64="",$O64=""),"",$M64/$O64),"")</f>
        <v/>
      </c>
      <c r="R64" s="64" t="n"/>
      <c r="S64" s="64">
        <f>IFERROR(IF(OR($R64="",$F64=""),"",$R64/$F64),"")</f>
        <v/>
      </c>
      <c r="T64" s="66">
        <f>IFERROR(IF(OR($M64="",$R64=""),"",$M64/$R64),"")</f>
        <v/>
      </c>
      <c r="U64" s="64" t="n"/>
      <c r="V64" s="64">
        <f>IFERROR(IF(OR($U64="",$F64=""),"",$U64/$F64),"")</f>
        <v/>
      </c>
      <c r="W64" s="66">
        <f>IFERROR(IF(OR($M64="",$U64=""),"",$M64/$U64),"")</f>
        <v/>
      </c>
      <c r="X64" s="88">
        <f>IFERROR(IF(OR($W64="",$T64=""),"",($W64-$T64)*10000),"")</f>
        <v/>
      </c>
      <c r="Y64" s="61">
        <f>IFERROR(IF(OR($R64="",$O64=""),"",IF($R64=$O64,"No","Yes")),"")</f>
        <v/>
      </c>
      <c r="Z64" s="62" t="n"/>
      <c r="AA64" s="62" t="n"/>
      <c r="AB64" s="89">
        <f>IFERROR(IF(OR($Z64="",$AA64=""),"",$Z64-$AA64),"")</f>
        <v/>
      </c>
      <c r="AC64" s="67" t="n"/>
      <c r="AD64" s="67" t="n"/>
      <c r="AE64" s="68" t="n"/>
      <c r="AF64" s="67" t="n"/>
      <c r="AG64" s="67" t="n"/>
      <c r="AH64" s="67" t="n"/>
      <c r="AI64" s="67" t="n"/>
      <c r="AJ64" s="67" t="n"/>
    </row>
    <row r="65" ht="15" customHeight="1" s="46">
      <c r="A65" s="69">
        <f>IFERROR(ROW()-5,"")</f>
        <v/>
      </c>
      <c r="B65" s="70" t="n"/>
      <c r="C65" s="70" t="n"/>
      <c r="D65" s="70" t="n"/>
      <c r="E65" s="70" t="n"/>
      <c r="F65" s="69" t="n"/>
      <c r="G65" s="69" t="n"/>
      <c r="H65" s="69" t="n"/>
      <c r="I65" s="70" t="n"/>
      <c r="J65" s="70" t="n"/>
      <c r="K65" s="71" t="n"/>
      <c r="L65" s="72">
        <f>IFERROR(IF(OR($K65="",$Z65=""),"",($K65-$Z65)/365.25),"")</f>
        <v/>
      </c>
      <c r="M65" s="73" t="n"/>
      <c r="N65" s="74">
        <f>IFERROR(IF(OR($M65="",$F65=""),"",$M65/$F65),"")</f>
        <v/>
      </c>
      <c r="O65" s="73" t="n"/>
      <c r="P65" s="73">
        <f>IFERROR(IF(OR($O65="",$F65=""),"",$O65/$F65),"")</f>
        <v/>
      </c>
      <c r="Q65" s="75">
        <f>IFERROR(IF(OR($M65="",$O65=""),"",$M65/$O65),"")</f>
        <v/>
      </c>
      <c r="R65" s="73" t="n"/>
      <c r="S65" s="73">
        <f>IFERROR(IF(OR($R65="",$F65=""),"",$R65/$F65),"")</f>
        <v/>
      </c>
      <c r="T65" s="75">
        <f>IFERROR(IF(OR($M65="",$R65=""),"",$M65/$R65),"")</f>
        <v/>
      </c>
      <c r="U65" s="73" t="n"/>
      <c r="V65" s="73">
        <f>IFERROR(IF(OR($U65="",$F65=""),"",$U65/$F65),"")</f>
        <v/>
      </c>
      <c r="W65" s="75">
        <f>IFERROR(IF(OR($M65="",$U65=""),"",$M65/$U65),"")</f>
        <v/>
      </c>
      <c r="X65" s="90">
        <f>IFERROR(IF(OR($W65="",$T65=""),"",($W65-$T65)*10000),"")</f>
        <v/>
      </c>
      <c r="Y65" s="70">
        <f>IFERROR(IF(OR($R65="",$O65=""),"",IF($R65=$O65,"No","Yes")),"")</f>
        <v/>
      </c>
      <c r="Z65" s="71" t="n"/>
      <c r="AA65" s="71" t="n"/>
      <c r="AB65" s="89">
        <f>IFERROR(IF(OR($Z65="",$AA65=""),"",$Z65-$AA65),"")</f>
        <v/>
      </c>
      <c r="AC65" s="67" t="n"/>
      <c r="AD65" s="67" t="n"/>
      <c r="AE65" s="68" t="n"/>
      <c r="AF65" s="67" t="n"/>
      <c r="AG65" s="67" t="n"/>
      <c r="AH65" s="67" t="n"/>
      <c r="AI65" s="67" t="n"/>
      <c r="AJ65" s="67" t="n"/>
    </row>
    <row r="66" ht="15" customHeight="1" s="46">
      <c r="A66" s="60">
        <f>IFERROR(ROW()-5,"")</f>
        <v/>
      </c>
      <c r="B66" s="61" t="n"/>
      <c r="C66" s="61" t="n"/>
      <c r="D66" s="61" t="n"/>
      <c r="E66" s="61" t="n"/>
      <c r="F66" s="60" t="n"/>
      <c r="G66" s="60" t="n"/>
      <c r="H66" s="60" t="n"/>
      <c r="I66" s="61" t="n"/>
      <c r="J66" s="61" t="n"/>
      <c r="K66" s="62" t="n"/>
      <c r="L66" s="63">
        <f>IFERROR(IF(OR($K66="",$Z66=""),"",($K66-$Z66)/365.25),"")</f>
        <v/>
      </c>
      <c r="M66" s="64" t="n"/>
      <c r="N66" s="65">
        <f>IFERROR(IF(OR($M66="",$F66=""),"",$M66/$F66),"")</f>
        <v/>
      </c>
      <c r="O66" s="64" t="n"/>
      <c r="P66" s="64">
        <f>IFERROR(IF(OR($O66="",$F66=""),"",$O66/$F66),"")</f>
        <v/>
      </c>
      <c r="Q66" s="66">
        <f>IFERROR(IF(OR($M66="",$O66=""),"",$M66/$O66),"")</f>
        <v/>
      </c>
      <c r="R66" s="64" t="n"/>
      <c r="S66" s="64">
        <f>IFERROR(IF(OR($R66="",$F66=""),"",$R66/$F66),"")</f>
        <v/>
      </c>
      <c r="T66" s="66">
        <f>IFERROR(IF(OR($M66="",$R66=""),"",$M66/$R66),"")</f>
        <v/>
      </c>
      <c r="U66" s="64" t="n"/>
      <c r="V66" s="64">
        <f>IFERROR(IF(OR($U66="",$F66=""),"",$U66/$F66),"")</f>
        <v/>
      </c>
      <c r="W66" s="66">
        <f>IFERROR(IF(OR($M66="",$U66=""),"",$M66/$U66),"")</f>
        <v/>
      </c>
      <c r="X66" s="88">
        <f>IFERROR(IF(OR($W66="",$T66=""),"",($W66-$T66)*10000),"")</f>
        <v/>
      </c>
      <c r="Y66" s="61">
        <f>IFERROR(IF(OR($R66="",$O66=""),"",IF($R66=$O66,"No","Yes")),"")</f>
        <v/>
      </c>
      <c r="Z66" s="62" t="n"/>
      <c r="AA66" s="62" t="n"/>
      <c r="AB66" s="89">
        <f>IFERROR(IF(OR($Z66="",$AA66=""),"",$Z66-$AA66),"")</f>
        <v/>
      </c>
      <c r="AC66" s="67" t="n"/>
      <c r="AD66" s="67" t="n"/>
      <c r="AE66" s="68" t="n"/>
      <c r="AF66" s="67" t="n"/>
      <c r="AG66" s="67" t="n"/>
      <c r="AH66" s="67" t="n"/>
      <c r="AI66" s="67" t="n"/>
      <c r="AJ66" s="67" t="n"/>
    </row>
    <row r="67" ht="15" customHeight="1" s="46">
      <c r="A67" s="69">
        <f>IFERROR(ROW()-5,"")</f>
        <v/>
      </c>
      <c r="B67" s="70" t="n"/>
      <c r="C67" s="70" t="n"/>
      <c r="D67" s="70" t="n"/>
      <c r="E67" s="70" t="n"/>
      <c r="F67" s="69" t="n"/>
      <c r="G67" s="69" t="n"/>
      <c r="H67" s="69" t="n"/>
      <c r="I67" s="70" t="n"/>
      <c r="J67" s="70" t="n"/>
      <c r="K67" s="71" t="n"/>
      <c r="L67" s="72">
        <f>IFERROR(IF(OR($K67="",$Z67=""),"",($K67-$Z67)/365.25),"")</f>
        <v/>
      </c>
      <c r="M67" s="73" t="n"/>
      <c r="N67" s="74">
        <f>IFERROR(IF(OR($M67="",$F67=""),"",$M67/$F67),"")</f>
        <v/>
      </c>
      <c r="O67" s="73" t="n"/>
      <c r="P67" s="73">
        <f>IFERROR(IF(OR($O67="",$F67=""),"",$O67/$F67),"")</f>
        <v/>
      </c>
      <c r="Q67" s="75">
        <f>IFERROR(IF(OR($M67="",$O67=""),"",$M67/$O67),"")</f>
        <v/>
      </c>
      <c r="R67" s="73" t="n"/>
      <c r="S67" s="73">
        <f>IFERROR(IF(OR($R67="",$F67=""),"",$R67/$F67),"")</f>
        <v/>
      </c>
      <c r="T67" s="75">
        <f>IFERROR(IF(OR($M67="",$R67=""),"",$M67/$R67),"")</f>
        <v/>
      </c>
      <c r="U67" s="73" t="n"/>
      <c r="V67" s="73">
        <f>IFERROR(IF(OR($U67="",$F67=""),"",$U67/$F67),"")</f>
        <v/>
      </c>
      <c r="W67" s="75">
        <f>IFERROR(IF(OR($M67="",$U67=""),"",$M67/$U67),"")</f>
        <v/>
      </c>
      <c r="X67" s="90">
        <f>IFERROR(IF(OR($W67="",$T67=""),"",($W67-$T67)*10000),"")</f>
        <v/>
      </c>
      <c r="Y67" s="70">
        <f>IFERROR(IF(OR($R67="",$O67=""),"",IF($R67=$O67,"No","Yes")),"")</f>
        <v/>
      </c>
      <c r="Z67" s="71" t="n"/>
      <c r="AA67" s="71" t="n"/>
      <c r="AB67" s="89">
        <f>IFERROR(IF(OR($Z67="",$AA67=""),"",$Z67-$AA67),"")</f>
        <v/>
      </c>
      <c r="AC67" s="67" t="n"/>
      <c r="AD67" s="67" t="n"/>
      <c r="AE67" s="68" t="n"/>
      <c r="AF67" s="67" t="n"/>
      <c r="AG67" s="67" t="n"/>
      <c r="AH67" s="67" t="n"/>
      <c r="AI67" s="67" t="n"/>
      <c r="AJ67" s="67" t="n"/>
    </row>
    <row r="68" ht="15" customHeight="1" s="46">
      <c r="A68" s="60">
        <f>IFERROR(ROW()-5,"")</f>
        <v/>
      </c>
      <c r="B68" s="61" t="n"/>
      <c r="C68" s="61" t="n"/>
      <c r="D68" s="61" t="n"/>
      <c r="E68" s="61" t="n"/>
      <c r="F68" s="60" t="n"/>
      <c r="G68" s="60" t="n"/>
      <c r="H68" s="60" t="n"/>
      <c r="I68" s="61" t="n"/>
      <c r="J68" s="61" t="n"/>
      <c r="K68" s="62" t="n"/>
      <c r="L68" s="63">
        <f>IFERROR(IF(OR($K68="",$Z68=""),"",($K68-$Z68)/365.25),"")</f>
        <v/>
      </c>
      <c r="M68" s="64" t="n"/>
      <c r="N68" s="65">
        <f>IFERROR(IF(OR($M68="",$F68=""),"",$M68/$F68),"")</f>
        <v/>
      </c>
      <c r="O68" s="64" t="n"/>
      <c r="P68" s="64">
        <f>IFERROR(IF(OR($O68="",$F68=""),"",$O68/$F68),"")</f>
        <v/>
      </c>
      <c r="Q68" s="66">
        <f>IFERROR(IF(OR($M68="",$O68=""),"",$M68/$O68),"")</f>
        <v/>
      </c>
      <c r="R68" s="64" t="n"/>
      <c r="S68" s="64">
        <f>IFERROR(IF(OR($R68="",$F68=""),"",$R68/$F68),"")</f>
        <v/>
      </c>
      <c r="T68" s="66">
        <f>IFERROR(IF(OR($M68="",$R68=""),"",$M68/$R68),"")</f>
        <v/>
      </c>
      <c r="U68" s="64" t="n"/>
      <c r="V68" s="64">
        <f>IFERROR(IF(OR($U68="",$F68=""),"",$U68/$F68),"")</f>
        <v/>
      </c>
      <c r="W68" s="66">
        <f>IFERROR(IF(OR($M68="",$U68=""),"",$M68/$U68),"")</f>
        <v/>
      </c>
      <c r="X68" s="88">
        <f>IFERROR(IF(OR($W68="",$T68=""),"",($W68-$T68)*10000),"")</f>
        <v/>
      </c>
      <c r="Y68" s="61">
        <f>IFERROR(IF(OR($R68="",$O68=""),"",IF($R68=$O68,"No","Yes")),"")</f>
        <v/>
      </c>
      <c r="Z68" s="62" t="n"/>
      <c r="AA68" s="62" t="n"/>
      <c r="AB68" s="89">
        <f>IFERROR(IF(OR($Z68="",$AA68=""),"",$Z68-$AA68),"")</f>
        <v/>
      </c>
      <c r="AC68" s="67" t="n"/>
      <c r="AD68" s="67" t="n"/>
      <c r="AE68" s="68" t="n"/>
      <c r="AF68" s="67" t="n"/>
      <c r="AG68" s="67" t="n"/>
      <c r="AH68" s="67" t="n"/>
      <c r="AI68" s="67" t="n"/>
      <c r="AJ68" s="67" t="n"/>
    </row>
    <row r="69" ht="15" customHeight="1" s="46">
      <c r="A69" s="69">
        <f>IFERROR(ROW()-5,"")</f>
        <v/>
      </c>
      <c r="B69" s="70" t="n"/>
      <c r="C69" s="70" t="n"/>
      <c r="D69" s="70" t="n"/>
      <c r="E69" s="70" t="n"/>
      <c r="F69" s="69" t="n"/>
      <c r="G69" s="69" t="n"/>
      <c r="H69" s="69" t="n"/>
      <c r="I69" s="70" t="n"/>
      <c r="J69" s="70" t="n"/>
      <c r="K69" s="71" t="n"/>
      <c r="L69" s="72">
        <f>IFERROR(IF(OR($K69="",$Z69=""),"",($K69-$Z69)/365.25),"")</f>
        <v/>
      </c>
      <c r="M69" s="73" t="n"/>
      <c r="N69" s="74">
        <f>IFERROR(IF(OR($M69="",$F69=""),"",$M69/$F69),"")</f>
        <v/>
      </c>
      <c r="O69" s="73" t="n"/>
      <c r="P69" s="73">
        <f>IFERROR(IF(OR($O69="",$F69=""),"",$O69/$F69),"")</f>
        <v/>
      </c>
      <c r="Q69" s="75">
        <f>IFERROR(IF(OR($M69="",$O69=""),"",$M69/$O69),"")</f>
        <v/>
      </c>
      <c r="R69" s="73" t="n"/>
      <c r="S69" s="73">
        <f>IFERROR(IF(OR($R69="",$F69=""),"",$R69/$F69),"")</f>
        <v/>
      </c>
      <c r="T69" s="75">
        <f>IFERROR(IF(OR($M69="",$R69=""),"",$M69/$R69),"")</f>
        <v/>
      </c>
      <c r="U69" s="73" t="n"/>
      <c r="V69" s="73">
        <f>IFERROR(IF(OR($U69="",$F69=""),"",$U69/$F69),"")</f>
        <v/>
      </c>
      <c r="W69" s="75">
        <f>IFERROR(IF(OR($M69="",$U69=""),"",$M69/$U69),"")</f>
        <v/>
      </c>
      <c r="X69" s="90">
        <f>IFERROR(IF(OR($W69="",$T69=""),"",($W69-$T69)*10000),"")</f>
        <v/>
      </c>
      <c r="Y69" s="70">
        <f>IFERROR(IF(OR($R69="",$O69=""),"",IF($R69=$O69,"No","Yes")),"")</f>
        <v/>
      </c>
      <c r="Z69" s="71" t="n"/>
      <c r="AA69" s="71" t="n"/>
      <c r="AB69" s="89">
        <f>IFERROR(IF(OR($Z69="",$AA69=""),"",$Z69-$AA69),"")</f>
        <v/>
      </c>
      <c r="AC69" s="67" t="n"/>
      <c r="AD69" s="67" t="n"/>
      <c r="AE69" s="68" t="n"/>
      <c r="AF69" s="67" t="n"/>
      <c r="AG69" s="67" t="n"/>
      <c r="AH69" s="67" t="n"/>
      <c r="AI69" s="67" t="n"/>
      <c r="AJ69" s="67" t="n"/>
    </row>
    <row r="70" ht="15" customHeight="1" s="46">
      <c r="A70" s="60">
        <f>IFERROR(ROW()-5,"")</f>
        <v/>
      </c>
      <c r="B70" s="61" t="n"/>
      <c r="C70" s="61" t="n"/>
      <c r="D70" s="61" t="n"/>
      <c r="E70" s="61" t="n"/>
      <c r="F70" s="60" t="n"/>
      <c r="G70" s="60" t="n"/>
      <c r="H70" s="60" t="n"/>
      <c r="I70" s="61" t="n"/>
      <c r="J70" s="61" t="n"/>
      <c r="K70" s="62" t="n"/>
      <c r="L70" s="63">
        <f>IFERROR(IF(OR($K70="",$Z70=""),"",($K70-$Z70)/365.25),"")</f>
        <v/>
      </c>
      <c r="M70" s="64" t="n"/>
      <c r="N70" s="65">
        <f>IFERROR(IF(OR($M70="",$F70=""),"",$M70/$F70),"")</f>
        <v/>
      </c>
      <c r="O70" s="64" t="n"/>
      <c r="P70" s="64">
        <f>IFERROR(IF(OR($O70="",$F70=""),"",$O70/$F70),"")</f>
        <v/>
      </c>
      <c r="Q70" s="66">
        <f>IFERROR(IF(OR($M70="",$O70=""),"",$M70/$O70),"")</f>
        <v/>
      </c>
      <c r="R70" s="64" t="n"/>
      <c r="S70" s="64">
        <f>IFERROR(IF(OR($R70="",$F70=""),"",$R70/$F70),"")</f>
        <v/>
      </c>
      <c r="T70" s="66">
        <f>IFERROR(IF(OR($M70="",$R70=""),"",$M70/$R70),"")</f>
        <v/>
      </c>
      <c r="U70" s="64" t="n"/>
      <c r="V70" s="64">
        <f>IFERROR(IF(OR($U70="",$F70=""),"",$U70/$F70),"")</f>
        <v/>
      </c>
      <c r="W70" s="66">
        <f>IFERROR(IF(OR($M70="",$U70=""),"",$M70/$U70),"")</f>
        <v/>
      </c>
      <c r="X70" s="88">
        <f>IFERROR(IF(OR($W70="",$T70=""),"",($W70-$T70)*10000),"")</f>
        <v/>
      </c>
      <c r="Y70" s="61">
        <f>IFERROR(IF(OR($R70="",$O70=""),"",IF($R70=$O70,"No","Yes")),"")</f>
        <v/>
      </c>
      <c r="Z70" s="62" t="n"/>
      <c r="AA70" s="62" t="n"/>
      <c r="AB70" s="89">
        <f>IFERROR(IF(OR($Z70="",$AA70=""),"",$Z70-$AA70),"")</f>
        <v/>
      </c>
      <c r="AC70" s="67" t="n"/>
      <c r="AD70" s="67" t="n"/>
      <c r="AE70" s="68" t="n"/>
      <c r="AF70" s="67" t="n"/>
      <c r="AG70" s="67" t="n"/>
      <c r="AH70" s="67" t="n"/>
      <c r="AI70" s="67" t="n"/>
      <c r="AJ70" s="67" t="n"/>
    </row>
    <row r="71" ht="15" customHeight="1" s="46">
      <c r="A71" s="69">
        <f>IFERROR(ROW()-5,"")</f>
        <v/>
      </c>
      <c r="B71" s="70" t="n"/>
      <c r="C71" s="70" t="n"/>
      <c r="D71" s="70" t="n"/>
      <c r="E71" s="70" t="n"/>
      <c r="F71" s="69" t="n"/>
      <c r="G71" s="69" t="n"/>
      <c r="H71" s="69" t="n"/>
      <c r="I71" s="70" t="n"/>
      <c r="J71" s="70" t="n"/>
      <c r="K71" s="71" t="n"/>
      <c r="L71" s="72">
        <f>IFERROR(IF(OR($K71="",$Z71=""),"",($K71-$Z71)/365.25),"")</f>
        <v/>
      </c>
      <c r="M71" s="73" t="n"/>
      <c r="N71" s="74">
        <f>IFERROR(IF(OR($M71="",$F71=""),"",$M71/$F71),"")</f>
        <v/>
      </c>
      <c r="O71" s="73" t="n"/>
      <c r="P71" s="73">
        <f>IFERROR(IF(OR($O71="",$F71=""),"",$O71/$F71),"")</f>
        <v/>
      </c>
      <c r="Q71" s="75">
        <f>IFERROR(IF(OR($M71="",$O71=""),"",$M71/$O71),"")</f>
        <v/>
      </c>
      <c r="R71" s="73" t="n"/>
      <c r="S71" s="73">
        <f>IFERROR(IF(OR($R71="",$F71=""),"",$R71/$F71),"")</f>
        <v/>
      </c>
      <c r="T71" s="75">
        <f>IFERROR(IF(OR($M71="",$R71=""),"",$M71/$R71),"")</f>
        <v/>
      </c>
      <c r="U71" s="73" t="n"/>
      <c r="V71" s="73">
        <f>IFERROR(IF(OR($U71="",$F71=""),"",$U71/$F71),"")</f>
        <v/>
      </c>
      <c r="W71" s="75">
        <f>IFERROR(IF(OR($M71="",$U71=""),"",$M71/$U71),"")</f>
        <v/>
      </c>
      <c r="X71" s="90">
        <f>IFERROR(IF(OR($W71="",$T71=""),"",($W71-$T71)*10000),"")</f>
        <v/>
      </c>
      <c r="Y71" s="70">
        <f>IFERROR(IF(OR($R71="",$O71=""),"",IF($R71=$O71,"No","Yes")),"")</f>
        <v/>
      </c>
      <c r="Z71" s="71" t="n"/>
      <c r="AA71" s="71" t="n"/>
      <c r="AB71" s="89">
        <f>IFERROR(IF(OR($Z71="",$AA71=""),"",$Z71-$AA71),"")</f>
        <v/>
      </c>
      <c r="AC71" s="67" t="n"/>
      <c r="AD71" s="67" t="n"/>
      <c r="AE71" s="68" t="n"/>
      <c r="AF71" s="67" t="n"/>
      <c r="AG71" s="67" t="n"/>
      <c r="AH71" s="67" t="n"/>
      <c r="AI71" s="67" t="n"/>
      <c r="AJ71" s="67" t="n"/>
    </row>
    <row r="72" ht="15" customHeight="1" s="46">
      <c r="A72" s="60">
        <f>IFERROR(ROW()-5,"")</f>
        <v/>
      </c>
      <c r="B72" s="61" t="n"/>
      <c r="C72" s="61" t="n"/>
      <c r="D72" s="61" t="n"/>
      <c r="E72" s="61" t="n"/>
      <c r="F72" s="60" t="n"/>
      <c r="G72" s="60" t="n"/>
      <c r="H72" s="60" t="n"/>
      <c r="I72" s="61" t="n"/>
      <c r="J72" s="61" t="n"/>
      <c r="K72" s="62" t="n"/>
      <c r="L72" s="63">
        <f>IFERROR(IF(OR($K72="",$Z72=""),"",($K72-$Z72)/365.25),"")</f>
        <v/>
      </c>
      <c r="M72" s="64" t="n"/>
      <c r="N72" s="65">
        <f>IFERROR(IF(OR($M72="",$F72=""),"",$M72/$F72),"")</f>
        <v/>
      </c>
      <c r="O72" s="64" t="n"/>
      <c r="P72" s="64">
        <f>IFERROR(IF(OR($O72="",$F72=""),"",$O72/$F72),"")</f>
        <v/>
      </c>
      <c r="Q72" s="66">
        <f>IFERROR(IF(OR($M72="",$O72=""),"",$M72/$O72),"")</f>
        <v/>
      </c>
      <c r="R72" s="64" t="n"/>
      <c r="S72" s="64">
        <f>IFERROR(IF(OR($R72="",$F72=""),"",$R72/$F72),"")</f>
        <v/>
      </c>
      <c r="T72" s="66">
        <f>IFERROR(IF(OR($M72="",$R72=""),"",$M72/$R72),"")</f>
        <v/>
      </c>
      <c r="U72" s="64" t="n"/>
      <c r="V72" s="64">
        <f>IFERROR(IF(OR($U72="",$F72=""),"",$U72/$F72),"")</f>
        <v/>
      </c>
      <c r="W72" s="66">
        <f>IFERROR(IF(OR($M72="",$U72=""),"",$M72/$U72),"")</f>
        <v/>
      </c>
      <c r="X72" s="88">
        <f>IFERROR(IF(OR($W72="",$T72=""),"",($W72-$T72)*10000),"")</f>
        <v/>
      </c>
      <c r="Y72" s="61">
        <f>IFERROR(IF(OR($R72="",$O72=""),"",IF($R72=$O72,"No","Yes")),"")</f>
        <v/>
      </c>
      <c r="Z72" s="62" t="n"/>
      <c r="AA72" s="62" t="n"/>
      <c r="AB72" s="89">
        <f>IFERROR(IF(OR($Z72="",$AA72=""),"",$Z72-$AA72),"")</f>
        <v/>
      </c>
      <c r="AC72" s="67" t="n"/>
      <c r="AD72" s="67" t="n"/>
      <c r="AE72" s="68" t="n"/>
      <c r="AF72" s="67" t="n"/>
      <c r="AG72" s="67" t="n"/>
      <c r="AH72" s="67" t="n"/>
      <c r="AI72" s="67" t="n"/>
      <c r="AJ72" s="67" t="n"/>
    </row>
    <row r="73" ht="15" customHeight="1" s="46">
      <c r="A73" s="69">
        <f>IFERROR(ROW()-5,"")</f>
        <v/>
      </c>
      <c r="B73" s="70" t="n"/>
      <c r="C73" s="70" t="n"/>
      <c r="D73" s="70" t="n"/>
      <c r="E73" s="70" t="n"/>
      <c r="F73" s="69" t="n"/>
      <c r="G73" s="69" t="n"/>
      <c r="H73" s="69" t="n"/>
      <c r="I73" s="70" t="n"/>
      <c r="J73" s="70" t="n"/>
      <c r="K73" s="71" t="n"/>
      <c r="L73" s="72">
        <f>IFERROR(IF(OR($K73="",$Z73=""),"",($K73-$Z73)/365.25),"")</f>
        <v/>
      </c>
      <c r="M73" s="73" t="n"/>
      <c r="N73" s="74">
        <f>IFERROR(IF(OR($M73="",$F73=""),"",$M73/$F73),"")</f>
        <v/>
      </c>
      <c r="O73" s="73" t="n"/>
      <c r="P73" s="73">
        <f>IFERROR(IF(OR($O73="",$F73=""),"",$O73/$F73),"")</f>
        <v/>
      </c>
      <c r="Q73" s="75">
        <f>IFERROR(IF(OR($M73="",$O73=""),"",$M73/$O73),"")</f>
        <v/>
      </c>
      <c r="R73" s="73" t="n"/>
      <c r="S73" s="73">
        <f>IFERROR(IF(OR($R73="",$F73=""),"",$R73/$F73),"")</f>
        <v/>
      </c>
      <c r="T73" s="75">
        <f>IFERROR(IF(OR($M73="",$R73=""),"",$M73/$R73),"")</f>
        <v/>
      </c>
      <c r="U73" s="73" t="n"/>
      <c r="V73" s="73">
        <f>IFERROR(IF(OR($U73="",$F73=""),"",$U73/$F73),"")</f>
        <v/>
      </c>
      <c r="W73" s="75">
        <f>IFERROR(IF(OR($M73="",$U73=""),"",$M73/$U73),"")</f>
        <v/>
      </c>
      <c r="X73" s="90">
        <f>IFERROR(IF(OR($W73="",$T73=""),"",($W73-$T73)*10000),"")</f>
        <v/>
      </c>
      <c r="Y73" s="70">
        <f>IFERROR(IF(OR($R73="",$O73=""),"",IF($R73=$O73,"No","Yes")),"")</f>
        <v/>
      </c>
      <c r="Z73" s="71" t="n"/>
      <c r="AA73" s="71" t="n"/>
      <c r="AB73" s="89">
        <f>IFERROR(IF(OR($Z73="",$AA73=""),"",$Z73-$AA73),"")</f>
        <v/>
      </c>
      <c r="AC73" s="67" t="n"/>
      <c r="AD73" s="67" t="n"/>
      <c r="AE73" s="68" t="n"/>
      <c r="AF73" s="67" t="n"/>
      <c r="AG73" s="67" t="n"/>
      <c r="AH73" s="67" t="n"/>
      <c r="AI73" s="67" t="n"/>
      <c r="AJ73" s="67" t="n"/>
    </row>
    <row r="74" ht="15" customHeight="1" s="46">
      <c r="A74" s="60">
        <f>IFERROR(ROW()-5,"")</f>
        <v/>
      </c>
      <c r="B74" s="61" t="n"/>
      <c r="C74" s="61" t="n"/>
      <c r="D74" s="61" t="n"/>
      <c r="E74" s="61" t="n"/>
      <c r="F74" s="60" t="n"/>
      <c r="G74" s="60" t="n"/>
      <c r="H74" s="60" t="n"/>
      <c r="I74" s="61" t="n"/>
      <c r="J74" s="61" t="n"/>
      <c r="K74" s="62" t="n"/>
      <c r="L74" s="63">
        <f>IFERROR(IF(OR($K74="",$Z74=""),"",($K74-$Z74)/365.25),"")</f>
        <v/>
      </c>
      <c r="M74" s="64" t="n"/>
      <c r="N74" s="65">
        <f>IFERROR(IF(OR($M74="",$F74=""),"",$M74/$F74),"")</f>
        <v/>
      </c>
      <c r="O74" s="64" t="n"/>
      <c r="P74" s="64">
        <f>IFERROR(IF(OR($O74="",$F74=""),"",$O74/$F74),"")</f>
        <v/>
      </c>
      <c r="Q74" s="66">
        <f>IFERROR(IF(OR($M74="",$O74=""),"",$M74/$O74),"")</f>
        <v/>
      </c>
      <c r="R74" s="64" t="n"/>
      <c r="S74" s="64">
        <f>IFERROR(IF(OR($R74="",$F74=""),"",$R74/$F74),"")</f>
        <v/>
      </c>
      <c r="T74" s="66">
        <f>IFERROR(IF(OR($M74="",$R74=""),"",$M74/$R74),"")</f>
        <v/>
      </c>
      <c r="U74" s="64" t="n"/>
      <c r="V74" s="64">
        <f>IFERROR(IF(OR($U74="",$F74=""),"",$U74/$F74),"")</f>
        <v/>
      </c>
      <c r="W74" s="66">
        <f>IFERROR(IF(OR($M74="",$U74=""),"",$M74/$U74),"")</f>
        <v/>
      </c>
      <c r="X74" s="88">
        <f>IFERROR(IF(OR($W74="",$T74=""),"",($W74-$T74)*10000),"")</f>
        <v/>
      </c>
      <c r="Y74" s="61">
        <f>IFERROR(IF(OR($R74="",$O74=""),"",IF($R74=$O74,"No","Yes")),"")</f>
        <v/>
      </c>
      <c r="Z74" s="62" t="n"/>
      <c r="AA74" s="62" t="n"/>
      <c r="AB74" s="89">
        <f>IFERROR(IF(OR($Z74="",$AA74=""),"",$Z74-$AA74),"")</f>
        <v/>
      </c>
      <c r="AC74" s="67" t="n"/>
      <c r="AD74" s="67" t="n"/>
      <c r="AE74" s="68" t="n"/>
      <c r="AF74" s="67" t="n"/>
      <c r="AG74" s="67" t="n"/>
      <c r="AH74" s="67" t="n"/>
      <c r="AI74" s="67" t="n"/>
      <c r="AJ74" s="67" t="n"/>
    </row>
    <row r="75" ht="15" customHeight="1" s="46">
      <c r="A75" s="69">
        <f>IFERROR(ROW()-5,"")</f>
        <v/>
      </c>
      <c r="B75" s="70" t="n"/>
      <c r="C75" s="70" t="n"/>
      <c r="D75" s="70" t="n"/>
      <c r="E75" s="70" t="n"/>
      <c r="F75" s="69" t="n"/>
      <c r="G75" s="69" t="n"/>
      <c r="H75" s="69" t="n"/>
      <c r="I75" s="70" t="n"/>
      <c r="J75" s="70" t="n"/>
      <c r="K75" s="71" t="n"/>
      <c r="L75" s="72">
        <f>IFERROR(IF(OR($K75="",$Z75=""),"",($K75-$Z75)/365.25),"")</f>
        <v/>
      </c>
      <c r="M75" s="73" t="n"/>
      <c r="N75" s="74">
        <f>IFERROR(IF(OR($M75="",$F75=""),"",$M75/$F75),"")</f>
        <v/>
      </c>
      <c r="O75" s="73" t="n"/>
      <c r="P75" s="73">
        <f>IFERROR(IF(OR($O75="",$F75=""),"",$O75/$F75),"")</f>
        <v/>
      </c>
      <c r="Q75" s="75">
        <f>IFERROR(IF(OR($M75="",$O75=""),"",$M75/$O75),"")</f>
        <v/>
      </c>
      <c r="R75" s="73" t="n"/>
      <c r="S75" s="73">
        <f>IFERROR(IF(OR($R75="",$F75=""),"",$R75/$F75),"")</f>
        <v/>
      </c>
      <c r="T75" s="75">
        <f>IFERROR(IF(OR($M75="",$R75=""),"",$M75/$R75),"")</f>
        <v/>
      </c>
      <c r="U75" s="73" t="n"/>
      <c r="V75" s="73">
        <f>IFERROR(IF(OR($U75="",$F75=""),"",$U75/$F75),"")</f>
        <v/>
      </c>
      <c r="W75" s="75">
        <f>IFERROR(IF(OR($M75="",$U75=""),"",$M75/$U75),"")</f>
        <v/>
      </c>
      <c r="X75" s="90">
        <f>IFERROR(IF(OR($W75="",$T75=""),"",($W75-$T75)*10000),"")</f>
        <v/>
      </c>
      <c r="Y75" s="70">
        <f>IFERROR(IF(OR($R75="",$O75=""),"",IF($R75=$O75,"No","Yes")),"")</f>
        <v/>
      </c>
      <c r="Z75" s="71" t="n"/>
      <c r="AA75" s="71" t="n"/>
      <c r="AB75" s="89">
        <f>IFERROR(IF(OR($Z75="",$AA75=""),"",$Z75-$AA75),"")</f>
        <v/>
      </c>
      <c r="AC75" s="67" t="n"/>
      <c r="AD75" s="67" t="n"/>
      <c r="AE75" s="68" t="n"/>
      <c r="AF75" s="67" t="n"/>
      <c r="AG75" s="67" t="n"/>
      <c r="AH75" s="67" t="n"/>
      <c r="AI75" s="67" t="n"/>
      <c r="AJ75" s="67" t="n"/>
    </row>
    <row r="76" ht="15" customHeight="1" s="46">
      <c r="A76" s="60">
        <f>IFERROR(ROW()-5,"")</f>
        <v/>
      </c>
      <c r="B76" s="61" t="n"/>
      <c r="C76" s="61" t="n"/>
      <c r="D76" s="61" t="n"/>
      <c r="E76" s="61" t="n"/>
      <c r="F76" s="60" t="n"/>
      <c r="G76" s="60" t="n"/>
      <c r="H76" s="60" t="n"/>
      <c r="I76" s="61" t="n"/>
      <c r="J76" s="61" t="n"/>
      <c r="K76" s="62" t="n"/>
      <c r="L76" s="63">
        <f>IFERROR(IF(OR($K76="",$Z76=""),"",($K76-$Z76)/365.25),"")</f>
        <v/>
      </c>
      <c r="M76" s="64" t="n"/>
      <c r="N76" s="65">
        <f>IFERROR(IF(OR($M76="",$F76=""),"",$M76/$F76),"")</f>
        <v/>
      </c>
      <c r="O76" s="64" t="n"/>
      <c r="P76" s="64">
        <f>IFERROR(IF(OR($O76="",$F76=""),"",$O76/$F76),"")</f>
        <v/>
      </c>
      <c r="Q76" s="66">
        <f>IFERROR(IF(OR($M76="",$O76=""),"",$M76/$O76),"")</f>
        <v/>
      </c>
      <c r="R76" s="64" t="n"/>
      <c r="S76" s="64">
        <f>IFERROR(IF(OR($R76="",$F76=""),"",$R76/$F76),"")</f>
        <v/>
      </c>
      <c r="T76" s="66">
        <f>IFERROR(IF(OR($M76="",$R76=""),"",$M76/$R76),"")</f>
        <v/>
      </c>
      <c r="U76" s="64" t="n"/>
      <c r="V76" s="64">
        <f>IFERROR(IF(OR($U76="",$F76=""),"",$U76/$F76),"")</f>
        <v/>
      </c>
      <c r="W76" s="66">
        <f>IFERROR(IF(OR($M76="",$U76=""),"",$M76/$U76),"")</f>
        <v/>
      </c>
      <c r="X76" s="88">
        <f>IFERROR(IF(OR($W76="",$T76=""),"",($W76-$T76)*10000),"")</f>
        <v/>
      </c>
      <c r="Y76" s="61">
        <f>IFERROR(IF(OR($R76="",$O76=""),"",IF($R76=$O76,"No","Yes")),"")</f>
        <v/>
      </c>
      <c r="Z76" s="62" t="n"/>
      <c r="AA76" s="62" t="n"/>
      <c r="AB76" s="89">
        <f>IFERROR(IF(OR($Z76="",$AA76=""),"",$Z76-$AA76),"")</f>
        <v/>
      </c>
      <c r="AC76" s="67" t="n"/>
      <c r="AD76" s="67" t="n"/>
      <c r="AE76" s="68" t="n"/>
      <c r="AF76" s="67" t="n"/>
      <c r="AG76" s="67" t="n"/>
      <c r="AH76" s="67" t="n"/>
      <c r="AI76" s="67" t="n"/>
      <c r="AJ76" s="67" t="n"/>
    </row>
    <row r="77" ht="15" customHeight="1" s="46">
      <c r="A77" s="69">
        <f>IFERROR(ROW()-5,"")</f>
        <v/>
      </c>
      <c r="B77" s="70" t="n"/>
      <c r="C77" s="70" t="n"/>
      <c r="D77" s="70" t="n"/>
      <c r="E77" s="70" t="n"/>
      <c r="F77" s="69" t="n"/>
      <c r="G77" s="69" t="n"/>
      <c r="H77" s="69" t="n"/>
      <c r="I77" s="70" t="n"/>
      <c r="J77" s="70" t="n"/>
      <c r="K77" s="71" t="n"/>
      <c r="L77" s="72">
        <f>IFERROR(IF(OR($K77="",$Z77=""),"",($K77-$Z77)/365.25),"")</f>
        <v/>
      </c>
      <c r="M77" s="73" t="n"/>
      <c r="N77" s="74">
        <f>IFERROR(IF(OR($M77="",$F77=""),"",$M77/$F77),"")</f>
        <v/>
      </c>
      <c r="O77" s="73" t="n"/>
      <c r="P77" s="73">
        <f>IFERROR(IF(OR($O77="",$F77=""),"",$O77/$F77),"")</f>
        <v/>
      </c>
      <c r="Q77" s="75">
        <f>IFERROR(IF(OR($M77="",$O77=""),"",$M77/$O77),"")</f>
        <v/>
      </c>
      <c r="R77" s="73" t="n"/>
      <c r="S77" s="73">
        <f>IFERROR(IF(OR($R77="",$F77=""),"",$R77/$F77),"")</f>
        <v/>
      </c>
      <c r="T77" s="75">
        <f>IFERROR(IF(OR($M77="",$R77=""),"",$M77/$R77),"")</f>
        <v/>
      </c>
      <c r="U77" s="73" t="n"/>
      <c r="V77" s="73">
        <f>IFERROR(IF(OR($U77="",$F77=""),"",$U77/$F77),"")</f>
        <v/>
      </c>
      <c r="W77" s="75">
        <f>IFERROR(IF(OR($M77="",$U77=""),"",$M77/$U77),"")</f>
        <v/>
      </c>
      <c r="X77" s="90">
        <f>IFERROR(IF(OR($W77="",$T77=""),"",($W77-$T77)*10000),"")</f>
        <v/>
      </c>
      <c r="Y77" s="70">
        <f>IFERROR(IF(OR($R77="",$O77=""),"",IF($R77=$O77,"No","Yes")),"")</f>
        <v/>
      </c>
      <c r="Z77" s="71" t="n"/>
      <c r="AA77" s="71" t="n"/>
      <c r="AB77" s="89">
        <f>IFERROR(IF(OR($Z77="",$AA77=""),"",$Z77-$AA77),"")</f>
        <v/>
      </c>
      <c r="AC77" s="67" t="n"/>
      <c r="AD77" s="67" t="n"/>
      <c r="AE77" s="68" t="n"/>
      <c r="AF77" s="67" t="n"/>
      <c r="AG77" s="67" t="n"/>
      <c r="AH77" s="67" t="n"/>
      <c r="AI77" s="67" t="n"/>
      <c r="AJ77" s="67" t="n"/>
    </row>
    <row r="78" ht="15" customHeight="1" s="46">
      <c r="A78" s="60">
        <f>IFERROR(ROW()-5,"")</f>
        <v/>
      </c>
      <c r="B78" s="61" t="n"/>
      <c r="C78" s="61" t="n"/>
      <c r="D78" s="61" t="n"/>
      <c r="E78" s="61" t="n"/>
      <c r="F78" s="60" t="n"/>
      <c r="G78" s="60" t="n"/>
      <c r="H78" s="60" t="n"/>
      <c r="I78" s="61" t="n"/>
      <c r="J78" s="61" t="n"/>
      <c r="K78" s="62" t="n"/>
      <c r="L78" s="63">
        <f>IFERROR(IF(OR($K78="",$Z78=""),"",($K78-$Z78)/365.25),"")</f>
        <v/>
      </c>
      <c r="M78" s="64" t="n"/>
      <c r="N78" s="65">
        <f>IFERROR(IF(OR($M78="",$F78=""),"",$M78/$F78),"")</f>
        <v/>
      </c>
      <c r="O78" s="64" t="n"/>
      <c r="P78" s="64">
        <f>IFERROR(IF(OR($O78="",$F78=""),"",$O78/$F78),"")</f>
        <v/>
      </c>
      <c r="Q78" s="66">
        <f>IFERROR(IF(OR($M78="",$O78=""),"",$M78/$O78),"")</f>
        <v/>
      </c>
      <c r="R78" s="64" t="n"/>
      <c r="S78" s="64">
        <f>IFERROR(IF(OR($R78="",$F78=""),"",$R78/$F78),"")</f>
        <v/>
      </c>
      <c r="T78" s="66">
        <f>IFERROR(IF(OR($M78="",$R78=""),"",$M78/$R78),"")</f>
        <v/>
      </c>
      <c r="U78" s="64" t="n"/>
      <c r="V78" s="64">
        <f>IFERROR(IF(OR($U78="",$F78=""),"",$U78/$F78),"")</f>
        <v/>
      </c>
      <c r="W78" s="66">
        <f>IFERROR(IF(OR($M78="",$U78=""),"",$M78/$U78),"")</f>
        <v/>
      </c>
      <c r="X78" s="88">
        <f>IFERROR(IF(OR($W78="",$T78=""),"",($W78-$T78)*10000),"")</f>
        <v/>
      </c>
      <c r="Y78" s="61">
        <f>IFERROR(IF(OR($R78="",$O78=""),"",IF($R78=$O78,"No","Yes")),"")</f>
        <v/>
      </c>
      <c r="Z78" s="62" t="n"/>
      <c r="AA78" s="62" t="n"/>
      <c r="AB78" s="89">
        <f>IFERROR(IF(OR($Z78="",$AA78=""),"",$Z78-$AA78),"")</f>
        <v/>
      </c>
      <c r="AC78" s="67" t="n"/>
      <c r="AD78" s="67" t="n"/>
      <c r="AE78" s="68" t="n"/>
      <c r="AF78" s="67" t="n"/>
      <c r="AG78" s="67" t="n"/>
      <c r="AH78" s="67" t="n"/>
      <c r="AI78" s="67" t="n"/>
      <c r="AJ78" s="67" t="n"/>
    </row>
    <row r="79" ht="15" customHeight="1" s="46">
      <c r="A79" s="69">
        <f>IFERROR(ROW()-5,"")</f>
        <v/>
      </c>
      <c r="B79" s="70" t="n"/>
      <c r="C79" s="70" t="n"/>
      <c r="D79" s="70" t="n"/>
      <c r="E79" s="70" t="n"/>
      <c r="F79" s="69" t="n"/>
      <c r="G79" s="69" t="n"/>
      <c r="H79" s="69" t="n"/>
      <c r="I79" s="70" t="n"/>
      <c r="J79" s="70" t="n"/>
      <c r="K79" s="71" t="n"/>
      <c r="L79" s="72">
        <f>IFERROR(IF(OR($K79="",$Z79=""),"",($K79-$Z79)/365.25),"")</f>
        <v/>
      </c>
      <c r="M79" s="73" t="n"/>
      <c r="N79" s="74">
        <f>IFERROR(IF(OR($M79="",$F79=""),"",$M79/$F79),"")</f>
        <v/>
      </c>
      <c r="O79" s="73" t="n"/>
      <c r="P79" s="73">
        <f>IFERROR(IF(OR($O79="",$F79=""),"",$O79/$F79),"")</f>
        <v/>
      </c>
      <c r="Q79" s="75">
        <f>IFERROR(IF(OR($M79="",$O79=""),"",$M79/$O79),"")</f>
        <v/>
      </c>
      <c r="R79" s="73" t="n"/>
      <c r="S79" s="73">
        <f>IFERROR(IF(OR($R79="",$F79=""),"",$R79/$F79),"")</f>
        <v/>
      </c>
      <c r="T79" s="75">
        <f>IFERROR(IF(OR($M79="",$R79=""),"",$M79/$R79),"")</f>
        <v/>
      </c>
      <c r="U79" s="73" t="n"/>
      <c r="V79" s="73">
        <f>IFERROR(IF(OR($U79="",$F79=""),"",$U79/$F79),"")</f>
        <v/>
      </c>
      <c r="W79" s="75">
        <f>IFERROR(IF(OR($M79="",$U79=""),"",$M79/$U79),"")</f>
        <v/>
      </c>
      <c r="X79" s="90">
        <f>IFERROR(IF(OR($W79="",$T79=""),"",($W79-$T79)*10000),"")</f>
        <v/>
      </c>
      <c r="Y79" s="70">
        <f>IFERROR(IF(OR($R79="",$O79=""),"",IF($R79=$O79,"No","Yes")),"")</f>
        <v/>
      </c>
      <c r="Z79" s="71" t="n"/>
      <c r="AA79" s="71" t="n"/>
      <c r="AB79" s="89">
        <f>IFERROR(IF(OR($Z79="",$AA79=""),"",$Z79-$AA79),"")</f>
        <v/>
      </c>
      <c r="AC79" s="67" t="n"/>
      <c r="AD79" s="67" t="n"/>
      <c r="AE79" s="68" t="n"/>
      <c r="AF79" s="67" t="n"/>
      <c r="AG79" s="67" t="n"/>
      <c r="AH79" s="67" t="n"/>
      <c r="AI79" s="67" t="n"/>
      <c r="AJ79" s="67" t="n"/>
    </row>
    <row r="80" ht="15" customHeight="1" s="46">
      <c r="A80" s="60">
        <f>IFERROR(ROW()-5,"")</f>
        <v/>
      </c>
      <c r="B80" s="61" t="n"/>
      <c r="C80" s="61" t="n"/>
      <c r="D80" s="61" t="n"/>
      <c r="E80" s="61" t="n"/>
      <c r="F80" s="60" t="n"/>
      <c r="G80" s="60" t="n"/>
      <c r="H80" s="60" t="n"/>
      <c r="I80" s="61" t="n"/>
      <c r="J80" s="61" t="n"/>
      <c r="K80" s="62" t="n"/>
      <c r="L80" s="63">
        <f>IFERROR(IF(OR($K80="",$Z80=""),"",($K80-$Z80)/365.25),"")</f>
        <v/>
      </c>
      <c r="M80" s="64" t="n"/>
      <c r="N80" s="65">
        <f>IFERROR(IF(OR($M80="",$F80=""),"",$M80/$F80),"")</f>
        <v/>
      </c>
      <c r="O80" s="64" t="n"/>
      <c r="P80" s="64">
        <f>IFERROR(IF(OR($O80="",$F80=""),"",$O80/$F80),"")</f>
        <v/>
      </c>
      <c r="Q80" s="66">
        <f>IFERROR(IF(OR($M80="",$O80=""),"",$M80/$O80),"")</f>
        <v/>
      </c>
      <c r="R80" s="64" t="n"/>
      <c r="S80" s="64">
        <f>IFERROR(IF(OR($R80="",$F80=""),"",$R80/$F80),"")</f>
        <v/>
      </c>
      <c r="T80" s="66">
        <f>IFERROR(IF(OR($M80="",$R80=""),"",$M80/$R80),"")</f>
        <v/>
      </c>
      <c r="U80" s="64" t="n"/>
      <c r="V80" s="64">
        <f>IFERROR(IF(OR($U80="",$F80=""),"",$U80/$F80),"")</f>
        <v/>
      </c>
      <c r="W80" s="66">
        <f>IFERROR(IF(OR($M80="",$U80=""),"",$M80/$U80),"")</f>
        <v/>
      </c>
      <c r="X80" s="88">
        <f>IFERROR(IF(OR($W80="",$T80=""),"",($W80-$T80)*10000),"")</f>
        <v/>
      </c>
      <c r="Y80" s="61">
        <f>IFERROR(IF(OR($R80="",$O80=""),"",IF($R80=$O80,"No","Yes")),"")</f>
        <v/>
      </c>
      <c r="Z80" s="62" t="n"/>
      <c r="AA80" s="62" t="n"/>
      <c r="AB80" s="89">
        <f>IFERROR(IF(OR($Z80="",$AA80=""),"",$Z80-$AA80),"")</f>
        <v/>
      </c>
      <c r="AC80" s="67" t="n"/>
      <c r="AD80" s="67" t="n"/>
      <c r="AE80" s="68" t="n"/>
      <c r="AF80" s="67" t="n"/>
      <c r="AG80" s="67" t="n"/>
      <c r="AH80" s="67" t="n"/>
      <c r="AI80" s="67" t="n"/>
      <c r="AJ80" s="67" t="n"/>
    </row>
    <row r="81" ht="15" customHeight="1" s="46">
      <c r="A81" s="69">
        <f>IFERROR(ROW()-5,"")</f>
        <v/>
      </c>
      <c r="B81" s="70" t="n"/>
      <c r="C81" s="70" t="n"/>
      <c r="D81" s="70" t="n"/>
      <c r="E81" s="70" t="n"/>
      <c r="F81" s="69" t="n"/>
      <c r="G81" s="69" t="n"/>
      <c r="H81" s="69" t="n"/>
      <c r="I81" s="70" t="n"/>
      <c r="J81" s="70" t="n"/>
      <c r="K81" s="71" t="n"/>
      <c r="L81" s="72">
        <f>IFERROR(IF(OR($K81="",$Z81=""),"",($K81-$Z81)/365.25),"")</f>
        <v/>
      </c>
      <c r="M81" s="73" t="n"/>
      <c r="N81" s="74">
        <f>IFERROR(IF(OR($M81="",$F81=""),"",$M81/$F81),"")</f>
        <v/>
      </c>
      <c r="O81" s="73" t="n"/>
      <c r="P81" s="73">
        <f>IFERROR(IF(OR($O81="",$F81=""),"",$O81/$F81),"")</f>
        <v/>
      </c>
      <c r="Q81" s="75">
        <f>IFERROR(IF(OR($M81="",$O81=""),"",$M81/$O81),"")</f>
        <v/>
      </c>
      <c r="R81" s="73" t="n"/>
      <c r="S81" s="73">
        <f>IFERROR(IF(OR($R81="",$F81=""),"",$R81/$F81),"")</f>
        <v/>
      </c>
      <c r="T81" s="75">
        <f>IFERROR(IF(OR($M81="",$R81=""),"",$M81/$R81),"")</f>
        <v/>
      </c>
      <c r="U81" s="73" t="n"/>
      <c r="V81" s="73">
        <f>IFERROR(IF(OR($U81="",$F81=""),"",$U81/$F81),"")</f>
        <v/>
      </c>
      <c r="W81" s="75">
        <f>IFERROR(IF(OR($M81="",$U81=""),"",$M81/$U81),"")</f>
        <v/>
      </c>
      <c r="X81" s="90">
        <f>IFERROR(IF(OR($W81="",$T81=""),"",($W81-$T81)*10000),"")</f>
        <v/>
      </c>
      <c r="Y81" s="70">
        <f>IFERROR(IF(OR($R81="",$O81=""),"",IF($R81=$O81,"No","Yes")),"")</f>
        <v/>
      </c>
      <c r="Z81" s="71" t="n"/>
      <c r="AA81" s="71" t="n"/>
      <c r="AB81" s="89">
        <f>IFERROR(IF(OR($Z81="",$AA81=""),"",$Z81-$AA81),"")</f>
        <v/>
      </c>
      <c r="AC81" s="67" t="n"/>
      <c r="AD81" s="67" t="n"/>
      <c r="AE81" s="68" t="n"/>
      <c r="AF81" s="67" t="n"/>
      <c r="AG81" s="67" t="n"/>
      <c r="AH81" s="67" t="n"/>
      <c r="AI81" s="67" t="n"/>
      <c r="AJ81" s="67" t="n"/>
    </row>
    <row r="82" ht="15" customHeight="1" s="46">
      <c r="A82" s="60">
        <f>IFERROR(ROW()-5,"")</f>
        <v/>
      </c>
      <c r="B82" s="61" t="n"/>
      <c r="C82" s="61" t="n"/>
      <c r="D82" s="61" t="n"/>
      <c r="E82" s="61" t="n"/>
      <c r="F82" s="60" t="n"/>
      <c r="G82" s="60" t="n"/>
      <c r="H82" s="60" t="n"/>
      <c r="I82" s="61" t="n"/>
      <c r="J82" s="61" t="n"/>
      <c r="K82" s="62" t="n"/>
      <c r="L82" s="63">
        <f>IFERROR(IF(OR($K82="",$Z82=""),"",($K82-$Z82)/365.25),"")</f>
        <v/>
      </c>
      <c r="M82" s="64" t="n"/>
      <c r="N82" s="65">
        <f>IFERROR(IF(OR($M82="",$F82=""),"",$M82/$F82),"")</f>
        <v/>
      </c>
      <c r="O82" s="64" t="n"/>
      <c r="P82" s="64">
        <f>IFERROR(IF(OR($O82="",$F82=""),"",$O82/$F82),"")</f>
        <v/>
      </c>
      <c r="Q82" s="66">
        <f>IFERROR(IF(OR($M82="",$O82=""),"",$M82/$O82),"")</f>
        <v/>
      </c>
      <c r="R82" s="64" t="n"/>
      <c r="S82" s="64">
        <f>IFERROR(IF(OR($R82="",$F82=""),"",$R82/$F82),"")</f>
        <v/>
      </c>
      <c r="T82" s="66">
        <f>IFERROR(IF(OR($M82="",$R82=""),"",$M82/$R82),"")</f>
        <v/>
      </c>
      <c r="U82" s="64" t="n"/>
      <c r="V82" s="64">
        <f>IFERROR(IF(OR($U82="",$F82=""),"",$U82/$F82),"")</f>
        <v/>
      </c>
      <c r="W82" s="66">
        <f>IFERROR(IF(OR($M82="",$U82=""),"",$M82/$U82),"")</f>
        <v/>
      </c>
      <c r="X82" s="88">
        <f>IFERROR(IF(OR($W82="",$T82=""),"",($W82-$T82)*10000),"")</f>
        <v/>
      </c>
      <c r="Y82" s="61">
        <f>IFERROR(IF(OR($R82="",$O82=""),"",IF($R82=$O82,"No","Yes")),"")</f>
        <v/>
      </c>
      <c r="Z82" s="62" t="n"/>
      <c r="AA82" s="62" t="n"/>
      <c r="AB82" s="89">
        <f>IFERROR(IF(OR($Z82="",$AA82=""),"",$Z82-$AA82),"")</f>
        <v/>
      </c>
      <c r="AC82" s="67" t="n"/>
      <c r="AD82" s="67" t="n"/>
      <c r="AE82" s="68" t="n"/>
      <c r="AF82" s="67" t="n"/>
      <c r="AG82" s="67" t="n"/>
      <c r="AH82" s="67" t="n"/>
      <c r="AI82" s="67" t="n"/>
      <c r="AJ82" s="67" t="n"/>
    </row>
    <row r="83" ht="15" customHeight="1" s="46">
      <c r="A83" s="69">
        <f>IFERROR(ROW()-5,"")</f>
        <v/>
      </c>
      <c r="B83" s="70" t="n"/>
      <c r="C83" s="70" t="n"/>
      <c r="D83" s="70" t="n"/>
      <c r="E83" s="70" t="n"/>
      <c r="F83" s="69" t="n"/>
      <c r="G83" s="69" t="n"/>
      <c r="H83" s="69" t="n"/>
      <c r="I83" s="70" t="n"/>
      <c r="J83" s="70" t="n"/>
      <c r="K83" s="71" t="n"/>
      <c r="L83" s="72">
        <f>IFERROR(IF(OR($K83="",$Z83=""),"",($K83-$Z83)/365.25),"")</f>
        <v/>
      </c>
      <c r="M83" s="73" t="n"/>
      <c r="N83" s="74">
        <f>IFERROR(IF(OR($M83="",$F83=""),"",$M83/$F83),"")</f>
        <v/>
      </c>
      <c r="O83" s="73" t="n"/>
      <c r="P83" s="73">
        <f>IFERROR(IF(OR($O83="",$F83=""),"",$O83/$F83),"")</f>
        <v/>
      </c>
      <c r="Q83" s="75">
        <f>IFERROR(IF(OR($M83="",$O83=""),"",$M83/$O83),"")</f>
        <v/>
      </c>
      <c r="R83" s="73" t="n"/>
      <c r="S83" s="73">
        <f>IFERROR(IF(OR($R83="",$F83=""),"",$R83/$F83),"")</f>
        <v/>
      </c>
      <c r="T83" s="75">
        <f>IFERROR(IF(OR($M83="",$R83=""),"",$M83/$R83),"")</f>
        <v/>
      </c>
      <c r="U83" s="73" t="n"/>
      <c r="V83" s="73">
        <f>IFERROR(IF(OR($U83="",$F83=""),"",$U83/$F83),"")</f>
        <v/>
      </c>
      <c r="W83" s="75">
        <f>IFERROR(IF(OR($M83="",$U83=""),"",$M83/$U83),"")</f>
        <v/>
      </c>
      <c r="X83" s="90">
        <f>IFERROR(IF(OR($W83="",$T83=""),"",($W83-$T83)*10000),"")</f>
        <v/>
      </c>
      <c r="Y83" s="70">
        <f>IFERROR(IF(OR($R83="",$O83=""),"",IF($R83=$O83,"No","Yes")),"")</f>
        <v/>
      </c>
      <c r="Z83" s="71" t="n"/>
      <c r="AA83" s="71" t="n"/>
      <c r="AB83" s="89">
        <f>IFERROR(IF(OR($Z83="",$AA83=""),"",$Z83-$AA83),"")</f>
        <v/>
      </c>
      <c r="AC83" s="67" t="n"/>
      <c r="AD83" s="67" t="n"/>
      <c r="AE83" s="68" t="n"/>
      <c r="AF83" s="67" t="n"/>
      <c r="AG83" s="67" t="n"/>
      <c r="AH83" s="67" t="n"/>
      <c r="AI83" s="67" t="n"/>
      <c r="AJ83" s="67" t="n"/>
    </row>
    <row r="84" ht="15" customHeight="1" s="46">
      <c r="A84" s="60">
        <f>IFERROR(ROW()-5,"")</f>
        <v/>
      </c>
      <c r="B84" s="61" t="n"/>
      <c r="C84" s="61" t="n"/>
      <c r="D84" s="61" t="n"/>
      <c r="E84" s="61" t="n"/>
      <c r="F84" s="60" t="n"/>
      <c r="G84" s="60" t="n"/>
      <c r="H84" s="60" t="n"/>
      <c r="I84" s="61" t="n"/>
      <c r="J84" s="61" t="n"/>
      <c r="K84" s="62" t="n"/>
      <c r="L84" s="63">
        <f>IFERROR(IF(OR($K84="",$Z84=""),"",($K84-$Z84)/365.25),"")</f>
        <v/>
      </c>
      <c r="M84" s="64" t="n"/>
      <c r="N84" s="65">
        <f>IFERROR(IF(OR($M84="",$F84=""),"",$M84/$F84),"")</f>
        <v/>
      </c>
      <c r="O84" s="64" t="n"/>
      <c r="P84" s="64">
        <f>IFERROR(IF(OR($O84="",$F84=""),"",$O84/$F84),"")</f>
        <v/>
      </c>
      <c r="Q84" s="66">
        <f>IFERROR(IF(OR($M84="",$O84=""),"",$M84/$O84),"")</f>
        <v/>
      </c>
      <c r="R84" s="64" t="n"/>
      <c r="S84" s="64">
        <f>IFERROR(IF(OR($R84="",$F84=""),"",$R84/$F84),"")</f>
        <v/>
      </c>
      <c r="T84" s="66">
        <f>IFERROR(IF(OR($M84="",$R84=""),"",$M84/$R84),"")</f>
        <v/>
      </c>
      <c r="U84" s="64" t="n"/>
      <c r="V84" s="64">
        <f>IFERROR(IF(OR($U84="",$F84=""),"",$U84/$F84),"")</f>
        <v/>
      </c>
      <c r="W84" s="66">
        <f>IFERROR(IF(OR($M84="",$U84=""),"",$M84/$U84),"")</f>
        <v/>
      </c>
      <c r="X84" s="88">
        <f>IFERROR(IF(OR($W84="",$T84=""),"",($W84-$T84)*10000),"")</f>
        <v/>
      </c>
      <c r="Y84" s="61">
        <f>IFERROR(IF(OR($R84="",$O84=""),"",IF($R84=$O84,"No","Yes")),"")</f>
        <v/>
      </c>
      <c r="Z84" s="62" t="n"/>
      <c r="AA84" s="62" t="n"/>
      <c r="AB84" s="89">
        <f>IFERROR(IF(OR($Z84="",$AA84=""),"",$Z84-$AA84),"")</f>
        <v/>
      </c>
      <c r="AC84" s="67" t="n"/>
      <c r="AD84" s="67" t="n"/>
      <c r="AE84" s="68" t="n"/>
      <c r="AF84" s="67" t="n"/>
      <c r="AG84" s="67" t="n"/>
      <c r="AH84" s="67" t="n"/>
      <c r="AI84" s="67" t="n"/>
      <c r="AJ84" s="67" t="n"/>
    </row>
    <row r="85" ht="15" customHeight="1" s="46">
      <c r="A85" s="69">
        <f>IFERROR(ROW()-5,"")</f>
        <v/>
      </c>
      <c r="B85" s="70" t="n"/>
      <c r="C85" s="70" t="n"/>
      <c r="D85" s="70" t="n"/>
      <c r="E85" s="70" t="n"/>
      <c r="F85" s="69" t="n"/>
      <c r="G85" s="69" t="n"/>
      <c r="H85" s="69" t="n"/>
      <c r="I85" s="70" t="n"/>
      <c r="J85" s="70" t="n"/>
      <c r="K85" s="71" t="n"/>
      <c r="L85" s="72">
        <f>IFERROR(IF(OR($K85="",$Z85=""),"",($K85-$Z85)/365.25),"")</f>
        <v/>
      </c>
      <c r="M85" s="73" t="n"/>
      <c r="N85" s="74">
        <f>IFERROR(IF(OR($M85="",$F85=""),"",$M85/$F85),"")</f>
        <v/>
      </c>
      <c r="O85" s="73" t="n"/>
      <c r="P85" s="73">
        <f>IFERROR(IF(OR($O85="",$F85=""),"",$O85/$F85),"")</f>
        <v/>
      </c>
      <c r="Q85" s="75">
        <f>IFERROR(IF(OR($M85="",$O85=""),"",$M85/$O85),"")</f>
        <v/>
      </c>
      <c r="R85" s="73" t="n"/>
      <c r="S85" s="73">
        <f>IFERROR(IF(OR($R85="",$F85=""),"",$R85/$F85),"")</f>
        <v/>
      </c>
      <c r="T85" s="75">
        <f>IFERROR(IF(OR($M85="",$R85=""),"",$M85/$R85),"")</f>
        <v/>
      </c>
      <c r="U85" s="73" t="n"/>
      <c r="V85" s="73">
        <f>IFERROR(IF(OR($U85="",$F85=""),"",$U85/$F85),"")</f>
        <v/>
      </c>
      <c r="W85" s="75">
        <f>IFERROR(IF(OR($M85="",$U85=""),"",$M85/$U85),"")</f>
        <v/>
      </c>
      <c r="X85" s="90">
        <f>IFERROR(IF(OR($W85="",$T85=""),"",($W85-$T85)*10000),"")</f>
        <v/>
      </c>
      <c r="Y85" s="70">
        <f>IFERROR(IF(OR($R85="",$O85=""),"",IF($R85=$O85,"No","Yes")),"")</f>
        <v/>
      </c>
      <c r="Z85" s="71" t="n"/>
      <c r="AA85" s="71" t="n"/>
      <c r="AB85" s="89">
        <f>IFERROR(IF(OR($Z85="",$AA85=""),"",$Z85-$AA85),"")</f>
        <v/>
      </c>
      <c r="AC85" s="67" t="n"/>
      <c r="AD85" s="67" t="n"/>
      <c r="AE85" s="68" t="n"/>
      <c r="AF85" s="67" t="n"/>
      <c r="AG85" s="67" t="n"/>
      <c r="AH85" s="67" t="n"/>
      <c r="AI85" s="67" t="n"/>
      <c r="AJ85" s="67" t="n"/>
    </row>
    <row r="86" ht="15" customHeight="1" s="46">
      <c r="A86" s="60">
        <f>IFERROR(ROW()-5,"")</f>
        <v/>
      </c>
      <c r="B86" s="61" t="n"/>
      <c r="C86" s="61" t="n"/>
      <c r="D86" s="61" t="n"/>
      <c r="E86" s="61" t="n"/>
      <c r="F86" s="60" t="n"/>
      <c r="G86" s="60" t="n"/>
      <c r="H86" s="60" t="n"/>
      <c r="I86" s="61" t="n"/>
      <c r="J86" s="61" t="n"/>
      <c r="K86" s="62" t="n"/>
      <c r="L86" s="63">
        <f>IFERROR(IF(OR($K86="",$Z86=""),"",($K86-$Z86)/365.25),"")</f>
        <v/>
      </c>
      <c r="M86" s="64" t="n"/>
      <c r="N86" s="65">
        <f>IFERROR(IF(OR($M86="",$F86=""),"",$M86/$F86),"")</f>
        <v/>
      </c>
      <c r="O86" s="64" t="n"/>
      <c r="P86" s="64">
        <f>IFERROR(IF(OR($O86="",$F86=""),"",$O86/$F86),"")</f>
        <v/>
      </c>
      <c r="Q86" s="66">
        <f>IFERROR(IF(OR($M86="",$O86=""),"",$M86/$O86),"")</f>
        <v/>
      </c>
      <c r="R86" s="64" t="n"/>
      <c r="S86" s="64">
        <f>IFERROR(IF(OR($R86="",$F86=""),"",$R86/$F86),"")</f>
        <v/>
      </c>
      <c r="T86" s="66">
        <f>IFERROR(IF(OR($M86="",$R86=""),"",$M86/$R86),"")</f>
        <v/>
      </c>
      <c r="U86" s="64" t="n"/>
      <c r="V86" s="64">
        <f>IFERROR(IF(OR($U86="",$F86=""),"",$U86/$F86),"")</f>
        <v/>
      </c>
      <c r="W86" s="66">
        <f>IFERROR(IF(OR($M86="",$U86=""),"",$M86/$U86),"")</f>
        <v/>
      </c>
      <c r="X86" s="88">
        <f>IFERROR(IF(OR($W86="",$T86=""),"",($W86-$T86)*10000),"")</f>
        <v/>
      </c>
      <c r="Y86" s="61">
        <f>IFERROR(IF(OR($R86="",$O86=""),"",IF($R86=$O86,"No","Yes")),"")</f>
        <v/>
      </c>
      <c r="Z86" s="62" t="n"/>
      <c r="AA86" s="62" t="n"/>
      <c r="AB86" s="89">
        <f>IFERROR(IF(OR($Z86="",$AA86=""),"",$Z86-$AA86),"")</f>
        <v/>
      </c>
      <c r="AC86" s="67" t="n"/>
      <c r="AD86" s="67" t="n"/>
      <c r="AE86" s="68" t="n"/>
      <c r="AF86" s="67" t="n"/>
      <c r="AG86" s="67" t="n"/>
      <c r="AH86" s="67" t="n"/>
      <c r="AI86" s="67" t="n"/>
      <c r="AJ86" s="67" t="n"/>
    </row>
    <row r="87" ht="15" customHeight="1" s="46">
      <c r="A87" s="69">
        <f>IFERROR(ROW()-5,"")</f>
        <v/>
      </c>
      <c r="B87" s="70" t="n"/>
      <c r="C87" s="70" t="n"/>
      <c r="D87" s="70" t="n"/>
      <c r="E87" s="70" t="n"/>
      <c r="F87" s="69" t="n"/>
      <c r="G87" s="69" t="n"/>
      <c r="H87" s="69" t="n"/>
      <c r="I87" s="70" t="n"/>
      <c r="J87" s="70" t="n"/>
      <c r="K87" s="71" t="n"/>
      <c r="L87" s="72">
        <f>IFERROR(IF(OR($K87="",$Z87=""),"",($K87-$Z87)/365.25),"")</f>
        <v/>
      </c>
      <c r="M87" s="73" t="n"/>
      <c r="N87" s="74">
        <f>IFERROR(IF(OR($M87="",$F87=""),"",$M87/$F87),"")</f>
        <v/>
      </c>
      <c r="O87" s="73" t="n"/>
      <c r="P87" s="73">
        <f>IFERROR(IF(OR($O87="",$F87=""),"",$O87/$F87),"")</f>
        <v/>
      </c>
      <c r="Q87" s="75">
        <f>IFERROR(IF(OR($M87="",$O87=""),"",$M87/$O87),"")</f>
        <v/>
      </c>
      <c r="R87" s="73" t="n"/>
      <c r="S87" s="73">
        <f>IFERROR(IF(OR($R87="",$F87=""),"",$R87/$F87),"")</f>
        <v/>
      </c>
      <c r="T87" s="75">
        <f>IFERROR(IF(OR($M87="",$R87=""),"",$M87/$R87),"")</f>
        <v/>
      </c>
      <c r="U87" s="73" t="n"/>
      <c r="V87" s="73">
        <f>IFERROR(IF(OR($U87="",$F87=""),"",$U87/$F87),"")</f>
        <v/>
      </c>
      <c r="W87" s="75">
        <f>IFERROR(IF(OR($M87="",$U87=""),"",$M87/$U87),"")</f>
        <v/>
      </c>
      <c r="X87" s="90">
        <f>IFERROR(IF(OR($W87="",$T87=""),"",($W87-$T87)*10000),"")</f>
        <v/>
      </c>
      <c r="Y87" s="70">
        <f>IFERROR(IF(OR($R87="",$O87=""),"",IF($R87=$O87,"No","Yes")),"")</f>
        <v/>
      </c>
      <c r="Z87" s="71" t="n"/>
      <c r="AA87" s="71" t="n"/>
      <c r="AB87" s="89">
        <f>IFERROR(IF(OR($Z87="",$AA87=""),"",$Z87-$AA87),"")</f>
        <v/>
      </c>
      <c r="AC87" s="67" t="n"/>
      <c r="AD87" s="67" t="n"/>
      <c r="AE87" s="68" t="n"/>
      <c r="AF87" s="67" t="n"/>
      <c r="AG87" s="67" t="n"/>
      <c r="AH87" s="67" t="n"/>
      <c r="AI87" s="67" t="n"/>
      <c r="AJ87" s="67" t="n"/>
    </row>
    <row r="88" ht="15" customHeight="1" s="46">
      <c r="A88" s="60">
        <f>IFERROR(ROW()-5,"")</f>
        <v/>
      </c>
      <c r="B88" s="61" t="n"/>
      <c r="C88" s="61" t="n"/>
      <c r="D88" s="61" t="n"/>
      <c r="E88" s="61" t="n"/>
      <c r="F88" s="60" t="n"/>
      <c r="G88" s="60" t="n"/>
      <c r="H88" s="60" t="n"/>
      <c r="I88" s="61" t="n"/>
      <c r="J88" s="61" t="n"/>
      <c r="K88" s="62" t="n"/>
      <c r="L88" s="63">
        <f>IFERROR(IF(OR($K88="",$Z88=""),"",($K88-$Z88)/365.25),"")</f>
        <v/>
      </c>
      <c r="M88" s="64" t="n"/>
      <c r="N88" s="65">
        <f>IFERROR(IF(OR($M88="",$F88=""),"",$M88/$F88),"")</f>
        <v/>
      </c>
      <c r="O88" s="64" t="n"/>
      <c r="P88" s="64">
        <f>IFERROR(IF(OR($O88="",$F88=""),"",$O88/$F88),"")</f>
        <v/>
      </c>
      <c r="Q88" s="66">
        <f>IFERROR(IF(OR($M88="",$O88=""),"",$M88/$O88),"")</f>
        <v/>
      </c>
      <c r="R88" s="64" t="n"/>
      <c r="S88" s="64">
        <f>IFERROR(IF(OR($R88="",$F88=""),"",$R88/$F88),"")</f>
        <v/>
      </c>
      <c r="T88" s="66">
        <f>IFERROR(IF(OR($M88="",$R88=""),"",$M88/$R88),"")</f>
        <v/>
      </c>
      <c r="U88" s="64" t="n"/>
      <c r="V88" s="64">
        <f>IFERROR(IF(OR($U88="",$F88=""),"",$U88/$F88),"")</f>
        <v/>
      </c>
      <c r="W88" s="66">
        <f>IFERROR(IF(OR($M88="",$U88=""),"",$M88/$U88),"")</f>
        <v/>
      </c>
      <c r="X88" s="88">
        <f>IFERROR(IF(OR($W88="",$T88=""),"",($W88-$T88)*10000),"")</f>
        <v/>
      </c>
      <c r="Y88" s="61">
        <f>IFERROR(IF(OR($R88="",$O88=""),"",IF($R88=$O88,"No","Yes")),"")</f>
        <v/>
      </c>
      <c r="Z88" s="62" t="n"/>
      <c r="AA88" s="62" t="n"/>
      <c r="AB88" s="89">
        <f>IFERROR(IF(OR($Z88="",$AA88=""),"",$Z88-$AA88),"")</f>
        <v/>
      </c>
      <c r="AC88" s="67" t="n"/>
      <c r="AD88" s="67" t="n"/>
      <c r="AE88" s="68" t="n"/>
      <c r="AF88" s="67" t="n"/>
      <c r="AG88" s="67" t="n"/>
      <c r="AH88" s="67" t="n"/>
      <c r="AI88" s="67" t="n"/>
      <c r="AJ88" s="67" t="n"/>
    </row>
    <row r="89" ht="15" customHeight="1" s="46">
      <c r="A89" s="69">
        <f>IFERROR(ROW()-5,"")</f>
        <v/>
      </c>
      <c r="B89" s="70" t="n"/>
      <c r="C89" s="70" t="n"/>
      <c r="D89" s="70" t="n"/>
      <c r="E89" s="70" t="n"/>
      <c r="F89" s="69" t="n"/>
      <c r="G89" s="69" t="n"/>
      <c r="H89" s="69" t="n"/>
      <c r="I89" s="70" t="n"/>
      <c r="J89" s="70" t="n"/>
      <c r="K89" s="71" t="n"/>
      <c r="L89" s="72">
        <f>IFERROR(IF(OR($K89="",$Z89=""),"",($K89-$Z89)/365.25),"")</f>
        <v/>
      </c>
      <c r="M89" s="73" t="n"/>
      <c r="N89" s="74">
        <f>IFERROR(IF(OR($M89="",$F89=""),"",$M89/$F89),"")</f>
        <v/>
      </c>
      <c r="O89" s="73" t="n"/>
      <c r="P89" s="73">
        <f>IFERROR(IF(OR($O89="",$F89=""),"",$O89/$F89),"")</f>
        <v/>
      </c>
      <c r="Q89" s="75">
        <f>IFERROR(IF(OR($M89="",$O89=""),"",$M89/$O89),"")</f>
        <v/>
      </c>
      <c r="R89" s="73" t="n"/>
      <c r="S89" s="73">
        <f>IFERROR(IF(OR($R89="",$F89=""),"",$R89/$F89),"")</f>
        <v/>
      </c>
      <c r="T89" s="75">
        <f>IFERROR(IF(OR($M89="",$R89=""),"",$M89/$R89),"")</f>
        <v/>
      </c>
      <c r="U89" s="73" t="n"/>
      <c r="V89" s="73">
        <f>IFERROR(IF(OR($U89="",$F89=""),"",$U89/$F89),"")</f>
        <v/>
      </c>
      <c r="W89" s="75">
        <f>IFERROR(IF(OR($M89="",$U89=""),"",$M89/$U89),"")</f>
        <v/>
      </c>
      <c r="X89" s="90">
        <f>IFERROR(IF(OR($W89="",$T89=""),"",($W89-$T89)*10000),"")</f>
        <v/>
      </c>
      <c r="Y89" s="70">
        <f>IFERROR(IF(OR($R89="",$O89=""),"",IF($R89=$O89,"No","Yes")),"")</f>
        <v/>
      </c>
      <c r="Z89" s="71" t="n"/>
      <c r="AA89" s="71" t="n"/>
      <c r="AB89" s="89">
        <f>IFERROR(IF(OR($Z89="",$AA89=""),"",$Z89-$AA89),"")</f>
        <v/>
      </c>
      <c r="AC89" s="67" t="n"/>
      <c r="AD89" s="67" t="n"/>
      <c r="AE89" s="68" t="n"/>
      <c r="AF89" s="67" t="n"/>
      <c r="AG89" s="67" t="n"/>
      <c r="AH89" s="67" t="n"/>
      <c r="AI89" s="67" t="n"/>
      <c r="AJ89" s="67" t="n"/>
    </row>
    <row r="90" ht="15" customHeight="1" s="46">
      <c r="A90" s="60">
        <f>IFERROR(ROW()-5,"")</f>
        <v/>
      </c>
      <c r="B90" s="61" t="n"/>
      <c r="C90" s="61" t="n"/>
      <c r="D90" s="61" t="n"/>
      <c r="E90" s="61" t="n"/>
      <c r="F90" s="60" t="n"/>
      <c r="G90" s="60" t="n"/>
      <c r="H90" s="60" t="n"/>
      <c r="I90" s="61" t="n"/>
      <c r="J90" s="61" t="n"/>
      <c r="K90" s="62" t="n"/>
      <c r="L90" s="63">
        <f>IFERROR(IF(OR($K90="",$Z90=""),"",($K90-$Z90)/365.25),"")</f>
        <v/>
      </c>
      <c r="M90" s="64" t="n"/>
      <c r="N90" s="65">
        <f>IFERROR(IF(OR($M90="",$F90=""),"",$M90/$F90),"")</f>
        <v/>
      </c>
      <c r="O90" s="64" t="n"/>
      <c r="P90" s="64">
        <f>IFERROR(IF(OR($O90="",$F90=""),"",$O90/$F90),"")</f>
        <v/>
      </c>
      <c r="Q90" s="66">
        <f>IFERROR(IF(OR($M90="",$O90=""),"",$M90/$O90),"")</f>
        <v/>
      </c>
      <c r="R90" s="64" t="n"/>
      <c r="S90" s="64">
        <f>IFERROR(IF(OR($R90="",$F90=""),"",$R90/$F90),"")</f>
        <v/>
      </c>
      <c r="T90" s="66">
        <f>IFERROR(IF(OR($M90="",$R90=""),"",$M90/$R90),"")</f>
        <v/>
      </c>
      <c r="U90" s="64" t="n"/>
      <c r="V90" s="64">
        <f>IFERROR(IF(OR($U90="",$F90=""),"",$U90/$F90),"")</f>
        <v/>
      </c>
      <c r="W90" s="66">
        <f>IFERROR(IF(OR($M90="",$U90=""),"",$M90/$U90),"")</f>
        <v/>
      </c>
      <c r="X90" s="88">
        <f>IFERROR(IF(OR($W90="",$T90=""),"",($W90-$T90)*10000),"")</f>
        <v/>
      </c>
      <c r="Y90" s="61">
        <f>IFERROR(IF(OR($R90="",$O90=""),"",IF($R90=$O90,"No","Yes")),"")</f>
        <v/>
      </c>
      <c r="Z90" s="62" t="n"/>
      <c r="AA90" s="62" t="n"/>
      <c r="AB90" s="89">
        <f>IFERROR(IF(OR($Z90="",$AA90=""),"",$Z90-$AA90),"")</f>
        <v/>
      </c>
      <c r="AC90" s="67" t="n"/>
      <c r="AD90" s="67" t="n"/>
      <c r="AE90" s="68" t="n"/>
      <c r="AF90" s="67" t="n"/>
      <c r="AG90" s="67" t="n"/>
      <c r="AH90" s="67" t="n"/>
      <c r="AI90" s="67" t="n"/>
      <c r="AJ90" s="67" t="n"/>
    </row>
    <row r="91" ht="15" customHeight="1" s="46">
      <c r="A91" s="69">
        <f>IFERROR(ROW()-5,"")</f>
        <v/>
      </c>
      <c r="B91" s="70" t="n"/>
      <c r="C91" s="70" t="n"/>
      <c r="D91" s="70" t="n"/>
      <c r="E91" s="70" t="n"/>
      <c r="F91" s="69" t="n"/>
      <c r="G91" s="69" t="n"/>
      <c r="H91" s="69" t="n"/>
      <c r="I91" s="70" t="n"/>
      <c r="J91" s="70" t="n"/>
      <c r="K91" s="71" t="n"/>
      <c r="L91" s="72">
        <f>IFERROR(IF(OR($K91="",$Z91=""),"",($K91-$Z91)/365.25),"")</f>
        <v/>
      </c>
      <c r="M91" s="73" t="n"/>
      <c r="N91" s="74">
        <f>IFERROR(IF(OR($M91="",$F91=""),"",$M91/$F91),"")</f>
        <v/>
      </c>
      <c r="O91" s="73" t="n"/>
      <c r="P91" s="73">
        <f>IFERROR(IF(OR($O91="",$F91=""),"",$O91/$F91),"")</f>
        <v/>
      </c>
      <c r="Q91" s="75">
        <f>IFERROR(IF(OR($M91="",$O91=""),"",$M91/$O91),"")</f>
        <v/>
      </c>
      <c r="R91" s="73" t="n"/>
      <c r="S91" s="73">
        <f>IFERROR(IF(OR($R91="",$F91=""),"",$R91/$F91),"")</f>
        <v/>
      </c>
      <c r="T91" s="75">
        <f>IFERROR(IF(OR($M91="",$R91=""),"",$M91/$R91),"")</f>
        <v/>
      </c>
      <c r="U91" s="73" t="n"/>
      <c r="V91" s="73">
        <f>IFERROR(IF(OR($U91="",$F91=""),"",$U91/$F91),"")</f>
        <v/>
      </c>
      <c r="W91" s="75">
        <f>IFERROR(IF(OR($M91="",$U91=""),"",$M91/$U91),"")</f>
        <v/>
      </c>
      <c r="X91" s="90">
        <f>IFERROR(IF(OR($W91="",$T91=""),"",($W91-$T91)*10000),"")</f>
        <v/>
      </c>
      <c r="Y91" s="70">
        <f>IFERROR(IF(OR($R91="",$O91=""),"",IF($R91=$O91,"No","Yes")),"")</f>
        <v/>
      </c>
      <c r="Z91" s="71" t="n"/>
      <c r="AA91" s="71" t="n"/>
      <c r="AB91" s="89">
        <f>IFERROR(IF(OR($Z91="",$AA91=""),"",$Z91-$AA91),"")</f>
        <v/>
      </c>
      <c r="AC91" s="67" t="n"/>
      <c r="AD91" s="67" t="n"/>
      <c r="AE91" s="68" t="n"/>
      <c r="AF91" s="67" t="n"/>
      <c r="AG91" s="67" t="n"/>
      <c r="AH91" s="67" t="n"/>
      <c r="AI91" s="67" t="n"/>
      <c r="AJ91" s="67" t="n"/>
    </row>
    <row r="92" ht="15" customHeight="1" s="46">
      <c r="A92" s="60">
        <f>IFERROR(ROW()-5,"")</f>
        <v/>
      </c>
      <c r="B92" s="61" t="n"/>
      <c r="C92" s="61" t="n"/>
      <c r="D92" s="61" t="n"/>
      <c r="E92" s="61" t="n"/>
      <c r="F92" s="60" t="n"/>
      <c r="G92" s="60" t="n"/>
      <c r="H92" s="60" t="n"/>
      <c r="I92" s="61" t="n"/>
      <c r="J92" s="61" t="n"/>
      <c r="K92" s="62" t="n"/>
      <c r="L92" s="63">
        <f>IFERROR(IF(OR($K92="",$Z92=""),"",($K92-$Z92)/365.25),"")</f>
        <v/>
      </c>
      <c r="M92" s="64" t="n"/>
      <c r="N92" s="65">
        <f>IFERROR(IF(OR($M92="",$F92=""),"",$M92/$F92),"")</f>
        <v/>
      </c>
      <c r="O92" s="64" t="n"/>
      <c r="P92" s="64">
        <f>IFERROR(IF(OR($O92="",$F92=""),"",$O92/$F92),"")</f>
        <v/>
      </c>
      <c r="Q92" s="66">
        <f>IFERROR(IF(OR($M92="",$O92=""),"",$M92/$O92),"")</f>
        <v/>
      </c>
      <c r="R92" s="64" t="n"/>
      <c r="S92" s="64">
        <f>IFERROR(IF(OR($R92="",$F92=""),"",$R92/$F92),"")</f>
        <v/>
      </c>
      <c r="T92" s="66">
        <f>IFERROR(IF(OR($M92="",$R92=""),"",$M92/$R92),"")</f>
        <v/>
      </c>
      <c r="U92" s="64" t="n"/>
      <c r="V92" s="64">
        <f>IFERROR(IF(OR($U92="",$F92=""),"",$U92/$F92),"")</f>
        <v/>
      </c>
      <c r="W92" s="66">
        <f>IFERROR(IF(OR($M92="",$U92=""),"",$M92/$U92),"")</f>
        <v/>
      </c>
      <c r="X92" s="88">
        <f>IFERROR(IF(OR($W92="",$T92=""),"",($W92-$T92)*10000),"")</f>
        <v/>
      </c>
      <c r="Y92" s="61">
        <f>IFERROR(IF(OR($R92="",$O92=""),"",IF($R92=$O92,"No","Yes")),"")</f>
        <v/>
      </c>
      <c r="Z92" s="62" t="n"/>
      <c r="AA92" s="62" t="n"/>
      <c r="AB92" s="89">
        <f>IFERROR(IF(OR($Z92="",$AA92=""),"",$Z92-$AA92),"")</f>
        <v/>
      </c>
      <c r="AC92" s="67" t="n"/>
      <c r="AD92" s="67" t="n"/>
      <c r="AE92" s="68" t="n"/>
      <c r="AF92" s="67" t="n"/>
      <c r="AG92" s="67" t="n"/>
      <c r="AH92" s="67" t="n"/>
      <c r="AI92" s="67" t="n"/>
      <c r="AJ92" s="67" t="n"/>
    </row>
    <row r="93" ht="15" customHeight="1" s="46">
      <c r="A93" s="69">
        <f>IFERROR(ROW()-5,"")</f>
        <v/>
      </c>
      <c r="B93" s="70" t="n"/>
      <c r="C93" s="70" t="n"/>
      <c r="D93" s="70" t="n"/>
      <c r="E93" s="70" t="n"/>
      <c r="F93" s="69" t="n"/>
      <c r="G93" s="69" t="n"/>
      <c r="H93" s="69" t="n"/>
      <c r="I93" s="70" t="n"/>
      <c r="J93" s="70" t="n"/>
      <c r="K93" s="71" t="n"/>
      <c r="L93" s="72">
        <f>IFERROR(IF(OR($K93="",$Z93=""),"",($K93-$Z93)/365.25),"")</f>
        <v/>
      </c>
      <c r="M93" s="73" t="n"/>
      <c r="N93" s="74">
        <f>IFERROR(IF(OR($M93="",$F93=""),"",$M93/$F93),"")</f>
        <v/>
      </c>
      <c r="O93" s="73" t="n"/>
      <c r="P93" s="73">
        <f>IFERROR(IF(OR($O93="",$F93=""),"",$O93/$F93),"")</f>
        <v/>
      </c>
      <c r="Q93" s="75">
        <f>IFERROR(IF(OR($M93="",$O93=""),"",$M93/$O93),"")</f>
        <v/>
      </c>
      <c r="R93" s="73" t="n"/>
      <c r="S93" s="73">
        <f>IFERROR(IF(OR($R93="",$F93=""),"",$R93/$F93),"")</f>
        <v/>
      </c>
      <c r="T93" s="75">
        <f>IFERROR(IF(OR($M93="",$R93=""),"",$M93/$R93),"")</f>
        <v/>
      </c>
      <c r="U93" s="73" t="n"/>
      <c r="V93" s="73">
        <f>IFERROR(IF(OR($U93="",$F93=""),"",$U93/$F93),"")</f>
        <v/>
      </c>
      <c r="W93" s="75">
        <f>IFERROR(IF(OR($M93="",$U93=""),"",$M93/$U93),"")</f>
        <v/>
      </c>
      <c r="X93" s="90">
        <f>IFERROR(IF(OR($W93="",$T93=""),"",($W93-$T93)*10000),"")</f>
        <v/>
      </c>
      <c r="Y93" s="70">
        <f>IFERROR(IF(OR($R93="",$O93=""),"",IF($R93=$O93,"No","Yes")),"")</f>
        <v/>
      </c>
      <c r="Z93" s="71" t="n"/>
      <c r="AA93" s="71" t="n"/>
      <c r="AB93" s="89">
        <f>IFERROR(IF(OR($Z93="",$AA93=""),"",$Z93-$AA93),"")</f>
        <v/>
      </c>
      <c r="AC93" s="67" t="n"/>
      <c r="AD93" s="67" t="n"/>
      <c r="AE93" s="68" t="n"/>
      <c r="AF93" s="67" t="n"/>
      <c r="AG93" s="67" t="n"/>
      <c r="AH93" s="67" t="n"/>
      <c r="AI93" s="67" t="n"/>
      <c r="AJ93" s="67" t="n"/>
    </row>
    <row r="94" ht="15" customHeight="1" s="46">
      <c r="A94" s="60">
        <f>IFERROR(ROW()-5,"")</f>
        <v/>
      </c>
      <c r="B94" s="61" t="n"/>
      <c r="C94" s="61" t="n"/>
      <c r="D94" s="61" t="n"/>
      <c r="E94" s="61" t="n"/>
      <c r="F94" s="60" t="n"/>
      <c r="G94" s="60" t="n"/>
      <c r="H94" s="60" t="n"/>
      <c r="I94" s="61" t="n"/>
      <c r="J94" s="61" t="n"/>
      <c r="K94" s="62" t="n"/>
      <c r="L94" s="63">
        <f>IFERROR(IF(OR($K94="",$Z94=""),"",($K94-$Z94)/365.25),"")</f>
        <v/>
      </c>
      <c r="M94" s="64" t="n"/>
      <c r="N94" s="65">
        <f>IFERROR(IF(OR($M94="",$F94=""),"",$M94/$F94),"")</f>
        <v/>
      </c>
      <c r="O94" s="64" t="n"/>
      <c r="P94" s="64">
        <f>IFERROR(IF(OR($O94="",$F94=""),"",$O94/$F94),"")</f>
        <v/>
      </c>
      <c r="Q94" s="66">
        <f>IFERROR(IF(OR($M94="",$O94=""),"",$M94/$O94),"")</f>
        <v/>
      </c>
      <c r="R94" s="64" t="n"/>
      <c r="S94" s="64">
        <f>IFERROR(IF(OR($R94="",$F94=""),"",$R94/$F94),"")</f>
        <v/>
      </c>
      <c r="T94" s="66">
        <f>IFERROR(IF(OR($M94="",$R94=""),"",$M94/$R94),"")</f>
        <v/>
      </c>
      <c r="U94" s="64" t="n"/>
      <c r="V94" s="64">
        <f>IFERROR(IF(OR($U94="",$F94=""),"",$U94/$F94),"")</f>
        <v/>
      </c>
      <c r="W94" s="66">
        <f>IFERROR(IF(OR($M94="",$U94=""),"",$M94/$U94),"")</f>
        <v/>
      </c>
      <c r="X94" s="88">
        <f>IFERROR(IF(OR($W94="",$T94=""),"",($W94-$T94)*10000),"")</f>
        <v/>
      </c>
      <c r="Y94" s="61">
        <f>IFERROR(IF(OR($R94="",$O94=""),"",IF($R94=$O94,"No","Yes")),"")</f>
        <v/>
      </c>
      <c r="Z94" s="62" t="n"/>
      <c r="AA94" s="62" t="n"/>
      <c r="AB94" s="89">
        <f>IFERROR(IF(OR($Z94="",$AA94=""),"",$Z94-$AA94),"")</f>
        <v/>
      </c>
      <c r="AC94" s="67" t="n"/>
      <c r="AD94" s="67" t="n"/>
      <c r="AE94" s="68" t="n"/>
      <c r="AF94" s="67" t="n"/>
      <c r="AG94" s="67" t="n"/>
      <c r="AH94" s="67" t="n"/>
      <c r="AI94" s="67" t="n"/>
      <c r="AJ94" s="67" t="n"/>
    </row>
    <row r="95" ht="15" customHeight="1" s="46">
      <c r="A95" s="69">
        <f>IFERROR(ROW()-5,"")</f>
        <v/>
      </c>
      <c r="B95" s="70" t="n"/>
      <c r="C95" s="70" t="n"/>
      <c r="D95" s="70" t="n"/>
      <c r="E95" s="70" t="n"/>
      <c r="F95" s="69" t="n"/>
      <c r="G95" s="69" t="n"/>
      <c r="H95" s="69" t="n"/>
      <c r="I95" s="70" t="n"/>
      <c r="J95" s="70" t="n"/>
      <c r="K95" s="71" t="n"/>
      <c r="L95" s="72">
        <f>IFERROR(IF(OR($K95="",$Z95=""),"",($K95-$Z95)/365.25),"")</f>
        <v/>
      </c>
      <c r="M95" s="73" t="n"/>
      <c r="N95" s="74">
        <f>IFERROR(IF(OR($M95="",$F95=""),"",$M95/$F95),"")</f>
        <v/>
      </c>
      <c r="O95" s="73" t="n"/>
      <c r="P95" s="73">
        <f>IFERROR(IF(OR($O95="",$F95=""),"",$O95/$F95),"")</f>
        <v/>
      </c>
      <c r="Q95" s="75">
        <f>IFERROR(IF(OR($M95="",$O95=""),"",$M95/$O95),"")</f>
        <v/>
      </c>
      <c r="R95" s="73" t="n"/>
      <c r="S95" s="73">
        <f>IFERROR(IF(OR($R95="",$F95=""),"",$R95/$F95),"")</f>
        <v/>
      </c>
      <c r="T95" s="75">
        <f>IFERROR(IF(OR($M95="",$R95=""),"",$M95/$R95),"")</f>
        <v/>
      </c>
      <c r="U95" s="73" t="n"/>
      <c r="V95" s="73">
        <f>IFERROR(IF(OR($U95="",$F95=""),"",$U95/$F95),"")</f>
        <v/>
      </c>
      <c r="W95" s="75">
        <f>IFERROR(IF(OR($M95="",$U95=""),"",$M95/$U95),"")</f>
        <v/>
      </c>
      <c r="X95" s="90">
        <f>IFERROR(IF(OR($W95="",$T95=""),"",($W95-$T95)*10000),"")</f>
        <v/>
      </c>
      <c r="Y95" s="70">
        <f>IFERROR(IF(OR($R95="",$O95=""),"",IF($R95=$O95,"No","Yes")),"")</f>
        <v/>
      </c>
      <c r="Z95" s="71" t="n"/>
      <c r="AA95" s="71" t="n"/>
      <c r="AB95" s="89">
        <f>IFERROR(IF(OR($Z95="",$AA95=""),"",$Z95-$AA95),"")</f>
        <v/>
      </c>
      <c r="AC95" s="67" t="n"/>
      <c r="AD95" s="67" t="n"/>
      <c r="AE95" s="68" t="n"/>
      <c r="AF95" s="67" t="n"/>
      <c r="AG95" s="67" t="n"/>
      <c r="AH95" s="67" t="n"/>
      <c r="AI95" s="67" t="n"/>
      <c r="AJ95" s="67" t="n"/>
    </row>
    <row r="96" ht="15" customHeight="1" s="46">
      <c r="A96" s="60">
        <f>IFERROR(ROW()-5,"")</f>
        <v/>
      </c>
      <c r="B96" s="61" t="n"/>
      <c r="C96" s="61" t="n"/>
      <c r="D96" s="61" t="n"/>
      <c r="E96" s="61" t="n"/>
      <c r="F96" s="60" t="n"/>
      <c r="G96" s="60" t="n"/>
      <c r="H96" s="60" t="n"/>
      <c r="I96" s="61" t="n"/>
      <c r="J96" s="61" t="n"/>
      <c r="K96" s="62" t="n"/>
      <c r="L96" s="63">
        <f>IFERROR(IF(OR($K96="",$Z96=""),"",($K96-$Z96)/365.25),"")</f>
        <v/>
      </c>
      <c r="M96" s="64" t="n"/>
      <c r="N96" s="65">
        <f>IFERROR(IF(OR($M96="",$F96=""),"",$M96/$F96),"")</f>
        <v/>
      </c>
      <c r="O96" s="64" t="n"/>
      <c r="P96" s="64">
        <f>IFERROR(IF(OR($O96="",$F96=""),"",$O96/$F96),"")</f>
        <v/>
      </c>
      <c r="Q96" s="66">
        <f>IFERROR(IF(OR($M96="",$O96=""),"",$M96/$O96),"")</f>
        <v/>
      </c>
      <c r="R96" s="64" t="n"/>
      <c r="S96" s="64">
        <f>IFERROR(IF(OR($R96="",$F96=""),"",$R96/$F96),"")</f>
        <v/>
      </c>
      <c r="T96" s="66">
        <f>IFERROR(IF(OR($M96="",$R96=""),"",$M96/$R96),"")</f>
        <v/>
      </c>
      <c r="U96" s="64" t="n"/>
      <c r="V96" s="64">
        <f>IFERROR(IF(OR($U96="",$F96=""),"",$U96/$F96),"")</f>
        <v/>
      </c>
      <c r="W96" s="66">
        <f>IFERROR(IF(OR($M96="",$U96=""),"",$M96/$U96),"")</f>
        <v/>
      </c>
      <c r="X96" s="88">
        <f>IFERROR(IF(OR($W96="",$T96=""),"",($W96-$T96)*10000),"")</f>
        <v/>
      </c>
      <c r="Y96" s="61">
        <f>IFERROR(IF(OR($R96="",$O96=""),"",IF($R96=$O96,"No","Yes")),"")</f>
        <v/>
      </c>
      <c r="Z96" s="62" t="n"/>
      <c r="AA96" s="62" t="n"/>
      <c r="AB96" s="89">
        <f>IFERROR(IF(OR($Z96="",$AA96=""),"",$Z96-$AA96),"")</f>
        <v/>
      </c>
      <c r="AC96" s="67" t="n"/>
      <c r="AD96" s="67" t="n"/>
      <c r="AE96" s="68" t="n"/>
      <c r="AF96" s="67" t="n"/>
      <c r="AG96" s="67" t="n"/>
      <c r="AH96" s="67" t="n"/>
      <c r="AI96" s="67" t="n"/>
      <c r="AJ96" s="67" t="n"/>
    </row>
    <row r="97" ht="15" customHeight="1" s="46">
      <c r="A97" s="69">
        <f>IFERROR(ROW()-5,"")</f>
        <v/>
      </c>
      <c r="B97" s="70" t="n"/>
      <c r="C97" s="70" t="n"/>
      <c r="D97" s="70" t="n"/>
      <c r="E97" s="70" t="n"/>
      <c r="F97" s="69" t="n"/>
      <c r="G97" s="69" t="n"/>
      <c r="H97" s="69" t="n"/>
      <c r="I97" s="70" t="n"/>
      <c r="J97" s="70" t="n"/>
      <c r="K97" s="71" t="n"/>
      <c r="L97" s="72">
        <f>IFERROR(IF(OR($K97="",$Z97=""),"",($K97-$Z97)/365.25),"")</f>
        <v/>
      </c>
      <c r="M97" s="73" t="n"/>
      <c r="N97" s="74">
        <f>IFERROR(IF(OR($M97="",$F97=""),"",$M97/$F97),"")</f>
        <v/>
      </c>
      <c r="O97" s="73" t="n"/>
      <c r="P97" s="73">
        <f>IFERROR(IF(OR($O97="",$F97=""),"",$O97/$F97),"")</f>
        <v/>
      </c>
      <c r="Q97" s="75">
        <f>IFERROR(IF(OR($M97="",$O97=""),"",$M97/$O97),"")</f>
        <v/>
      </c>
      <c r="R97" s="73" t="n"/>
      <c r="S97" s="73">
        <f>IFERROR(IF(OR($R97="",$F97=""),"",$R97/$F97),"")</f>
        <v/>
      </c>
      <c r="T97" s="75">
        <f>IFERROR(IF(OR($M97="",$R97=""),"",$M97/$R97),"")</f>
        <v/>
      </c>
      <c r="U97" s="73" t="n"/>
      <c r="V97" s="73">
        <f>IFERROR(IF(OR($U97="",$F97=""),"",$U97/$F97),"")</f>
        <v/>
      </c>
      <c r="W97" s="75">
        <f>IFERROR(IF(OR($M97="",$U97=""),"",$M97/$U97),"")</f>
        <v/>
      </c>
      <c r="X97" s="90">
        <f>IFERROR(IF(OR($W97="",$T97=""),"",($W97-$T97)*10000),"")</f>
        <v/>
      </c>
      <c r="Y97" s="70">
        <f>IFERROR(IF(OR($R97="",$O97=""),"",IF($R97=$O97,"No","Yes")),"")</f>
        <v/>
      </c>
      <c r="Z97" s="71" t="n"/>
      <c r="AA97" s="71" t="n"/>
      <c r="AB97" s="89">
        <f>IFERROR(IF(OR($Z97="",$AA97=""),"",$Z97-$AA97),"")</f>
        <v/>
      </c>
      <c r="AC97" s="67" t="n"/>
      <c r="AD97" s="67" t="n"/>
      <c r="AE97" s="68" t="n"/>
      <c r="AF97" s="67" t="n"/>
      <c r="AG97" s="67" t="n"/>
      <c r="AH97" s="67" t="n"/>
      <c r="AI97" s="67" t="n"/>
      <c r="AJ97" s="67" t="n"/>
    </row>
    <row r="98" ht="15" customHeight="1" s="46">
      <c r="A98" s="60">
        <f>IFERROR(ROW()-5,"")</f>
        <v/>
      </c>
      <c r="B98" s="61" t="n"/>
      <c r="C98" s="61" t="n"/>
      <c r="D98" s="61" t="n"/>
      <c r="E98" s="61" t="n"/>
      <c r="F98" s="60" t="n"/>
      <c r="G98" s="60" t="n"/>
      <c r="H98" s="60" t="n"/>
      <c r="I98" s="61" t="n"/>
      <c r="J98" s="61" t="n"/>
      <c r="K98" s="62" t="n"/>
      <c r="L98" s="63">
        <f>IFERROR(IF(OR($K98="",$Z98=""),"",($K98-$Z98)/365.25),"")</f>
        <v/>
      </c>
      <c r="M98" s="64" t="n"/>
      <c r="N98" s="65">
        <f>IFERROR(IF(OR($M98="",$F98=""),"",$M98/$F98),"")</f>
        <v/>
      </c>
      <c r="O98" s="64" t="n"/>
      <c r="P98" s="64">
        <f>IFERROR(IF(OR($O98="",$F98=""),"",$O98/$F98),"")</f>
        <v/>
      </c>
      <c r="Q98" s="66">
        <f>IFERROR(IF(OR($M98="",$O98=""),"",$M98/$O98),"")</f>
        <v/>
      </c>
      <c r="R98" s="64" t="n"/>
      <c r="S98" s="64">
        <f>IFERROR(IF(OR($R98="",$F98=""),"",$R98/$F98),"")</f>
        <v/>
      </c>
      <c r="T98" s="66">
        <f>IFERROR(IF(OR($M98="",$R98=""),"",$M98/$R98),"")</f>
        <v/>
      </c>
      <c r="U98" s="64" t="n"/>
      <c r="V98" s="64">
        <f>IFERROR(IF(OR($U98="",$F98=""),"",$U98/$F98),"")</f>
        <v/>
      </c>
      <c r="W98" s="66">
        <f>IFERROR(IF(OR($M98="",$U98=""),"",$M98/$U98),"")</f>
        <v/>
      </c>
      <c r="X98" s="88">
        <f>IFERROR(IF(OR($W98="",$T98=""),"",($W98-$T98)*10000),"")</f>
        <v/>
      </c>
      <c r="Y98" s="61">
        <f>IFERROR(IF(OR($R98="",$O98=""),"",IF($R98=$O98,"No","Yes")),"")</f>
        <v/>
      </c>
      <c r="Z98" s="62" t="n"/>
      <c r="AA98" s="62" t="n"/>
      <c r="AB98" s="89">
        <f>IFERROR(IF(OR($Z98="",$AA98=""),"",$Z98-$AA98),"")</f>
        <v/>
      </c>
      <c r="AC98" s="67" t="n"/>
      <c r="AD98" s="67" t="n"/>
      <c r="AE98" s="68" t="n"/>
      <c r="AF98" s="67" t="n"/>
      <c r="AG98" s="67" t="n"/>
      <c r="AH98" s="67" t="n"/>
      <c r="AI98" s="67" t="n"/>
      <c r="AJ98" s="67" t="n"/>
    </row>
    <row r="99" ht="15" customHeight="1" s="46">
      <c r="A99" s="69">
        <f>IFERROR(ROW()-5,"")</f>
        <v/>
      </c>
      <c r="B99" s="70" t="n"/>
      <c r="C99" s="70" t="n"/>
      <c r="D99" s="70" t="n"/>
      <c r="E99" s="70" t="n"/>
      <c r="F99" s="69" t="n"/>
      <c r="G99" s="69" t="n"/>
      <c r="H99" s="69" t="n"/>
      <c r="I99" s="70" t="n"/>
      <c r="J99" s="70" t="n"/>
      <c r="K99" s="71" t="n"/>
      <c r="L99" s="72">
        <f>IFERROR(IF(OR($K99="",$Z99=""),"",($K99-$Z99)/365.25),"")</f>
        <v/>
      </c>
      <c r="M99" s="73" t="n"/>
      <c r="N99" s="74">
        <f>IFERROR(IF(OR($M99="",$F99=""),"",$M99/$F99),"")</f>
        <v/>
      </c>
      <c r="O99" s="73" t="n"/>
      <c r="P99" s="73">
        <f>IFERROR(IF(OR($O99="",$F99=""),"",$O99/$F99),"")</f>
        <v/>
      </c>
      <c r="Q99" s="75">
        <f>IFERROR(IF(OR($M99="",$O99=""),"",$M99/$O99),"")</f>
        <v/>
      </c>
      <c r="R99" s="73" t="n"/>
      <c r="S99" s="73">
        <f>IFERROR(IF(OR($R99="",$F99=""),"",$R99/$F99),"")</f>
        <v/>
      </c>
      <c r="T99" s="75">
        <f>IFERROR(IF(OR($M99="",$R99=""),"",$M99/$R99),"")</f>
        <v/>
      </c>
      <c r="U99" s="73" t="n"/>
      <c r="V99" s="73">
        <f>IFERROR(IF(OR($U99="",$F99=""),"",$U99/$F99),"")</f>
        <v/>
      </c>
      <c r="W99" s="75">
        <f>IFERROR(IF(OR($M99="",$U99=""),"",$M99/$U99),"")</f>
        <v/>
      </c>
      <c r="X99" s="90">
        <f>IFERROR(IF(OR($W99="",$T99=""),"",($W99-$T99)*10000),"")</f>
        <v/>
      </c>
      <c r="Y99" s="70">
        <f>IFERROR(IF(OR($R99="",$O99=""),"",IF($R99=$O99,"No","Yes")),"")</f>
        <v/>
      </c>
      <c r="Z99" s="71" t="n"/>
      <c r="AA99" s="71" t="n"/>
      <c r="AB99" s="89">
        <f>IFERROR(IF(OR($Z99="",$AA99=""),"",$Z99-$AA99),"")</f>
        <v/>
      </c>
      <c r="AC99" s="67" t="n"/>
      <c r="AD99" s="67" t="n"/>
      <c r="AE99" s="68" t="n"/>
      <c r="AF99" s="67" t="n"/>
      <c r="AG99" s="67" t="n"/>
      <c r="AH99" s="67" t="n"/>
      <c r="AI99" s="67" t="n"/>
      <c r="AJ99" s="67" t="n"/>
    </row>
    <row r="100" ht="15" customHeight="1" s="46">
      <c r="A100" s="60">
        <f>IFERROR(ROW()-5,"")</f>
        <v/>
      </c>
      <c r="B100" s="61" t="n"/>
      <c r="C100" s="61" t="n"/>
      <c r="D100" s="61" t="n"/>
      <c r="E100" s="61" t="n"/>
      <c r="F100" s="60" t="n"/>
      <c r="G100" s="60" t="n"/>
      <c r="H100" s="60" t="n"/>
      <c r="I100" s="61" t="n"/>
      <c r="J100" s="61" t="n"/>
      <c r="K100" s="62" t="n"/>
      <c r="L100" s="63">
        <f>IFERROR(IF(OR($K100="",$Z100=""),"",($K100-$Z100)/365.25),"")</f>
        <v/>
      </c>
      <c r="M100" s="64" t="n"/>
      <c r="N100" s="65">
        <f>IFERROR(IF(OR($M100="",$F100=""),"",$M100/$F100),"")</f>
        <v/>
      </c>
      <c r="O100" s="64" t="n"/>
      <c r="P100" s="64">
        <f>IFERROR(IF(OR($O100="",$F100=""),"",$O100/$F100),"")</f>
        <v/>
      </c>
      <c r="Q100" s="66">
        <f>IFERROR(IF(OR($M100="",$O100=""),"",$M100/$O100),"")</f>
        <v/>
      </c>
      <c r="R100" s="64" t="n"/>
      <c r="S100" s="64">
        <f>IFERROR(IF(OR($R100="",$F100=""),"",$R100/$F100),"")</f>
        <v/>
      </c>
      <c r="T100" s="66">
        <f>IFERROR(IF(OR($M100="",$R100=""),"",$M100/$R100),"")</f>
        <v/>
      </c>
      <c r="U100" s="64" t="n"/>
      <c r="V100" s="64">
        <f>IFERROR(IF(OR($U100="",$F100=""),"",$U100/$F100),"")</f>
        <v/>
      </c>
      <c r="W100" s="66">
        <f>IFERROR(IF(OR($M100="",$U100=""),"",$M100/$U100),"")</f>
        <v/>
      </c>
      <c r="X100" s="88">
        <f>IFERROR(IF(OR($W100="",$T100=""),"",($W100-$T100)*10000),"")</f>
        <v/>
      </c>
      <c r="Y100" s="61">
        <f>IFERROR(IF(OR($R100="",$O100=""),"",IF($R100=$O100,"No","Yes")),"")</f>
        <v/>
      </c>
      <c r="Z100" s="62" t="n"/>
      <c r="AA100" s="62" t="n"/>
      <c r="AB100" s="89">
        <f>IFERROR(IF(OR($Z100="",$AA100=""),"",$Z100-$AA100),"")</f>
        <v/>
      </c>
      <c r="AC100" s="67" t="n"/>
      <c r="AD100" s="67" t="n"/>
      <c r="AE100" s="68" t="n"/>
      <c r="AF100" s="67" t="n"/>
      <c r="AG100" s="67" t="n"/>
      <c r="AH100" s="67" t="n"/>
      <c r="AI100" s="67" t="n"/>
      <c r="AJ100" s="67" t="n"/>
    </row>
    <row r="101" ht="15" customHeight="1" s="46">
      <c r="A101" s="69">
        <f>IFERROR(ROW()-5,"")</f>
        <v/>
      </c>
      <c r="B101" s="70" t="n"/>
      <c r="C101" s="70" t="n"/>
      <c r="D101" s="70" t="n"/>
      <c r="E101" s="70" t="n"/>
      <c r="F101" s="69" t="n"/>
      <c r="G101" s="69" t="n"/>
      <c r="H101" s="69" t="n"/>
      <c r="I101" s="70" t="n"/>
      <c r="J101" s="70" t="n"/>
      <c r="K101" s="71" t="n"/>
      <c r="L101" s="72">
        <f>IFERROR(IF(OR($K101="",$Z101=""),"",($K101-$Z101)/365.25),"")</f>
        <v/>
      </c>
      <c r="M101" s="73" t="n"/>
      <c r="N101" s="74">
        <f>IFERROR(IF(OR($M101="",$F101=""),"",$M101/$F101),"")</f>
        <v/>
      </c>
      <c r="O101" s="73" t="n"/>
      <c r="P101" s="73">
        <f>IFERROR(IF(OR($O101="",$F101=""),"",$O101/$F101),"")</f>
        <v/>
      </c>
      <c r="Q101" s="75">
        <f>IFERROR(IF(OR($M101="",$O101=""),"",$M101/$O101),"")</f>
        <v/>
      </c>
      <c r="R101" s="73" t="n"/>
      <c r="S101" s="73">
        <f>IFERROR(IF(OR($R101="",$F101=""),"",$R101/$F101),"")</f>
        <v/>
      </c>
      <c r="T101" s="75">
        <f>IFERROR(IF(OR($M101="",$R101=""),"",$M101/$R101),"")</f>
        <v/>
      </c>
      <c r="U101" s="73" t="n"/>
      <c r="V101" s="73">
        <f>IFERROR(IF(OR($U101="",$F101=""),"",$U101/$F101),"")</f>
        <v/>
      </c>
      <c r="W101" s="75">
        <f>IFERROR(IF(OR($M101="",$U101=""),"",$M101/$U101),"")</f>
        <v/>
      </c>
      <c r="X101" s="90">
        <f>IFERROR(IF(OR($W101="",$T101=""),"",($W101-$T101)*10000),"")</f>
        <v/>
      </c>
      <c r="Y101" s="70">
        <f>IFERROR(IF(OR($R101="",$O101=""),"",IF($R101=$O101,"No","Yes")),"")</f>
        <v/>
      </c>
      <c r="Z101" s="71" t="n"/>
      <c r="AA101" s="71" t="n"/>
      <c r="AB101" s="89">
        <f>IFERROR(IF(OR($Z101="",$AA101=""),"",$Z101-$AA101),"")</f>
        <v/>
      </c>
      <c r="AC101" s="67" t="n"/>
      <c r="AD101" s="67" t="n"/>
      <c r="AE101" s="68" t="n"/>
      <c r="AF101" s="67" t="n"/>
      <c r="AG101" s="67" t="n"/>
      <c r="AH101" s="67" t="n"/>
      <c r="AI101" s="67" t="n"/>
      <c r="AJ101" s="67" t="n"/>
    </row>
    <row r="102" ht="15" customHeight="1" s="46">
      <c r="A102" s="60">
        <f>IFERROR(ROW()-5,"")</f>
        <v/>
      </c>
      <c r="B102" s="61" t="n"/>
      <c r="C102" s="61" t="n"/>
      <c r="D102" s="61" t="n"/>
      <c r="E102" s="61" t="n"/>
      <c r="F102" s="60" t="n"/>
      <c r="G102" s="60" t="n"/>
      <c r="H102" s="60" t="n"/>
      <c r="I102" s="61" t="n"/>
      <c r="J102" s="61" t="n"/>
      <c r="K102" s="62" t="n"/>
      <c r="L102" s="63">
        <f>IFERROR(IF(OR($K102="",$Z102=""),"",($K102-$Z102)/365.25),"")</f>
        <v/>
      </c>
      <c r="M102" s="64" t="n"/>
      <c r="N102" s="65">
        <f>IFERROR(IF(OR($M102="",$F102=""),"",$M102/$F102),"")</f>
        <v/>
      </c>
      <c r="O102" s="64" t="n"/>
      <c r="P102" s="64">
        <f>IFERROR(IF(OR($O102="",$F102=""),"",$O102/$F102),"")</f>
        <v/>
      </c>
      <c r="Q102" s="66">
        <f>IFERROR(IF(OR($M102="",$O102=""),"",$M102/$O102),"")</f>
        <v/>
      </c>
      <c r="R102" s="64" t="n"/>
      <c r="S102" s="64">
        <f>IFERROR(IF(OR($R102="",$F102=""),"",$R102/$F102),"")</f>
        <v/>
      </c>
      <c r="T102" s="66">
        <f>IFERROR(IF(OR($M102="",$R102=""),"",$M102/$R102),"")</f>
        <v/>
      </c>
      <c r="U102" s="64" t="n"/>
      <c r="V102" s="64">
        <f>IFERROR(IF(OR($U102="",$F102=""),"",$U102/$F102),"")</f>
        <v/>
      </c>
      <c r="W102" s="66">
        <f>IFERROR(IF(OR($M102="",$U102=""),"",$M102/$U102),"")</f>
        <v/>
      </c>
      <c r="X102" s="88">
        <f>IFERROR(IF(OR($W102="",$T102=""),"",($W102-$T102)*10000),"")</f>
        <v/>
      </c>
      <c r="Y102" s="61">
        <f>IFERROR(IF(OR($R102="",$O102=""),"",IF($R102=$O102,"No","Yes")),"")</f>
        <v/>
      </c>
      <c r="Z102" s="62" t="n"/>
      <c r="AA102" s="62" t="n"/>
      <c r="AB102" s="89">
        <f>IFERROR(IF(OR($Z102="",$AA102=""),"",$Z102-$AA102),"")</f>
        <v/>
      </c>
      <c r="AC102" s="67" t="n"/>
      <c r="AD102" s="67" t="n"/>
      <c r="AE102" s="68" t="n"/>
      <c r="AF102" s="67" t="n"/>
      <c r="AG102" s="67" t="n"/>
      <c r="AH102" s="67" t="n"/>
      <c r="AI102" s="67" t="n"/>
      <c r="AJ102" s="67" t="n"/>
    </row>
    <row r="103" ht="15" customHeight="1" s="46">
      <c r="A103" s="69">
        <f>IFERROR(ROW()-5,"")</f>
        <v/>
      </c>
      <c r="B103" s="70" t="n"/>
      <c r="C103" s="70" t="n"/>
      <c r="D103" s="70" t="n"/>
      <c r="E103" s="70" t="n"/>
      <c r="F103" s="69" t="n"/>
      <c r="G103" s="69" t="n"/>
      <c r="H103" s="69" t="n"/>
      <c r="I103" s="70" t="n"/>
      <c r="J103" s="70" t="n"/>
      <c r="K103" s="71" t="n"/>
      <c r="L103" s="72">
        <f>IFERROR(IF(OR($K103="",$Z103=""),"",($K103-$Z103)/365.25),"")</f>
        <v/>
      </c>
      <c r="M103" s="73" t="n"/>
      <c r="N103" s="74">
        <f>IFERROR(IF(OR($M103="",$F103=""),"",$M103/$F103),"")</f>
        <v/>
      </c>
      <c r="O103" s="73" t="n"/>
      <c r="P103" s="73">
        <f>IFERROR(IF(OR($O103="",$F103=""),"",$O103/$F103),"")</f>
        <v/>
      </c>
      <c r="Q103" s="75">
        <f>IFERROR(IF(OR($M103="",$O103=""),"",$M103/$O103),"")</f>
        <v/>
      </c>
      <c r="R103" s="73" t="n"/>
      <c r="S103" s="73">
        <f>IFERROR(IF(OR($R103="",$F103=""),"",$R103/$F103),"")</f>
        <v/>
      </c>
      <c r="T103" s="75">
        <f>IFERROR(IF(OR($M103="",$R103=""),"",$M103/$R103),"")</f>
        <v/>
      </c>
      <c r="U103" s="73" t="n"/>
      <c r="V103" s="73">
        <f>IFERROR(IF(OR($U103="",$F103=""),"",$U103/$F103),"")</f>
        <v/>
      </c>
      <c r="W103" s="75">
        <f>IFERROR(IF(OR($M103="",$U103=""),"",$M103/$U103),"")</f>
        <v/>
      </c>
      <c r="X103" s="90">
        <f>IFERROR(IF(OR($W103="",$T103=""),"",($W103-$T103)*10000),"")</f>
        <v/>
      </c>
      <c r="Y103" s="70">
        <f>IFERROR(IF(OR($R103="",$O103=""),"",IF($R103=$O103,"No","Yes")),"")</f>
        <v/>
      </c>
      <c r="Z103" s="71" t="n"/>
      <c r="AA103" s="71" t="n"/>
      <c r="AB103" s="89">
        <f>IFERROR(IF(OR($Z103="",$AA103=""),"",$Z103-$AA103),"")</f>
        <v/>
      </c>
      <c r="AC103" s="67" t="n"/>
      <c r="AD103" s="67" t="n"/>
      <c r="AE103" s="68" t="n"/>
      <c r="AF103" s="67" t="n"/>
      <c r="AG103" s="67" t="n"/>
      <c r="AH103" s="67" t="n"/>
      <c r="AI103" s="67" t="n"/>
      <c r="AJ103" s="67" t="n"/>
    </row>
    <row r="104" ht="15" customHeight="1" s="46">
      <c r="A104" s="60">
        <f>IFERROR(ROW()-5,"")</f>
        <v/>
      </c>
      <c r="B104" s="61" t="n"/>
      <c r="C104" s="61" t="n"/>
      <c r="D104" s="61" t="n"/>
      <c r="E104" s="61" t="n"/>
      <c r="F104" s="60" t="n"/>
      <c r="G104" s="60" t="n"/>
      <c r="H104" s="60" t="n"/>
      <c r="I104" s="61" t="n"/>
      <c r="J104" s="61" t="n"/>
      <c r="K104" s="62" t="n"/>
      <c r="L104" s="63">
        <f>IFERROR(IF(OR($K104="",$Z104=""),"",($K104-$Z104)/365.25),"")</f>
        <v/>
      </c>
      <c r="M104" s="64" t="n"/>
      <c r="N104" s="65">
        <f>IFERROR(IF(OR($M104="",$F104=""),"",$M104/$F104),"")</f>
        <v/>
      </c>
      <c r="O104" s="64" t="n"/>
      <c r="P104" s="64">
        <f>IFERROR(IF(OR($O104="",$F104=""),"",$O104/$F104),"")</f>
        <v/>
      </c>
      <c r="Q104" s="66">
        <f>IFERROR(IF(OR($M104="",$O104=""),"",$M104/$O104),"")</f>
        <v/>
      </c>
      <c r="R104" s="64" t="n"/>
      <c r="S104" s="64">
        <f>IFERROR(IF(OR($R104="",$F104=""),"",$R104/$F104),"")</f>
        <v/>
      </c>
      <c r="T104" s="66">
        <f>IFERROR(IF(OR($M104="",$R104=""),"",$M104/$R104),"")</f>
        <v/>
      </c>
      <c r="U104" s="64" t="n"/>
      <c r="V104" s="64">
        <f>IFERROR(IF(OR($U104="",$F104=""),"",$U104/$F104),"")</f>
        <v/>
      </c>
      <c r="W104" s="66">
        <f>IFERROR(IF(OR($M104="",$U104=""),"",$M104/$U104),"")</f>
        <v/>
      </c>
      <c r="X104" s="88">
        <f>IFERROR(IF(OR($W104="",$T104=""),"",($W104-$T104)*10000),"")</f>
        <v/>
      </c>
      <c r="Y104" s="61">
        <f>IFERROR(IF(OR($R104="",$O104=""),"",IF($R104=$O104,"No","Yes")),"")</f>
        <v/>
      </c>
      <c r="Z104" s="62" t="n"/>
      <c r="AA104" s="62" t="n"/>
      <c r="AB104" s="89">
        <f>IFERROR(IF(OR($Z104="",$AA104=""),"",$Z104-$AA104),"")</f>
        <v/>
      </c>
      <c r="AC104" s="67" t="n"/>
      <c r="AD104" s="67" t="n"/>
      <c r="AE104" s="68" t="n"/>
      <c r="AF104" s="67" t="n"/>
      <c r="AG104" s="67" t="n"/>
      <c r="AH104" s="67" t="n"/>
      <c r="AI104" s="67" t="n"/>
      <c r="AJ104" s="67" t="n"/>
    </row>
    <row r="105" ht="15" customHeight="1" s="46">
      <c r="A105" s="69">
        <f>IFERROR(ROW()-5,"")</f>
        <v/>
      </c>
      <c r="B105" s="70" t="n"/>
      <c r="C105" s="70" t="n"/>
      <c r="D105" s="70" t="n"/>
      <c r="E105" s="70" t="n"/>
      <c r="F105" s="69" t="n"/>
      <c r="G105" s="69" t="n"/>
      <c r="H105" s="69" t="n"/>
      <c r="I105" s="70" t="n"/>
      <c r="J105" s="70" t="n"/>
      <c r="K105" s="71" t="n"/>
      <c r="L105" s="72">
        <f>IFERROR(IF(OR($K105="",$Z105=""),"",($K105-$Z105)/365.25),"")</f>
        <v/>
      </c>
      <c r="M105" s="73" t="n"/>
      <c r="N105" s="74">
        <f>IFERROR(IF(OR($M105="",$F105=""),"",$M105/$F105),"")</f>
        <v/>
      </c>
      <c r="O105" s="73" t="n"/>
      <c r="P105" s="73">
        <f>IFERROR(IF(OR($O105="",$F105=""),"",$O105/$F105),"")</f>
        <v/>
      </c>
      <c r="Q105" s="75">
        <f>IFERROR(IF(OR($M105="",$O105=""),"",$M105/$O105),"")</f>
        <v/>
      </c>
      <c r="R105" s="73" t="n"/>
      <c r="S105" s="73">
        <f>IFERROR(IF(OR($R105="",$F105=""),"",$R105/$F105),"")</f>
        <v/>
      </c>
      <c r="T105" s="75">
        <f>IFERROR(IF(OR($M105="",$R105=""),"",$M105/$R105),"")</f>
        <v/>
      </c>
      <c r="U105" s="73" t="n"/>
      <c r="V105" s="73">
        <f>IFERROR(IF(OR($U105="",$F105=""),"",$U105/$F105),"")</f>
        <v/>
      </c>
      <c r="W105" s="75">
        <f>IFERROR(IF(OR($M105="",$U105=""),"",$M105/$U105),"")</f>
        <v/>
      </c>
      <c r="X105" s="90">
        <f>IFERROR(IF(OR($W105="",$T105=""),"",($W105-$T105)*10000),"")</f>
        <v/>
      </c>
      <c r="Y105" s="70">
        <f>IFERROR(IF(OR($R105="",$O105=""),"",IF($R105=$O105,"No","Yes")),"")</f>
        <v/>
      </c>
      <c r="Z105" s="71" t="n"/>
      <c r="AA105" s="71" t="n"/>
      <c r="AB105" s="89">
        <f>IFERROR(IF(OR($Z105="",$AA105=""),"",$Z105-$AA105),"")</f>
        <v/>
      </c>
      <c r="AC105" s="67" t="n"/>
      <c r="AD105" s="67" t="n"/>
      <c r="AE105" s="68" t="n"/>
      <c r="AF105" s="67" t="n"/>
      <c r="AG105" s="67" t="n"/>
      <c r="AH105" s="67" t="n"/>
      <c r="AI105" s="67" t="n"/>
      <c r="AJ105" s="67" t="n"/>
    </row>
    <row r="106" ht="16.5" customHeight="1" s="46">
      <c r="A106" s="76" t="inlineStr">
        <is>
          <t>AVG</t>
        </is>
      </c>
      <c r="B106" s="77">
        <f>COUNTA(B6:B105)&amp;" comps"</f>
        <v/>
      </c>
      <c r="C106" s="78" t="n"/>
      <c r="D106" s="78" t="n"/>
      <c r="E106" s="78" t="n"/>
      <c r="F106" s="79">
        <f>IF(COUNT(F6:F105)=0,"",AVERAGE(F6:F105))</f>
        <v/>
      </c>
      <c r="G106" s="79" t="n"/>
      <c r="H106" s="79" t="n"/>
      <c r="I106" s="80" t="n"/>
      <c r="J106" s="81" t="n"/>
      <c r="K106" s="78" t="n"/>
      <c r="L106" s="82">
        <f>IF(COUNT(L6:L105)=0,"",AVERAGE(L6:L105))</f>
        <v/>
      </c>
      <c r="M106" s="83">
        <f>IF(COUNT(M6:M105)=0,"",AVERAGE(M6:M105))</f>
        <v/>
      </c>
      <c r="N106" s="84">
        <f>IF(COUNT(N6:N105)=0,"",AVERAGE(N6:N105))</f>
        <v/>
      </c>
      <c r="O106" s="83">
        <f>IF(COUNT(O6:O105)=0,"",AVERAGE(O6:O105))</f>
        <v/>
      </c>
      <c r="P106" s="83">
        <f>IF(COUNT(P6:P105)=0,"",AVERAGE(P6:P105))</f>
        <v/>
      </c>
      <c r="Q106" s="85">
        <f>IF(COUNT(Q6:Q105)=0,"",AVERAGE(Q6:Q105))</f>
        <v/>
      </c>
      <c r="R106" s="83">
        <f>IF(COUNT(R6:R105)=0,"",AVERAGE(R6:R105))</f>
        <v/>
      </c>
      <c r="S106" s="83">
        <f>IF(COUNT(S6:S105)=0,"",AVERAGE(S6:S105))</f>
        <v/>
      </c>
      <c r="T106" s="85">
        <f>IF(COUNT(T6:T105)=0,"",AVERAGE(T6:T105))</f>
        <v/>
      </c>
      <c r="U106" s="83">
        <f>IF(COUNT(U6:U105)=0,"",AVERAGE(U6:U105))</f>
        <v/>
      </c>
      <c r="V106" s="83">
        <f>IF(COUNT(V6:V105)=0,"",AVERAGE(V6:V105))</f>
        <v/>
      </c>
      <c r="W106" s="85">
        <f>IF(COUNT(W6:W105)=0,"",AVERAGE(W6:W105))</f>
        <v/>
      </c>
      <c r="X106" s="91">
        <f>IF(COUNT(X6:X105)=0,"",AVERAGE(X6:X105))</f>
        <v/>
      </c>
      <c r="Y106" s="77">
        <f>IFERROR(COUNTIF(Y6:Y105,"Yes")&amp;" / "&amp;(COUNTIF(Y6:Y105,"Yes")+COUNTIF(Y6:Y105,"No"))&amp;" ("&amp;TEXT(COUNTIF(Y6:Y105,"Yes")/(COUNTIF(Y6:Y105,"Yes")+COUNTIF(Y6:Y105,"No")),"0%")&amp;")","")</f>
        <v/>
      </c>
      <c r="Z106" s="78" t="n"/>
      <c r="AA106" s="78" t="n"/>
      <c r="AB106" s="86" t="n"/>
      <c r="AC106" s="86" t="n"/>
      <c r="AD106" s="86" t="n"/>
      <c r="AE106" s="87">
        <f>IF(COUNT(AE6:AE105)=0,"",ROUND(AVERAGE(AE6:AE105),0))</f>
        <v/>
      </c>
      <c r="AF106" s="86" t="n"/>
      <c r="AG106" s="86" t="n"/>
      <c r="AH106" s="86" t="n"/>
      <c r="AI106" s="86" t="n"/>
      <c r="AJ106" s="86" t="n"/>
    </row>
    <row r="107"/>
    <row r="108" ht="12.75" customHeight="1" s="46">
      <c r="A108" s="5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2026-07-15T15:35:15Z</dcterms:created>
  <dcterms:modified xmlns:dcterms="http://purl.org/dc/terms/" xmlns:xsi="http://www.w3.org/2001/XMLSchema-instance" xsi:type="dcterms:W3CDTF">2026-07-21T20:13:40Z</dcterms:modified>
  <cp:revision>0</cp:revision>
</cp:coreProperties>
</file>

<file path=docProps/custom.xml><?xml version="1.0" encoding="utf-8"?>
<Properties xmlns="http://schemas.openxmlformats.org/officeDocument/2006/custom-properties">
  <property name="Order" fmtid="{D5CDD505-2E9C-101B-9397-08002B2CF9AE}" pid="2">
    <vt:r8 xmlns:vt="http://schemas.openxmlformats.org/officeDocument/2006/docPropsVTypes">17200</vt:r8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0x0101002063442239F02840831034F7AD67E0F6</vt:lpwstr>
  </property>
</Properties>
</file>